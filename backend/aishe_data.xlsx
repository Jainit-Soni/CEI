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E:\AISHE Tables Excel sheet\"/>
    </mc:Choice>
  </mc:AlternateContent>
  <xr:revisionPtr revIDLastSave="0" documentId="13_ncr:1_{E3722E35-2A9C-45D2-9074-7D86DFD0DEF2}" xr6:coauthVersionLast="47" xr6:coauthVersionMax="47" xr10:uidLastSave="{00000000-0000-0000-0000-000000000000}"/>
  <bookViews>
    <workbookView xWindow="-120" yWindow="-120" windowWidth="29040" windowHeight="15720" tabRatio="948" firstSheet="45" activeTab="59" xr2:uid="{00000000-000D-0000-FFFF-FFFF00000000}"/>
  </bookViews>
  <sheets>
    <sheet name="1UniNo" sheetId="55" r:id="rId1"/>
    <sheet name="1InsResponse" sheetId="71" r:id="rId2"/>
    <sheet name="2University-Specialisation" sheetId="72" r:id="rId3"/>
    <sheet name="3Collegerange" sheetId="68" r:id="rId4"/>
    <sheet name="4CollegeIndicator" sheetId="188" r:id="rId5"/>
    <sheet name="New Table 4a Revised" sheetId="206" r:id="rId6"/>
    <sheet name="5ManagementCollegeNo" sheetId="74" r:id="rId7"/>
    <sheet name="6TotalEnr" sheetId="13" r:id="rId8"/>
    <sheet name="6aTotalRegularEnr" sheetId="25" r:id="rId9"/>
    <sheet name="6bTotalDistanceEnr" sheetId="69" r:id="rId10"/>
    <sheet name="6cTotalPrivateEnr" sheetId="174" r:id="rId11"/>
    <sheet name="7UnivActwithConsUnit" sheetId="61" r:id="rId12"/>
    <sheet name="8CollegeAct" sheetId="16" r:id="rId13"/>
    <sheet name="9AllSAAct" sheetId="17" r:id="rId14"/>
    <sheet name="9aSAILevel" sheetId="114" r:id="rId15"/>
    <sheet name="10InstituionEst" sheetId="158" r:id="rId16"/>
    <sheet name="11Programme" sheetId="94" r:id="rId17"/>
    <sheet name="11aProgrammeDistance " sheetId="203" r:id="rId18"/>
    <sheet name="11bProgrammePrivate" sheetId="173" r:id="rId19"/>
    <sheet name="12UGDisc " sheetId="96" r:id="rId20"/>
    <sheet name="13PGDisc" sheetId="204" r:id="rId21"/>
    <sheet name="14-15TotalEnrCategory (2)" sheetId="175" r:id="rId22"/>
    <sheet name="16FS-countrylevel" sheetId="98" r:id="rId23"/>
    <sheet name="17FS-statelevel" sheetId="99" r:id="rId24"/>
    <sheet name="18FS-prog" sheetId="100" r:id="rId25"/>
    <sheet name="ManagementCollegeNo (2)" sheetId="11" state="hidden" r:id="rId26"/>
    <sheet name="WomenCollege" sheetId="3" state="hidden" r:id="rId27"/>
    <sheet name="19GER(2011)" sheetId="153" r:id="rId28"/>
    <sheet name="20GPI2011" sheetId="154" r:id="rId29"/>
    <sheet name="21TeacherCategory" sheetId="101" r:id="rId30"/>
    <sheet name="22TeacherPost" sheetId="102" r:id="rId31"/>
    <sheet name="22aTeacherPostC" sheetId="103" r:id="rId32"/>
    <sheet name="22bTeacherPostU" sheetId="104" r:id="rId33"/>
    <sheet name="23StaffPost" sheetId="79" r:id="rId34"/>
    <sheet name="24StaffCategory" sheetId="80" r:id="rId35"/>
    <sheet name="25PTR" sheetId="105" r:id="rId36"/>
    <sheet name="26UnivEnrolinclConstituentU" sheetId="66" r:id="rId37"/>
    <sheet name="27TypeEnrolmentCategory-Est" sheetId="67" r:id="rId38"/>
    <sheet name="29TypeTeacherPostEstimated" sheetId="110" r:id="rId39"/>
    <sheet name="30TypeTeacherCategoryEstimated" sheetId="111" r:id="rId40"/>
    <sheet name="31Hostelstate " sheetId="76" r:id="rId41"/>
    <sheet name="32TypeHostel" sheetId="78" r:id="rId42"/>
    <sheet name="33OutTurnState" sheetId="106" r:id="rId43"/>
    <sheet name="33a CategoryOutTurn" sheetId="112" r:id="rId44"/>
    <sheet name="34OutTurn Prog " sheetId="107" r:id="rId45"/>
    <sheet name="34a" sheetId="113" r:id="rId46"/>
    <sheet name="35UGDisc" sheetId="108" r:id="rId47"/>
    <sheet name="36 PGDisc " sheetId="109" r:id="rId48"/>
    <sheet name="37CollegeTypeNo" sheetId="70" r:id="rId49"/>
    <sheet name="38Pop (Cen 2011)" sheetId="152" r:id="rId50"/>
    <sheet name="39TypeStateUnivwithConsUnit" sheetId="63" r:id="rId51"/>
    <sheet name="40NoUni" sheetId="190" r:id="rId52"/>
    <sheet name="41NoUniType" sheetId="191" r:id="rId53"/>
    <sheet name="42CollegeIndicator" sheetId="192" r:id="rId54"/>
    <sheet name="43ENRLT 6" sheetId="193" r:id="rId55"/>
    <sheet name="44ENRLR 6a" sheetId="194" r:id="rId56"/>
    <sheet name="45EnrlCategory 14" sheetId="195" r:id="rId57"/>
    <sheet name="46EnrlMinority 14" sheetId="196" r:id="rId58"/>
    <sheet name="47GER  19" sheetId="197" r:id="rId59"/>
    <sheet name="48GPI 20" sheetId="198" r:id="rId60"/>
    <sheet name="49PTR 25" sheetId="199" r:id="rId61"/>
    <sheet name="50LevelEnrlUniType" sheetId="200" r:id="rId62"/>
    <sheet name="51PostTeacher" sheetId="201" r:id="rId63"/>
    <sheet name="52Pop" sheetId="205" r:id="rId64"/>
    <sheet name="4CollegeIndicator (2)" sheetId="34" state="hidden" r:id="rId65"/>
    <sheet name="RespondingTypeCollege" sheetId="9" state="hidden" r:id="rId66"/>
    <sheet name="Paste" sheetId="1" state="hidden" r:id="rId67"/>
    <sheet name="StandaloneMgt" sheetId="5" state="hidden" r:id="rId68"/>
  </sheets>
  <externalReferences>
    <externalReference r:id="rId69"/>
    <externalReference r:id="rId70"/>
    <externalReference r:id="rId71"/>
  </externalReferences>
  <definedNames>
    <definedName name="_xlnm._FilterDatabase" localSheetId="20" hidden="1">'13PGDisc'!$A$4:$L$315</definedName>
    <definedName name="_xlnm._FilterDatabase" localSheetId="22" hidden="1">'16FS-countrylevel'!$B$4:$AC$167</definedName>
    <definedName name="_xlnm._FilterDatabase" localSheetId="44" hidden="1">'34OutTurn Prog '!$B$3:$E$3</definedName>
    <definedName name="_xlnm._FilterDatabase" localSheetId="46" hidden="1">'35UGDisc'!$B$2:$F$2</definedName>
    <definedName name="_xlnm._FilterDatabase" localSheetId="47" hidden="1">'36 PGDisc '!$B$4:$L$4</definedName>
    <definedName name="_xlnm._FilterDatabase" localSheetId="52" hidden="1">'41NoUniType'!$A$3:$I$205</definedName>
    <definedName name="_xlnm._FilterDatabase" localSheetId="54" hidden="1">'43ENRLT 6'!$A$4:$AC$224</definedName>
    <definedName name="_xlnm._FilterDatabase" localSheetId="55" hidden="1">'44ENRLR 6a'!$A$4:$AC$224</definedName>
    <definedName name="_xlnm._FilterDatabase" localSheetId="56" hidden="1">'45EnrlCategory 14'!$A$4:$N$224</definedName>
    <definedName name="_xlnm._FilterDatabase" localSheetId="57" hidden="1">'46EnrlMinority 14'!$A$4:$N$224</definedName>
    <definedName name="_xlnm._FilterDatabase" localSheetId="58" hidden="1">'47GER  19'!$A$5:$K$224</definedName>
    <definedName name="_xlnm._FilterDatabase" localSheetId="60" hidden="1">'49PTR 25'!$A$4:$H$224</definedName>
    <definedName name="_xlnm._FilterDatabase" localSheetId="64" hidden="1">'4CollegeIndicator (2)'!$A$2:$F$2</definedName>
    <definedName name="_xlnm._FilterDatabase" localSheetId="61" hidden="1">'50LevelEnrlUniType'!$A$4:$AC$76</definedName>
    <definedName name="_xlnm._FilterDatabase" localSheetId="62" hidden="1">'51PostTeacher'!$A$4:$W$224</definedName>
    <definedName name="_xlnm._FilterDatabase" localSheetId="6" hidden="1">'5ManagementCollegeNo'!$A$3:$T$40</definedName>
    <definedName name="_xlnm._FilterDatabase" localSheetId="12" hidden="1">'8CollegeAct'!$A$4:$AE$41</definedName>
    <definedName name="College" localSheetId="15">#REF!</definedName>
    <definedName name="College" localSheetId="27">#REF!</definedName>
    <definedName name="College" localSheetId="28">#REF!</definedName>
    <definedName name="College" localSheetId="35">#REF!</definedName>
    <definedName name="College" localSheetId="2">#REF!</definedName>
    <definedName name="College" localSheetId="40">#REF!</definedName>
    <definedName name="College" localSheetId="43">#REF!</definedName>
    <definedName name="College" localSheetId="42">#REF!</definedName>
    <definedName name="College" localSheetId="45">#REF!</definedName>
    <definedName name="College" localSheetId="44">#REF!</definedName>
    <definedName name="College" localSheetId="46">#REF!</definedName>
    <definedName name="College" localSheetId="47">#REF!</definedName>
    <definedName name="College" localSheetId="51">#REF!</definedName>
    <definedName name="College" localSheetId="52">#REF!</definedName>
    <definedName name="College" localSheetId="53">#REF!</definedName>
    <definedName name="College" localSheetId="54">#REF!</definedName>
    <definedName name="College" localSheetId="55">#REF!</definedName>
    <definedName name="College" localSheetId="56">#REF!</definedName>
    <definedName name="College" localSheetId="57">#REF!</definedName>
    <definedName name="College" localSheetId="58">#REF!</definedName>
    <definedName name="College" localSheetId="59">#REF!</definedName>
    <definedName name="College" localSheetId="60">#REF!</definedName>
    <definedName name="College" localSheetId="61">#REF!</definedName>
    <definedName name="College" localSheetId="62">#REF!</definedName>
    <definedName name="College" localSheetId="63">#REF!</definedName>
    <definedName name="College" localSheetId="14">#REF!</definedName>
    <definedName name="College" localSheetId="5">#REF!</definedName>
    <definedName name="College">#REF!</definedName>
    <definedName name="d" localSheetId="15">#REF!</definedName>
    <definedName name="d" localSheetId="27">#REF!</definedName>
    <definedName name="d" localSheetId="28">#REF!</definedName>
    <definedName name="d" localSheetId="35">#REF!</definedName>
    <definedName name="d" localSheetId="2">#REF!</definedName>
    <definedName name="d" localSheetId="43">#REF!</definedName>
    <definedName name="d" localSheetId="42">#REF!</definedName>
    <definedName name="d" localSheetId="45">#REF!</definedName>
    <definedName name="d" localSheetId="44">#REF!</definedName>
    <definedName name="d" localSheetId="46">#REF!</definedName>
    <definedName name="d" localSheetId="47">#REF!</definedName>
    <definedName name="d" localSheetId="51">#REF!</definedName>
    <definedName name="d" localSheetId="52">#REF!</definedName>
    <definedName name="d" localSheetId="53">#REF!</definedName>
    <definedName name="d" localSheetId="54">#REF!</definedName>
    <definedName name="d" localSheetId="55">#REF!</definedName>
    <definedName name="d" localSheetId="56">#REF!</definedName>
    <definedName name="d" localSheetId="57">#REF!</definedName>
    <definedName name="d" localSheetId="58">#REF!</definedName>
    <definedName name="d" localSheetId="59">#REF!</definedName>
    <definedName name="d" localSheetId="60">#REF!</definedName>
    <definedName name="d" localSheetId="61">#REF!</definedName>
    <definedName name="d" localSheetId="62">#REF!</definedName>
    <definedName name="d" localSheetId="63">#REF!</definedName>
    <definedName name="d" localSheetId="14">#REF!</definedName>
    <definedName name="d" localSheetId="5">#REF!</definedName>
    <definedName name="d">#REF!</definedName>
    <definedName name="fg" localSheetId="5">#REF!</definedName>
    <definedName name="fg">#REF!</definedName>
    <definedName name="JR_PAGE_ANCHOR_0_1" localSheetId="15">#REF!</definedName>
    <definedName name="JR_PAGE_ANCHOR_0_1" localSheetId="27">#REF!</definedName>
    <definedName name="JR_PAGE_ANCHOR_0_1" localSheetId="28">#REF!</definedName>
    <definedName name="JR_PAGE_ANCHOR_0_1" localSheetId="43">#REF!</definedName>
    <definedName name="JR_PAGE_ANCHOR_0_1" localSheetId="45">#REF!</definedName>
    <definedName name="JR_PAGE_ANCHOR_0_1" localSheetId="51">#REF!</definedName>
    <definedName name="JR_PAGE_ANCHOR_0_1" localSheetId="52">#REF!</definedName>
    <definedName name="JR_PAGE_ANCHOR_0_1" localSheetId="53">#REF!</definedName>
    <definedName name="JR_PAGE_ANCHOR_0_1" localSheetId="54">#REF!</definedName>
    <definedName name="JR_PAGE_ANCHOR_0_1" localSheetId="55">#REF!</definedName>
    <definedName name="JR_PAGE_ANCHOR_0_1" localSheetId="56">#REF!</definedName>
    <definedName name="JR_PAGE_ANCHOR_0_1" localSheetId="57">#REF!</definedName>
    <definedName name="JR_PAGE_ANCHOR_0_1" localSheetId="58">#REF!</definedName>
    <definedName name="JR_PAGE_ANCHOR_0_1" localSheetId="59">#REF!</definedName>
    <definedName name="JR_PAGE_ANCHOR_0_1" localSheetId="60">#REF!</definedName>
    <definedName name="JR_PAGE_ANCHOR_0_1" localSheetId="61">#REF!</definedName>
    <definedName name="JR_PAGE_ANCHOR_0_1" localSheetId="62">#REF!</definedName>
    <definedName name="JR_PAGE_ANCHOR_0_1" localSheetId="63">#REF!</definedName>
    <definedName name="JR_PAGE_ANCHOR_0_1" localSheetId="14">#REF!</definedName>
    <definedName name="JR_PAGE_ANCHOR_0_1" localSheetId="5">#REF!</definedName>
    <definedName name="JR_PAGE_ANCHOR_0_1">#REF!</definedName>
    <definedName name="_xlnm.Print_Area" localSheetId="15">'10InstituionEst'!$A$1:$N$41</definedName>
    <definedName name="_xlnm.Print_Area" localSheetId="17">'11aProgrammeDistance '!$A$1:$Z$81</definedName>
    <definedName name="_xlnm.Print_Area" localSheetId="16">'11Programme'!$A$1:$Z$241</definedName>
    <definedName name="_xlnm.Print_Area" localSheetId="19">'12UGDisc '!$A$1:$F$124</definedName>
    <definedName name="_xlnm.Print_Area" localSheetId="20">'13PGDisc'!$A$1:$L$315</definedName>
    <definedName name="_xlnm.Print_Area" localSheetId="21">'14-15TotalEnrCategory (2)'!$A$1:$Z$41</definedName>
    <definedName name="_xlnm.Print_Area" localSheetId="22">'16FS-countrylevel'!$A$1:$AC$175</definedName>
    <definedName name="_xlnm.Print_Area" localSheetId="23">'17FS-statelevel'!$A$1:$AC$39</definedName>
    <definedName name="_xlnm.Print_Area" localSheetId="24">'18FS-prog'!$A$1:$E$149</definedName>
    <definedName name="_xlnm.Print_Area" localSheetId="27">'19GER(2011)'!$A$1:$K$41</definedName>
    <definedName name="_xlnm.Print_Area" localSheetId="1">'1InsResponse'!$A$1:$N$42</definedName>
    <definedName name="_xlnm.Print_Area" localSheetId="0">'1UniNo'!$A$1:$N$38</definedName>
    <definedName name="_xlnm.Print_Area" localSheetId="28">'20GPI2011'!$A$1:$E$40</definedName>
    <definedName name="_xlnm.Print_Area" localSheetId="29">'21TeacherCategory'!$A$1:$W$41</definedName>
    <definedName name="_xlnm.Print_Area" localSheetId="31">'22aTeacherPostC'!$A$1:$W$41</definedName>
    <definedName name="_xlnm.Print_Area" localSheetId="32">'22bTeacherPostU'!$A$1:$W$41</definedName>
    <definedName name="_xlnm.Print_Area" localSheetId="30">'22TeacherPost'!$A$1:$W$41</definedName>
    <definedName name="_xlnm.Print_Area" localSheetId="33">'23StaffPost'!$A$1:$Q$41</definedName>
    <definedName name="_xlnm.Print_Area" localSheetId="34">'24StaffCategory'!$A$1:$Z$41</definedName>
    <definedName name="_xlnm.Print_Area" localSheetId="35">'25PTR'!$A$1:$H$41</definedName>
    <definedName name="_xlnm.Print_Area" localSheetId="36">'26UnivEnrolinclConstituentU'!$A$1:$AC$20</definedName>
    <definedName name="_xlnm.Print_Area" localSheetId="37">'27TypeEnrolmentCategory-Est'!$A$1:$Z$20</definedName>
    <definedName name="_xlnm.Print_Area" localSheetId="38">'29TypeTeacherPostEstimated'!$A$1:$W$20</definedName>
    <definedName name="_xlnm.Print_Area" localSheetId="2">'2University-Specialisation'!$A$1:$Y$37</definedName>
    <definedName name="_xlnm.Print_Area" localSheetId="39">'30TypeTeacherCategoryEstimated'!$A$1:$W$20</definedName>
    <definedName name="_xlnm.Print_Area" localSheetId="40">'31Hostelstate '!$A$1:$N$41</definedName>
    <definedName name="_xlnm.Print_Area" localSheetId="43">'33a CategoryOutTurn'!$A$1:$Z$41</definedName>
    <definedName name="_xlnm.Print_Area" localSheetId="42">'33OutTurnState'!$A$1:$AC$41</definedName>
    <definedName name="_xlnm.Print_Area" localSheetId="45">'34a'!$A$1:$Z$232</definedName>
    <definedName name="_xlnm.Print_Area" localSheetId="44">'34OutTurn Prog '!$A$1:$E$230</definedName>
    <definedName name="_xlnm.Print_Area" localSheetId="46">'35UGDisc'!$A$1:$F$115</definedName>
    <definedName name="_xlnm.Print_Area" localSheetId="47">'36 PGDisc '!$A$1:$L$280</definedName>
    <definedName name="_xlnm.Print_Area" localSheetId="48">'37CollegeTypeNo'!$A$1:$AK$41</definedName>
    <definedName name="_xlnm.Print_Area" localSheetId="49">'38Pop (Cen 2011)'!$A$1:$K$41</definedName>
    <definedName name="_xlnm.Print_Area" localSheetId="50">'39TypeStateUnivwithConsUnit'!$A$1:$AL$42</definedName>
    <definedName name="_xlnm.Print_Area" localSheetId="3">'3Collegerange'!$A$1:$L$41</definedName>
    <definedName name="_xlnm.Print_Area" localSheetId="51">'40NoUni'!$A$1:$G$37</definedName>
    <definedName name="_xlnm.Print_Area" localSheetId="53">'42CollegeIndicator'!$A$1:$Q$41</definedName>
    <definedName name="_xlnm.Print_Area" localSheetId="55">'44ENRLR 6a'!$A$1:$AC$224</definedName>
    <definedName name="_xlnm.Print_Area" localSheetId="56">'45EnrlCategory 14'!$A$1:$N$224</definedName>
    <definedName name="_xlnm.Print_Area" localSheetId="58">'47GER  19'!$A$1:$K$224</definedName>
    <definedName name="_xlnm.Print_Area" localSheetId="59">'48GPI 20'!$A$1:$Q$41</definedName>
    <definedName name="_xlnm.Print_Area" localSheetId="60">'49PTR 25'!$A$1:$H$224</definedName>
    <definedName name="_xlnm.Print_Area" localSheetId="4">'4CollegeIndicator'!$A$1:$E$42</definedName>
    <definedName name="_xlnm.Print_Area" localSheetId="64">'4CollegeIndicator (2)'!$A$1:$F$37</definedName>
    <definedName name="_xlnm.Print_Area" localSheetId="61">'50LevelEnrlUniType'!$A$1:$AC$76</definedName>
    <definedName name="_xlnm.Print_Area" localSheetId="62">'51PostTeacher'!$A$1:$W$224</definedName>
    <definedName name="_xlnm.Print_Area" localSheetId="63">'52Pop'!$A$1:$G$151</definedName>
    <definedName name="_xlnm.Print_Area" localSheetId="6">'5ManagementCollegeNo'!$A$1:$T$40</definedName>
    <definedName name="_xlnm.Print_Area" localSheetId="8">'6aTotalRegularEnr'!$A$1:$AC$41</definedName>
    <definedName name="_xlnm.Print_Area" localSheetId="9">'6bTotalDistanceEnr'!$A$1:$AC$41</definedName>
    <definedName name="_xlnm.Print_Area" localSheetId="10">'6cTotalPrivateEnr'!$A$1:$AC$41</definedName>
    <definedName name="_xlnm.Print_Area" localSheetId="7">'6TotalEnr'!$A$1:$AC$41</definedName>
    <definedName name="_xlnm.Print_Area" localSheetId="11">'7UnivActwithConsUnit'!$A$1:$AE$42</definedName>
    <definedName name="_xlnm.Print_Area" localSheetId="12">'8CollegeAct'!$A$1:$AE$41</definedName>
    <definedName name="_xlnm.Print_Area" localSheetId="13">'9AllSAAct'!$A$1:$AX$42</definedName>
    <definedName name="_xlnm.Print_Area" localSheetId="14">'9aSAILevel'!$A$1:$AC$41</definedName>
    <definedName name="_xlnm.Print_Area" localSheetId="25">'ManagementCollegeNo (2)'!$A$1:$K$59</definedName>
    <definedName name="_xlnm.Print_Area" localSheetId="26">WomenCollege!$A$1:$L$38</definedName>
    <definedName name="_xlnm.Print_Titles" localSheetId="15">'10InstituionEst'!$A:$B</definedName>
    <definedName name="_xlnm.Print_Titles" localSheetId="17">'11aProgrammeDistance '!$A:$B,'11aProgrammeDistance '!$1:$4</definedName>
    <definedName name="_xlnm.Print_Titles" localSheetId="18">'11bProgrammePrivate'!$A:$B,'11bProgrammePrivate'!$1:$3</definedName>
    <definedName name="_xlnm.Print_Titles" localSheetId="16">'11Programme'!$A:$B,'11Programme'!$1:$4</definedName>
    <definedName name="_xlnm.Print_Titles" localSheetId="19">'12UGDisc '!$1:$3</definedName>
    <definedName name="_xlnm.Print_Titles" localSheetId="20">'13PGDisc'!$1:$4</definedName>
    <definedName name="_xlnm.Print_Titles" localSheetId="21">'14-15TotalEnrCategory (2)'!$A:$B</definedName>
    <definedName name="_xlnm.Print_Titles" localSheetId="22">'16FS-countrylevel'!$A:$B,'16FS-countrylevel'!$1:$4</definedName>
    <definedName name="_xlnm.Print_Titles" localSheetId="23">'17FS-statelevel'!$A:$B,'17FS-statelevel'!$1:$3</definedName>
    <definedName name="_xlnm.Print_Titles" localSheetId="24">'18FS-prog'!$1:$2</definedName>
    <definedName name="_xlnm.Print_Titles" localSheetId="28">'20GPI2011'!$A:$B</definedName>
    <definedName name="_xlnm.Print_Titles" localSheetId="29">'21TeacherCategory'!$A:$B,'21TeacherCategory'!$1:$3</definedName>
    <definedName name="_xlnm.Print_Titles" localSheetId="31">'22aTeacherPostC'!$A:$B</definedName>
    <definedName name="_xlnm.Print_Titles" localSheetId="32">'22bTeacherPostU'!$A:$B</definedName>
    <definedName name="_xlnm.Print_Titles" localSheetId="30">'22TeacherPost'!$A:$B</definedName>
    <definedName name="_xlnm.Print_Titles" localSheetId="33">'23StaffPost'!$A:$B</definedName>
    <definedName name="_xlnm.Print_Titles" localSheetId="34">'24StaffCategory'!$B:$B,'24StaffCategory'!$1:$3</definedName>
    <definedName name="_xlnm.Print_Titles" localSheetId="35">'25PTR'!$A:$B</definedName>
    <definedName name="_xlnm.Print_Titles" localSheetId="36">'26UnivEnrolinclConstituentU'!$A:$B,'26UnivEnrolinclConstituentU'!$1:$4</definedName>
    <definedName name="_xlnm.Print_Titles" localSheetId="37">'27TypeEnrolmentCategory-Est'!$A:$B</definedName>
    <definedName name="_xlnm.Print_Titles" localSheetId="38">'29TypeTeacherPostEstimated'!$A:$B</definedName>
    <definedName name="_xlnm.Print_Titles" localSheetId="2">'2University-Specialisation'!$A:$B</definedName>
    <definedName name="_xlnm.Print_Titles" localSheetId="39">'30TypeTeacherCategoryEstimated'!$A:$B</definedName>
    <definedName name="_xlnm.Print_Titles" localSheetId="40">'31Hostelstate '!$1:$4</definedName>
    <definedName name="_xlnm.Print_Titles" localSheetId="43">'33a CategoryOutTurn'!$A:$B</definedName>
    <definedName name="_xlnm.Print_Titles" localSheetId="42">'33OutTurnState'!$A:$B</definedName>
    <definedName name="_xlnm.Print_Titles" localSheetId="45">'34a'!$A:$B,'34a'!$1:$4</definedName>
    <definedName name="_xlnm.Print_Titles" localSheetId="44">'34OutTurn Prog '!$B:$B,'34OutTurn Prog '!$1:$3</definedName>
    <definedName name="_xlnm.Print_Titles" localSheetId="46">'35UGDisc'!$1:$3</definedName>
    <definedName name="_xlnm.Print_Titles" localSheetId="47">'36 PGDisc '!$1:$4</definedName>
    <definedName name="_xlnm.Print_Titles" localSheetId="48">'37CollegeTypeNo'!$A:$B,'37CollegeTypeNo'!$1:$3</definedName>
    <definedName name="_xlnm.Print_Titles" localSheetId="50">'39TypeStateUnivwithConsUnit'!$A:$B</definedName>
    <definedName name="_xlnm.Print_Titles" localSheetId="52">'41NoUniType'!$1:$2</definedName>
    <definedName name="_xlnm.Print_Titles" localSheetId="53">'42CollegeIndicator'!$A:$B,'42CollegeIndicator'!$1:$4</definedName>
    <definedName name="_xlnm.Print_Titles" localSheetId="54">'43ENRLT 6'!$A:$B,'43ENRLT 6'!$1:$4</definedName>
    <definedName name="_xlnm.Print_Titles" localSheetId="55">'44ENRLR 6a'!$A:$B,'44ENRLR 6a'!$1:$4</definedName>
    <definedName name="_xlnm.Print_Titles" localSheetId="56">'45EnrlCategory 14'!$A:$B,'45EnrlCategory 14'!$1:$4</definedName>
    <definedName name="_xlnm.Print_Titles" localSheetId="57">'46EnrlMinority 14'!$1:$4</definedName>
    <definedName name="_xlnm.Print_Titles" localSheetId="58">'47GER  19'!$1:$4</definedName>
    <definedName name="_xlnm.Print_Titles" localSheetId="59">'48GPI 20'!$A:$B,'48GPI 20'!$1:$4</definedName>
    <definedName name="_xlnm.Print_Titles" localSheetId="60">'49PTR 25'!$1:$4</definedName>
    <definedName name="_xlnm.Print_Titles" localSheetId="61">'50LevelEnrlUniType'!$A:$B,'50LevelEnrlUniType'!$1:$4</definedName>
    <definedName name="_xlnm.Print_Titles" localSheetId="62">'51PostTeacher'!$A:$B,'51PostTeacher'!$1:$4</definedName>
    <definedName name="_xlnm.Print_Titles" localSheetId="63">'52Pop'!$1:$3</definedName>
    <definedName name="_xlnm.Print_Titles" localSheetId="6">'5ManagementCollegeNo'!$A:$B</definedName>
    <definedName name="_xlnm.Print_Titles" localSheetId="8">'6aTotalRegularEnr'!$A:$B</definedName>
    <definedName name="_xlnm.Print_Titles" localSheetId="9">'6bTotalDistanceEnr'!$A:$B</definedName>
    <definedName name="_xlnm.Print_Titles" localSheetId="10">'6cTotalPrivateEnr'!$A:$B</definedName>
    <definedName name="_xlnm.Print_Titles" localSheetId="7">'6TotalEnr'!$A:$B</definedName>
    <definedName name="_xlnm.Print_Titles" localSheetId="11">'7UnivActwithConsUnit'!$A:$B</definedName>
    <definedName name="_xlnm.Print_Titles" localSheetId="12">'8CollegeAct'!$A:$B</definedName>
    <definedName name="_xlnm.Print_Titles" localSheetId="13">'9AllSAAct'!$A:$B</definedName>
    <definedName name="_xlnm.Print_Titles" localSheetId="14">'9aSAILevel'!$A:$B</definedName>
    <definedName name="_xlnm.Print_Titles" localSheetId="25">'ManagementCollegeNo (2)'!$A:$A</definedName>
    <definedName name="_xlnm.Print_Titles" localSheetId="5">'New Table 4a Revised'!$A:$B,'New Table 4a Revised'!$1:$2</definedName>
    <definedName name="_xlnm.Print_Titles" localSheetId="26">WomenCollege!$A:$A</definedName>
    <definedName name="qwerty" localSheetId="4">#REF!</definedName>
    <definedName name="qwerty" localSheetId="63">#REF!</definedName>
    <definedName name="qwerty" localSheetId="5">#REF!</definedName>
    <definedName name="qwert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3" i="103" l="1"/>
  <c r="I1" i="201"/>
  <c r="U1" i="200"/>
  <c r="L1" i="200"/>
  <c r="P5" i="198"/>
  <c r="K224" i="196"/>
  <c r="H224" i="196"/>
  <c r="E224" i="196"/>
  <c r="K218" i="196"/>
  <c r="H218" i="196"/>
  <c r="E218" i="196"/>
  <c r="K212" i="196"/>
  <c r="H212" i="196"/>
  <c r="E212" i="196"/>
  <c r="K206" i="196"/>
  <c r="H206" i="196"/>
  <c r="E206" i="196"/>
  <c r="K194" i="196"/>
  <c r="H194" i="196"/>
  <c r="E194" i="196"/>
  <c r="K188" i="196"/>
  <c r="H188" i="196"/>
  <c r="E188" i="196"/>
  <c r="K182" i="196"/>
  <c r="H182" i="196"/>
  <c r="E182" i="196"/>
  <c r="K176" i="196"/>
  <c r="H176" i="196"/>
  <c r="E176" i="196"/>
  <c r="K170" i="196"/>
  <c r="H170" i="196"/>
  <c r="E170" i="196"/>
  <c r="K164" i="196"/>
  <c r="H164" i="196"/>
  <c r="E164" i="196"/>
  <c r="K158" i="196"/>
  <c r="H158" i="196"/>
  <c r="E158" i="196"/>
  <c r="K152" i="196"/>
  <c r="H152" i="196"/>
  <c r="E152" i="196"/>
  <c r="K146" i="196"/>
  <c r="H146" i="196"/>
  <c r="E146" i="196"/>
  <c r="K140" i="196"/>
  <c r="H140" i="196"/>
  <c r="E140" i="196"/>
  <c r="K134" i="196"/>
  <c r="H134" i="196"/>
  <c r="E134" i="196"/>
  <c r="K128" i="196"/>
  <c r="H128" i="196"/>
  <c r="E128" i="196"/>
  <c r="K122" i="196"/>
  <c r="H122" i="196"/>
  <c r="E122" i="196"/>
  <c r="K116" i="196"/>
  <c r="H116" i="196"/>
  <c r="E116" i="196"/>
  <c r="K106" i="196"/>
  <c r="H106" i="196"/>
  <c r="E106" i="196"/>
  <c r="K100" i="196"/>
  <c r="H100" i="196"/>
  <c r="E100" i="196"/>
  <c r="K94" i="196"/>
  <c r="H94" i="196"/>
  <c r="E94" i="196"/>
  <c r="K88" i="196"/>
  <c r="H88" i="196"/>
  <c r="E88" i="196"/>
  <c r="K82" i="196"/>
  <c r="H82" i="196"/>
  <c r="E82" i="196"/>
  <c r="K76" i="196"/>
  <c r="H76" i="196"/>
  <c r="E76" i="196"/>
  <c r="K70" i="196"/>
  <c r="H70" i="196"/>
  <c r="E70" i="196"/>
  <c r="K64" i="196"/>
  <c r="H64" i="196"/>
  <c r="E64" i="196"/>
  <c r="K58" i="196"/>
  <c r="H58" i="196"/>
  <c r="E58" i="196"/>
  <c r="K52" i="196"/>
  <c r="H52" i="196"/>
  <c r="E52" i="196"/>
  <c r="K46" i="196"/>
  <c r="H46" i="196"/>
  <c r="E46" i="196"/>
  <c r="K40" i="196"/>
  <c r="H40" i="196"/>
  <c r="E40" i="196"/>
  <c r="K34" i="196"/>
  <c r="H34" i="196"/>
  <c r="E34" i="196"/>
  <c r="K28" i="196"/>
  <c r="H28" i="196"/>
  <c r="E28" i="196"/>
  <c r="K22" i="196"/>
  <c r="H22" i="196"/>
  <c r="E22" i="196"/>
  <c r="K16" i="196"/>
  <c r="H16" i="196"/>
  <c r="E16" i="196"/>
  <c r="I1" i="195"/>
  <c r="L1" i="194"/>
  <c r="U1" i="194" s="1"/>
  <c r="AC224" i="193"/>
  <c r="AB224" i="193"/>
  <c r="AA224" i="193"/>
  <c r="AC218" i="193"/>
  <c r="AB218" i="193"/>
  <c r="AA218" i="193"/>
  <c r="AC212" i="193"/>
  <c r="AB212" i="193"/>
  <c r="AA212" i="193"/>
  <c r="AC206" i="193"/>
  <c r="AB206" i="193"/>
  <c r="AA206" i="193"/>
  <c r="AC194" i="193"/>
  <c r="AB194" i="193"/>
  <c r="AA194" i="193"/>
  <c r="AC188" i="193"/>
  <c r="AB188" i="193"/>
  <c r="AA188" i="193"/>
  <c r="AC182" i="193"/>
  <c r="AB182" i="193"/>
  <c r="AA182" i="193"/>
  <c r="AC176" i="193"/>
  <c r="AB176" i="193"/>
  <c r="AA176" i="193"/>
  <c r="AC170" i="193"/>
  <c r="AB170" i="193"/>
  <c r="AA170" i="193"/>
  <c r="AC164" i="193"/>
  <c r="AB164" i="193"/>
  <c r="AA164" i="193"/>
  <c r="AC158" i="193"/>
  <c r="AB158" i="193"/>
  <c r="AA158" i="193"/>
  <c r="AC152" i="193"/>
  <c r="AB152" i="193"/>
  <c r="AA152" i="193"/>
  <c r="AC146" i="193"/>
  <c r="AB146" i="193"/>
  <c r="AA146" i="193"/>
  <c r="AC140" i="193"/>
  <c r="AB140" i="193"/>
  <c r="AA140" i="193"/>
  <c r="AC134" i="193"/>
  <c r="AB134" i="193"/>
  <c r="AA134" i="193"/>
  <c r="AC128" i="193"/>
  <c r="AB128" i="193"/>
  <c r="AA128" i="193"/>
  <c r="AC122" i="193"/>
  <c r="AB122" i="193"/>
  <c r="AA122" i="193"/>
  <c r="AC116" i="193"/>
  <c r="AB116" i="193"/>
  <c r="AA116" i="193"/>
  <c r="AC106" i="193"/>
  <c r="AB106" i="193"/>
  <c r="AA106" i="193"/>
  <c r="AC100" i="193"/>
  <c r="AB100" i="193"/>
  <c r="AA100" i="193"/>
  <c r="AC94" i="193"/>
  <c r="AB94" i="193"/>
  <c r="AA94" i="193"/>
  <c r="AC88" i="193"/>
  <c r="AB88" i="193"/>
  <c r="AA88" i="193"/>
  <c r="AC82" i="193"/>
  <c r="AB82" i="193"/>
  <c r="AA82" i="193"/>
  <c r="AC76" i="193"/>
  <c r="AB76" i="193"/>
  <c r="AA76" i="193"/>
  <c r="AC70" i="193"/>
  <c r="AB70" i="193"/>
  <c r="AA70" i="193"/>
  <c r="AC64" i="193"/>
  <c r="AB64" i="193"/>
  <c r="AA64" i="193"/>
  <c r="AC58" i="193"/>
  <c r="AB58" i="193"/>
  <c r="AA58" i="193"/>
  <c r="AC52" i="193"/>
  <c r="AB52" i="193"/>
  <c r="AA52" i="193"/>
  <c r="AC46" i="193"/>
  <c r="AB46" i="193"/>
  <c r="AA46" i="193"/>
  <c r="AC34" i="193"/>
  <c r="AB34" i="193"/>
  <c r="AA34" i="193"/>
  <c r="AC28" i="193"/>
  <c r="AB28" i="193"/>
  <c r="AA28" i="193"/>
  <c r="AC22" i="193"/>
  <c r="AB22" i="193"/>
  <c r="AA22" i="193"/>
  <c r="L1" i="193"/>
  <c r="U1" i="193" s="1"/>
  <c r="H1" i="192"/>
  <c r="M1" i="192" s="1"/>
  <c r="E5" i="188" l="1"/>
  <c r="E6" i="188"/>
  <c r="E7" i="188"/>
  <c r="E8" i="188"/>
  <c r="E9" i="188"/>
  <c r="E10" i="188"/>
  <c r="E11" i="188"/>
  <c r="E12" i="188"/>
  <c r="E13" i="188"/>
  <c r="E14" i="188"/>
  <c r="E15" i="188"/>
  <c r="E16" i="188"/>
  <c r="E17" i="188"/>
  <c r="E18" i="188"/>
  <c r="E19" i="188"/>
  <c r="E20" i="188"/>
  <c r="E21" i="188"/>
  <c r="E23" i="188"/>
  <c r="E24" i="188"/>
  <c r="E25" i="188"/>
  <c r="E26" i="188"/>
  <c r="E27" i="188"/>
  <c r="E28" i="188"/>
  <c r="E29" i="188"/>
  <c r="E30" i="188"/>
  <c r="E31" i="188"/>
  <c r="E32" i="188"/>
  <c r="E33" i="188"/>
  <c r="E34" i="188"/>
  <c r="E35" i="188"/>
  <c r="E36" i="188"/>
  <c r="E37" i="188"/>
  <c r="E38" i="188"/>
  <c r="E39" i="188"/>
  <c r="E40" i="188"/>
  <c r="U1" i="113" l="1"/>
  <c r="O1" i="113"/>
  <c r="I1" i="113"/>
  <c r="U1" i="114"/>
  <c r="L1" i="114"/>
  <c r="U1" i="174"/>
  <c r="L1" i="174"/>
  <c r="U1" i="25"/>
  <c r="L1" i="25"/>
  <c r="U1" i="13"/>
  <c r="L1" i="13"/>
  <c r="R1" i="173"/>
  <c r="I1" i="173"/>
  <c r="U1" i="69" l="1"/>
  <c r="L1" i="69"/>
  <c r="L17" i="111"/>
  <c r="L17" i="110"/>
  <c r="AC25" i="69"/>
  <c r="AB6" i="69"/>
  <c r="AB7" i="69"/>
  <c r="AB8" i="69"/>
  <c r="AB9" i="69"/>
  <c r="AB10" i="69"/>
  <c r="AB11" i="69"/>
  <c r="AB12" i="69"/>
  <c r="AB13" i="69"/>
  <c r="AB14" i="69"/>
  <c r="AB15" i="69"/>
  <c r="AB16" i="69"/>
  <c r="AB17" i="69"/>
  <c r="AC17" i="69" s="1"/>
  <c r="AB18" i="69"/>
  <c r="AB19" i="69"/>
  <c r="AB20" i="69"/>
  <c r="AB21" i="69"/>
  <c r="AB22" i="69"/>
  <c r="AB23" i="69"/>
  <c r="AB24" i="69"/>
  <c r="AB25" i="69"/>
  <c r="AB26" i="69"/>
  <c r="AB27" i="69"/>
  <c r="AB28" i="69"/>
  <c r="AB29" i="69"/>
  <c r="AB30" i="69"/>
  <c r="AB31" i="69"/>
  <c r="AB32" i="69"/>
  <c r="AB33" i="69"/>
  <c r="AB34" i="69"/>
  <c r="AB35" i="69"/>
  <c r="AB36" i="69"/>
  <c r="AB37" i="69"/>
  <c r="AB38" i="69"/>
  <c r="AB39" i="69"/>
  <c r="AB40" i="69"/>
  <c r="AB41" i="69"/>
  <c r="AB5" i="69"/>
  <c r="AA6" i="69"/>
  <c r="AA7" i="69"/>
  <c r="AA8" i="69"/>
  <c r="AA9" i="69"/>
  <c r="AC9" i="69" s="1"/>
  <c r="AA10" i="69"/>
  <c r="AA11" i="69"/>
  <c r="AC11" i="69" s="1"/>
  <c r="AA12" i="69"/>
  <c r="AC12" i="69" s="1"/>
  <c r="AA13" i="69"/>
  <c r="AA14" i="69"/>
  <c r="AA15" i="69"/>
  <c r="AA16" i="69"/>
  <c r="AC16" i="69" s="1"/>
  <c r="AA17" i="69"/>
  <c r="AA18" i="69"/>
  <c r="AA19" i="69"/>
  <c r="AC19" i="69" s="1"/>
  <c r="AA20" i="69"/>
  <c r="AC20" i="69" s="1"/>
  <c r="AA21" i="69"/>
  <c r="AC21" i="69" s="1"/>
  <c r="AA22" i="69"/>
  <c r="AA23" i="69"/>
  <c r="AA24" i="69"/>
  <c r="AA25" i="69"/>
  <c r="AA26" i="69"/>
  <c r="AA27" i="69"/>
  <c r="AC27" i="69" s="1"/>
  <c r="AA28" i="69"/>
  <c r="AC28" i="69" s="1"/>
  <c r="AA29" i="69"/>
  <c r="AA30" i="69"/>
  <c r="AA31" i="69"/>
  <c r="AA32" i="69"/>
  <c r="AC32" i="69" s="1"/>
  <c r="AA33" i="69"/>
  <c r="AC33" i="69" s="1"/>
  <c r="AA34" i="69"/>
  <c r="AA35" i="69"/>
  <c r="AC35" i="69" s="1"/>
  <c r="AA36" i="69"/>
  <c r="AC36" i="69" s="1"/>
  <c r="AA37" i="69"/>
  <c r="AC37" i="69" s="1"/>
  <c r="AA38" i="69"/>
  <c r="AA39" i="69"/>
  <c r="AA40" i="69"/>
  <c r="AA41" i="69"/>
  <c r="AC41" i="69" s="1"/>
  <c r="AA5" i="69"/>
  <c r="AC18" i="25"/>
  <c r="AB6" i="25"/>
  <c r="AB7" i="25"/>
  <c r="AB8" i="25"/>
  <c r="AB9" i="25"/>
  <c r="AB10" i="25"/>
  <c r="AB11" i="25"/>
  <c r="AB12" i="25"/>
  <c r="AB13" i="25"/>
  <c r="AB14" i="25"/>
  <c r="AB15" i="25"/>
  <c r="AB16" i="25"/>
  <c r="AB17" i="25"/>
  <c r="AB18" i="25"/>
  <c r="AB19" i="25"/>
  <c r="AB20" i="25"/>
  <c r="AB21" i="25"/>
  <c r="AB22" i="25"/>
  <c r="AB23" i="25"/>
  <c r="AB24" i="25"/>
  <c r="AB25" i="25"/>
  <c r="AB26" i="25"/>
  <c r="AB27" i="25"/>
  <c r="AB28" i="25"/>
  <c r="AB29" i="25"/>
  <c r="AB30" i="25"/>
  <c r="AB31" i="25"/>
  <c r="AB32" i="25"/>
  <c r="AB33" i="25"/>
  <c r="AB34" i="25"/>
  <c r="AB35" i="25"/>
  <c r="AB36" i="25"/>
  <c r="AB37" i="25"/>
  <c r="AB38" i="25"/>
  <c r="AB39" i="25"/>
  <c r="AB40" i="25"/>
  <c r="AB41" i="25"/>
  <c r="AB5" i="25"/>
  <c r="AA6" i="25"/>
  <c r="AA7" i="25"/>
  <c r="AA8" i="25"/>
  <c r="AA9" i="25"/>
  <c r="AA10" i="25"/>
  <c r="AC10" i="25" s="1"/>
  <c r="AA11" i="25"/>
  <c r="AC11" i="25" s="1"/>
  <c r="AA12" i="25"/>
  <c r="AC12" i="25" s="1"/>
  <c r="AA13" i="25"/>
  <c r="AA14" i="25"/>
  <c r="AA15" i="25"/>
  <c r="AA16" i="25"/>
  <c r="AA17" i="25"/>
  <c r="AC17" i="25" s="1"/>
  <c r="AA18" i="25"/>
  <c r="AA19" i="25"/>
  <c r="AC19" i="25" s="1"/>
  <c r="AA20" i="25"/>
  <c r="AC20" i="25" s="1"/>
  <c r="AA21" i="25"/>
  <c r="AA22" i="25"/>
  <c r="AA23" i="25"/>
  <c r="AA24" i="25"/>
  <c r="AA25" i="25"/>
  <c r="AA26" i="25"/>
  <c r="AC26" i="25" s="1"/>
  <c r="AA27" i="25"/>
  <c r="AC27" i="25" s="1"/>
  <c r="AA28" i="25"/>
  <c r="AC28" i="25" s="1"/>
  <c r="AA29" i="25"/>
  <c r="AA30" i="25"/>
  <c r="AA31" i="25"/>
  <c r="AA32" i="25"/>
  <c r="AA33" i="25"/>
  <c r="AC33" i="25" s="1"/>
  <c r="AA34" i="25"/>
  <c r="AC34" i="25" s="1"/>
  <c r="AA35" i="25"/>
  <c r="AC35" i="25" s="1"/>
  <c r="AA36" i="25"/>
  <c r="AC36" i="25" s="1"/>
  <c r="AA37" i="25"/>
  <c r="AA38" i="25"/>
  <c r="AA39" i="25"/>
  <c r="AA40" i="25"/>
  <c r="AA41" i="25"/>
  <c r="AA5" i="25"/>
  <c r="AC5" i="25" s="1"/>
  <c r="AC41" i="25" l="1"/>
  <c r="AC34" i="69"/>
  <c r="AC18" i="69"/>
  <c r="AC40" i="25"/>
  <c r="AC32" i="25"/>
  <c r="AC16" i="25"/>
  <c r="AC39" i="25"/>
  <c r="AC23" i="25"/>
  <c r="AC7" i="25"/>
  <c r="AC40" i="69"/>
  <c r="AC24" i="69"/>
  <c r="AC8" i="69"/>
  <c r="AC13" i="69"/>
  <c r="AC38" i="25"/>
  <c r="AC22" i="25"/>
  <c r="AC14" i="25"/>
  <c r="AC6" i="25"/>
  <c r="AC39" i="69"/>
  <c r="AC31" i="69"/>
  <c r="AC23" i="69"/>
  <c r="AC15" i="69"/>
  <c r="AC7" i="69"/>
  <c r="AC25" i="25"/>
  <c r="AC9" i="25"/>
  <c r="AC5" i="69"/>
  <c r="AC26" i="69"/>
  <c r="AC10" i="69"/>
  <c r="AC24" i="25"/>
  <c r="AC8" i="25"/>
  <c r="AC31" i="25"/>
  <c r="AC15" i="25"/>
  <c r="AC29" i="69"/>
  <c r="AC30" i="25"/>
  <c r="AC37" i="25"/>
  <c r="AC29" i="25"/>
  <c r="AC21" i="25"/>
  <c r="AC13" i="25"/>
  <c r="AC38" i="69"/>
  <c r="AC30" i="69"/>
  <c r="AC22" i="69"/>
  <c r="AC14" i="69"/>
  <c r="AC6" i="69"/>
  <c r="Z42" i="63"/>
  <c r="AL42" i="63" s="1"/>
  <c r="M1" i="70"/>
  <c r="V1" i="70" s="1"/>
  <c r="AD1" i="70" s="1"/>
  <c r="N24" i="71"/>
  <c r="N25" i="71"/>
  <c r="N26" i="71"/>
  <c r="N27" i="71"/>
  <c r="N28" i="71"/>
  <c r="N29" i="71"/>
  <c r="N30" i="71"/>
  <c r="N31" i="71"/>
  <c r="N32" i="71"/>
  <c r="N33" i="71"/>
  <c r="N34" i="71"/>
  <c r="N35" i="71"/>
  <c r="N36" i="71"/>
  <c r="N37" i="71"/>
  <c r="N38" i="71"/>
  <c r="N39" i="71"/>
  <c r="N40" i="71"/>
  <c r="N41" i="71"/>
  <c r="N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1" i="71"/>
  <c r="K23" i="71"/>
  <c r="N6" i="71"/>
  <c r="N7" i="71"/>
  <c r="N8" i="71"/>
  <c r="N9" i="71"/>
  <c r="N10" i="71"/>
  <c r="N11" i="71"/>
  <c r="N12" i="71"/>
  <c r="N13" i="71"/>
  <c r="N14" i="71"/>
  <c r="N15" i="71"/>
  <c r="N16" i="71"/>
  <c r="N17" i="71"/>
  <c r="N18" i="71"/>
  <c r="N19" i="71"/>
  <c r="N20" i="71"/>
  <c r="N21" i="7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N5" i="71"/>
  <c r="K5" i="71"/>
  <c r="H24" i="71"/>
  <c r="H25" i="71"/>
  <c r="H26" i="71"/>
  <c r="H27" i="71"/>
  <c r="H28" i="71"/>
  <c r="H29" i="71"/>
  <c r="H30" i="71"/>
  <c r="H31" i="71"/>
  <c r="H32" i="71"/>
  <c r="H33" i="71"/>
  <c r="H34" i="71"/>
  <c r="H35" i="71"/>
  <c r="H36" i="71"/>
  <c r="H37" i="71"/>
  <c r="H38" i="71"/>
  <c r="H39" i="71"/>
  <c r="H40" i="71"/>
  <c r="H41" i="71"/>
  <c r="H23" i="71"/>
  <c r="H6" i="71"/>
  <c r="H7" i="71"/>
  <c r="H8" i="71"/>
  <c r="H9" i="71"/>
  <c r="H10" i="71"/>
  <c r="H11" i="71"/>
  <c r="H12" i="71"/>
  <c r="H13" i="71"/>
  <c r="H14" i="71"/>
  <c r="H15" i="71"/>
  <c r="H16" i="71"/>
  <c r="H17" i="71"/>
  <c r="H18" i="71"/>
  <c r="H19" i="71"/>
  <c r="H20" i="71"/>
  <c r="H21" i="71"/>
  <c r="H5" i="71"/>
  <c r="E38" i="71"/>
  <c r="E39" i="71"/>
  <c r="E40" i="71"/>
  <c r="E41" i="71"/>
  <c r="E37" i="71"/>
  <c r="E24" i="71"/>
  <c r="E25" i="71"/>
  <c r="E26" i="71"/>
  <c r="E27" i="71"/>
  <c r="E28" i="71"/>
  <c r="E29" i="71"/>
  <c r="E30" i="71"/>
  <c r="E31" i="71"/>
  <c r="E32" i="71"/>
  <c r="E33" i="71"/>
  <c r="E34" i="71"/>
  <c r="E35" i="71"/>
  <c r="E23" i="71"/>
  <c r="E7" i="71"/>
  <c r="E8" i="71"/>
  <c r="E9" i="71"/>
  <c r="E10" i="71"/>
  <c r="E11" i="71"/>
  <c r="E12" i="71"/>
  <c r="E13" i="71"/>
  <c r="E14" i="71"/>
  <c r="E15" i="71"/>
  <c r="E16" i="71"/>
  <c r="E17" i="71"/>
  <c r="E18" i="71"/>
  <c r="E19" i="71"/>
  <c r="E20" i="71"/>
  <c r="E21" i="71"/>
  <c r="E6" i="71"/>
  <c r="K20" i="78"/>
  <c r="J20" i="78"/>
  <c r="I20" i="78"/>
  <c r="H20" i="78"/>
  <c r="G20" i="78"/>
  <c r="F20" i="78"/>
  <c r="E20" i="78"/>
  <c r="D20" i="78"/>
  <c r="C20" i="78"/>
  <c r="N19" i="78"/>
  <c r="M19" i="78"/>
  <c r="L19" i="78"/>
  <c r="N18" i="78"/>
  <c r="M18" i="78"/>
  <c r="L18" i="78"/>
  <c r="N15" i="78"/>
  <c r="M15" i="78"/>
  <c r="L15" i="78"/>
  <c r="N14" i="78"/>
  <c r="M14" i="78"/>
  <c r="L14" i="78"/>
  <c r="N13" i="78"/>
  <c r="M13" i="78"/>
  <c r="L13" i="78"/>
  <c r="N12" i="78"/>
  <c r="M12" i="78"/>
  <c r="L12" i="78"/>
  <c r="N11" i="78"/>
  <c r="M11" i="78"/>
  <c r="L11" i="78"/>
  <c r="N10" i="78"/>
  <c r="M10" i="78"/>
  <c r="L10" i="78"/>
  <c r="N9" i="78"/>
  <c r="M9" i="78"/>
  <c r="L9" i="78"/>
  <c r="N8" i="78"/>
  <c r="M8" i="78"/>
  <c r="L8" i="78"/>
  <c r="N7" i="78"/>
  <c r="M7" i="78"/>
  <c r="L7" i="78"/>
  <c r="N6" i="78"/>
  <c r="M6" i="78"/>
  <c r="L6" i="78"/>
  <c r="N5" i="78"/>
  <c r="M5" i="78"/>
  <c r="L5" i="78"/>
  <c r="M20" i="78" l="1"/>
  <c r="N20" i="78"/>
  <c r="L20" i="78"/>
  <c r="R6" i="74"/>
  <c r="R8" i="74"/>
  <c r="R9" i="74"/>
  <c r="R11" i="74"/>
  <c r="R12" i="74"/>
  <c r="R14" i="74"/>
  <c r="R15" i="74"/>
  <c r="R17" i="74"/>
  <c r="R18" i="74"/>
  <c r="R19" i="74"/>
  <c r="R20" i="74"/>
  <c r="R22" i="74"/>
  <c r="R23" i="74"/>
  <c r="R25" i="74"/>
  <c r="R27" i="74"/>
  <c r="R28" i="74"/>
  <c r="R30" i="74"/>
  <c r="R31" i="74"/>
  <c r="R33" i="74"/>
  <c r="R34" i="74"/>
  <c r="R37" i="74"/>
  <c r="R38" i="74"/>
  <c r="R39" i="74"/>
  <c r="Q6" i="74"/>
  <c r="Q8" i="74"/>
  <c r="Q9" i="74"/>
  <c r="Q11" i="74"/>
  <c r="Q12" i="74"/>
  <c r="Q14" i="74"/>
  <c r="Q15" i="74"/>
  <c r="Q17" i="74"/>
  <c r="Q18" i="74"/>
  <c r="Q19" i="74"/>
  <c r="Q20" i="74"/>
  <c r="Q22" i="74"/>
  <c r="Q23" i="74"/>
  <c r="Q25" i="74"/>
  <c r="Q27" i="74"/>
  <c r="Q28" i="74"/>
  <c r="Q30" i="74"/>
  <c r="Q31" i="74"/>
  <c r="Q33" i="74"/>
  <c r="Q34" i="74"/>
  <c r="Q37" i="74"/>
  <c r="Q38" i="74"/>
  <c r="Q39" i="74"/>
  <c r="P6" i="74"/>
  <c r="P8" i="74"/>
  <c r="P9" i="74"/>
  <c r="P11" i="74"/>
  <c r="P12" i="74"/>
  <c r="P14" i="74"/>
  <c r="P15" i="74"/>
  <c r="P17" i="74"/>
  <c r="P18" i="74"/>
  <c r="P19" i="74"/>
  <c r="P20" i="74"/>
  <c r="P22" i="74"/>
  <c r="P23" i="74"/>
  <c r="P25" i="74"/>
  <c r="P27" i="74"/>
  <c r="P28" i="74"/>
  <c r="P30" i="74"/>
  <c r="P31" i="74"/>
  <c r="P33" i="74"/>
  <c r="P34" i="74"/>
  <c r="P37" i="74"/>
  <c r="P38" i="74"/>
  <c r="P39" i="74"/>
  <c r="O6" i="74"/>
  <c r="O8" i="74"/>
  <c r="O9" i="74"/>
  <c r="O11" i="74"/>
  <c r="O12" i="74"/>
  <c r="O14" i="74"/>
  <c r="O15" i="74"/>
  <c r="O17" i="74"/>
  <c r="O18" i="74"/>
  <c r="O19" i="74"/>
  <c r="O20" i="74"/>
  <c r="O22" i="74"/>
  <c r="O23" i="74"/>
  <c r="O25" i="74"/>
  <c r="O27" i="74"/>
  <c r="O28" i="74"/>
  <c r="O30" i="74"/>
  <c r="O31" i="74"/>
  <c r="O33" i="74"/>
  <c r="O34" i="74"/>
  <c r="O37" i="74"/>
  <c r="O38" i="74"/>
  <c r="O39" i="74"/>
  <c r="N6" i="74"/>
  <c r="N8" i="74"/>
  <c r="N9" i="74"/>
  <c r="N11" i="74"/>
  <c r="N12" i="74"/>
  <c r="N14" i="74"/>
  <c r="N15" i="74"/>
  <c r="N17" i="74"/>
  <c r="N18" i="74"/>
  <c r="N19" i="74"/>
  <c r="N20" i="74"/>
  <c r="N22" i="74"/>
  <c r="N23" i="74"/>
  <c r="N25" i="74"/>
  <c r="N27" i="74"/>
  <c r="N28" i="74"/>
  <c r="N30" i="74"/>
  <c r="N31" i="74"/>
  <c r="N33" i="74"/>
  <c r="N34" i="74"/>
  <c r="N37" i="74"/>
  <c r="N38" i="74"/>
  <c r="N39" i="74"/>
  <c r="M6" i="74"/>
  <c r="M8" i="74"/>
  <c r="M9" i="74"/>
  <c r="M11" i="74"/>
  <c r="M12" i="74"/>
  <c r="M14" i="74"/>
  <c r="M15" i="74"/>
  <c r="M17" i="74"/>
  <c r="M18" i="74"/>
  <c r="M19" i="74"/>
  <c r="M20" i="74"/>
  <c r="M22" i="74"/>
  <c r="M23" i="74"/>
  <c r="M25" i="74"/>
  <c r="M27" i="74"/>
  <c r="M28" i="74"/>
  <c r="M30" i="74"/>
  <c r="M31" i="74"/>
  <c r="M33" i="74"/>
  <c r="M34" i="74"/>
  <c r="M37" i="74"/>
  <c r="M38" i="74"/>
  <c r="M39" i="74"/>
  <c r="M40" i="74" l="1"/>
  <c r="R40" i="74"/>
  <c r="O40" i="74"/>
  <c r="P40" i="74"/>
  <c r="N40" i="74"/>
  <c r="Q40" i="74"/>
  <c r="T39" i="74" l="1"/>
  <c r="T38" i="74"/>
  <c r="T37" i="74"/>
  <c r="T36" i="74"/>
  <c r="T35" i="74"/>
  <c r="T34" i="74"/>
  <c r="T33" i="74"/>
  <c r="T32" i="74"/>
  <c r="T31" i="74"/>
  <c r="T30" i="74"/>
  <c r="T29" i="74"/>
  <c r="T28" i="74"/>
  <c r="T27" i="74"/>
  <c r="T26" i="74"/>
  <c r="T25" i="74"/>
  <c r="T24" i="74"/>
  <c r="T23" i="74"/>
  <c r="T22" i="74"/>
  <c r="T21" i="74"/>
  <c r="T20" i="74"/>
  <c r="T19" i="74"/>
  <c r="T18" i="74"/>
  <c r="T17" i="74"/>
  <c r="T16" i="74"/>
  <c r="T15" i="74"/>
  <c r="T14" i="74"/>
  <c r="T13" i="74"/>
  <c r="T12" i="74"/>
  <c r="T11" i="74"/>
  <c r="T10" i="74"/>
  <c r="T9" i="74"/>
  <c r="T8" i="74"/>
  <c r="T7" i="74"/>
  <c r="S39" i="74"/>
  <c r="S38" i="74"/>
  <c r="S37" i="74"/>
  <c r="S36" i="74"/>
  <c r="S35" i="74"/>
  <c r="S34" i="74"/>
  <c r="S33" i="74"/>
  <c r="S32" i="74"/>
  <c r="S31" i="74"/>
  <c r="S30" i="74"/>
  <c r="S29" i="74"/>
  <c r="S28" i="74"/>
  <c r="S27" i="74"/>
  <c r="S26" i="74"/>
  <c r="S25" i="74"/>
  <c r="S24" i="74"/>
  <c r="S23" i="74"/>
  <c r="S22" i="74"/>
  <c r="S21" i="74"/>
  <c r="S20" i="74"/>
  <c r="S19" i="74"/>
  <c r="S18" i="74"/>
  <c r="S17" i="74"/>
  <c r="S16" i="74"/>
  <c r="S15" i="74"/>
  <c r="S14" i="74"/>
  <c r="S13" i="74"/>
  <c r="S12" i="74"/>
  <c r="S11" i="74"/>
  <c r="S10" i="74"/>
  <c r="S9" i="74"/>
  <c r="S8" i="74"/>
  <c r="S7" i="74"/>
  <c r="S5" i="74"/>
  <c r="T5" i="74"/>
  <c r="S6" i="74"/>
  <c r="T6" i="74"/>
  <c r="T40" i="74" l="1"/>
  <c r="S40" i="74"/>
  <c r="L1" i="79" l="1"/>
  <c r="I2" i="74"/>
  <c r="O2" i="74" s="1"/>
  <c r="H2" i="74"/>
  <c r="M2" i="74" s="1"/>
  <c r="O1" i="17"/>
  <c r="AA1" i="17" s="1"/>
  <c r="AM1" i="17" s="1"/>
  <c r="N1" i="61" l="1"/>
  <c r="W1" i="61" s="1"/>
  <c r="O1" i="63"/>
  <c r="AA1" i="63" s="1"/>
  <c r="L17" i="66"/>
  <c r="U17" i="66" s="1"/>
  <c r="L1" i="66"/>
  <c r="U1" i="66" s="1"/>
  <c r="G40" i="9" l="1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F37" i="34"/>
  <c r="D37" i="34"/>
  <c r="F36" i="34"/>
  <c r="D36" i="34"/>
  <c r="F35" i="34"/>
  <c r="D35" i="34"/>
  <c r="F34" i="34"/>
  <c r="D34" i="34"/>
  <c r="F33" i="34"/>
  <c r="D33" i="34"/>
  <c r="F32" i="34"/>
  <c r="D32" i="34"/>
  <c r="F31" i="34"/>
  <c r="D31" i="34"/>
  <c r="F30" i="34"/>
  <c r="D30" i="34"/>
  <c r="F29" i="34"/>
  <c r="D29" i="34"/>
  <c r="F28" i="34"/>
  <c r="D28" i="34"/>
  <c r="F27" i="34"/>
  <c r="D27" i="34"/>
  <c r="F26" i="34"/>
  <c r="D26" i="34"/>
  <c r="F25" i="34"/>
  <c r="D25" i="34"/>
  <c r="F24" i="34"/>
  <c r="D24" i="34"/>
  <c r="F23" i="34"/>
  <c r="D23" i="34"/>
  <c r="F22" i="34"/>
  <c r="D22" i="34"/>
  <c r="F21" i="34"/>
  <c r="D21" i="34"/>
  <c r="F20" i="34"/>
  <c r="D20" i="34"/>
  <c r="F19" i="34"/>
  <c r="D19" i="34"/>
  <c r="F18" i="34"/>
  <c r="D18" i="34"/>
  <c r="F17" i="34"/>
  <c r="D17" i="34"/>
  <c r="F16" i="34"/>
  <c r="D16" i="34"/>
  <c r="F15" i="34"/>
  <c r="D15" i="34"/>
  <c r="F14" i="34"/>
  <c r="D14" i="34"/>
  <c r="F13" i="34"/>
  <c r="D13" i="34"/>
  <c r="F12" i="34"/>
  <c r="D12" i="34"/>
  <c r="F11" i="34"/>
  <c r="D11" i="34"/>
  <c r="F10" i="34"/>
  <c r="D10" i="34"/>
  <c r="F9" i="34"/>
  <c r="D9" i="34"/>
  <c r="F8" i="34"/>
  <c r="D8" i="34"/>
  <c r="F7" i="34"/>
  <c r="D7" i="34"/>
  <c r="F6" i="34"/>
  <c r="D6" i="34"/>
  <c r="F5" i="34"/>
  <c r="D5" i="34"/>
  <c r="F4" i="34"/>
  <c r="D4" i="34"/>
  <c r="F3" i="34"/>
  <c r="D3" i="34"/>
  <c r="U1" i="106"/>
  <c r="L1" i="106"/>
  <c r="L1" i="111"/>
  <c r="L1" i="110"/>
  <c r="L1" i="104"/>
  <c r="I1" i="103"/>
  <c r="O1" i="103" s="1"/>
  <c r="I1" i="102"/>
  <c r="O1" i="102" s="1"/>
  <c r="K37" i="3"/>
  <c r="J37" i="3"/>
  <c r="H37" i="3"/>
  <c r="G37" i="3"/>
  <c r="F37" i="3"/>
  <c r="E37" i="3"/>
  <c r="D37" i="3"/>
  <c r="C37" i="3"/>
  <c r="B37" i="3"/>
  <c r="K36" i="3"/>
  <c r="J36" i="3"/>
  <c r="H36" i="3"/>
  <c r="G36" i="3"/>
  <c r="F36" i="3"/>
  <c r="E36" i="3"/>
  <c r="D36" i="3"/>
  <c r="C36" i="3"/>
  <c r="B36" i="3"/>
  <c r="K35" i="3"/>
  <c r="J35" i="3"/>
  <c r="H35" i="3"/>
  <c r="G35" i="3"/>
  <c r="F35" i="3"/>
  <c r="E35" i="3"/>
  <c r="D35" i="3"/>
  <c r="C35" i="3"/>
  <c r="B35" i="3"/>
  <c r="K34" i="3"/>
  <c r="J34" i="3"/>
  <c r="H34" i="3"/>
  <c r="G34" i="3"/>
  <c r="F34" i="3"/>
  <c r="E34" i="3"/>
  <c r="D34" i="3"/>
  <c r="C34" i="3"/>
  <c r="B34" i="3"/>
  <c r="K33" i="3"/>
  <c r="J33" i="3"/>
  <c r="H33" i="3"/>
  <c r="G33" i="3"/>
  <c r="F33" i="3"/>
  <c r="E33" i="3"/>
  <c r="D33" i="3"/>
  <c r="C33" i="3"/>
  <c r="B33" i="3"/>
  <c r="K32" i="3"/>
  <c r="J32" i="3"/>
  <c r="H32" i="3"/>
  <c r="G32" i="3"/>
  <c r="F32" i="3"/>
  <c r="E32" i="3"/>
  <c r="D32" i="3"/>
  <c r="C32" i="3"/>
  <c r="B32" i="3"/>
  <c r="K31" i="3"/>
  <c r="J31" i="3"/>
  <c r="H31" i="3"/>
  <c r="G31" i="3"/>
  <c r="F31" i="3"/>
  <c r="E31" i="3"/>
  <c r="D31" i="3"/>
  <c r="C31" i="3"/>
  <c r="B31" i="3"/>
  <c r="K30" i="3"/>
  <c r="J30" i="3"/>
  <c r="H30" i="3"/>
  <c r="G30" i="3"/>
  <c r="F30" i="3"/>
  <c r="E30" i="3"/>
  <c r="D30" i="3"/>
  <c r="C30" i="3"/>
  <c r="B30" i="3"/>
  <c r="K29" i="3"/>
  <c r="J29" i="3"/>
  <c r="H29" i="3"/>
  <c r="G29" i="3"/>
  <c r="F29" i="3"/>
  <c r="E29" i="3"/>
  <c r="D29" i="3"/>
  <c r="C29" i="3"/>
  <c r="B29" i="3"/>
  <c r="K28" i="3"/>
  <c r="J28" i="3"/>
  <c r="H28" i="3"/>
  <c r="G28" i="3"/>
  <c r="F28" i="3"/>
  <c r="E28" i="3"/>
  <c r="D28" i="3"/>
  <c r="C28" i="3"/>
  <c r="B28" i="3"/>
  <c r="K27" i="3"/>
  <c r="J27" i="3"/>
  <c r="H27" i="3"/>
  <c r="G27" i="3"/>
  <c r="F27" i="3"/>
  <c r="E27" i="3"/>
  <c r="D27" i="3"/>
  <c r="C27" i="3"/>
  <c r="B27" i="3"/>
  <c r="K26" i="3"/>
  <c r="J26" i="3"/>
  <c r="H26" i="3"/>
  <c r="G26" i="3"/>
  <c r="F26" i="3"/>
  <c r="E26" i="3"/>
  <c r="D26" i="3"/>
  <c r="C26" i="3"/>
  <c r="B26" i="3"/>
  <c r="K25" i="3"/>
  <c r="J25" i="3"/>
  <c r="H25" i="3"/>
  <c r="G25" i="3"/>
  <c r="F25" i="3"/>
  <c r="E25" i="3"/>
  <c r="D25" i="3"/>
  <c r="C25" i="3"/>
  <c r="B25" i="3"/>
  <c r="K24" i="3"/>
  <c r="J24" i="3"/>
  <c r="H24" i="3"/>
  <c r="G24" i="3"/>
  <c r="F24" i="3"/>
  <c r="E24" i="3"/>
  <c r="D24" i="3"/>
  <c r="C24" i="3"/>
  <c r="B24" i="3"/>
  <c r="K23" i="3"/>
  <c r="J23" i="3"/>
  <c r="H23" i="3"/>
  <c r="G23" i="3"/>
  <c r="F23" i="3"/>
  <c r="E23" i="3"/>
  <c r="D23" i="3"/>
  <c r="C23" i="3"/>
  <c r="B23" i="3"/>
  <c r="K22" i="3"/>
  <c r="J22" i="3"/>
  <c r="H22" i="3"/>
  <c r="G22" i="3"/>
  <c r="F22" i="3"/>
  <c r="E22" i="3"/>
  <c r="D22" i="3"/>
  <c r="C22" i="3"/>
  <c r="B22" i="3"/>
  <c r="K21" i="3"/>
  <c r="J21" i="3"/>
  <c r="L21" i="3" s="1"/>
  <c r="H21" i="3"/>
  <c r="G21" i="3"/>
  <c r="F21" i="3"/>
  <c r="E21" i="3"/>
  <c r="D21" i="3"/>
  <c r="C21" i="3"/>
  <c r="B21" i="3"/>
  <c r="K20" i="3"/>
  <c r="J20" i="3"/>
  <c r="H20" i="3"/>
  <c r="G20" i="3"/>
  <c r="F20" i="3"/>
  <c r="E20" i="3"/>
  <c r="D20" i="3"/>
  <c r="C20" i="3"/>
  <c r="B20" i="3"/>
  <c r="K19" i="3"/>
  <c r="J19" i="3"/>
  <c r="H19" i="3"/>
  <c r="G19" i="3"/>
  <c r="F19" i="3"/>
  <c r="E19" i="3"/>
  <c r="D19" i="3"/>
  <c r="C19" i="3"/>
  <c r="B19" i="3"/>
  <c r="K18" i="3"/>
  <c r="J18" i="3"/>
  <c r="H18" i="3"/>
  <c r="G18" i="3"/>
  <c r="F18" i="3"/>
  <c r="E18" i="3"/>
  <c r="D18" i="3"/>
  <c r="C18" i="3"/>
  <c r="B18" i="3"/>
  <c r="K17" i="3"/>
  <c r="J17" i="3"/>
  <c r="H17" i="3"/>
  <c r="G17" i="3"/>
  <c r="F17" i="3"/>
  <c r="E17" i="3"/>
  <c r="D17" i="3"/>
  <c r="C17" i="3"/>
  <c r="B17" i="3"/>
  <c r="K16" i="3"/>
  <c r="J16" i="3"/>
  <c r="H16" i="3"/>
  <c r="G16" i="3"/>
  <c r="F16" i="3"/>
  <c r="E16" i="3"/>
  <c r="D16" i="3"/>
  <c r="C16" i="3"/>
  <c r="B16" i="3"/>
  <c r="K15" i="3"/>
  <c r="J15" i="3"/>
  <c r="H15" i="3"/>
  <c r="G15" i="3"/>
  <c r="F15" i="3"/>
  <c r="E15" i="3"/>
  <c r="D15" i="3"/>
  <c r="C15" i="3"/>
  <c r="B15" i="3"/>
  <c r="K14" i="3"/>
  <c r="J14" i="3"/>
  <c r="H14" i="3"/>
  <c r="G14" i="3"/>
  <c r="F14" i="3"/>
  <c r="E14" i="3"/>
  <c r="D14" i="3"/>
  <c r="C14" i="3"/>
  <c r="B14" i="3"/>
  <c r="K13" i="3"/>
  <c r="J13" i="3"/>
  <c r="H13" i="3"/>
  <c r="G13" i="3"/>
  <c r="F13" i="3"/>
  <c r="E13" i="3"/>
  <c r="D13" i="3"/>
  <c r="C13" i="3"/>
  <c r="B13" i="3"/>
  <c r="K12" i="3"/>
  <c r="J12" i="3"/>
  <c r="H12" i="3"/>
  <c r="G12" i="3"/>
  <c r="F12" i="3"/>
  <c r="E12" i="3"/>
  <c r="D12" i="3"/>
  <c r="C12" i="3"/>
  <c r="B12" i="3"/>
  <c r="K11" i="3"/>
  <c r="J11" i="3"/>
  <c r="H11" i="3"/>
  <c r="G11" i="3"/>
  <c r="F11" i="3"/>
  <c r="E11" i="3"/>
  <c r="D11" i="3"/>
  <c r="C11" i="3"/>
  <c r="B11" i="3"/>
  <c r="K10" i="3"/>
  <c r="J10" i="3"/>
  <c r="H10" i="3"/>
  <c r="G10" i="3"/>
  <c r="F10" i="3"/>
  <c r="E10" i="3"/>
  <c r="D10" i="3"/>
  <c r="C10" i="3"/>
  <c r="B10" i="3"/>
  <c r="K9" i="3"/>
  <c r="J9" i="3"/>
  <c r="H9" i="3"/>
  <c r="G9" i="3"/>
  <c r="F9" i="3"/>
  <c r="E9" i="3"/>
  <c r="D9" i="3"/>
  <c r="C9" i="3"/>
  <c r="B9" i="3"/>
  <c r="K8" i="3"/>
  <c r="J8" i="3"/>
  <c r="H8" i="3"/>
  <c r="G8" i="3"/>
  <c r="F8" i="3"/>
  <c r="E8" i="3"/>
  <c r="D8" i="3"/>
  <c r="C8" i="3"/>
  <c r="B8" i="3"/>
  <c r="K7" i="3"/>
  <c r="J7" i="3"/>
  <c r="H7" i="3"/>
  <c r="G7" i="3"/>
  <c r="F7" i="3"/>
  <c r="E7" i="3"/>
  <c r="D7" i="3"/>
  <c r="C7" i="3"/>
  <c r="B7" i="3"/>
  <c r="K6" i="3"/>
  <c r="J6" i="3"/>
  <c r="H6" i="3"/>
  <c r="G6" i="3"/>
  <c r="F6" i="3"/>
  <c r="E6" i="3"/>
  <c r="D6" i="3"/>
  <c r="C6" i="3"/>
  <c r="B6" i="3"/>
  <c r="K5" i="3"/>
  <c r="J5" i="3"/>
  <c r="H5" i="3"/>
  <c r="G5" i="3"/>
  <c r="F5" i="3"/>
  <c r="E5" i="3"/>
  <c r="D5" i="3"/>
  <c r="C5" i="3"/>
  <c r="B5" i="3"/>
  <c r="K4" i="3"/>
  <c r="J4" i="3"/>
  <c r="H4" i="3"/>
  <c r="G4" i="3"/>
  <c r="F4" i="3"/>
  <c r="E4" i="3"/>
  <c r="D4" i="3"/>
  <c r="C4" i="3"/>
  <c r="B4" i="3"/>
  <c r="K3" i="3"/>
  <c r="J3" i="3"/>
  <c r="H3" i="3"/>
  <c r="G3" i="3"/>
  <c r="F3" i="3"/>
  <c r="E3" i="3"/>
  <c r="D3" i="3"/>
  <c r="C3" i="3"/>
  <c r="B3" i="3"/>
  <c r="D40" i="11"/>
  <c r="C40" i="11"/>
  <c r="B40" i="11"/>
  <c r="J37" i="11"/>
  <c r="H37" i="11"/>
  <c r="G37" i="11"/>
  <c r="E37" i="11"/>
  <c r="C37" i="11"/>
  <c r="B37" i="11"/>
  <c r="I36" i="11"/>
  <c r="K36" i="11" s="1"/>
  <c r="D36" i="11"/>
  <c r="F36" i="11" s="1"/>
  <c r="M36" i="11" s="1"/>
  <c r="I35" i="11"/>
  <c r="K35" i="11" s="1"/>
  <c r="D35" i="11"/>
  <c r="F35" i="11" s="1"/>
  <c r="M35" i="11" s="1"/>
  <c r="I34" i="11"/>
  <c r="K34" i="11" s="1"/>
  <c r="D34" i="11"/>
  <c r="F34" i="11" s="1"/>
  <c r="M34" i="11" s="1"/>
  <c r="I33" i="11"/>
  <c r="K33" i="11" s="1"/>
  <c r="D33" i="11"/>
  <c r="F33" i="11" s="1"/>
  <c r="M33" i="11" s="1"/>
  <c r="I32" i="11"/>
  <c r="K32" i="11" s="1"/>
  <c r="D32" i="11"/>
  <c r="F32" i="11" s="1"/>
  <c r="M32" i="11" s="1"/>
  <c r="I31" i="11"/>
  <c r="K31" i="11" s="1"/>
  <c r="D31" i="11"/>
  <c r="F31" i="11" s="1"/>
  <c r="M31" i="11" s="1"/>
  <c r="I30" i="11"/>
  <c r="K30" i="11" s="1"/>
  <c r="D30" i="11"/>
  <c r="F30" i="11" s="1"/>
  <c r="M30" i="11" s="1"/>
  <c r="I29" i="11"/>
  <c r="K29" i="11" s="1"/>
  <c r="D29" i="11"/>
  <c r="F29" i="11" s="1"/>
  <c r="M29" i="11" s="1"/>
  <c r="I28" i="11"/>
  <c r="K28" i="11" s="1"/>
  <c r="D28" i="11"/>
  <c r="F28" i="11" s="1"/>
  <c r="M28" i="11" s="1"/>
  <c r="I27" i="11"/>
  <c r="K27" i="11" s="1"/>
  <c r="D27" i="11"/>
  <c r="F27" i="11" s="1"/>
  <c r="M27" i="11" s="1"/>
  <c r="I26" i="11"/>
  <c r="K26" i="11" s="1"/>
  <c r="D26" i="11"/>
  <c r="F26" i="11" s="1"/>
  <c r="M26" i="11" s="1"/>
  <c r="I25" i="11"/>
  <c r="K25" i="11" s="1"/>
  <c r="D25" i="11"/>
  <c r="F25" i="11" s="1"/>
  <c r="M25" i="11" s="1"/>
  <c r="I24" i="11"/>
  <c r="K24" i="11" s="1"/>
  <c r="D24" i="11"/>
  <c r="F24" i="11" s="1"/>
  <c r="M24" i="11" s="1"/>
  <c r="I23" i="11"/>
  <c r="K23" i="11" s="1"/>
  <c r="D23" i="11"/>
  <c r="F23" i="11" s="1"/>
  <c r="M23" i="11" s="1"/>
  <c r="I22" i="11"/>
  <c r="K22" i="11" s="1"/>
  <c r="D22" i="11"/>
  <c r="F22" i="11" s="1"/>
  <c r="M22" i="11" s="1"/>
  <c r="I21" i="11"/>
  <c r="K21" i="11" s="1"/>
  <c r="D21" i="11"/>
  <c r="F21" i="11" s="1"/>
  <c r="M21" i="11" s="1"/>
  <c r="I20" i="11"/>
  <c r="K20" i="11" s="1"/>
  <c r="D20" i="11"/>
  <c r="F20" i="11" s="1"/>
  <c r="M20" i="11" s="1"/>
  <c r="I19" i="11"/>
  <c r="K19" i="11" s="1"/>
  <c r="D19" i="11"/>
  <c r="F19" i="11" s="1"/>
  <c r="M19" i="11" s="1"/>
  <c r="I18" i="11"/>
  <c r="K18" i="11" s="1"/>
  <c r="D18" i="11"/>
  <c r="F18" i="11" s="1"/>
  <c r="M18" i="11" s="1"/>
  <c r="I17" i="11"/>
  <c r="K17" i="11" s="1"/>
  <c r="D17" i="11"/>
  <c r="F17" i="11" s="1"/>
  <c r="M17" i="11" s="1"/>
  <c r="I16" i="11"/>
  <c r="K16" i="11" s="1"/>
  <c r="D16" i="11"/>
  <c r="F16" i="11" s="1"/>
  <c r="M16" i="11" s="1"/>
  <c r="I15" i="11"/>
  <c r="K15" i="11" s="1"/>
  <c r="D15" i="11"/>
  <c r="F15" i="11" s="1"/>
  <c r="M15" i="11" s="1"/>
  <c r="I14" i="11"/>
  <c r="K14" i="11" s="1"/>
  <c r="D14" i="11"/>
  <c r="F14" i="11" s="1"/>
  <c r="M14" i="11" s="1"/>
  <c r="I13" i="11"/>
  <c r="K13" i="11" s="1"/>
  <c r="D13" i="11"/>
  <c r="F13" i="11" s="1"/>
  <c r="M13" i="11" s="1"/>
  <c r="I12" i="11"/>
  <c r="K12" i="11" s="1"/>
  <c r="D12" i="11"/>
  <c r="F12" i="11" s="1"/>
  <c r="M12" i="11" s="1"/>
  <c r="I11" i="11"/>
  <c r="K11" i="11" s="1"/>
  <c r="D11" i="11"/>
  <c r="F11" i="11" s="1"/>
  <c r="M11" i="11" s="1"/>
  <c r="I10" i="11"/>
  <c r="K10" i="11" s="1"/>
  <c r="D10" i="11"/>
  <c r="F10" i="11" s="1"/>
  <c r="M10" i="11" s="1"/>
  <c r="I9" i="11"/>
  <c r="K9" i="11" s="1"/>
  <c r="D9" i="11"/>
  <c r="F9" i="11" s="1"/>
  <c r="M9" i="11" s="1"/>
  <c r="I8" i="11"/>
  <c r="K8" i="11" s="1"/>
  <c r="D8" i="11"/>
  <c r="F8" i="11" s="1"/>
  <c r="M8" i="11" s="1"/>
  <c r="I7" i="11"/>
  <c r="K7" i="11" s="1"/>
  <c r="D7" i="11"/>
  <c r="F7" i="11" s="1"/>
  <c r="M7" i="11" s="1"/>
  <c r="I6" i="11"/>
  <c r="K6" i="11" s="1"/>
  <c r="D6" i="11"/>
  <c r="F6" i="11" s="1"/>
  <c r="M6" i="11" s="1"/>
  <c r="I5" i="11"/>
  <c r="K5" i="11" s="1"/>
  <c r="D5" i="11"/>
  <c r="F5" i="11" s="1"/>
  <c r="M5" i="11" s="1"/>
  <c r="I4" i="11"/>
  <c r="K4" i="11" s="1"/>
  <c r="D4" i="11"/>
  <c r="F4" i="11" s="1"/>
  <c r="M4" i="11" s="1"/>
  <c r="I3" i="11"/>
  <c r="D3" i="11"/>
  <c r="F3" i="11" s="1"/>
  <c r="M3" i="11" s="1"/>
  <c r="L1" i="99"/>
  <c r="U1" i="99" s="1"/>
  <c r="L1" i="94"/>
  <c r="N1" i="72"/>
  <c r="L24" i="3" l="1"/>
  <c r="L3" i="3"/>
  <c r="I36" i="3"/>
  <c r="L37" i="3"/>
  <c r="L14" i="3"/>
  <c r="L30" i="3"/>
  <c r="L16" i="3"/>
  <c r="L32" i="3"/>
  <c r="L11" i="3"/>
  <c r="L27" i="3"/>
  <c r="L13" i="3"/>
  <c r="L29" i="3"/>
  <c r="L15" i="3"/>
  <c r="L31" i="3"/>
  <c r="I9" i="3"/>
  <c r="I25" i="3"/>
  <c r="I6" i="3"/>
  <c r="I30" i="3"/>
  <c r="I14" i="3"/>
  <c r="D38" i="3"/>
  <c r="L6" i="3"/>
  <c r="I10" i="3"/>
  <c r="I13" i="3"/>
  <c r="I16" i="3"/>
  <c r="L18" i="3"/>
  <c r="L22" i="3"/>
  <c r="L26" i="3"/>
  <c r="I32" i="3"/>
  <c r="I37" i="3"/>
  <c r="F37" i="11"/>
  <c r="D41" i="11" s="1"/>
  <c r="B38" i="3"/>
  <c r="F38" i="3"/>
  <c r="L4" i="3"/>
  <c r="I7" i="3"/>
  <c r="L7" i="3"/>
  <c r="L12" i="3"/>
  <c r="I18" i="3"/>
  <c r="I19" i="3"/>
  <c r="L20" i="3"/>
  <c r="I23" i="3"/>
  <c r="L28" i="3"/>
  <c r="I34" i="3"/>
  <c r="I35" i="3"/>
  <c r="L35" i="3"/>
  <c r="L36" i="3"/>
  <c r="I20" i="3"/>
  <c r="I28" i="3"/>
  <c r="U1" i="94"/>
  <c r="I4" i="3"/>
  <c r="L5" i="3"/>
  <c r="I11" i="3"/>
  <c r="I17" i="3"/>
  <c r="I21" i="3"/>
  <c r="H38" i="3"/>
  <c r="I5" i="3"/>
  <c r="I12" i="3"/>
  <c r="L19" i="3"/>
  <c r="I22" i="3"/>
  <c r="L23" i="3"/>
  <c r="I37" i="11"/>
  <c r="K3" i="11"/>
  <c r="K37" i="11" s="1"/>
  <c r="C42" i="11" s="1"/>
  <c r="D37" i="11"/>
  <c r="E38" i="3"/>
  <c r="L8" i="3"/>
  <c r="L10" i="3"/>
  <c r="I15" i="3"/>
  <c r="L17" i="3"/>
  <c r="I31" i="3"/>
  <c r="L33" i="3"/>
  <c r="I26" i="3"/>
  <c r="I27" i="3"/>
  <c r="I29" i="3"/>
  <c r="I33" i="3"/>
  <c r="C38" i="3"/>
  <c r="G38" i="3"/>
  <c r="K38" i="3"/>
  <c r="I8" i="3"/>
  <c r="L9" i="3"/>
  <c r="I24" i="3"/>
  <c r="L25" i="3"/>
  <c r="L34" i="3"/>
  <c r="J38" i="3"/>
  <c r="I3" i="3"/>
  <c r="L38" i="3" l="1"/>
  <c r="M37" i="11"/>
  <c r="B41" i="11"/>
  <c r="C41" i="11"/>
  <c r="D42" i="11"/>
  <c r="I38" i="3"/>
  <c r="B42" i="11"/>
</calcChain>
</file>

<file path=xl/sharedStrings.xml><?xml version="1.0" encoding="utf-8"?>
<sst xmlns="http://schemas.openxmlformats.org/spreadsheetml/2006/main" count="7419" uniqueCount="1106">
  <si>
    <t>Number Of Institutions - Report 9</t>
  </si>
  <si>
    <t>State &amp; Specialisation - Wise Number Of Institutions</t>
  </si>
  <si>
    <t>State</t>
  </si>
  <si>
    <t>University</t>
  </si>
  <si>
    <t>College/Recognised Institution</t>
  </si>
  <si>
    <t>General</t>
  </si>
  <si>
    <t>Agriculture</t>
  </si>
  <si>
    <t>Medical</t>
  </si>
  <si>
    <t>Law</t>
  </si>
  <si>
    <t>Technical</t>
  </si>
  <si>
    <t>Veterinary</t>
  </si>
  <si>
    <t>Others</t>
  </si>
  <si>
    <t>Total</t>
  </si>
  <si>
    <t>Women Out of Total</t>
  </si>
  <si>
    <t>Andaman &amp; Nicobar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</si>
  <si>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</si>
  <si>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</si>
  <si>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</si>
  <si>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</si>
  <si>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</si>
  <si>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</si>
  <si>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</si>
  <si>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</si>
  <si>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</si>
  <si>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</si>
  <si>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</si>
  <si>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</si>
  <si>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</si>
  <si>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</si>
  <si>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</si>
  <si>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</si>
  <si>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</si>
  <si>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</si>
  <si>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</si>
  <si>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</si>
  <si>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</si>
  <si>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</si>
  <si>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</si>
  <si>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</si>
  <si>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</si>
  <si>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</si>
  <si>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</si>
  <si>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</si>
  <si>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</si>
  <si>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</si>
  <si>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</si>
  <si>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Uttarakhand</t>
  </si>
  <si>
    <t>Uttar Pradesh</t>
  </si>
  <si>
    <t>West Bengal</t>
  </si>
  <si>
    <t>All India</t>
  </si>
  <si>
    <t>Percentage of Women's College</t>
  </si>
  <si>
    <t>% of Women's College</t>
  </si>
  <si>
    <t>Women's College</t>
  </si>
  <si>
    <t>Table</t>
  </si>
  <si>
    <t>1. State &amp; Specialisation - Wise Number Of Universities</t>
  </si>
  <si>
    <t>Andaman &amp; Nicobar Islands</t>
  </si>
  <si>
    <t>Chhatisgarh</t>
  </si>
  <si>
    <t>Jammu and Kashmir</t>
  </si>
  <si>
    <t>Uttrakhand</t>
  </si>
  <si>
    <r>
      <rPr>
        <b/>
        <sz val="11"/>
        <rFont val="Calibri"/>
        <family val="2"/>
      </rPr>
      <t>All India</t>
    </r>
  </si>
  <si>
    <t>Grand Total</t>
  </si>
  <si>
    <t>Private Un-Aided</t>
  </si>
  <si>
    <t>Private Aided</t>
  </si>
  <si>
    <t>Total Private</t>
  </si>
  <si>
    <t>Government</t>
  </si>
  <si>
    <t>% Number</t>
  </si>
  <si>
    <t>% Enrolment</t>
  </si>
  <si>
    <t>Enrolment in Private and Government Colleges</t>
  </si>
  <si>
    <t>Count of College Name</t>
  </si>
  <si>
    <t>Column Labels</t>
  </si>
  <si>
    <t>Row Labels</t>
  </si>
  <si>
    <t>Affiliated College</t>
  </si>
  <si>
    <t>Constituent / University College</t>
  </si>
  <si>
    <t>PG Center / Off-Campus Center</t>
  </si>
  <si>
    <t>Recognized Center</t>
  </si>
  <si>
    <t>Teacher Training</t>
  </si>
  <si>
    <t>Nursing</t>
  </si>
  <si>
    <t>PGDM</t>
  </si>
  <si>
    <t>Private</t>
  </si>
  <si>
    <t>5. Number of Private and Government Colleges</t>
  </si>
  <si>
    <t>Sl.
No.</t>
  </si>
  <si>
    <t>STATES/UTs</t>
  </si>
  <si>
    <t>Table 4. Number of College per Lakh Population(18-23 YEARS), Average Enrolment per College</t>
  </si>
  <si>
    <t>No. of College</t>
  </si>
  <si>
    <t>Sl No</t>
  </si>
  <si>
    <t>Post Graduate</t>
  </si>
  <si>
    <t>Under Graduate</t>
  </si>
  <si>
    <t>Male</t>
  </si>
  <si>
    <t>Female</t>
  </si>
  <si>
    <t>Ph.D.</t>
  </si>
  <si>
    <t>M.Phil.</t>
  </si>
  <si>
    <t>PG Diploma</t>
  </si>
  <si>
    <t>Diploma</t>
  </si>
  <si>
    <t>Certificate</t>
  </si>
  <si>
    <t>Integrated</t>
  </si>
  <si>
    <t>Responding</t>
  </si>
  <si>
    <t>Note - Constituent Colleges of State/Central University not included.</t>
  </si>
  <si>
    <t>Table 7.</t>
  </si>
  <si>
    <t>Number of Colleges</t>
  </si>
  <si>
    <t>Response</t>
  </si>
  <si>
    <t>Polytechnics</t>
  </si>
  <si>
    <t>All Stand Alone Institutions</t>
  </si>
  <si>
    <t>Number of Institutions</t>
  </si>
  <si>
    <t>Enrolment</t>
  </si>
  <si>
    <t>Per Institution Enrolment</t>
  </si>
  <si>
    <t>Persons with Disability</t>
  </si>
  <si>
    <t>Muslim</t>
  </si>
  <si>
    <t>Other Minority Communities</t>
  </si>
  <si>
    <t>SC</t>
  </si>
  <si>
    <t>ST</t>
  </si>
  <si>
    <t>UT</t>
  </si>
  <si>
    <t>South</t>
  </si>
  <si>
    <t>North-East</t>
  </si>
  <si>
    <t>East</t>
  </si>
  <si>
    <t>North</t>
  </si>
  <si>
    <t>West</t>
  </si>
  <si>
    <t>Zone</t>
  </si>
  <si>
    <t>Population</t>
  </si>
  <si>
    <t>Institute under Ministries</t>
  </si>
  <si>
    <t>Type of University</t>
  </si>
  <si>
    <t>Central University</t>
  </si>
  <si>
    <t>Central Open University</t>
  </si>
  <si>
    <t>Institute of National Importance</t>
  </si>
  <si>
    <t>State Public University</t>
  </si>
  <si>
    <t>State Open University</t>
  </si>
  <si>
    <t>State Private University</t>
  </si>
  <si>
    <t>Institute under State Legislature Act</t>
  </si>
  <si>
    <t>Deemed University-Government</t>
  </si>
  <si>
    <t>Deemed University-Government Aided</t>
  </si>
  <si>
    <t>Deemed University-Private</t>
  </si>
  <si>
    <t>All</t>
  </si>
  <si>
    <t>Telangana</t>
  </si>
  <si>
    <t xml:space="preserve">Table </t>
  </si>
  <si>
    <t>State Private Open University</t>
  </si>
  <si>
    <t>In UTs of , Andaman &amp; Nicobar Islands,  Dadra &amp; Nagar Haveli, Daman &amp; Diu and Lakshadweep, there is no University.</t>
  </si>
  <si>
    <t>Lakshdweep</t>
  </si>
  <si>
    <t>All Categories</t>
  </si>
  <si>
    <t>States/UTs</t>
  </si>
  <si>
    <t>Table 26.</t>
  </si>
  <si>
    <t>Table 39.</t>
  </si>
  <si>
    <t>Number of College</t>
  </si>
  <si>
    <t>Less than 10</t>
  </si>
  <si>
    <t>10-19</t>
  </si>
  <si>
    <t>20-49</t>
  </si>
  <si>
    <t>50-99</t>
  </si>
  <si>
    <t>100-199</t>
  </si>
  <si>
    <t>200-299</t>
  </si>
  <si>
    <t>300-399</t>
  </si>
  <si>
    <t>400-499</t>
  </si>
  <si>
    <t>500-999</t>
  </si>
  <si>
    <t>More than 1000</t>
  </si>
  <si>
    <t>Table 6(a).</t>
  </si>
  <si>
    <t>Table 8.</t>
  </si>
  <si>
    <t>Table 9.</t>
  </si>
  <si>
    <t>Ladakh</t>
  </si>
  <si>
    <t>Table 6(b)</t>
  </si>
  <si>
    <t xml:space="preserve">Central Open University </t>
  </si>
  <si>
    <t xml:space="preserve">Institute of National Importance </t>
  </si>
  <si>
    <t xml:space="preserve">State Open University </t>
  </si>
  <si>
    <t xml:space="preserve">State Private University </t>
  </si>
  <si>
    <t xml:space="preserve">State Private Open University </t>
  </si>
  <si>
    <t xml:space="preserve">Institute under State Legislature Act </t>
  </si>
  <si>
    <t xml:space="preserve">Deemed University-Government </t>
  </si>
  <si>
    <t xml:space="preserve">Deemed University-Government Aided </t>
  </si>
  <si>
    <t xml:space="preserve">Deemed University-Private </t>
  </si>
  <si>
    <t>Paramedical</t>
  </si>
  <si>
    <t>Hotel Management and Catering</t>
  </si>
  <si>
    <t>Sl. No.</t>
  </si>
  <si>
    <t>State/UTs</t>
  </si>
  <si>
    <t>Unversities</t>
  </si>
  <si>
    <t>Colleges</t>
  </si>
  <si>
    <t>Registered</t>
  </si>
  <si>
    <t>Responded</t>
  </si>
  <si>
    <t>% of Response</t>
  </si>
  <si>
    <t>Lakshadweep*</t>
  </si>
  <si>
    <t>* Lakshadweep dose not have any University/Colleges &amp; Stand Alone Institutions. However 3 PG/Off-shore campus of University of Calicut, Malappuram are functiong from Lakshadweep.</t>
  </si>
  <si>
    <t>Table 2.</t>
  </si>
  <si>
    <t>Education</t>
  </si>
  <si>
    <t>Fine Arts</t>
  </si>
  <si>
    <t>Fisheries</t>
  </si>
  <si>
    <t>Journalism &amp; Mass Communication</t>
  </si>
  <si>
    <t>Language</t>
  </si>
  <si>
    <t>Management</t>
  </si>
  <si>
    <t>Oriental Learning</t>
  </si>
  <si>
    <t>Rural Development</t>
  </si>
  <si>
    <t>Sanskrit</t>
  </si>
  <si>
    <t>Science</t>
  </si>
  <si>
    <t>Architecture</t>
  </si>
  <si>
    <t>Arts</t>
  </si>
  <si>
    <t>Commerce</t>
  </si>
  <si>
    <t>Computer Application</t>
  </si>
  <si>
    <t>Education/Teacher Education</t>
  </si>
  <si>
    <t>Engineering &amp; Technology</t>
  </si>
  <si>
    <t>Hotel &amp; Tourism Management</t>
  </si>
  <si>
    <t>Medical-Allopathy</t>
  </si>
  <si>
    <t>Medical-Ayurveda</t>
  </si>
  <si>
    <t>Medical-Dental</t>
  </si>
  <si>
    <t>Medical-Homeopathy</t>
  </si>
  <si>
    <t>Medical-Others</t>
  </si>
  <si>
    <t>Para Medical</t>
  </si>
  <si>
    <t>Pharmacy</t>
  </si>
  <si>
    <t>Physiotherapy</t>
  </si>
  <si>
    <t>Social Work</t>
  </si>
  <si>
    <t>Sports/Yoga/Physical Education</t>
  </si>
  <si>
    <t>Private Total</t>
  </si>
  <si>
    <t>Number</t>
  </si>
  <si>
    <t>Chartered Accountant</t>
  </si>
  <si>
    <t>Gandhian / Religious Study</t>
  </si>
  <si>
    <t>Social Science</t>
  </si>
  <si>
    <t>Other</t>
  </si>
  <si>
    <t>Home Science</t>
  </si>
  <si>
    <t>Boys Hostel</t>
  </si>
  <si>
    <t>Girls Hostel</t>
  </si>
  <si>
    <t>Others Hostel</t>
  </si>
  <si>
    <t>Total Hostel</t>
  </si>
  <si>
    <t>Intake</t>
  </si>
  <si>
    <t>Residing</t>
  </si>
  <si>
    <t>Table 32.</t>
  </si>
  <si>
    <t xml:space="preserve"> Number of Hostels, Intake and Student Residing in various types of Universities
(b) Affiliated and Constituent Colleges</t>
  </si>
  <si>
    <t>Table 23.</t>
  </si>
  <si>
    <t>Group-A</t>
  </si>
  <si>
    <t>Group-B</t>
  </si>
  <si>
    <t>Group-C</t>
  </si>
  <si>
    <t>Group-D</t>
  </si>
  <si>
    <t>Table 24.</t>
  </si>
  <si>
    <t>EWS</t>
  </si>
  <si>
    <t>Table 40: Number of Universities during last 5 years</t>
  </si>
  <si>
    <t>2017-18</t>
  </si>
  <si>
    <t>2018-19</t>
  </si>
  <si>
    <t>2019-20</t>
  </si>
  <si>
    <t>India</t>
  </si>
  <si>
    <t>Table 41: Number of Universities by Type during last 5 years</t>
  </si>
  <si>
    <t>Table 42:</t>
  </si>
  <si>
    <t>Various College Indicators during last 5 years</t>
  </si>
  <si>
    <t>Table 43:</t>
  </si>
  <si>
    <t>Estimated Student Enrolment at various levels during last 5 years</t>
  </si>
  <si>
    <t>Both</t>
  </si>
  <si>
    <t>Table 44:</t>
  </si>
  <si>
    <t>Student Enrolment at various levels through Regular mode during last 5 years</t>
  </si>
  <si>
    <t>Table 45:</t>
  </si>
  <si>
    <t>Social Group-wise Enrolment during last 5 years</t>
  </si>
  <si>
    <t>Scheduled  Caste</t>
  </si>
  <si>
    <t>Scheduled Tribe</t>
  </si>
  <si>
    <t>Other Backward Classes</t>
  </si>
  <si>
    <t xml:space="preserve">Table 46: </t>
  </si>
  <si>
    <t>Enrolment in Minority Community &amp; PWD during last 5 years</t>
  </si>
  <si>
    <t xml:space="preserve">Table 47: </t>
  </si>
  <si>
    <t>Gross Enrolment Ratio (GER) during last 5 years</t>
  </si>
  <si>
    <t>ALL</t>
  </si>
  <si>
    <t xml:space="preserve">Table 48: </t>
  </si>
  <si>
    <t>Gender Parity Index (GPI) during last 5 years</t>
  </si>
  <si>
    <t>Table 49:</t>
  </si>
  <si>
    <t>Pupil Teacher Ratio (PTR) during last 5 years</t>
  </si>
  <si>
    <t>All Institutions</t>
  </si>
  <si>
    <t>University &amp; Colleges</t>
  </si>
  <si>
    <t>University &amp; its Constituent Units</t>
  </si>
  <si>
    <t>Regular &amp; Distance Mode</t>
  </si>
  <si>
    <t>Regular Mode</t>
  </si>
  <si>
    <t xml:space="preserve">Table 50: </t>
  </si>
  <si>
    <t>Enrolment by University Type at various levels during last 5 years</t>
  </si>
  <si>
    <t>All University Types</t>
  </si>
  <si>
    <t xml:space="preserve">Table 51: </t>
  </si>
  <si>
    <t>Post-wise Number of Teachers during last 5 years</t>
  </si>
  <si>
    <t>Professor &amp; Equivalent</t>
  </si>
  <si>
    <t>Reader &amp; Associate Professor</t>
  </si>
  <si>
    <t>Lecturer/ Assistant Professor</t>
  </si>
  <si>
    <t>Demonstrator/ Tutor</t>
  </si>
  <si>
    <t>Temporary Teacher etc.</t>
  </si>
  <si>
    <t>All Teacher</t>
  </si>
  <si>
    <t>Visiting Teacher</t>
  </si>
  <si>
    <t>State/Gender</t>
  </si>
  <si>
    <t xml:space="preserve">Male </t>
  </si>
  <si>
    <t xml:space="preserve">Female </t>
  </si>
  <si>
    <t>Table 11.</t>
  </si>
  <si>
    <t xml:space="preserve">Programme </t>
  </si>
  <si>
    <t>Ph.D.-Doctor of Philosophy</t>
  </si>
  <si>
    <t>Vidya Varidhi-Vidya Varidhi</t>
  </si>
  <si>
    <t>D.M.-Doctor of Medicine</t>
  </si>
  <si>
    <t>M.Ch.-Master of Chirurgiae</t>
  </si>
  <si>
    <t>D.Phil.-Doctor of Philosophy</t>
  </si>
  <si>
    <t>L.L.D.-Doctor of Laws</t>
  </si>
  <si>
    <t>Ayurveda Vachaspati-Ph.D in Ayurveda</t>
  </si>
  <si>
    <t>D.Sc.-Doctor of Science</t>
  </si>
  <si>
    <t>M.Phil.-Master of Philosophy</t>
  </si>
  <si>
    <t>M.A.-Master of Arts</t>
  </si>
  <si>
    <t>M.Sc.-Master of Science</t>
  </si>
  <si>
    <t>M.B.A.- Master of Business Administration</t>
  </si>
  <si>
    <t>M.Com.-Master of Commerce</t>
  </si>
  <si>
    <t>M.C.A. -Master of Computer Applications</t>
  </si>
  <si>
    <t>M.Tech. -Master of Technology</t>
  </si>
  <si>
    <t>M.D.-Doctor of Medicine</t>
  </si>
  <si>
    <t>M.S.W.-Master of Social Work</t>
  </si>
  <si>
    <t>M.Ed. -Master of Education</t>
  </si>
  <si>
    <t>M.Pharm. -Master of Pharmacy</t>
  </si>
  <si>
    <t>M.E.-Master of Engineering</t>
  </si>
  <si>
    <t>Pharm.D.-Doctor of Pharmacy</t>
  </si>
  <si>
    <t>L.L.M.-Master of Law or Laws</t>
  </si>
  <si>
    <t>M.S.-Master of Surgery</t>
  </si>
  <si>
    <t>Acharya-Acharya</t>
  </si>
  <si>
    <t>P.G.D.M.-Post-Graduate Diploma in Management</t>
  </si>
  <si>
    <t>M.D.S.-Master of Dental Surgery</t>
  </si>
  <si>
    <t>M.Sc. Nursing-Master of Science in Nursing</t>
  </si>
  <si>
    <t>M.P.Ed.-Master of Physical Education</t>
  </si>
  <si>
    <t>M.S.-Master of Science</t>
  </si>
  <si>
    <t>M.Mgt.-Master of Management</t>
  </si>
  <si>
    <t>M.L.I.Sc.-Master of Library &amp; Information Science</t>
  </si>
  <si>
    <t>M.P.T.-Master of Physiotherapy</t>
  </si>
  <si>
    <t>M.J.M.C.-Master of Journalism and Mass Communication</t>
  </si>
  <si>
    <t>M.F.A. -Master of Fine Arts</t>
  </si>
  <si>
    <t>M.Lib.Sc. -Master of Library Science</t>
  </si>
  <si>
    <t>P.G.P.-Post-Graduate Programme in Management</t>
  </si>
  <si>
    <t>M.B.A.(Tech.)-Master of Business Administration in Technology</t>
  </si>
  <si>
    <t>M.V.Sc. -Master of Veterinary Sciences</t>
  </si>
  <si>
    <t>M.Arch.-Master of Architecture</t>
  </si>
  <si>
    <t>M.H.A. -Master of Hospital Administration</t>
  </si>
  <si>
    <t>M.Des.-Master of Design</t>
  </si>
  <si>
    <t>Vachaspati-Vachaspati</t>
  </si>
  <si>
    <t>M.P.H. -Master of Public Health</t>
  </si>
  <si>
    <t>M.J.-Master of Journalism</t>
  </si>
  <si>
    <t>M.H.R.D. -Master of Human Resource Development</t>
  </si>
  <si>
    <t>M.Sc. Tech. -Master of Science in Technology</t>
  </si>
  <si>
    <t>M.F.M. -Master of Financial Management</t>
  </si>
  <si>
    <t>M.Plan.-Master of Planning</t>
  </si>
  <si>
    <t>M.Mus. -Master of Music</t>
  </si>
  <si>
    <t>M.L. -Master of Laws</t>
  </si>
  <si>
    <t>M.I.B.-Master of International Business</t>
  </si>
  <si>
    <t>M.P.A.-Master of Performing Arts</t>
  </si>
  <si>
    <t>M.F.Sc. -Master of Fishery Science</t>
  </si>
  <si>
    <t>M.Mkt.M. -Master of Marketing Management</t>
  </si>
  <si>
    <t>M.P.E.-Master of Physical Education</t>
  </si>
  <si>
    <t>M.F.M.-Master of Fashion Management</t>
  </si>
  <si>
    <t>M.Optom. -Master of Optometry</t>
  </si>
  <si>
    <t>M.P.S. -Master of Population Studies</t>
  </si>
  <si>
    <t>Shiksha Acharya-Shiksha Acharya</t>
  </si>
  <si>
    <t>M.Sc.(Medical Bio-Chemistry)-Master of Science in Medical Bio-Chemistry</t>
  </si>
  <si>
    <t>M.Sc. Tech.(Applied Geo-Physics)-Master of Science in Technology (Applied Geo-Physics)</t>
  </si>
  <si>
    <t>M.M.C.-Master in Mass Communication</t>
  </si>
  <si>
    <t>M.Stat. -Master of Statistics</t>
  </si>
  <si>
    <t>M.Sc.(Medical Microbiology)-Master of Science in Medical Microbiology</t>
  </si>
  <si>
    <t>M.O.T. -Master of Occupational Therapy</t>
  </si>
  <si>
    <t>M.O.L. -Master of Oriental Learning</t>
  </si>
  <si>
    <t>M.Sc.(Medical Physiology)-Master of Science in Medical Physiology</t>
  </si>
  <si>
    <t>M.F.Tech.-Master of Fashion Technology</t>
  </si>
  <si>
    <t>M.B.A.(Pharma. Tech.)-Master of Business Administration in Pharmaceutical Technology</t>
  </si>
  <si>
    <t>M.A.M.S.-Master of Ayurved in Medicine and Surgery</t>
  </si>
  <si>
    <t>M.Litt.-Master of Literature or Master of Letters</t>
  </si>
  <si>
    <t>M.U.P.-Master of Urban Planning</t>
  </si>
  <si>
    <t>M.Dance-Master of Dance</t>
  </si>
  <si>
    <t>M.Sc.(Medical Anatomy) -Master of Science in Medical Anatomy</t>
  </si>
  <si>
    <t>M.H.M.S.-Master of Homeopathic Medicine and Science</t>
  </si>
  <si>
    <t>M.F.T. -Master of Foreign Trade</t>
  </si>
  <si>
    <t>M.Sc.(Medical Pharmacology)-Master of Science in Medical Pharmacology</t>
  </si>
  <si>
    <t>B.A.-Bachelor of Arts</t>
  </si>
  <si>
    <t>B.Sc.-Bachelor of Science</t>
  </si>
  <si>
    <t>B.Com.-Bachelor of Commerce</t>
  </si>
  <si>
    <t>B.Tech.-Bachelor of Technology</t>
  </si>
  <si>
    <t>B.A.(Hons)-Bachelor of Arts (Honors)</t>
  </si>
  <si>
    <t>B.E.-Bachelor of Engineering</t>
  </si>
  <si>
    <t>B.Ed.-Bachelor of Education</t>
  </si>
  <si>
    <t>B.Sc.(Hons)-Bachelor of Science (Honors)</t>
  </si>
  <si>
    <t>B.B.A.-Bachelor of Business Administration</t>
  </si>
  <si>
    <t>B.C.A.-Bachelor of Computer Applications</t>
  </si>
  <si>
    <t>L.L.B.-Bachelor of Law or Laws</t>
  </si>
  <si>
    <t>B.Pharm.-Bachelor of Pharmacy</t>
  </si>
  <si>
    <t>B.Sc.(Nursing)-Bachelor of Science in Nursing</t>
  </si>
  <si>
    <t>M.B.B.S.-Bachelor of Medicine and Bachelor of Surgery</t>
  </si>
  <si>
    <t>B.Agri.-Bachelor of Agriculture</t>
  </si>
  <si>
    <t>B.D.S.-Bachelor of Dental Surgery</t>
  </si>
  <si>
    <t>B.Architecture-Bachelor of Architecture</t>
  </si>
  <si>
    <t>B.P.T.-Bachelor of Physiotherapy</t>
  </si>
  <si>
    <t>B.A.M.S.-Bachelor of Ayurved Medicine &amp; Surgery</t>
  </si>
  <si>
    <t>B.H.M.S.-Bachelor of Homeopathic Medicine and Surgery</t>
  </si>
  <si>
    <t>B.S.W.-Bachelor of Social Work</t>
  </si>
  <si>
    <t>Shastri-Shastri</t>
  </si>
  <si>
    <t>B.M.S.-Bachelor of Management Studies</t>
  </si>
  <si>
    <t>B.P.Ed.-Bachelor of Physical Education</t>
  </si>
  <si>
    <t>B.Lib.I.Sc.-Bachelor of Library &amp; Information Science</t>
  </si>
  <si>
    <t>B.L.-Bachelor of Law or Laws</t>
  </si>
  <si>
    <t>B.H.M.-Bachelor of Hotel Management</t>
  </si>
  <si>
    <t>B.B.M.-Bachelor of Business Management</t>
  </si>
  <si>
    <t>B.Des.-Bachelor of Design</t>
  </si>
  <si>
    <t>B.Sc.(Post Basic)-B.Sc (Post Basic)</t>
  </si>
  <si>
    <t>Ayurvedacharya-Ayurvedacharya</t>
  </si>
  <si>
    <t>B.Litt.-Bachelor of Literature</t>
  </si>
  <si>
    <t>B.F.A.-Bachelor of Fine Arts</t>
  </si>
  <si>
    <t>B.H.M.C.T.-Bachelor of Hotel Management and Catering Technology</t>
  </si>
  <si>
    <t>B.P.E.-Bachelor of Physical Education</t>
  </si>
  <si>
    <t>B.V.Sc.&amp;A.H.-Bachelor of Veterinary Science &amp; Animal Husbandry</t>
  </si>
  <si>
    <t>B.J.M.C.-Bachelor of Journalism and Mass Communication</t>
  </si>
  <si>
    <t>B.Pharm.(Ayu.) -Bachelor of Ayurved in Pharmacy</t>
  </si>
  <si>
    <t>B.M.M.-Bachelor of Multi Media</t>
  </si>
  <si>
    <t>B.U.M.S.-Bachelor of Unani Medicine and Surgery</t>
  </si>
  <si>
    <t>B.Optom.-Bachelor of Clinical Optometry</t>
  </si>
  <si>
    <t>Shiksha Shastri-Shiksha Shastri</t>
  </si>
  <si>
    <t>B.Lib.Sc.-Bachelor of Library Science</t>
  </si>
  <si>
    <t>B.N.Y.S.-Bachelor of Naturopathy and Yogic Sciences</t>
  </si>
  <si>
    <t>B.P.A.-Bachelor of Performing Arts</t>
  </si>
  <si>
    <t>B.O.T.-Bachelor of Occupational Therapy</t>
  </si>
  <si>
    <t>B.H.A.-Bachelor of Hospital Administration</t>
  </si>
  <si>
    <t>B.H.M.T.T.-Bachelor of Hotel Management, Travel and Tourism</t>
  </si>
  <si>
    <t>B.F.Sc.-Bachelor of Fisheries Science</t>
  </si>
  <si>
    <t>B.S.Course-Bachelor of Science (Physician Assistant and Emergency &amp; Trauma Care Management)</t>
  </si>
  <si>
    <t>B.A.S.L.P.-Bachelor of Audiology and Speech Language Pathology</t>
  </si>
  <si>
    <t>B.H.T.M.-Bachelor of Hotel and Tourism Management</t>
  </si>
  <si>
    <t>B.F.Tech.-Bachelor of Fashion Technology</t>
  </si>
  <si>
    <t>B.J.-Bachelor of Journalism</t>
  </si>
  <si>
    <t>Alankar-Alankar</t>
  </si>
  <si>
    <t>B.Mus.-Bachelor of Music</t>
  </si>
  <si>
    <t>B.A.M.-Bachelor of Ayurved Medicine</t>
  </si>
  <si>
    <t>B.V.Sc.-Bachelor of Veterinary Science</t>
  </si>
  <si>
    <t>B.S.M.S.-Bachelor of Sridhar Medicine and Surgery</t>
  </si>
  <si>
    <t>B.G.L.-Bachelor of General Law</t>
  </si>
  <si>
    <t>B.Plan.-Bachelor of Planning</t>
  </si>
  <si>
    <t>B.Stat.-Bachelor of Statistics</t>
  </si>
  <si>
    <t>B.Nat.(Yogic Sciences)-Bachelor of Naturopathy and Yogic Sciences</t>
  </si>
  <si>
    <t>B.S.S.-Bachelor in Social Sciences</t>
  </si>
  <si>
    <t>B.Ch.E.-Bachelor of Chemical Engineering</t>
  </si>
  <si>
    <t>Visharad-Visharad</t>
  </si>
  <si>
    <t>B.P.S.-Bachelor of Professional Studies</t>
  </si>
  <si>
    <t>Vidhyalankar-Vidhyalankar</t>
  </si>
  <si>
    <t>B.B.S.-Bachelor of Business Studies</t>
  </si>
  <si>
    <t>B.O.L.-Bachelor of Oriental Learning</t>
  </si>
  <si>
    <t>B.Sc.(Sericulture)-Bachelor of Science in Sericulture</t>
  </si>
  <si>
    <t>B.Chem.Tech.-Bachelor of Chemical Technology</t>
  </si>
  <si>
    <t>B.C.E.-Bachelor of Civil Engineering</t>
  </si>
  <si>
    <t>B.Dance-Bachelor of Dance</t>
  </si>
  <si>
    <t>Samaj Vidya Visharad-Samaj Vidya Visharad</t>
  </si>
  <si>
    <t>B.I.B.F.-Bachelor of International Business and Finance</t>
  </si>
  <si>
    <t>Hindi Shiksha Visharad-Hindi Shiksha Visharad</t>
  </si>
  <si>
    <t>B.Sc.(FDP)-Bachelor of Science in Footwear Design and Production</t>
  </si>
  <si>
    <t>B.Sc.(RFM)-Bachelor of Science in Retail and Fashion Merchandize</t>
  </si>
  <si>
    <t>Medical Laboratory Technician</t>
  </si>
  <si>
    <t>B.I.M.-Bachelor of Indian Medicine</t>
  </si>
  <si>
    <t>PG Diploma-Post Graduate Diploma</t>
  </si>
  <si>
    <t>Diploma-Diploma</t>
  </si>
  <si>
    <t>D.Ed.-Diploma in Education</t>
  </si>
  <si>
    <t>G.N.M.-General Nursing &amp; Midwifery</t>
  </si>
  <si>
    <t>D.Pharma-Diploma in Pharmacy</t>
  </si>
  <si>
    <t>A.N.M.-Auxiliary Nurse &amp; Midwife</t>
  </si>
  <si>
    <t>D.Voc.-Diploma in Vocational Education</t>
  </si>
  <si>
    <t>Certificate-Certificate</t>
  </si>
  <si>
    <t>B.A. L.L.B.-Bachelor of Arts, Bachelor of Law or Laws</t>
  </si>
  <si>
    <t>B.A. B.Ed.-Bachelor of Arts, Bachelor of Education</t>
  </si>
  <si>
    <t>B.Sc. B.Ed.-Bachelor of Science, Bachelor of Education</t>
  </si>
  <si>
    <t>Integrated M.Sc.-Integrated Master of Science</t>
  </si>
  <si>
    <t>B.B.A. L.L.B.-Bachelor of Business Administration, Bachelor of Law or Laws</t>
  </si>
  <si>
    <t>B.Tech M.Tech-Bachelor of Technology, Master of Technology</t>
  </si>
  <si>
    <t>Integrated M.B.A.-Integrated Master of Business Administration</t>
  </si>
  <si>
    <t>B.Com. L.L.B.-Bachelor of Commerce, Bachelor of Law</t>
  </si>
  <si>
    <t>B.S. M.S.-Bachelor of Science, Master of Science</t>
  </si>
  <si>
    <t>Integrated M.A.-Integrated Master of Arts</t>
  </si>
  <si>
    <t>Integrated M.C.A.-Integrated Master of Computer Applications</t>
  </si>
  <si>
    <t>Integrated Ph.D-Integrated Doctor of Philosophy</t>
  </si>
  <si>
    <t>M.A. B.Ed.-Master of Arts, Bachelor of Education</t>
  </si>
  <si>
    <t>M.Sc. B.Ed.-Master of Science, Bachelor of Education</t>
  </si>
  <si>
    <t>B.Sc. L.L.B.-Bachelor of Science, Bachelor of Law or Laws</t>
  </si>
  <si>
    <t>M.Com. B.Ed.-Master of Commerce, Bachelor of Education</t>
  </si>
  <si>
    <t>B.Com. B.Ed.-Bachelor of Commerce, Bachelor of Education</t>
  </si>
  <si>
    <t>Programme-wise Enrolment - Distance Mode
(Based on actual Response)</t>
  </si>
  <si>
    <t>Programme</t>
  </si>
  <si>
    <t>Scheduled Caste</t>
  </si>
  <si>
    <t>Discipline</t>
  </si>
  <si>
    <t>Computer Engineering</t>
  </si>
  <si>
    <t>Mechanical Engineering</t>
  </si>
  <si>
    <t>Electronics Engineering</t>
  </si>
  <si>
    <t>Civil Engineering</t>
  </si>
  <si>
    <t>Electrical Engineering</t>
  </si>
  <si>
    <t>Other Engineering &amp; Technology</t>
  </si>
  <si>
    <t>Information Technology</t>
  </si>
  <si>
    <t>Chemical Engineering</t>
  </si>
  <si>
    <t>Agriculture Engineering</t>
  </si>
  <si>
    <t>Aeronautical Engineering</t>
  </si>
  <si>
    <t>Food Technology</t>
  </si>
  <si>
    <t>Metallurgical Engineering</t>
  </si>
  <si>
    <t>Mining Engineering</t>
  </si>
  <si>
    <t>Marine Engineering</t>
  </si>
  <si>
    <t>Dairy Technology</t>
  </si>
  <si>
    <t>Planning</t>
  </si>
  <si>
    <t>Engineering &amp; Technology Total</t>
  </si>
  <si>
    <t>Medical Science</t>
  </si>
  <si>
    <t>General Medicine</t>
  </si>
  <si>
    <t>Dentistry</t>
  </si>
  <si>
    <t>Ayurveda</t>
  </si>
  <si>
    <t>Homeopathy</t>
  </si>
  <si>
    <t>Unani</t>
  </si>
  <si>
    <t>Ophthalmology</t>
  </si>
  <si>
    <t>Other Medical Science</t>
  </si>
  <si>
    <t>Occupational Therapy</t>
  </si>
  <si>
    <t>Hospital Administration</t>
  </si>
  <si>
    <t>Medical Management</t>
  </si>
  <si>
    <t>Pathology</t>
  </si>
  <si>
    <t>General Surgery</t>
  </si>
  <si>
    <t>Indian Medicine</t>
  </si>
  <si>
    <t>Medical Science Total</t>
  </si>
  <si>
    <t>IT &amp; Computer</t>
  </si>
  <si>
    <t>Indian Language</t>
  </si>
  <si>
    <t>Foreign Language</t>
  </si>
  <si>
    <t>Area Studies</t>
  </si>
  <si>
    <t>Physical Education</t>
  </si>
  <si>
    <t>Library &amp; Information Science</t>
  </si>
  <si>
    <t>Design</t>
  </si>
  <si>
    <t>Linguistics</t>
  </si>
  <si>
    <t>Fashion Technology</t>
  </si>
  <si>
    <t>Veterinary &amp; Animal Sciences</t>
  </si>
  <si>
    <t>Paramedical Science</t>
  </si>
  <si>
    <t>Hospitality and Tourism</t>
  </si>
  <si>
    <t>Cultural Studies</t>
  </si>
  <si>
    <t>Fisheries Science</t>
  </si>
  <si>
    <t>Religious Studies</t>
  </si>
  <si>
    <t>Women Studies</t>
  </si>
  <si>
    <t>Criminology &amp; Forensic Science</t>
  </si>
  <si>
    <t>Defence Studies</t>
  </si>
  <si>
    <t>Marine Science / Oceanography</t>
  </si>
  <si>
    <t>Footwear  Design</t>
  </si>
  <si>
    <t>Gandhian Studies</t>
  </si>
  <si>
    <t>Horticulture</t>
  </si>
  <si>
    <t>Forestry</t>
  </si>
  <si>
    <t>Sericulture</t>
  </si>
  <si>
    <t>Agriculture Total</t>
  </si>
  <si>
    <t>Foreign Trade</t>
  </si>
  <si>
    <t>Commerce Total</t>
  </si>
  <si>
    <t>Interior Design</t>
  </si>
  <si>
    <t>Design Total</t>
  </si>
  <si>
    <t>Urban Planning</t>
  </si>
  <si>
    <t>Transportation Planning</t>
  </si>
  <si>
    <t>Visual Arts</t>
  </si>
  <si>
    <t>Performing Arts</t>
  </si>
  <si>
    <t>Music</t>
  </si>
  <si>
    <t>Fine Arts Total</t>
  </si>
  <si>
    <t>Footwear Design &amp; Production</t>
  </si>
  <si>
    <t>Retail &amp; Fashion Merchandize</t>
  </si>
  <si>
    <t>English</t>
  </si>
  <si>
    <t>Other Foreign Languages</t>
  </si>
  <si>
    <t>French</t>
  </si>
  <si>
    <t>German</t>
  </si>
  <si>
    <t>Spanish</t>
  </si>
  <si>
    <t>Foreign Language Total</t>
  </si>
  <si>
    <t>Nutrition</t>
  </si>
  <si>
    <t>Home Science Total</t>
  </si>
  <si>
    <t>Hindi</t>
  </si>
  <si>
    <t>Other Indian Languages</t>
  </si>
  <si>
    <t>Bengali</t>
  </si>
  <si>
    <t>Urdu</t>
  </si>
  <si>
    <t>Tamil</t>
  </si>
  <si>
    <t>Telugu</t>
  </si>
  <si>
    <t>Odiya</t>
  </si>
  <si>
    <t>Kannada</t>
  </si>
  <si>
    <t>Punjabi</t>
  </si>
  <si>
    <t>Malayalam</t>
  </si>
  <si>
    <t>Indian Language Total</t>
  </si>
  <si>
    <t>Computer Science</t>
  </si>
  <si>
    <t>Animation</t>
  </si>
  <si>
    <t>Multi Media</t>
  </si>
  <si>
    <t>IT &amp; Computer Total</t>
  </si>
  <si>
    <t>Constitutional Law</t>
  </si>
  <si>
    <t>International Law</t>
  </si>
  <si>
    <t>Cyber Crime</t>
  </si>
  <si>
    <t>Civil Law</t>
  </si>
  <si>
    <t>Law Total</t>
  </si>
  <si>
    <t>Business Administration</t>
  </si>
  <si>
    <t>Business Management</t>
  </si>
  <si>
    <t>Other Management</t>
  </si>
  <si>
    <t>Technology</t>
  </si>
  <si>
    <t>Financial Management</t>
  </si>
  <si>
    <t>Human Resource Management</t>
  </si>
  <si>
    <t>Marketing Management</t>
  </si>
  <si>
    <t>International Business</t>
  </si>
  <si>
    <t>Agri-Business Management</t>
  </si>
  <si>
    <t>Pharmaceutical Technology</t>
  </si>
  <si>
    <t>Tourism Management</t>
  </si>
  <si>
    <t>Hotel Management</t>
  </si>
  <si>
    <t>Management Total</t>
  </si>
  <si>
    <t>Anesthesiology</t>
  </si>
  <si>
    <t>Gynaecology</t>
  </si>
  <si>
    <t>Pediatrics</t>
  </si>
  <si>
    <t>Orthopaedics</t>
  </si>
  <si>
    <t>Radiology</t>
  </si>
  <si>
    <t>Public Health</t>
  </si>
  <si>
    <t>Bio-Chemistry</t>
  </si>
  <si>
    <t>ENT</t>
  </si>
  <si>
    <t>Psychiatry</t>
  </si>
  <si>
    <t>Physiology</t>
  </si>
  <si>
    <t>Dermatology</t>
  </si>
  <si>
    <t>Microbiology</t>
  </si>
  <si>
    <t>Anatomy</t>
  </si>
  <si>
    <t>Radiothrapy</t>
  </si>
  <si>
    <t>Forensic Medicine/ Toxicology</t>
  </si>
  <si>
    <t>Bio-Technology</t>
  </si>
  <si>
    <t>Lab Medicine</t>
  </si>
  <si>
    <t>Nuclear Medicine</t>
  </si>
  <si>
    <t>Cardiology</t>
  </si>
  <si>
    <t>Oncology</t>
  </si>
  <si>
    <t>Neurology</t>
  </si>
  <si>
    <t>Medical Physics</t>
  </si>
  <si>
    <t>Urology</t>
  </si>
  <si>
    <t>Haematology</t>
  </si>
  <si>
    <t>Bio-Statistics</t>
  </si>
  <si>
    <t>Gastroenterology</t>
  </si>
  <si>
    <t>Nephrology</t>
  </si>
  <si>
    <t>Endocrinology</t>
  </si>
  <si>
    <t>Bio-Physics</t>
  </si>
  <si>
    <t>Plastic Surgery</t>
  </si>
  <si>
    <t>Hepatology</t>
  </si>
  <si>
    <t>Veda</t>
  </si>
  <si>
    <t>Jyotisha</t>
  </si>
  <si>
    <t>Oriental Learning Total</t>
  </si>
  <si>
    <t>Yoga</t>
  </si>
  <si>
    <t>Physical Education Total</t>
  </si>
  <si>
    <t>Mathematics</t>
  </si>
  <si>
    <t>Chemistry</t>
  </si>
  <si>
    <t>Other Science</t>
  </si>
  <si>
    <t>Physics</t>
  </si>
  <si>
    <t>Zoology</t>
  </si>
  <si>
    <t>Botany</t>
  </si>
  <si>
    <t>Statistics</t>
  </si>
  <si>
    <t>Life Science</t>
  </si>
  <si>
    <t>Environmental Science</t>
  </si>
  <si>
    <t>Geology</t>
  </si>
  <si>
    <t>Bio-Science</t>
  </si>
  <si>
    <t>Electronics</t>
  </si>
  <si>
    <t>Genetics</t>
  </si>
  <si>
    <t>Geo-Physics</t>
  </si>
  <si>
    <t>Science Total</t>
  </si>
  <si>
    <t>Political Science</t>
  </si>
  <si>
    <t>History</t>
  </si>
  <si>
    <t>Sociology</t>
  </si>
  <si>
    <t>Economics</t>
  </si>
  <si>
    <t>Other Social Science</t>
  </si>
  <si>
    <t>Geography</t>
  </si>
  <si>
    <t>Psychology</t>
  </si>
  <si>
    <t>Public Administration</t>
  </si>
  <si>
    <t>Philosophy</t>
  </si>
  <si>
    <t>Anthropology</t>
  </si>
  <si>
    <t>Population Studies</t>
  </si>
  <si>
    <t>Social Science Total</t>
  </si>
  <si>
    <t>Dairy Science</t>
  </si>
  <si>
    <t>Veterinary &amp; Animal Sciences Total</t>
  </si>
  <si>
    <t>Table 16.</t>
  </si>
  <si>
    <t>Country Name</t>
  </si>
  <si>
    <t>NEPAL</t>
  </si>
  <si>
    <t>AFGHANISTAN</t>
  </si>
  <si>
    <t>BANGLADESH</t>
  </si>
  <si>
    <t>BHUTAN</t>
  </si>
  <si>
    <t>SUDAN</t>
  </si>
  <si>
    <t>NIGERIA</t>
  </si>
  <si>
    <t>YEMEN</t>
  </si>
  <si>
    <t>MALAYSIA</t>
  </si>
  <si>
    <t>UNITED ARAB EMIRATES</t>
  </si>
  <si>
    <t>SRI LANKA</t>
  </si>
  <si>
    <t>ETHIOPIA</t>
  </si>
  <si>
    <t>CANADA</t>
  </si>
  <si>
    <t>SYRIAN ARAB REPUBLIC</t>
  </si>
  <si>
    <t>SOMALIA</t>
  </si>
  <si>
    <t>ZAMBIA</t>
  </si>
  <si>
    <t>ZIMBABWE</t>
  </si>
  <si>
    <t>SAUDI ARABIA</t>
  </si>
  <si>
    <t>BAHRAIN</t>
  </si>
  <si>
    <t>OMAN</t>
  </si>
  <si>
    <t>KUWAIT</t>
  </si>
  <si>
    <t>IRAQ</t>
  </si>
  <si>
    <t>KENYA</t>
  </si>
  <si>
    <t>QATAR</t>
  </si>
  <si>
    <t>TURKMENISTAN</t>
  </si>
  <si>
    <t>TIBETAN REFUGEES</t>
  </si>
  <si>
    <t>MYANMAR</t>
  </si>
  <si>
    <t>GHANA</t>
  </si>
  <si>
    <t>THAILAND</t>
  </si>
  <si>
    <t>UGANDA</t>
  </si>
  <si>
    <t>MALAWI</t>
  </si>
  <si>
    <t>MAURITIUS</t>
  </si>
  <si>
    <t>INDONESIA</t>
  </si>
  <si>
    <t>MOZAMBIQUE</t>
  </si>
  <si>
    <t>CONGO</t>
  </si>
  <si>
    <t>SOUTH AFRICA</t>
  </si>
  <si>
    <t>MALDIVES</t>
  </si>
  <si>
    <t>SINGAPORE</t>
  </si>
  <si>
    <t>VIET NAM</t>
  </si>
  <si>
    <t>RWANDA</t>
  </si>
  <si>
    <t>CHINA</t>
  </si>
  <si>
    <t>CAMEROON</t>
  </si>
  <si>
    <t>EGYPT</t>
  </si>
  <si>
    <t>JAPAN</t>
  </si>
  <si>
    <t>MALI</t>
  </si>
  <si>
    <t>AUSTRALIA</t>
  </si>
  <si>
    <t>ANGOLA</t>
  </si>
  <si>
    <t>GAMBIA</t>
  </si>
  <si>
    <t>NAMIBIA</t>
  </si>
  <si>
    <t>LESOTHO</t>
  </si>
  <si>
    <t>JORDAN</t>
  </si>
  <si>
    <t>TOGO</t>
  </si>
  <si>
    <t>FRANCE</t>
  </si>
  <si>
    <t>BURUNDI</t>
  </si>
  <si>
    <t>LIBERIA</t>
  </si>
  <si>
    <t>DJIBOUTI</t>
  </si>
  <si>
    <t>MADAGASCAR</t>
  </si>
  <si>
    <t>BELGIUM</t>
  </si>
  <si>
    <t>COMOROS</t>
  </si>
  <si>
    <t>GUINEA</t>
  </si>
  <si>
    <t>TURKEY</t>
  </si>
  <si>
    <t>DENMARK</t>
  </si>
  <si>
    <t>CHAD</t>
  </si>
  <si>
    <t>BOTSWANA</t>
  </si>
  <si>
    <t>GUINEA-BISSAU</t>
  </si>
  <si>
    <t>GERMANY</t>
  </si>
  <si>
    <t>RUSSIAN FEDERATION</t>
  </si>
  <si>
    <t>TAJIKISTAN</t>
  </si>
  <si>
    <t>UZBEKISTAN</t>
  </si>
  <si>
    <t>ERITREA</t>
  </si>
  <si>
    <t>BURKINA FASO</t>
  </si>
  <si>
    <t>LAO PEOPLE'S DEMOCRATIC REPUBLIC</t>
  </si>
  <si>
    <t>ITALY</t>
  </si>
  <si>
    <t>CAMBODIA</t>
  </si>
  <si>
    <t>AMERICAN SAMOA</t>
  </si>
  <si>
    <t>PHILIPPINES</t>
  </si>
  <si>
    <t>SEYCHELLES</t>
  </si>
  <si>
    <t>PAPUA NEW GUINEA</t>
  </si>
  <si>
    <t>BRAZIL</t>
  </si>
  <si>
    <t>SIERRA LEONE</t>
  </si>
  <si>
    <t>MONGOLIA</t>
  </si>
  <si>
    <t>CENTRAL AFRICAN REPUBLIC</t>
  </si>
  <si>
    <t>PAKISTAN</t>
  </si>
  <si>
    <t>FIJI</t>
  </si>
  <si>
    <t>NIGER</t>
  </si>
  <si>
    <t>NETHERLANDS</t>
  </si>
  <si>
    <t>ALBANIA</t>
  </si>
  <si>
    <t>COLOMBIA</t>
  </si>
  <si>
    <t>KAZAKHSTAN</t>
  </si>
  <si>
    <t>BENIN</t>
  </si>
  <si>
    <t>SWITZERLAND</t>
  </si>
  <si>
    <t>BRITISH INDIAN OCEAN TERRITORY</t>
  </si>
  <si>
    <t>GUYANA</t>
  </si>
  <si>
    <t>SWEDEN</t>
  </si>
  <si>
    <t>PORTUGAL</t>
  </si>
  <si>
    <t>TIMOR-LESTE</t>
  </si>
  <si>
    <t>AUSTRIA</t>
  </si>
  <si>
    <t>IRELAND</t>
  </si>
  <si>
    <t>SPAIN</t>
  </si>
  <si>
    <t>MOROCCO</t>
  </si>
  <si>
    <t>GABON</t>
  </si>
  <si>
    <t>TAIWAN, PROVINCE OF CHINA</t>
  </si>
  <si>
    <t>TUNISIA</t>
  </si>
  <si>
    <t>NEW ZEALAND</t>
  </si>
  <si>
    <t>ROMANIA</t>
  </si>
  <si>
    <t>MEXICO</t>
  </si>
  <si>
    <t>UKRAINE</t>
  </si>
  <si>
    <t>PERU</t>
  </si>
  <si>
    <t>SURINAME</t>
  </si>
  <si>
    <t>NORWAY</t>
  </si>
  <si>
    <t>FINLAND</t>
  </si>
  <si>
    <t>POLAND</t>
  </si>
  <si>
    <t>TRINIDAD AND TOBAGO</t>
  </si>
  <si>
    <t>LEBANON</t>
  </si>
  <si>
    <t>ISRAEL</t>
  </si>
  <si>
    <t>ARMENIA</t>
  </si>
  <si>
    <t>ARGENTINA</t>
  </si>
  <si>
    <t>GEORGIA</t>
  </si>
  <si>
    <t>BAHAMAS</t>
  </si>
  <si>
    <t>BELARUS</t>
  </si>
  <si>
    <t>WALLIS AND FUTUNA</t>
  </si>
  <si>
    <t>JAMAICA</t>
  </si>
  <si>
    <t>MAURITANIA</t>
  </si>
  <si>
    <t>SENEGAL</t>
  </si>
  <si>
    <t>ALGERIA</t>
  </si>
  <si>
    <t>ICELAND</t>
  </si>
  <si>
    <t>LATVIA</t>
  </si>
  <si>
    <t>PANAMA</t>
  </si>
  <si>
    <t>HUNGARY</t>
  </si>
  <si>
    <t>TONGA</t>
  </si>
  <si>
    <t>SLOVAKIA</t>
  </si>
  <si>
    <t>LITHUANIA</t>
  </si>
  <si>
    <t>Table 17.</t>
  </si>
  <si>
    <t xml:space="preserve"> Male</t>
  </si>
  <si>
    <t xml:space="preserve"> Female</t>
  </si>
  <si>
    <t>Table 21.</t>
  </si>
  <si>
    <t>Table 22.</t>
  </si>
  <si>
    <t>Temporary Teacher etc</t>
  </si>
  <si>
    <t>Table 22a.</t>
  </si>
  <si>
    <t>Table 22b.</t>
  </si>
  <si>
    <t>Table 33.</t>
  </si>
  <si>
    <t>Footwear  Design Total</t>
  </si>
  <si>
    <t>Islamic Studies</t>
  </si>
  <si>
    <t>Theology</t>
  </si>
  <si>
    <t>Buddhist Studies</t>
  </si>
  <si>
    <t>Christian Studies</t>
  </si>
  <si>
    <t>Jainism</t>
  </si>
  <si>
    <t>Religious Studies Total</t>
  </si>
  <si>
    <t>Table 29.</t>
  </si>
  <si>
    <t>Table 30.</t>
  </si>
  <si>
    <t>D.Litt.-Doctor of Literature</t>
  </si>
  <si>
    <t>Master of Travel &amp; Tourism Management (MTTM)</t>
  </si>
  <si>
    <t>Management HRM</t>
  </si>
  <si>
    <t>EMBA - Executive MBA</t>
  </si>
  <si>
    <t>Master of Vocational (M Voc)</t>
  </si>
  <si>
    <t>MBA in Travel and Tourism Management</t>
  </si>
  <si>
    <t>PGDBA</t>
  </si>
  <si>
    <t>M.Sc. in Biosciences and Bioinformatics</t>
  </si>
  <si>
    <t>Art Education</t>
  </si>
  <si>
    <t>Fashion Art</t>
  </si>
  <si>
    <t>B.Voc.-Bachelor of Vocational</t>
  </si>
  <si>
    <t>Management Financial Services</t>
  </si>
  <si>
    <t>Fashion and Apparel Design</t>
  </si>
  <si>
    <t>Interior Design and Decoration</t>
  </si>
  <si>
    <t>Public Services</t>
  </si>
  <si>
    <t>Textile Design</t>
  </si>
  <si>
    <t>Management BPM</t>
  </si>
  <si>
    <t>Mechanical Manufacturing</t>
  </si>
  <si>
    <t>B.DES. (Communication Design)</t>
  </si>
  <si>
    <t>Automotive Mechatronics Captive(Anand Group)</t>
  </si>
  <si>
    <t>Robotics and Automation</t>
  </si>
  <si>
    <t>Bachelor in Astrology</t>
  </si>
  <si>
    <t>BBA-LLB(Hons)</t>
  </si>
  <si>
    <t>B.SC. (IT) M.Sc. (IT)</t>
  </si>
  <si>
    <t>M.Tech. -Master of Technology and Ph.D.-Doctor of Philosophy</t>
  </si>
  <si>
    <t>BTTM MTTM</t>
  </si>
  <si>
    <t>MSc. -Master of Science and Ph.D.-Doctor of Philosophy</t>
  </si>
  <si>
    <t>M.Sc. -Master of Science and M.Tech. -Master of Technology</t>
  </si>
  <si>
    <t>Instrumentation Engineering</t>
  </si>
  <si>
    <t>Automotive Studies</t>
  </si>
  <si>
    <t>Architecture &amp; Regional Planning</t>
  </si>
  <si>
    <t xml:space="preserve">Disability Studies_x000D_
</t>
  </si>
  <si>
    <t>Hospitality Administration</t>
  </si>
  <si>
    <t>Hospitality and Hotel Administration</t>
  </si>
  <si>
    <t>Hospitality</t>
  </si>
  <si>
    <t>Culinary Art</t>
  </si>
  <si>
    <t>Food Production</t>
  </si>
  <si>
    <t>Pali</t>
  </si>
  <si>
    <t>IT &amp; Computing</t>
  </si>
  <si>
    <t>Mass Communication and Media Technology</t>
  </si>
  <si>
    <t>Management Studies &amp; Research</t>
  </si>
  <si>
    <t>Business Studies</t>
  </si>
  <si>
    <t>Software Application Development</t>
  </si>
  <si>
    <t>BFSI &amp; Finance</t>
  </si>
  <si>
    <t>Consultancy Management</t>
  </si>
  <si>
    <t>Oreintal Learning</t>
  </si>
  <si>
    <t>Yoga And Naturopathy</t>
  </si>
  <si>
    <t>Medical Lab Technology</t>
  </si>
  <si>
    <t>Radiology and Imaging Techniques</t>
  </si>
  <si>
    <t>Para Hospital Sciences</t>
  </si>
  <si>
    <t>Radiation Technology</t>
  </si>
  <si>
    <t>Medical Radiology Technology</t>
  </si>
  <si>
    <t>Optometry</t>
  </si>
  <si>
    <t>Dietetics And Nutrition</t>
  </si>
  <si>
    <t>Anesthesia Technician</t>
  </si>
  <si>
    <t>Emergency And Trauma Care Technology</t>
  </si>
  <si>
    <t>Dialysis Technology</t>
  </si>
  <si>
    <t>Ophthalmic Technology &amp; Optometry</t>
  </si>
  <si>
    <t>Operation Theater Technician</t>
  </si>
  <si>
    <t>Radio Imaging</t>
  </si>
  <si>
    <t>Cardiac Technology</t>
  </si>
  <si>
    <t>Physiotherapy Technology</t>
  </si>
  <si>
    <t>Clinical Dietetics</t>
  </si>
  <si>
    <t>Operation Theater Technology</t>
  </si>
  <si>
    <t>Perfusion Technology</t>
  </si>
  <si>
    <t>OphthalmicÂ  Technology</t>
  </si>
  <si>
    <t>Applied Sciences &amp; Humanities</t>
  </si>
  <si>
    <t>Business Process and Data Analytics</t>
  </si>
  <si>
    <t>Natural Resources Management and Geoinformatics</t>
  </si>
  <si>
    <t>Humanities &amp; Social Sciences</t>
  </si>
  <si>
    <t>Archaeology</t>
  </si>
  <si>
    <t>Human Rights</t>
  </si>
  <si>
    <t>Life Sciences &amp; Health Care</t>
  </si>
  <si>
    <t>Psychology and Behavioral Sciences</t>
  </si>
  <si>
    <t>Hospitality and Tourism Total</t>
  </si>
  <si>
    <t>Journalism &amp; Mass Communication Total</t>
  </si>
  <si>
    <t>Paramedical Science Total</t>
  </si>
  <si>
    <t>33a. State-wise  Out-Turn for different Social Groups</t>
  </si>
  <si>
    <t>33b. State-wise  Out-Turn in PWD and Minority Communities</t>
  </si>
  <si>
    <t>Table 34a.</t>
  </si>
  <si>
    <t>AZERBAIJAN</t>
  </si>
  <si>
    <t>EQUATORIAL GUINEA</t>
  </si>
  <si>
    <t>MALTA</t>
  </si>
  <si>
    <t>GREECE</t>
  </si>
  <si>
    <t>SAINT KITTS AND NEVIS</t>
  </si>
  <si>
    <t xml:space="preserve">Central University </t>
  </si>
  <si>
    <t xml:space="preserve">State Public University </t>
  </si>
  <si>
    <t>Table 9a.</t>
  </si>
  <si>
    <t>2020-21</t>
  </si>
  <si>
    <t>Cultural  Studies</t>
  </si>
  <si>
    <t>No. of College per lakh population</t>
  </si>
  <si>
    <t>Table 4(a).</t>
  </si>
  <si>
    <t>Number of Colleges and Enrolment in responding Colleges at various levels
(Based on Actual Response)</t>
  </si>
  <si>
    <t>Level-wise Enrolment in various types of Universities
(a) Teaching departments and it's Constituent Units/Off-campus Centres</t>
  </si>
  <si>
    <t>Level-wise Enrolment in various types of Universities
(b) Affiliated and Constituent Colleges
(Based on Actual Response)</t>
  </si>
  <si>
    <t>27. Social Group-wise Enrolment in various types of Universities
(a) Teaching departments and it's Constituent Units/Off-campus Centres
(Based on Actual Response)</t>
  </si>
  <si>
    <t>28. PWD and Minority Enrolment in various types of Universities (based on actual response)
(a) Teaching departments and it's Constituent Units/Off-campus Centres
(Based on Actual Response)</t>
  </si>
  <si>
    <t>28. PWD and Minority Enrolment in various types of Universities (based on actual response)
(b) Affiliated and Constituent Colleges
(Based on Actual Response)</t>
  </si>
  <si>
    <t>Post-wise Number of Teachers in various types of Universities 
(Based on Actual Response)
(a) Teaching Departments and it's Constituent Units/Off-campus Centres</t>
  </si>
  <si>
    <t>Post-wise Number of Teachers in various types of Universities 
(Based on Actual Response)
(b) Affiliated and Constituent Colleges</t>
  </si>
  <si>
    <t xml:space="preserve"> Number of Hostels, Intake and Student Residing in various types of Universities
(a) Teaching departments and it's Constituent Units/Off-campus Centres</t>
  </si>
  <si>
    <t xml:space="preserve">Table 1(a). </t>
  </si>
  <si>
    <t>5. Number of Private and Government Colleges
(Based on Actual Response)</t>
  </si>
  <si>
    <t>5(a). Enrolment in Private and Government Colleges
(Based on Actual Response)</t>
  </si>
  <si>
    <t>Specialisation-wise number of Colleges (Based on Actual Response)</t>
  </si>
  <si>
    <t>Enrolment in Universities Teaching Departments and it's Constituent Units/Off-campus Centres
(Based on Actual Response)</t>
  </si>
  <si>
    <t>Programme-wise Enrolment (Based on Actual Response)</t>
  </si>
  <si>
    <t>Programme-wise Enrolment - Distance Mode
(Based on Actual Response)</t>
  </si>
  <si>
    <t>Table 12. Enrolment at Under Graduate Level in Major Disciplines/ Subjects (Based on Actual Response)</t>
  </si>
  <si>
    <t>Table 13. Enrolment at Ph.D., M.Phil. &amp; Post Graduate Level in Major Disciplines/ Subjects (Based on Actual Response)</t>
  </si>
  <si>
    <t>Country-wise &amp; Level-wise Foreign Students
(Based on Actual Response)</t>
  </si>
  <si>
    <t>18. Foreign Students in Different Programmes (Based on Actual Response)</t>
  </si>
  <si>
    <t>State &amp; Post-wise Number of Male &amp; Female Teachers 
(Based on Actual Response)</t>
  </si>
  <si>
    <t>(b). State-wise Number of Non-Teaching staff among Minority Communities &amp; PWD
(Based on Actual response)</t>
  </si>
  <si>
    <t>Social Group-wise Number of Teachers in various types of Universities
(Based on Actual Response)
(a) Teaching Departments and it's Constituent Units/Off-campus Centres</t>
  </si>
  <si>
    <t>Social Group-wise Number of Teachers in various types of Universities (Based on Actual Response)
(b) Affiliated and Constituent Colleges</t>
  </si>
  <si>
    <t>State-wise Out-turn/Pass-Out at various levels
(Based on Actual Response)</t>
  </si>
  <si>
    <t>Table 34. Programme-wise Out-turn/Pass-Out (Based on Actual Response)</t>
  </si>
  <si>
    <t>Table 35. Out-turn/Pass-Out at Under Graduate Level in Major Disciplines/ Subjects
              (Based on Actual Response)</t>
  </si>
  <si>
    <t>Table 36. Out-turn/Pass-Out at Ph.D., M.Phil. &amp; Post Graduate Level in Major Disciplines/ Subjects
                 (Based on Actual Response)</t>
  </si>
  <si>
    <t>Number and Enrolment in different types of Standalone Institutions
(Based on Actual Response)</t>
  </si>
  <si>
    <t>Standalone Institutions</t>
  </si>
  <si>
    <t>Private 
(Un-Aided)</t>
  </si>
  <si>
    <t>Private (Aided)</t>
  </si>
  <si>
    <t>Table 20. Gender Parity Index (GPI) in Higher Education (18-23 Years)</t>
  </si>
  <si>
    <t>Table 25. Pupil Teacher Ratio (PTR) in Higher Education</t>
  </si>
  <si>
    <t>Table 52: Population in the Age Group 18-23 Years during last 5 years</t>
  </si>
  <si>
    <t xml:space="preserve">Madhya Pradesh </t>
  </si>
  <si>
    <t>Tamilnadu</t>
  </si>
  <si>
    <t>University and Its Constituent Units</t>
  </si>
  <si>
    <t>Stand Alone Institutions</t>
  </si>
  <si>
    <t>2021-22</t>
  </si>
  <si>
    <t>Total Number of Institutions Registered and Responded in AISHE 2021-22</t>
  </si>
  <si>
    <t>-</t>
  </si>
  <si>
    <t>Reader / Associate Professor &amp; Equivalent</t>
  </si>
  <si>
    <t>Lecturer / Assistant Professor &amp; Equivalent</t>
  </si>
  <si>
    <t>Demonstrator / Tutor</t>
  </si>
  <si>
    <t xml:space="preserve"> </t>
  </si>
  <si>
    <t>5(b). Number of Colleges Established in 2021 and their Enrolment
(Based on Actual Response)</t>
  </si>
  <si>
    <t>UNITED STATES OF AMERICA</t>
  </si>
  <si>
    <t>UNITED REPUBLIC OF TANZANIA</t>
  </si>
  <si>
    <t>SOUTH SUDAN</t>
  </si>
  <si>
    <t>IRAN (ISLAMIC REPUBLIC OF)</t>
  </si>
  <si>
    <t>UNITED KINGDOM OF GREAT BRITAIN AND NORTHERN IRELAND</t>
  </si>
  <si>
    <t>SUDAN (PRE-SECESSION)</t>
  </si>
  <si>
    <t>CÔTE D'IVOIRE</t>
  </si>
  <si>
    <t>REPUBLIC OF KOREA</t>
  </si>
  <si>
    <t>ÅLAND ISLANDS</t>
  </si>
  <si>
    <t>PALESTINE</t>
  </si>
  <si>
    <t>LIBYA</t>
  </si>
  <si>
    <t>DEMOCRATIC REPUBLIC OF THE CONGO</t>
  </si>
  <si>
    <t>DEMOCRATIC PEOPLE'S REPUBLIC OF KOREA</t>
  </si>
  <si>
    <t>ESWATINI</t>
  </si>
  <si>
    <t>CHINA, HONG KONG SPECIAL ADMINISTRATIVE REGION</t>
  </si>
  <si>
    <t>BRITISH VIRGIN ISLANDS</t>
  </si>
  <si>
    <t>SAMOA</t>
  </si>
  <si>
    <t>JERSEY</t>
  </si>
  <si>
    <t>CZECHIA</t>
  </si>
  <si>
    <t>CABO VERDE</t>
  </si>
  <si>
    <t>CROATIA</t>
  </si>
  <si>
    <t>SLOVENIA</t>
  </si>
  <si>
    <t>COSTA RICA</t>
  </si>
  <si>
    <t>UNITED STATES VIRGIN ISLANDS</t>
  </si>
  <si>
    <t>SINT MAARTEN (DUTCH PART)</t>
  </si>
  <si>
    <t>FRENCH GUIANA</t>
  </si>
  <si>
    <t>KYRGYZSTAN</t>
  </si>
  <si>
    <t>ESTONIA</t>
  </si>
  <si>
    <t>MONTSERRAT</t>
  </si>
  <si>
    <t>NORTHERN MARIANA ISLANDS</t>
  </si>
  <si>
    <t>GRENADA</t>
  </si>
  <si>
    <t>BOSNIA AND HERZEGOVINA</t>
  </si>
  <si>
    <t>BOUVET ISLAND</t>
  </si>
  <si>
    <t>FRENCH SOUTHERN TERRITORIES</t>
  </si>
  <si>
    <t>B.Com.(Hons)-Bachelor of Commerce (Honors)</t>
  </si>
  <si>
    <t>D.O.T.A- Diploma in Operation Theater Assistant</t>
  </si>
  <si>
    <t>B.M.L.T- Bachelor in Medical Lab Technology</t>
  </si>
  <si>
    <t>B.El.Ed.-Bachelor in Elementary Education</t>
  </si>
  <si>
    <t>Mechatronics</t>
  </si>
  <si>
    <t>B.A. M.A.-Bachelor of Arts,Master of Arts</t>
  </si>
  <si>
    <t>B.Ed. M.Ed-Bachelor of Education,Master of Education</t>
  </si>
  <si>
    <t>B.H.M-Bachelor of Hospital Management</t>
  </si>
  <si>
    <t>B.P.O-Bachelor of Prosthetics and Orthotics</t>
  </si>
  <si>
    <t>B.V.A.-Bachelor of Visual Arts</t>
  </si>
  <si>
    <t>B.X.R.T- Bachelor in X-Ray Radiographer Technician</t>
  </si>
  <si>
    <t>D.El.Ed.-Diploma in Elementary Education</t>
  </si>
  <si>
    <t>D.M.L.T - Diploma in Medical Laboratory Technician</t>
  </si>
  <si>
    <t>D.Mus.-Doctor of Music</t>
  </si>
  <si>
    <t>D.O.L.-Doctor of Oriental Learning</t>
  </si>
  <si>
    <t>D.X-ray - Diploma in X-Ray Technician</t>
  </si>
  <si>
    <t>Entrepreneurship</t>
  </si>
  <si>
    <t>Geo Informatics</t>
  </si>
  <si>
    <t>M.P.O-Master in Prosthetics and Orthotics</t>
  </si>
  <si>
    <t>M.Sc.M.Ed.-Master of Science and Master of Education</t>
  </si>
  <si>
    <t>M.V.A.-Master of Visual Arts</t>
  </si>
  <si>
    <t>M.Voc.-Master of Vocational</t>
  </si>
  <si>
    <t>Master in Natural Resources Management and Geoinformatics</t>
  </si>
  <si>
    <t>Samaj Karya Parangat-Samaj Karya Parangat</t>
  </si>
  <si>
    <t>Samaj Vidya Parangat-Samaj Vidya Parangat</t>
  </si>
  <si>
    <t>Vidya Vachaspati-Vidya Vachaspati</t>
  </si>
  <si>
    <t>Table 11(b).</t>
  </si>
  <si>
    <t>S.No.</t>
  </si>
  <si>
    <t>Architecture and Engineering</t>
  </si>
  <si>
    <t>Criminology</t>
  </si>
  <si>
    <t>Aircraft Maintenance Engineering</t>
  </si>
  <si>
    <t>Artificial Intelligence</t>
  </si>
  <si>
    <t>Artificial Intelligence &amp; Data Science</t>
  </si>
  <si>
    <t>Artificial Intelligence &amp; Machine Learning</t>
  </si>
  <si>
    <t>Automation &amp; Robotics</t>
  </si>
  <si>
    <t>Automobile Engineering</t>
  </si>
  <si>
    <t>Civil &amp; Environmental Engineering</t>
  </si>
  <si>
    <t>Computer Science and Design</t>
  </si>
  <si>
    <t>Data Science</t>
  </si>
  <si>
    <t>Electrical &amp; Computer Engineering</t>
  </si>
  <si>
    <t>Electrical and Electronics Engineering</t>
  </si>
  <si>
    <t xml:space="preserve">Electronics and Communication Engineering </t>
  </si>
  <si>
    <t>Food Processing and Preservation</t>
  </si>
  <si>
    <t>Mechanical &amp; Mechatronics Engineering</t>
  </si>
  <si>
    <t>Mechatronics Engineering</t>
  </si>
  <si>
    <t>Oil Technology</t>
  </si>
  <si>
    <t>Petrochemical Technology</t>
  </si>
  <si>
    <t xml:space="preserve">Plastic and Polymer Technology </t>
  </si>
  <si>
    <t>Data Science and Engineering</t>
  </si>
  <si>
    <t>Prosthetics and Orthotics</t>
  </si>
  <si>
    <t>Security Management</t>
  </si>
  <si>
    <t>Area Studies Total</t>
  </si>
  <si>
    <t>Arts Total</t>
  </si>
  <si>
    <t>Criminology and Crime Science</t>
  </si>
  <si>
    <t>Criminology Total</t>
  </si>
  <si>
    <t>Criminology &amp; Forensic Science Total</t>
  </si>
  <si>
    <t>Cultural Studies Total</t>
  </si>
  <si>
    <t>Cyber Security</t>
  </si>
  <si>
    <t>Cyber Security and Forensics</t>
  </si>
  <si>
    <t>Cyber Security Total</t>
  </si>
  <si>
    <t>Security Studies</t>
  </si>
  <si>
    <t>Defence Studies Total</t>
  </si>
  <si>
    <t>Disability Studies</t>
  </si>
  <si>
    <t>Disability Studies_x000D_
 Total</t>
  </si>
  <si>
    <t>Education Total</t>
  </si>
  <si>
    <t>Thermal Engineering</t>
  </si>
  <si>
    <t>Engineering Science</t>
  </si>
  <si>
    <t>Engineering Science Total</t>
  </si>
  <si>
    <t>Fashion Technology Total</t>
  </si>
  <si>
    <t>Fisheries Science Total</t>
  </si>
  <si>
    <t>Forensic Science</t>
  </si>
  <si>
    <t>Forensic Psychology</t>
  </si>
  <si>
    <t>Forensic Science Total</t>
  </si>
  <si>
    <t>Gandhian Studies Total</t>
  </si>
  <si>
    <t>Food Science &amp; Nutrition</t>
  </si>
  <si>
    <t>Library &amp; Information Science Total</t>
  </si>
  <si>
    <t>Linguistics Total</t>
  </si>
  <si>
    <t>FinTech</t>
  </si>
  <si>
    <t>Project Management</t>
  </si>
  <si>
    <t>Marine Science / Oceanography Total</t>
  </si>
  <si>
    <t xml:space="preserve">Oriental Learning </t>
  </si>
  <si>
    <t xml:space="preserve">Philosophy </t>
  </si>
  <si>
    <t>First-Aid And Practical Nursing</t>
  </si>
  <si>
    <t>Psychology Total</t>
  </si>
  <si>
    <t xml:space="preserve">Religious Studies </t>
  </si>
  <si>
    <t>Economic Science</t>
  </si>
  <si>
    <t xml:space="preserve">Mathematics </t>
  </si>
  <si>
    <t>Social Work Total</t>
  </si>
  <si>
    <t>Women Studies Total</t>
  </si>
  <si>
    <t>Central University  Total</t>
  </si>
  <si>
    <t>State Public University  Total</t>
  </si>
  <si>
    <t>State Private University  Total</t>
  </si>
  <si>
    <t>Deemed University-Government  Total</t>
  </si>
  <si>
    <t>Deemed University-Government Aided  Total</t>
  </si>
  <si>
    <t>Deemed University-Private  Total</t>
  </si>
  <si>
    <t>Institute of National Importance  Total</t>
  </si>
  <si>
    <t>Institute under State Legislature Act  Total</t>
  </si>
  <si>
    <t>Table 6(c)</t>
  </si>
  <si>
    <t>Table 37. Number of different types of Institutions attached with University</t>
  </si>
  <si>
    <t>Enrolment by Type in  University teaching departments and it's Constituent Units/Off-campus Centres (Based on Actual Response)</t>
  </si>
  <si>
    <t>A &amp; N Islands</t>
  </si>
  <si>
    <t>D &amp; N Haveli and Daman &amp; Diu</t>
  </si>
  <si>
    <t>Table 38: Population 2021-22 (18-23 YEARS)</t>
  </si>
  <si>
    <t>27. Social Group-wise Enrolment in various types of Universities
(b) Affiliated and Constituent Colleges
(Based on Actual Response)</t>
  </si>
  <si>
    <t>Programmes</t>
  </si>
  <si>
    <t>S.No</t>
  </si>
  <si>
    <t xml:space="preserve">S.No. </t>
  </si>
  <si>
    <t>6. State-wise Enrolment at various levels (including Estimation)</t>
  </si>
  <si>
    <t>State-wise Enrolment through Regular Mode at various levels (including Estimation)</t>
  </si>
  <si>
    <t xml:space="preserve">State-wise  Estimated Enrolment through Private Mode at various levels(Based on Actual Response)
</t>
  </si>
  <si>
    <t>Note - Constituent &amp; Affiliated Colleges of State/Central University not included.</t>
  </si>
  <si>
    <t>Level-wise Enrolment in Standalone Institutions (Based on Actual Response)</t>
  </si>
  <si>
    <t>Table 10. State-wise Enrolment in All Type of Institutions (Including Estimation)</t>
  </si>
  <si>
    <t>Other Backward Class</t>
  </si>
  <si>
    <t>Programme-wise Enrolment - Private Mode 
(Based on Actual Response)</t>
  </si>
  <si>
    <t xml:space="preserve">State-wise Enrolment through Distance Mode at various levels 
</t>
  </si>
  <si>
    <t>14. State-wise  Enrolment for different Social Groups (including Estimation)</t>
  </si>
  <si>
    <t xml:space="preserve"> Programme-wise Out-turn/Pass-Out for different Social Group Categories, PWD, Minority (Based on Actual Response)</t>
  </si>
  <si>
    <t>Average Enrolment per College</t>
  </si>
  <si>
    <t xml:space="preserve">College per Lakh Population </t>
  </si>
  <si>
    <t>Average Enrolment*</t>
  </si>
  <si>
    <t>No. of College registered with AISHE</t>
  </si>
  <si>
    <t>Table 1. States/UTs &amp; Type - Wise Number of Universities registered in AISHE</t>
  </si>
  <si>
    <t>States/UTs &amp; Specialisation-wise Number of Universities
 (Based on Actual Response)</t>
  </si>
  <si>
    <t>Table 3. States/UTs-wise Distribution of Districts in Different Ranges of number of Colleges</t>
  </si>
  <si>
    <t>Number of Universities</t>
  </si>
  <si>
    <t>States/Uts</t>
  </si>
  <si>
    <t>15. State-wise  Enrolment in PWD and Minority Communities (including Estimation)</t>
  </si>
  <si>
    <t xml:space="preserve">                </t>
  </si>
  <si>
    <t>States/UT-wise &amp; Level-wise Foreign Students
(Based on Actual Response)</t>
  </si>
  <si>
    <t>(a). States/UT-wise Number of Teachers among various Social Groups 
(Based on Actual Response)</t>
  </si>
  <si>
    <t>(b). States/UT-wise Number of Teachers among Minority &amp; PWD 
(Based on Actual Response)</t>
  </si>
  <si>
    <t>States/UTs wise number of Teachers in Universities teaching departments and it's Constituent Units/Off-campus Centres (Based on Actual Response)</t>
  </si>
  <si>
    <t>States/UTs and Post-Wise Number of Teachers in Affiliated &amp; Constituent Colleges
(Based on Actual Response)</t>
  </si>
  <si>
    <t>States/UTs &amp; Post-Wise Number of  Non-Teaching staff
(Based on Actual Response)</t>
  </si>
  <si>
    <t>(a). State/UTs-wise Number of Non-Teaching staff among various social groups
(Based on Actual response)</t>
  </si>
  <si>
    <t>*Average Enroment is calculated on the basis of enrolment including estimation</t>
  </si>
  <si>
    <t>Table 4. Number of College per Lakh Population(18-23 years), Average Enrolment per College</t>
  </si>
  <si>
    <t>University Type</t>
  </si>
  <si>
    <t>S.No.
No.</t>
  </si>
  <si>
    <t>Table 19. Gross Enrolment Ratio (GER) in Higher Education (18-23 Years) Based on 2011 Population</t>
  </si>
  <si>
    <t>Table31. State-wise Number of Hostels, Intake and Student Residing
               (Based on Actual Response)</t>
  </si>
  <si>
    <t>A&amp;N Islands</t>
  </si>
  <si>
    <t>The Dadra &amp; Nagar Haveli and Daman &amp; Diu</t>
  </si>
  <si>
    <t>S.
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</si>
</sst>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&quot;-&quot;###0"/>
    <numFmt numFmtId="167" formatCode="0;\-0;;@"/>
    <numFmt numFmtId="168" formatCode="0.0%"/>
  </numFmts>
  <fonts count="1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2"/>
    </font>
    <font>
      <sz val="10"/>
      <color indexed="8"/>
      <name val="SansSerif"/>
    </font>
    <font>
      <b/>
      <sz val="8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b/>
      <sz val="12"/>
      <color indexed="8"/>
      <name val="Cambria"/>
      <family val="1"/>
      <scheme val="major"/>
    </font>
    <font>
      <sz val="12"/>
      <color indexed="8"/>
      <name val="Cambria"/>
      <family val="1"/>
      <scheme val="major"/>
    </font>
    <font>
      <sz val="12"/>
      <name val="Cambria"/>
      <family val="1"/>
      <scheme val="major"/>
    </font>
    <font>
      <b/>
      <sz val="14"/>
      <color indexed="8"/>
      <name val="Cambria"/>
      <family val="1"/>
      <scheme val="major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mbria"/>
      <family val="1"/>
      <scheme val="major"/>
    </font>
    <font>
      <sz val="11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2"/>
      <name val="Palatino Linotype"/>
      <family val="1"/>
    </font>
    <font>
      <b/>
      <sz val="12"/>
      <name val="Cambria"/>
      <family val="1"/>
      <scheme val="maj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b/>
      <sz val="11"/>
      <color indexed="8"/>
      <name val="Cambria"/>
      <family val="1"/>
      <scheme val="major"/>
    </font>
    <font>
      <i/>
      <sz val="10"/>
      <name val="Cambria"/>
      <family val="1"/>
      <scheme val="major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</font>
    <font>
      <b/>
      <sz val="11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i/>
      <sz val="14"/>
      <name val="Times New Roman"/>
      <family val="1"/>
    </font>
    <font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indexed="8"/>
      <name val="Times New Roman"/>
      <family val="1"/>
    </font>
    <font>
      <b/>
      <sz val="11.5"/>
      <color indexed="8"/>
      <name val="Times New Roman"/>
      <family val="1"/>
    </font>
    <font>
      <sz val="11.5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i/>
      <sz val="11"/>
      <name val="Times New Roman"/>
      <family val="1"/>
    </font>
    <font>
      <sz val="10"/>
      <name val="Arial"/>
      <family val="2"/>
    </font>
    <font>
      <b/>
      <sz val="11.5"/>
      <name val="Times New Roman"/>
      <family val="1"/>
    </font>
    <font>
      <b/>
      <sz val="11.5"/>
      <color theme="1"/>
      <name val="Times New Roman"/>
      <family val="1"/>
    </font>
    <font>
      <sz val="11.5"/>
      <color theme="1"/>
      <name val="Times New Roman"/>
      <family val="1"/>
    </font>
    <font>
      <i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1"/>
      <color theme="1"/>
      <name val="Times New Roman"/>
      <family val="1"/>
    </font>
    <font>
      <i/>
      <sz val="8"/>
      <color theme="1"/>
      <name val="Times New Roman"/>
      <family val="1"/>
    </font>
    <font>
      <b/>
      <i/>
      <sz val="8"/>
      <name val="Times New Roman"/>
      <family val="1"/>
    </font>
    <font>
      <i/>
      <sz val="8"/>
      <name val="Times New Roman"/>
      <family val="1"/>
    </font>
    <font>
      <b/>
      <sz val="10.5"/>
      <name val="Times New Roman"/>
      <family val="1"/>
    </font>
    <font>
      <b/>
      <i/>
      <sz val="9"/>
      <name val="Times New Roman"/>
      <family val="1"/>
    </font>
    <font>
      <sz val="10"/>
      <color theme="1"/>
      <name val="Times New Roman"/>
      <family val="1"/>
    </font>
    <font>
      <b/>
      <i/>
      <sz val="8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Arial"/>
      <family val="2"/>
    </font>
    <font>
      <sz val="11"/>
      <name val="Arial"/>
      <family val="2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i/>
      <sz val="9"/>
      <color indexed="8"/>
      <name val="Times New Roman"/>
      <family val="1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color indexed="8"/>
      <name val="Cambria"/>
      <family val="1"/>
      <scheme val="maj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i/>
      <sz val="10"/>
      <name val="Times New Roman"/>
      <family val="1"/>
    </font>
    <font>
      <sz val="11"/>
      <color theme="5" tint="-0.249977111117893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E6CED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09">
    <xf numFmtId="0" fontId="0" fillId="0" borderId="0"/>
    <xf numFmtId="0" fontId="42" fillId="0" borderId="0"/>
    <xf numFmtId="0" fontId="42" fillId="0" borderId="0"/>
    <xf numFmtId="0" fontId="46" fillId="0" borderId="0"/>
    <xf numFmtId="0" fontId="42" fillId="0" borderId="0"/>
    <xf numFmtId="0" fontId="42" fillId="0" borderId="0"/>
    <xf numFmtId="164" fontId="42" fillId="0" borderId="0" applyFont="0" applyFill="0" applyBorder="0" applyAlignment="0" applyProtection="0"/>
    <xf numFmtId="0" fontId="30" fillId="0" borderId="0"/>
    <xf numFmtId="0" fontId="46" fillId="0" borderId="0"/>
    <xf numFmtId="0" fontId="42" fillId="0" borderId="0"/>
    <xf numFmtId="0" fontId="46" fillId="0" borderId="0"/>
    <xf numFmtId="0" fontId="42" fillId="0" borderId="0"/>
    <xf numFmtId="0" fontId="46" fillId="0" borderId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52" fillId="0" borderId="0"/>
    <xf numFmtId="0" fontId="29" fillId="0" borderId="0"/>
    <xf numFmtId="0" fontId="53" fillId="0" borderId="0"/>
    <xf numFmtId="0" fontId="4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4" fillId="0" borderId="0"/>
    <xf numFmtId="0" fontId="55" fillId="0" borderId="0"/>
    <xf numFmtId="0" fontId="27" fillId="0" borderId="0"/>
    <xf numFmtId="9" fontId="53" fillId="0" borderId="0" applyFont="0" applyFill="0" applyBorder="0" applyAlignment="0" applyProtection="0"/>
    <xf numFmtId="0" fontId="42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0" fontId="53" fillId="0" borderId="0"/>
    <xf numFmtId="0" fontId="23" fillId="0" borderId="0"/>
    <xf numFmtId="0" fontId="56" fillId="0" borderId="0"/>
    <xf numFmtId="0" fontId="22" fillId="0" borderId="0"/>
    <xf numFmtId="0" fontId="59" fillId="0" borderId="0"/>
    <xf numFmtId="0" fontId="60" fillId="0" borderId="0"/>
    <xf numFmtId="0" fontId="21" fillId="0" borderId="0"/>
    <xf numFmtId="0" fontId="61" fillId="0" borderId="0"/>
    <xf numFmtId="0" fontId="42" fillId="0" borderId="0"/>
    <xf numFmtId="0" fontId="42" fillId="0" borderId="0"/>
    <xf numFmtId="0" fontId="20" fillId="0" borderId="0"/>
    <xf numFmtId="0" fontId="42" fillId="0" borderId="0"/>
    <xf numFmtId="0" fontId="42" fillId="0" borderId="0"/>
    <xf numFmtId="0" fontId="19" fillId="0" borderId="0"/>
    <xf numFmtId="0" fontId="42" fillId="0" borderId="0"/>
    <xf numFmtId="0" fontId="42" fillId="0" borderId="0"/>
    <xf numFmtId="0" fontId="18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42" fillId="0" borderId="0"/>
    <xf numFmtId="0" fontId="4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9" fontId="8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271">
    <xf numFmtId="0" fontId="0" fillId="0" borderId="0" xfId="0"/>
    <xf numFmtId="0" fontId="0" fillId="2" borderId="0" xfId="0" applyFill="1"/>
    <xf numFmtId="0" fontId="31" fillId="2" borderId="0" xfId="0" applyFont="1" applyFill="1" applyAlignment="1">
      <alignment horizontal="left" vertical="top" wrapText="1"/>
    </xf>
    <xf numFmtId="0" fontId="3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6" fillId="2" borderId="0" xfId="0" applyFont="1" applyFill="1" applyAlignment="1">
      <alignment horizontal="left" vertical="top" wrapText="1"/>
    </xf>
    <xf numFmtId="0" fontId="37" fillId="0" borderId="0" xfId="0" applyFont="1"/>
    <xf numFmtId="0" fontId="35" fillId="2" borderId="2" xfId="0" applyFont="1" applyFill="1" applyBorder="1" applyAlignment="1">
      <alignment horizontal="center" vertical="center" wrapText="1"/>
    </xf>
    <xf numFmtId="0" fontId="36" fillId="2" borderId="2" xfId="0" applyFont="1" applyFill="1" applyBorder="1" applyAlignment="1">
      <alignment horizontal="left" vertical="center" wrapText="1"/>
    </xf>
    <xf numFmtId="0" fontId="35" fillId="2" borderId="3" xfId="0" applyFont="1" applyFill="1" applyBorder="1" applyAlignment="1">
      <alignment vertical="center" wrapText="1"/>
    </xf>
    <xf numFmtId="0" fontId="35" fillId="2" borderId="4" xfId="0" applyFont="1" applyFill="1" applyBorder="1" applyAlignment="1">
      <alignment horizontal="center" vertical="center" wrapText="1"/>
    </xf>
    <xf numFmtId="0" fontId="38" fillId="2" borderId="3" xfId="0" applyFont="1" applyFill="1" applyBorder="1" applyAlignment="1">
      <alignment vertical="center"/>
    </xf>
    <xf numFmtId="0" fontId="35" fillId="2" borderId="0" xfId="0" applyFont="1" applyFill="1" applyAlignment="1">
      <alignment vertical="center" wrapText="1"/>
    </xf>
    <xf numFmtId="0" fontId="38" fillId="2" borderId="0" xfId="0" applyFont="1" applyFill="1" applyAlignment="1">
      <alignment vertical="center"/>
    </xf>
    <xf numFmtId="0" fontId="35" fillId="2" borderId="2" xfId="0" applyFont="1" applyFill="1" applyBorder="1" applyAlignment="1">
      <alignment horizontal="center" vertical="center" textRotation="90" wrapText="1"/>
    </xf>
    <xf numFmtId="0" fontId="36" fillId="2" borderId="2" xfId="0" applyFont="1" applyFill="1" applyBorder="1" applyAlignment="1">
      <alignment horizontal="right" vertical="center" wrapText="1" indent="1"/>
    </xf>
    <xf numFmtId="0" fontId="35" fillId="2" borderId="2" xfId="0" applyFont="1" applyFill="1" applyBorder="1" applyAlignment="1">
      <alignment horizontal="right" vertical="center" wrapText="1" indent="1"/>
    </xf>
    <xf numFmtId="0" fontId="36" fillId="2" borderId="2" xfId="0" applyFont="1" applyFill="1" applyBorder="1" applyAlignment="1">
      <alignment horizontal="right" vertical="center" wrapText="1" indent="3"/>
    </xf>
    <xf numFmtId="165" fontId="36" fillId="2" borderId="2" xfId="0" applyNumberFormat="1" applyFont="1" applyFill="1" applyBorder="1" applyAlignment="1">
      <alignment horizontal="right" vertical="top" wrapText="1" indent="3"/>
    </xf>
    <xf numFmtId="165" fontId="36" fillId="2" borderId="2" xfId="0" applyNumberFormat="1" applyFont="1" applyFill="1" applyBorder="1" applyAlignment="1">
      <alignment horizontal="right" vertical="center" wrapText="1" indent="3"/>
    </xf>
    <xf numFmtId="0" fontId="35" fillId="2" borderId="2" xfId="0" applyFont="1" applyFill="1" applyBorder="1" applyAlignment="1">
      <alignment horizontal="right" vertical="center" wrapText="1" indent="3"/>
    </xf>
    <xf numFmtId="165" fontId="35" fillId="2" borderId="2" xfId="0" applyNumberFormat="1" applyFont="1" applyFill="1" applyBorder="1" applyAlignment="1">
      <alignment horizontal="right" vertical="center" wrapText="1" indent="3"/>
    </xf>
    <xf numFmtId="0" fontId="38" fillId="2" borderId="3" xfId="0" applyFont="1" applyFill="1" applyBorder="1" applyAlignment="1">
      <alignment horizontal="right" vertical="center"/>
    </xf>
    <xf numFmtId="0" fontId="39" fillId="3" borderId="5" xfId="0" applyFont="1" applyFill="1" applyBorder="1" applyAlignment="1">
      <alignment horizontal="left" vertical="center" wrapText="1"/>
    </xf>
    <xf numFmtId="0" fontId="39" fillId="3" borderId="5" xfId="0" applyFont="1" applyFill="1" applyBorder="1" applyAlignment="1">
      <alignment horizontal="right" vertical="center" wrapText="1"/>
    </xf>
    <xf numFmtId="0" fontId="40" fillId="3" borderId="5" xfId="0" applyFont="1" applyFill="1" applyBorder="1" applyAlignment="1">
      <alignment horizontal="center" vertical="center" wrapText="1"/>
    </xf>
    <xf numFmtId="0" fontId="43" fillId="0" borderId="0" xfId="0" applyFont="1"/>
    <xf numFmtId="0" fontId="43" fillId="0" borderId="0" xfId="0" applyFont="1" applyAlignment="1">
      <alignment vertical="center"/>
    </xf>
    <xf numFmtId="0" fontId="43" fillId="0" borderId="2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7" fillId="4" borderId="2" xfId="0" applyFont="1" applyFill="1" applyBorder="1" applyAlignment="1">
      <alignment horizontal="center" vertical="center" wrapText="1"/>
    </xf>
    <xf numFmtId="0" fontId="43" fillId="5" borderId="0" xfId="0" applyFont="1" applyFill="1" applyAlignment="1">
      <alignment horizontal="center"/>
    </xf>
    <xf numFmtId="0" fontId="43" fillId="0" borderId="2" xfId="0" applyFont="1" applyBorder="1" applyAlignment="1">
      <alignment vertical="center" wrapText="1"/>
    </xf>
    <xf numFmtId="0" fontId="43" fillId="0" borderId="2" xfId="0" applyFont="1" applyBorder="1" applyAlignment="1">
      <alignment horizontal="right" vertical="center"/>
    </xf>
    <xf numFmtId="0" fontId="45" fillId="0" borderId="2" xfId="0" applyFont="1" applyBorder="1" applyAlignment="1">
      <alignment vertical="center"/>
    </xf>
    <xf numFmtId="0" fontId="45" fillId="0" borderId="2" xfId="0" applyFont="1" applyBorder="1" applyAlignment="1">
      <alignment horizontal="right" vertical="center"/>
    </xf>
    <xf numFmtId="0" fontId="45" fillId="0" borderId="0" xfId="0" applyFont="1"/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right"/>
    </xf>
    <xf numFmtId="165" fontId="43" fillId="0" borderId="0" xfId="0" applyNumberFormat="1" applyFont="1" applyAlignment="1">
      <alignment horizontal="center"/>
    </xf>
    <xf numFmtId="0" fontId="47" fillId="4" borderId="4" xfId="0" applyFont="1" applyFill="1" applyBorder="1" applyAlignment="1">
      <alignment vertical="center" wrapText="1"/>
    </xf>
    <xf numFmtId="165" fontId="43" fillId="0" borderId="0" xfId="0" applyNumberFormat="1" applyFont="1" applyAlignment="1">
      <alignment vertical="center"/>
    </xf>
    <xf numFmtId="0" fontId="43" fillId="0" borderId="0" xfId="1" applyFont="1"/>
    <xf numFmtId="0" fontId="43" fillId="0" borderId="0" xfId="1" applyFont="1" applyAlignment="1">
      <alignment horizontal="left"/>
    </xf>
    <xf numFmtId="0" fontId="48" fillId="6" borderId="6" xfId="0" applyFont="1" applyFill="1" applyBorder="1" applyAlignment="1">
      <alignment horizontal="center" wrapText="1"/>
    </xf>
    <xf numFmtId="0" fontId="48" fillId="6" borderId="7" xfId="0" applyFont="1" applyFill="1" applyBorder="1" applyAlignment="1">
      <alignment horizontal="center" wrapText="1"/>
    </xf>
    <xf numFmtId="0" fontId="48" fillId="6" borderId="7" xfId="0" applyFont="1" applyFill="1" applyBorder="1" applyAlignment="1">
      <alignment horizontal="center" vertical="top" wrapText="1"/>
    </xf>
    <xf numFmtId="0" fontId="42" fillId="0" borderId="0" xfId="5" applyAlignment="1">
      <alignment vertical="center"/>
    </xf>
    <xf numFmtId="0" fontId="49" fillId="7" borderId="2" xfId="4" applyFont="1" applyFill="1" applyBorder="1" applyAlignment="1">
      <alignment horizontal="center" vertical="center" wrapText="1"/>
    </xf>
    <xf numFmtId="0" fontId="37" fillId="0" borderId="2" xfId="4" applyFont="1" applyBorder="1" applyAlignment="1">
      <alignment horizontal="center" vertical="center"/>
    </xf>
    <xf numFmtId="0" fontId="37" fillId="0" borderId="2" xfId="4" applyFont="1" applyBorder="1" applyAlignment="1">
      <alignment vertical="center" wrapText="1"/>
    </xf>
    <xf numFmtId="0" fontId="37" fillId="0" borderId="2" xfId="5" applyFont="1" applyBorder="1" applyAlignment="1">
      <alignment horizontal="right" vertical="center" indent="2"/>
    </xf>
    <xf numFmtId="0" fontId="49" fillId="0" borderId="0" xfId="0" applyFont="1" applyAlignment="1">
      <alignment horizontal="right" vertical="center"/>
    </xf>
    <xf numFmtId="0" fontId="49" fillId="0" borderId="0" xfId="0" applyFont="1" applyAlignment="1">
      <alignment vertical="center"/>
    </xf>
    <xf numFmtId="0" fontId="51" fillId="0" borderId="0" xfId="5" applyFont="1"/>
    <xf numFmtId="0" fontId="50" fillId="0" borderId="0" xfId="5" applyFont="1" applyAlignment="1">
      <alignment vertical="top"/>
    </xf>
    <xf numFmtId="0" fontId="43" fillId="0" borderId="2" xfId="4" applyFont="1" applyBorder="1" applyAlignment="1">
      <alignment vertical="center" wrapText="1"/>
    </xf>
    <xf numFmtId="0" fontId="43" fillId="0" borderId="2" xfId="4" applyFont="1" applyBorder="1" applyAlignment="1">
      <alignment vertical="center"/>
    </xf>
    <xf numFmtId="0" fontId="43" fillId="0" borderId="2" xfId="4" applyFont="1" applyBorder="1" applyAlignment="1">
      <alignment horizontal="left" vertical="center" wrapText="1"/>
    </xf>
    <xf numFmtId="0" fontId="49" fillId="0" borderId="3" xfId="4" applyFont="1" applyBorder="1" applyAlignment="1">
      <alignment vertical="center" wrapText="1"/>
    </xf>
    <xf numFmtId="0" fontId="49" fillId="0" borderId="3" xfId="4" applyFont="1" applyBorder="1" applyAlignment="1">
      <alignment horizontal="left" vertical="center"/>
    </xf>
    <xf numFmtId="0" fontId="42" fillId="0" borderId="0" xfId="5" applyAlignment="1">
      <alignment horizontal="center" vertical="center"/>
    </xf>
    <xf numFmtId="0" fontId="37" fillId="0" borderId="2" xfId="5" applyFont="1" applyBorder="1" applyAlignment="1">
      <alignment horizontal="center" vertical="center"/>
    </xf>
    <xf numFmtId="0" fontId="37" fillId="0" borderId="0" xfId="1" applyFont="1" applyAlignment="1">
      <alignment vertical="center"/>
    </xf>
    <xf numFmtId="0" fontId="43" fillId="0" borderId="0" xfId="1" applyFont="1" applyAlignment="1">
      <alignment horizontal="center" vertical="center" wrapText="1"/>
    </xf>
    <xf numFmtId="0" fontId="43" fillId="0" borderId="2" xfId="1" applyFont="1" applyBorder="1" applyAlignment="1">
      <alignment vertical="center"/>
    </xf>
    <xf numFmtId="0" fontId="43" fillId="0" borderId="0" xfId="1" applyFont="1" applyAlignment="1">
      <alignment vertical="center"/>
    </xf>
    <xf numFmtId="0" fontId="44" fillId="2" borderId="2" xfId="1" applyFont="1" applyFill="1" applyBorder="1" applyAlignment="1">
      <alignment horizontal="left" vertical="center" wrapText="1"/>
    </xf>
    <xf numFmtId="0" fontId="61" fillId="0" borderId="0" xfId="40"/>
    <xf numFmtId="0" fontId="43" fillId="0" borderId="2" xfId="1" applyFont="1" applyBorder="1" applyAlignment="1">
      <alignment horizontal="center" vertical="center"/>
    </xf>
    <xf numFmtId="0" fontId="45" fillId="8" borderId="2" xfId="1" applyFont="1" applyFill="1" applyBorder="1" applyAlignment="1">
      <alignment horizontal="center" vertical="center" wrapText="1"/>
    </xf>
    <xf numFmtId="0" fontId="47" fillId="10" borderId="2" xfId="0" applyFont="1" applyFill="1" applyBorder="1" applyAlignment="1">
      <alignment horizontal="center" vertical="center" textRotation="90" wrapText="1"/>
    </xf>
    <xf numFmtId="0" fontId="45" fillId="8" borderId="2" xfId="1" applyFont="1" applyFill="1" applyBorder="1" applyAlignment="1">
      <alignment horizontal="center" vertical="center" textRotation="90" wrapText="1"/>
    </xf>
    <xf numFmtId="167" fontId="63" fillId="0" borderId="2" xfId="0" applyNumberFormat="1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167" fontId="65" fillId="0" borderId="2" xfId="0" applyNumberFormat="1" applyFont="1" applyBorder="1" applyAlignment="1">
      <alignment horizontal="center" vertical="center"/>
    </xf>
    <xf numFmtId="0" fontId="66" fillId="0" borderId="2" xfId="0" applyFont="1" applyBorder="1" applyAlignment="1">
      <alignment horizontal="center" vertical="center"/>
    </xf>
    <xf numFmtId="167" fontId="43" fillId="0" borderId="2" xfId="4" applyNumberFormat="1" applyFont="1" applyBorder="1" applyAlignment="1">
      <alignment horizontal="center" vertical="center"/>
    </xf>
    <xf numFmtId="167" fontId="45" fillId="0" borderId="2" xfId="4" applyNumberFormat="1" applyFont="1" applyBorder="1" applyAlignment="1">
      <alignment horizontal="center" vertical="center"/>
    </xf>
    <xf numFmtId="0" fontId="65" fillId="0" borderId="0" xfId="5" applyFont="1" applyAlignment="1">
      <alignment vertical="top"/>
    </xf>
    <xf numFmtId="0" fontId="63" fillId="0" borderId="0" xfId="5" applyFont="1" applyAlignment="1">
      <alignment horizontal="right" vertical="top"/>
    </xf>
    <xf numFmtId="0" fontId="63" fillId="8" borderId="2" xfId="2" applyFont="1" applyFill="1" applyBorder="1" applyAlignment="1">
      <alignment horizontal="center" vertical="center" wrapText="1"/>
    </xf>
    <xf numFmtId="0" fontId="63" fillId="0" borderId="0" xfId="2" applyFont="1" applyAlignment="1">
      <alignment vertical="center" wrapText="1"/>
    </xf>
    <xf numFmtId="0" fontId="63" fillId="8" borderId="2" xfId="2" applyFont="1" applyFill="1" applyBorder="1" applyAlignment="1">
      <alignment vertical="center" wrapText="1"/>
    </xf>
    <xf numFmtId="0" fontId="63" fillId="8" borderId="2" xfId="2" applyFont="1" applyFill="1" applyBorder="1" applyAlignment="1">
      <alignment horizontal="center" vertical="center"/>
    </xf>
    <xf numFmtId="0" fontId="65" fillId="0" borderId="0" xfId="2" applyFont="1" applyAlignment="1">
      <alignment vertical="center"/>
    </xf>
    <xf numFmtId="0" fontId="65" fillId="0" borderId="2" xfId="2" applyFont="1" applyBorder="1" applyAlignment="1">
      <alignment horizontal="center" vertical="center"/>
    </xf>
    <xf numFmtId="0" fontId="63" fillId="0" borderId="2" xfId="2" applyFont="1" applyBorder="1" applyAlignment="1">
      <alignment vertical="center" wrapText="1"/>
    </xf>
    <xf numFmtId="0" fontId="63" fillId="0" borderId="2" xfId="2" applyFont="1" applyBorder="1" applyAlignment="1">
      <alignment vertical="center"/>
    </xf>
    <xf numFmtId="0" fontId="63" fillId="0" borderId="2" xfId="1" applyFont="1" applyBorder="1" applyAlignment="1">
      <alignment vertical="center"/>
    </xf>
    <xf numFmtId="0" fontId="63" fillId="0" borderId="0" xfId="2" applyFont="1" applyAlignment="1">
      <alignment vertical="center"/>
    </xf>
    <xf numFmtId="0" fontId="65" fillId="0" borderId="0" xfId="2" applyFont="1" applyAlignment="1">
      <alignment wrapText="1"/>
    </xf>
    <xf numFmtId="0" fontId="65" fillId="0" borderId="0" xfId="2" applyFont="1"/>
    <xf numFmtId="0" fontId="63" fillId="0" borderId="2" xfId="1" applyFont="1" applyBorder="1" applyAlignment="1">
      <alignment vertical="center" wrapText="1"/>
    </xf>
    <xf numFmtId="0" fontId="65" fillId="0" borderId="0" xfId="0" applyFont="1"/>
    <xf numFmtId="0" fontId="63" fillId="0" borderId="0" xfId="0" applyFont="1" applyAlignment="1">
      <alignment horizontal="right" vertical="center"/>
    </xf>
    <xf numFmtId="0" fontId="63" fillId="0" borderId="0" xfId="0" applyFont="1" applyAlignment="1">
      <alignment vertical="center"/>
    </xf>
    <xf numFmtId="0" fontId="63" fillId="8" borderId="2" xfId="0" applyFont="1" applyFill="1" applyBorder="1" applyAlignment="1">
      <alignment horizontal="center" vertical="center" wrapText="1"/>
    </xf>
    <xf numFmtId="167" fontId="65" fillId="0" borderId="0" xfId="0" applyNumberFormat="1" applyFont="1"/>
    <xf numFmtId="0" fontId="65" fillId="0" borderId="0" xfId="1" applyFont="1" applyAlignment="1">
      <alignment vertical="top"/>
    </xf>
    <xf numFmtId="0" fontId="75" fillId="0" borderId="2" xfId="1" applyFont="1" applyBorder="1" applyAlignment="1">
      <alignment horizontal="center" vertical="center"/>
    </xf>
    <xf numFmtId="0" fontId="65" fillId="0" borderId="0" xfId="1" applyFont="1"/>
    <xf numFmtId="0" fontId="74" fillId="0" borderId="0" xfId="1" applyFont="1" applyAlignment="1">
      <alignment horizontal="center" vertical="center"/>
    </xf>
    <xf numFmtId="0" fontId="76" fillId="2" borderId="0" xfId="1" applyFont="1" applyFill="1" applyAlignment="1">
      <alignment horizontal="right" vertical="top"/>
    </xf>
    <xf numFmtId="0" fontId="74" fillId="0" borderId="0" xfId="1" applyFont="1" applyAlignment="1">
      <alignment vertical="top"/>
    </xf>
    <xf numFmtId="0" fontId="72" fillId="8" borderId="2" xfId="1" applyFont="1" applyFill="1" applyBorder="1" applyAlignment="1">
      <alignment horizontal="center" vertical="center" wrapText="1"/>
    </xf>
    <xf numFmtId="0" fontId="76" fillId="8" borderId="2" xfId="1" applyFont="1" applyFill="1" applyBorder="1" applyAlignment="1">
      <alignment horizontal="center" vertical="center" wrapText="1"/>
    </xf>
    <xf numFmtId="0" fontId="77" fillId="10" borderId="2" xfId="1" applyFont="1" applyFill="1" applyBorder="1" applyAlignment="1">
      <alignment horizontal="center" vertical="center" textRotation="90" wrapText="1"/>
    </xf>
    <xf numFmtId="0" fontId="74" fillId="8" borderId="0" xfId="1" applyFont="1" applyFill="1"/>
    <xf numFmtId="0" fontId="76" fillId="2" borderId="2" xfId="1" applyFont="1" applyFill="1" applyBorder="1" applyAlignment="1">
      <alignment horizontal="left" vertical="center" wrapText="1"/>
    </xf>
    <xf numFmtId="0" fontId="74" fillId="0" borderId="0" xfId="1" applyFont="1"/>
    <xf numFmtId="0" fontId="72" fillId="0" borderId="2" xfId="1" applyFont="1" applyBorder="1" applyAlignment="1">
      <alignment vertical="center"/>
    </xf>
    <xf numFmtId="0" fontId="70" fillId="0" borderId="0" xfId="5" applyFont="1" applyAlignment="1">
      <alignment vertical="center"/>
    </xf>
    <xf numFmtId="0" fontId="70" fillId="0" borderId="2" xfId="0" applyFont="1" applyBorder="1" applyAlignment="1">
      <alignment horizontal="center" vertical="center"/>
    </xf>
    <xf numFmtId="1" fontId="70" fillId="0" borderId="2" xfId="0" applyNumberFormat="1" applyFont="1" applyBorder="1" applyAlignment="1">
      <alignment horizontal="center" vertical="center"/>
    </xf>
    <xf numFmtId="0" fontId="68" fillId="0" borderId="2" xfId="0" applyFont="1" applyBorder="1" applyAlignment="1">
      <alignment horizontal="center" vertical="center"/>
    </xf>
    <xf numFmtId="1" fontId="68" fillId="0" borderId="2" xfId="0" applyNumberFormat="1" applyFont="1" applyBorder="1" applyAlignment="1">
      <alignment horizontal="center" vertical="center"/>
    </xf>
    <xf numFmtId="1" fontId="70" fillId="0" borderId="0" xfId="5" applyNumberFormat="1" applyFont="1" applyAlignment="1">
      <alignment horizontal="center" vertical="center"/>
    </xf>
    <xf numFmtId="0" fontId="74" fillId="0" borderId="0" xfId="5" applyFont="1" applyAlignment="1">
      <alignment vertical="center"/>
    </xf>
    <xf numFmtId="0" fontId="75" fillId="5" borderId="0" xfId="1" applyFont="1" applyFill="1" applyAlignment="1">
      <alignment horizontal="center"/>
    </xf>
    <xf numFmtId="0" fontId="80" fillId="10" borderId="11" xfId="1" applyFont="1" applyFill="1" applyBorder="1" applyAlignment="1">
      <alignment horizontal="center" vertical="center" wrapText="1"/>
    </xf>
    <xf numFmtId="0" fontId="73" fillId="0" borderId="2" xfId="1" applyFont="1" applyBorder="1" applyAlignment="1">
      <alignment vertical="center" wrapText="1"/>
    </xf>
    <xf numFmtId="1" fontId="75" fillId="0" borderId="2" xfId="1" applyNumberFormat="1" applyFont="1" applyBorder="1" applyAlignment="1">
      <alignment horizontal="center" vertical="center"/>
    </xf>
    <xf numFmtId="0" fontId="75" fillId="0" borderId="2" xfId="1" applyFont="1" applyBorder="1" applyAlignment="1">
      <alignment horizontal="right" vertical="center"/>
    </xf>
    <xf numFmtId="0" fontId="75" fillId="0" borderId="0" xfId="1" applyFont="1" applyAlignment="1">
      <alignment vertical="center"/>
    </xf>
    <xf numFmtId="0" fontId="73" fillId="0" borderId="2" xfId="1" applyFont="1" applyBorder="1" applyAlignment="1">
      <alignment horizontal="center" vertical="center"/>
    </xf>
    <xf numFmtId="0" fontId="73" fillId="0" borderId="2" xfId="1" applyFont="1" applyBorder="1" applyAlignment="1">
      <alignment horizontal="right" vertical="center"/>
    </xf>
    <xf numFmtId="0" fontId="73" fillId="0" borderId="0" xfId="1" applyFont="1" applyAlignment="1">
      <alignment vertical="center"/>
    </xf>
    <xf numFmtId="0" fontId="75" fillId="0" borderId="0" xfId="1" applyFont="1"/>
    <xf numFmtId="0" fontId="65" fillId="0" borderId="0" xfId="5" applyFont="1"/>
    <xf numFmtId="0" fontId="63" fillId="0" borderId="0" xfId="5" applyFont="1" applyAlignment="1">
      <alignment vertical="top"/>
    </xf>
    <xf numFmtId="0" fontId="63" fillId="0" borderId="0" xfId="1" applyFont="1" applyAlignment="1">
      <alignment vertical="center" wrapText="1"/>
    </xf>
    <xf numFmtId="0" fontId="63" fillId="8" borderId="2" xfId="1" applyFont="1" applyFill="1" applyBorder="1" applyAlignment="1">
      <alignment horizontal="center" vertical="center"/>
    </xf>
    <xf numFmtId="0" fontId="65" fillId="0" borderId="0" xfId="1" applyFont="1" applyAlignment="1">
      <alignment vertical="center"/>
    </xf>
    <xf numFmtId="0" fontId="69" fillId="0" borderId="11" xfId="0" applyFont="1" applyBorder="1" applyAlignment="1">
      <alignment horizontal="center" vertical="center" wrapText="1"/>
    </xf>
    <xf numFmtId="0" fontId="65" fillId="0" borderId="0" xfId="0" applyFont="1" applyAlignment="1">
      <alignment vertical="center"/>
    </xf>
    <xf numFmtId="0" fontId="63" fillId="0" borderId="0" xfId="1" applyFont="1" applyAlignment="1">
      <alignment vertical="center"/>
    </xf>
    <xf numFmtId="0" fontId="73" fillId="0" borderId="0" xfId="1" applyFont="1" applyAlignment="1">
      <alignment vertical="center" wrapText="1"/>
    </xf>
    <xf numFmtId="0" fontId="69" fillId="0" borderId="11" xfId="1" applyFont="1" applyBorder="1" applyAlignment="1">
      <alignment horizontal="center" vertical="center" wrapText="1"/>
    </xf>
    <xf numFmtId="0" fontId="69" fillId="0" borderId="0" xfId="1" applyFont="1" applyAlignment="1">
      <alignment vertical="center"/>
    </xf>
    <xf numFmtId="0" fontId="73" fillId="0" borderId="2" xfId="1" applyFont="1" applyBorder="1" applyAlignment="1">
      <alignment vertical="center"/>
    </xf>
    <xf numFmtId="0" fontId="74" fillId="0" borderId="0" xfId="5" applyFont="1"/>
    <xf numFmtId="0" fontId="72" fillId="0" borderId="0" xfId="5" applyFont="1" applyAlignment="1">
      <alignment vertical="center" wrapText="1"/>
    </xf>
    <xf numFmtId="0" fontId="78" fillId="0" borderId="0" xfId="5" applyFont="1" applyAlignment="1">
      <alignment vertical="center"/>
    </xf>
    <xf numFmtId="0" fontId="72" fillId="0" borderId="0" xfId="5" applyFont="1" applyAlignment="1">
      <alignment vertical="center"/>
    </xf>
    <xf numFmtId="0" fontId="71" fillId="0" borderId="11" xfId="2" applyFont="1" applyBorder="1" applyAlignment="1">
      <alignment horizontal="center" vertical="center" wrapText="1"/>
    </xf>
    <xf numFmtId="1" fontId="67" fillId="0" borderId="2" xfId="81" applyNumberFormat="1" applyFont="1" applyBorder="1" applyAlignment="1">
      <alignment horizontal="center" vertical="center"/>
    </xf>
    <xf numFmtId="1" fontId="75" fillId="0" borderId="2" xfId="38" applyNumberFormat="1" applyFont="1" applyBorder="1" applyAlignment="1">
      <alignment horizontal="center" vertical="center"/>
    </xf>
    <xf numFmtId="0" fontId="75" fillId="0" borderId="2" xfId="0" applyFont="1" applyBorder="1" applyAlignment="1">
      <alignment horizontal="center" vertical="center"/>
    </xf>
    <xf numFmtId="0" fontId="81" fillId="8" borderId="2" xfId="1" applyFont="1" applyFill="1" applyBorder="1" applyAlignment="1">
      <alignment horizontal="center" vertical="center" wrapText="1"/>
    </xf>
    <xf numFmtId="0" fontId="75" fillId="8" borderId="0" xfId="55" applyFont="1" applyFill="1" applyAlignment="1">
      <alignment vertical="center"/>
    </xf>
    <xf numFmtId="0" fontId="75" fillId="0" borderId="0" xfId="55" applyFont="1" applyAlignment="1">
      <alignment vertical="center"/>
    </xf>
    <xf numFmtId="0" fontId="73" fillId="0" borderId="0" xfId="55" applyFont="1" applyAlignment="1">
      <alignment vertical="center"/>
    </xf>
    <xf numFmtId="0" fontId="75" fillId="0" borderId="0" xfId="55" applyFont="1" applyAlignment="1">
      <alignment horizontal="center" vertical="center"/>
    </xf>
    <xf numFmtId="0" fontId="63" fillId="0" borderId="0" xfId="41" applyFont="1" applyAlignment="1">
      <alignment horizontal="right" vertical="top"/>
    </xf>
    <xf numFmtId="0" fontId="65" fillId="0" borderId="0" xfId="55" applyFont="1" applyAlignment="1">
      <alignment vertical="center"/>
    </xf>
    <xf numFmtId="0" fontId="81" fillId="8" borderId="2" xfId="48" applyFont="1" applyFill="1" applyBorder="1" applyAlignment="1">
      <alignment horizontal="center" vertical="center" wrapText="1"/>
    </xf>
    <xf numFmtId="0" fontId="73" fillId="8" borderId="0" xfId="55" applyFont="1" applyFill="1" applyAlignment="1">
      <alignment vertical="center"/>
    </xf>
    <xf numFmtId="167" fontId="83" fillId="2" borderId="2" xfId="1" applyNumberFormat="1" applyFont="1" applyFill="1" applyBorder="1" applyAlignment="1">
      <alignment horizontal="center" vertical="center" wrapText="1"/>
    </xf>
    <xf numFmtId="0" fontId="73" fillId="0" borderId="2" xfId="1" applyFont="1" applyBorder="1" applyAlignment="1">
      <alignment horizontal="left" vertical="center" wrapText="1"/>
    </xf>
    <xf numFmtId="0" fontId="73" fillId="0" borderId="2" xfId="48" applyFont="1" applyBorder="1" applyAlignment="1">
      <alignment horizontal="left" vertical="center" wrapText="1"/>
    </xf>
    <xf numFmtId="0" fontId="81" fillId="2" borderId="2" xfId="1" applyFont="1" applyFill="1" applyBorder="1" applyAlignment="1">
      <alignment horizontal="center" vertical="center" wrapText="1"/>
    </xf>
    <xf numFmtId="167" fontId="81" fillId="2" borderId="2" xfId="1" applyNumberFormat="1" applyFont="1" applyFill="1" applyBorder="1" applyAlignment="1">
      <alignment horizontal="center" vertical="center" wrapText="1"/>
    </xf>
    <xf numFmtId="0" fontId="73" fillId="0" borderId="2" xfId="0" applyFont="1" applyBorder="1" applyAlignment="1">
      <alignment horizontal="center" vertical="center"/>
    </xf>
    <xf numFmtId="0" fontId="67" fillId="0" borderId="2" xfId="0" applyFont="1" applyBorder="1" applyAlignment="1">
      <alignment horizontal="center" vertical="center"/>
    </xf>
    <xf numFmtId="0" fontId="65" fillId="0" borderId="2" xfId="0" applyFont="1" applyBorder="1" applyAlignment="1">
      <alignment horizontal="center" vertical="center"/>
    </xf>
    <xf numFmtId="0" fontId="65" fillId="0" borderId="0" xfId="4" applyFont="1" applyAlignment="1">
      <alignment vertical="center"/>
    </xf>
    <xf numFmtId="0" fontId="63" fillId="8" borderId="2" xfId="0" applyFont="1" applyFill="1" applyBorder="1" applyAlignment="1">
      <alignment horizontal="center" vertical="center"/>
    </xf>
    <xf numFmtId="0" fontId="75" fillId="8" borderId="0" xfId="55" applyFont="1" applyFill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3" fillId="0" borderId="0" xfId="55" applyFont="1" applyAlignment="1">
      <alignment horizontal="center" vertical="center"/>
    </xf>
    <xf numFmtId="0" fontId="65" fillId="0" borderId="0" xfId="7" applyFont="1" applyAlignment="1">
      <alignment vertical="top"/>
    </xf>
    <xf numFmtId="0" fontId="63" fillId="0" borderId="0" xfId="0" applyFont="1" applyAlignment="1">
      <alignment vertical="center" wrapText="1"/>
    </xf>
    <xf numFmtId="0" fontId="63" fillId="0" borderId="2" xfId="0" applyFont="1" applyBorder="1" applyAlignment="1">
      <alignment vertical="center" wrapText="1"/>
    </xf>
    <xf numFmtId="0" fontId="63" fillId="0" borderId="2" xfId="0" applyFont="1" applyBorder="1" applyAlignment="1">
      <alignment vertical="center"/>
    </xf>
    <xf numFmtId="167" fontId="75" fillId="0" borderId="2" xfId="0" applyNumberFormat="1" applyFont="1" applyBorder="1" applyAlignment="1">
      <alignment horizontal="center" vertical="center"/>
    </xf>
    <xf numFmtId="167" fontId="73" fillId="0" borderId="2" xfId="0" applyNumberFormat="1" applyFont="1" applyBorder="1" applyAlignment="1">
      <alignment horizontal="center" vertical="center"/>
    </xf>
    <xf numFmtId="0" fontId="63" fillId="0" borderId="0" xfId="7" applyFont="1" applyAlignment="1">
      <alignment vertical="top"/>
    </xf>
    <xf numFmtId="0" fontId="68" fillId="0" borderId="2" xfId="0" applyFont="1" applyBorder="1" applyAlignment="1">
      <alignment horizontal="left" vertical="center"/>
    </xf>
    <xf numFmtId="0" fontId="67" fillId="5" borderId="2" xfId="0" applyFont="1" applyFill="1" applyBorder="1" applyAlignment="1">
      <alignment horizontal="center" vertical="center"/>
    </xf>
    <xf numFmtId="0" fontId="64" fillId="0" borderId="0" xfId="54" applyFont="1" applyAlignment="1">
      <alignment vertical="center"/>
    </xf>
    <xf numFmtId="0" fontId="65" fillId="0" borderId="0" xfId="54" applyFont="1" applyAlignment="1">
      <alignment vertical="top"/>
    </xf>
    <xf numFmtId="0" fontId="73" fillId="8" borderId="2" xfId="54" applyFont="1" applyFill="1" applyBorder="1" applyAlignment="1">
      <alignment horizontal="center" vertical="center"/>
    </xf>
    <xf numFmtId="0" fontId="73" fillId="0" borderId="0" xfId="54" applyFont="1" applyAlignment="1">
      <alignment horizontal="center" vertical="center"/>
    </xf>
    <xf numFmtId="0" fontId="75" fillId="0" borderId="0" xfId="54" applyFont="1" applyAlignment="1">
      <alignment vertical="center"/>
    </xf>
    <xf numFmtId="0" fontId="73" fillId="0" borderId="2" xfId="54" applyFont="1" applyBorder="1" applyAlignment="1">
      <alignment horizontal="left" vertical="center" wrapText="1"/>
    </xf>
    <xf numFmtId="0" fontId="75" fillId="0" borderId="0" xfId="54" applyFont="1" applyAlignment="1">
      <alignment vertical="center" wrapText="1"/>
    </xf>
    <xf numFmtId="0" fontId="75" fillId="0" borderId="0" xfId="54" applyFont="1"/>
    <xf numFmtId="0" fontId="73" fillId="0" borderId="2" xfId="54" applyFont="1" applyBorder="1" applyAlignment="1">
      <alignment horizontal="center" vertical="center"/>
    </xf>
    <xf numFmtId="0" fontId="73" fillId="0" borderId="0" xfId="54" applyFont="1"/>
    <xf numFmtId="0" fontId="75" fillId="0" borderId="0" xfId="54" applyFont="1" applyAlignment="1">
      <alignment wrapText="1"/>
    </xf>
    <xf numFmtId="0" fontId="73" fillId="8" borderId="2" xfId="38" applyFont="1" applyFill="1" applyBorder="1" applyAlignment="1">
      <alignment horizontal="center" vertical="center"/>
    </xf>
    <xf numFmtId="0" fontId="73" fillId="0" borderId="0" xfId="38" applyFont="1" applyAlignment="1">
      <alignment vertical="center" wrapText="1"/>
    </xf>
    <xf numFmtId="0" fontId="75" fillId="0" borderId="0" xfId="38" applyFont="1" applyAlignment="1">
      <alignment vertical="center"/>
    </xf>
    <xf numFmtId="0" fontId="73" fillId="0" borderId="2" xfId="38" applyFont="1" applyBorder="1" applyAlignment="1">
      <alignment vertical="center" wrapText="1"/>
    </xf>
    <xf numFmtId="0" fontId="73" fillId="0" borderId="2" xfId="38" applyFont="1" applyBorder="1" applyAlignment="1">
      <alignment vertical="center"/>
    </xf>
    <xf numFmtId="0" fontId="73" fillId="0" borderId="0" xfId="38" applyFont="1" applyAlignment="1">
      <alignment vertical="center"/>
    </xf>
    <xf numFmtId="0" fontId="75" fillId="0" borderId="0" xfId="38" applyFont="1"/>
    <xf numFmtId="165" fontId="67" fillId="0" borderId="2" xfId="0" applyNumberFormat="1" applyFont="1" applyBorder="1" applyAlignment="1">
      <alignment horizontal="center" vertical="center"/>
    </xf>
    <xf numFmtId="165" fontId="68" fillId="0" borderId="2" xfId="0" applyNumberFormat="1" applyFont="1" applyBorder="1" applyAlignment="1">
      <alignment horizontal="center" vertical="center"/>
    </xf>
    <xf numFmtId="2" fontId="67" fillId="0" borderId="2" xfId="83" applyNumberFormat="1" applyFont="1" applyBorder="1" applyAlignment="1">
      <alignment horizontal="center" vertical="center"/>
    </xf>
    <xf numFmtId="2" fontId="68" fillId="0" borderId="2" xfId="83" applyNumberFormat="1" applyFont="1" applyBorder="1" applyAlignment="1">
      <alignment horizontal="center" vertical="center"/>
    </xf>
    <xf numFmtId="0" fontId="65" fillId="0" borderId="0" xfId="1" applyFont="1" applyAlignment="1">
      <alignment horizontal="center" vertical="center"/>
    </xf>
    <xf numFmtId="0" fontId="63" fillId="0" borderId="0" xfId="1" applyFont="1"/>
    <xf numFmtId="0" fontId="75" fillId="8" borderId="0" xfId="1" applyFont="1" applyFill="1" applyAlignment="1">
      <alignment vertical="center"/>
    </xf>
    <xf numFmtId="0" fontId="73" fillId="8" borderId="0" xfId="1" applyFont="1" applyFill="1" applyAlignment="1">
      <alignment vertical="center"/>
    </xf>
    <xf numFmtId="0" fontId="87" fillId="0" borderId="2" xfId="0" applyFont="1" applyBorder="1" applyAlignment="1">
      <alignment horizontal="center" vertical="center"/>
    </xf>
    <xf numFmtId="0" fontId="75" fillId="8" borderId="0" xfId="5" applyFont="1" applyFill="1" applyAlignment="1">
      <alignment vertical="center"/>
    </xf>
    <xf numFmtId="0" fontId="73" fillId="0" borderId="2" xfId="5" applyFont="1" applyBorder="1" applyAlignment="1">
      <alignment horizontal="left" vertical="center" wrapText="1"/>
    </xf>
    <xf numFmtId="0" fontId="83" fillId="2" borderId="2" xfId="47" applyFont="1" applyFill="1" applyBorder="1" applyAlignment="1">
      <alignment horizontal="center" vertical="center" wrapText="1"/>
    </xf>
    <xf numFmtId="0" fontId="75" fillId="0" borderId="2" xfId="5" applyFont="1" applyBorder="1" applyAlignment="1">
      <alignment horizontal="center" vertical="center"/>
    </xf>
    <xf numFmtId="0" fontId="75" fillId="0" borderId="0" xfId="5" applyFont="1" applyAlignment="1">
      <alignment vertical="center"/>
    </xf>
    <xf numFmtId="0" fontId="81" fillId="2" borderId="2" xfId="5" applyFont="1" applyFill="1" applyBorder="1" applyAlignment="1">
      <alignment horizontal="center" vertical="center" wrapText="1"/>
    </xf>
    <xf numFmtId="0" fontId="73" fillId="0" borderId="0" xfId="5" applyFont="1" applyAlignment="1">
      <alignment vertical="center"/>
    </xf>
    <xf numFmtId="0" fontId="63" fillId="0" borderId="0" xfId="45" applyFont="1" applyAlignment="1">
      <alignment horizontal="center" vertical="center" wrapText="1"/>
    </xf>
    <xf numFmtId="0" fontId="75" fillId="7" borderId="0" xfId="45" applyFont="1" applyFill="1"/>
    <xf numFmtId="0" fontId="73" fillId="8" borderId="2" xfId="45" applyFont="1" applyFill="1" applyBorder="1" applyAlignment="1">
      <alignment horizontal="center" vertical="center" wrapText="1"/>
    </xf>
    <xf numFmtId="0" fontId="73" fillId="0" borderId="2" xfId="45" applyFont="1" applyBorder="1" applyAlignment="1">
      <alignment vertical="center" wrapText="1"/>
    </xf>
    <xf numFmtId="167" fontId="75" fillId="0" borderId="2" xfId="45" applyNumberFormat="1" applyFont="1" applyBorder="1" applyAlignment="1">
      <alignment horizontal="center" vertical="center"/>
    </xf>
    <xf numFmtId="1" fontId="75" fillId="0" borderId="0" xfId="45" applyNumberFormat="1" applyFont="1" applyAlignment="1">
      <alignment vertical="center"/>
    </xf>
    <xf numFmtId="0" fontId="75" fillId="0" borderId="0" xfId="45" applyFont="1" applyAlignment="1">
      <alignment vertical="center"/>
    </xf>
    <xf numFmtId="0" fontId="73" fillId="0" borderId="2" xfId="45" applyFont="1" applyBorder="1" applyAlignment="1">
      <alignment vertical="center"/>
    </xf>
    <xf numFmtId="0" fontId="81" fillId="0" borderId="2" xfId="45" applyFont="1" applyBorder="1" applyAlignment="1">
      <alignment vertical="center"/>
    </xf>
    <xf numFmtId="0" fontId="73" fillId="0" borderId="2" xfId="48" applyFont="1" applyBorder="1" applyAlignment="1">
      <alignment vertical="center" wrapText="1"/>
    </xf>
    <xf numFmtId="0" fontId="73" fillId="0" borderId="2" xfId="56" applyFont="1" applyBorder="1" applyAlignment="1">
      <alignment horizontal="left" vertical="center" wrapText="1"/>
    </xf>
    <xf numFmtId="167" fontId="73" fillId="0" borderId="2" xfId="45" applyNumberFormat="1" applyFont="1" applyBorder="1" applyAlignment="1">
      <alignment horizontal="center" vertical="center"/>
    </xf>
    <xf numFmtId="0" fontId="73" fillId="7" borderId="0" xfId="45" applyFont="1" applyFill="1" applyAlignment="1">
      <alignment vertical="center"/>
    </xf>
    <xf numFmtId="0" fontId="88" fillId="0" borderId="0" xfId="45" applyFont="1"/>
    <xf numFmtId="0" fontId="75" fillId="0" borderId="0" xfId="45" applyFont="1"/>
    <xf numFmtId="0" fontId="73" fillId="8" borderId="2" xfId="5" applyFont="1" applyFill="1" applyBorder="1" applyAlignment="1">
      <alignment horizontal="center" vertical="center"/>
    </xf>
    <xf numFmtId="0" fontId="75" fillId="8" borderId="0" xfId="17" applyFont="1" applyFill="1"/>
    <xf numFmtId="0" fontId="63" fillId="0" borderId="2" xfId="5" applyFont="1" applyBorder="1" applyAlignment="1">
      <alignment vertical="center" wrapText="1"/>
    </xf>
    <xf numFmtId="0" fontId="65" fillId="0" borderId="0" xfId="28" applyFont="1" applyAlignment="1">
      <alignment vertical="top"/>
    </xf>
    <xf numFmtId="0" fontId="73" fillId="8" borderId="2" xfId="28" applyFont="1" applyFill="1" applyBorder="1" applyAlignment="1">
      <alignment horizontal="center" vertical="center" wrapText="1"/>
    </xf>
    <xf numFmtId="0" fontId="75" fillId="0" borderId="0" xfId="28" applyFont="1" applyAlignment="1">
      <alignment vertical="center"/>
    </xf>
    <xf numFmtId="0" fontId="87" fillId="0" borderId="0" xfId="28" applyFont="1" applyAlignment="1">
      <alignment vertical="center"/>
    </xf>
    <xf numFmtId="9" fontId="65" fillId="0" borderId="2" xfId="84" applyFont="1" applyBorder="1" applyAlignment="1">
      <alignment horizontal="center" vertical="center"/>
    </xf>
    <xf numFmtId="9" fontId="63" fillId="0" borderId="2" xfId="84" applyFont="1" applyBorder="1" applyAlignment="1">
      <alignment horizontal="center" vertical="center"/>
    </xf>
    <xf numFmtId="167" fontId="74" fillId="0" borderId="0" xfId="5" applyNumberFormat="1" applyFont="1"/>
    <xf numFmtId="0" fontId="73" fillId="8" borderId="2" xfId="5" applyFont="1" applyFill="1" applyBorder="1" applyAlignment="1">
      <alignment horizontal="center" vertical="center" wrapText="1"/>
    </xf>
    <xf numFmtId="0" fontId="73" fillId="0" borderId="0" xfId="5" applyFont="1"/>
    <xf numFmtId="0" fontId="73" fillId="0" borderId="0" xfId="5" applyFont="1" applyAlignment="1">
      <alignment vertical="center" wrapText="1"/>
    </xf>
    <xf numFmtId="0" fontId="73" fillId="0" borderId="0" xfId="5" applyFont="1" applyAlignment="1">
      <alignment horizontal="center" vertical="center"/>
    </xf>
    <xf numFmtId="0" fontId="73" fillId="0" borderId="2" xfId="5" applyFont="1" applyBorder="1" applyAlignment="1">
      <alignment vertical="center" wrapText="1"/>
    </xf>
    <xf numFmtId="0" fontId="73" fillId="0" borderId="2" xfId="5" applyFont="1" applyBorder="1" applyAlignment="1">
      <alignment vertical="center"/>
    </xf>
    <xf numFmtId="0" fontId="73" fillId="0" borderId="2" xfId="5" applyFont="1" applyBorder="1" applyAlignment="1">
      <alignment horizontal="center" vertical="center"/>
    </xf>
    <xf numFmtId="0" fontId="87" fillId="8" borderId="2" xfId="5" applyFont="1" applyFill="1" applyBorder="1" applyAlignment="1">
      <alignment horizontal="center" vertical="center" wrapText="1"/>
    </xf>
    <xf numFmtId="0" fontId="87" fillId="8" borderId="2" xfId="5" applyFont="1" applyFill="1" applyBorder="1" applyAlignment="1">
      <alignment horizontal="center" vertical="center"/>
    </xf>
    <xf numFmtId="0" fontId="87" fillId="0" borderId="0" xfId="5" applyFont="1" applyAlignment="1">
      <alignment horizontal="center" vertical="center"/>
    </xf>
    <xf numFmtId="0" fontId="79" fillId="0" borderId="0" xfId="54" applyFont="1" applyAlignment="1">
      <alignment vertical="center"/>
    </xf>
    <xf numFmtId="0" fontId="92" fillId="8" borderId="0" xfId="54" applyFont="1" applyFill="1" applyAlignment="1">
      <alignment vertical="center"/>
    </xf>
    <xf numFmtId="0" fontId="90" fillId="8" borderId="2" xfId="41" applyFont="1" applyFill="1" applyBorder="1" applyAlignment="1">
      <alignment horizontal="center" vertical="center"/>
    </xf>
    <xf numFmtId="0" fontId="92" fillId="8" borderId="0" xfId="54" applyFont="1" applyFill="1" applyAlignment="1">
      <alignment vertical="center" wrapText="1"/>
    </xf>
    <xf numFmtId="0" fontId="93" fillId="0" borderId="2" xfId="54" applyFont="1" applyBorder="1" applyAlignment="1">
      <alignment horizontal="center" vertical="center" wrapText="1"/>
    </xf>
    <xf numFmtId="0" fontId="93" fillId="0" borderId="0" xfId="54" applyFont="1" applyAlignment="1">
      <alignment vertical="center" wrapText="1"/>
    </xf>
    <xf numFmtId="0" fontId="70" fillId="0" borderId="2" xfId="0" applyFont="1" applyBorder="1"/>
    <xf numFmtId="0" fontId="67" fillId="0" borderId="0" xfId="54" applyFont="1" applyAlignment="1">
      <alignment vertical="center"/>
    </xf>
    <xf numFmtId="0" fontId="68" fillId="0" borderId="2" xfId="0" applyFont="1" applyBorder="1" applyAlignment="1">
      <alignment horizontal="center"/>
    </xf>
    <xf numFmtId="0" fontId="67" fillId="0" borderId="0" xfId="54" applyFont="1" applyAlignment="1">
      <alignment vertical="center" wrapText="1"/>
    </xf>
    <xf numFmtId="0" fontId="70" fillId="0" borderId="2" xfId="0" applyFont="1" applyBorder="1" applyAlignment="1">
      <alignment wrapText="1"/>
    </xf>
    <xf numFmtId="0" fontId="68" fillId="8" borderId="2" xfId="54" applyFont="1" applyFill="1" applyBorder="1" applyAlignment="1">
      <alignment horizontal="center" vertical="center" wrapText="1"/>
    </xf>
    <xf numFmtId="0" fontId="73" fillId="8" borderId="2" xfId="41" applyFont="1" applyFill="1" applyBorder="1" applyAlignment="1">
      <alignment horizontal="center" vertical="center"/>
    </xf>
    <xf numFmtId="0" fontId="67" fillId="0" borderId="2" xfId="54" applyFont="1" applyBorder="1" applyAlignment="1">
      <alignment horizontal="center" vertical="center"/>
    </xf>
    <xf numFmtId="0" fontId="67" fillId="0" borderId="2" xfId="54" applyFont="1" applyBorder="1" applyAlignment="1">
      <alignment vertical="center"/>
    </xf>
    <xf numFmtId="0" fontId="68" fillId="0" borderId="2" xfId="54" applyFont="1" applyBorder="1" applyAlignment="1">
      <alignment horizontal="center" vertical="center"/>
    </xf>
    <xf numFmtId="0" fontId="68" fillId="0" borderId="0" xfId="54" applyFont="1" applyAlignment="1">
      <alignment vertical="center"/>
    </xf>
    <xf numFmtId="0" fontId="67" fillId="0" borderId="0" xfId="54" applyFont="1" applyAlignment="1">
      <alignment horizontal="center" vertical="center"/>
    </xf>
    <xf numFmtId="0" fontId="68" fillId="0" borderId="2" xfId="54" applyFont="1" applyBorder="1" applyAlignment="1">
      <alignment vertical="center"/>
    </xf>
    <xf numFmtId="0" fontId="68" fillId="8" borderId="2" xfId="54" applyFont="1" applyFill="1" applyBorder="1" applyAlignment="1">
      <alignment horizontal="center" vertical="center"/>
    </xf>
    <xf numFmtId="0" fontId="94" fillId="0" borderId="2" xfId="54" applyFont="1" applyBorder="1" applyAlignment="1">
      <alignment horizontal="center" vertical="center" wrapText="1"/>
    </xf>
    <xf numFmtId="0" fontId="75" fillId="0" borderId="2" xfId="0" applyFont="1" applyBorder="1" applyAlignment="1">
      <alignment vertical="center"/>
    </xf>
    <xf numFmtId="0" fontId="75" fillId="0" borderId="2" xfId="0" applyFont="1" applyBorder="1" applyAlignment="1">
      <alignment horizontal="left" vertical="center"/>
    </xf>
    <xf numFmtId="0" fontId="68" fillId="0" borderId="2" xfId="0" applyFont="1" applyBorder="1" applyAlignment="1">
      <alignment vertical="center"/>
    </xf>
    <xf numFmtId="0" fontId="68" fillId="0" borderId="0" xfId="54" applyFont="1" applyAlignment="1">
      <alignment horizontal="center" vertical="center"/>
    </xf>
    <xf numFmtId="0" fontId="96" fillId="0" borderId="2" xfId="41" applyFont="1" applyBorder="1" applyAlignment="1">
      <alignment horizontal="center" vertical="center"/>
    </xf>
    <xf numFmtId="0" fontId="68" fillId="0" borderId="2" xfId="41" applyFont="1" applyBorder="1" applyAlignment="1">
      <alignment vertical="center"/>
    </xf>
    <xf numFmtId="0" fontId="75" fillId="0" borderId="2" xfId="41" applyFont="1" applyBorder="1" applyAlignment="1">
      <alignment horizontal="left" vertical="center" wrapText="1"/>
    </xf>
    <xf numFmtId="167" fontId="75" fillId="0" borderId="2" xfId="41" applyNumberFormat="1" applyFont="1" applyBorder="1" applyAlignment="1">
      <alignment horizontal="center" vertical="center" wrapText="1"/>
    </xf>
    <xf numFmtId="167" fontId="68" fillId="0" borderId="2" xfId="41" applyNumberFormat="1" applyFont="1" applyBorder="1" applyAlignment="1">
      <alignment horizontal="center" vertical="center" wrapText="1"/>
    </xf>
    <xf numFmtId="0" fontId="67" fillId="0" borderId="2" xfId="41" applyFont="1" applyBorder="1" applyAlignment="1">
      <alignment vertical="center" wrapText="1"/>
    </xf>
    <xf numFmtId="0" fontId="68" fillId="0" borderId="2" xfId="41" applyFont="1" applyBorder="1" applyAlignment="1">
      <alignment vertical="top"/>
    </xf>
    <xf numFmtId="167" fontId="73" fillId="0" borderId="2" xfId="41" applyNumberFormat="1" applyFont="1" applyBorder="1" applyAlignment="1">
      <alignment horizontal="center" vertical="center" wrapText="1"/>
    </xf>
    <xf numFmtId="167" fontId="67" fillId="0" borderId="2" xfId="41" applyNumberFormat="1" applyFont="1" applyBorder="1" applyAlignment="1">
      <alignment horizontal="center" vertical="center" wrapText="1"/>
    </xf>
    <xf numFmtId="0" fontId="67" fillId="0" borderId="2" xfId="41" applyFont="1" applyBorder="1" applyAlignment="1">
      <alignment vertical="center"/>
    </xf>
    <xf numFmtId="0" fontId="68" fillId="0" borderId="2" xfId="41" applyFont="1" applyBorder="1" applyAlignment="1">
      <alignment vertical="center" wrapText="1"/>
    </xf>
    <xf numFmtId="0" fontId="73" fillId="0" borderId="2" xfId="41" applyFont="1" applyBorder="1" applyAlignment="1">
      <alignment horizontal="left" vertical="center" wrapText="1"/>
    </xf>
    <xf numFmtId="0" fontId="75" fillId="0" borderId="2" xfId="41" applyFont="1" applyBorder="1" applyAlignment="1">
      <alignment vertical="center"/>
    </xf>
    <xf numFmtId="167" fontId="67" fillId="4" borderId="2" xfId="41" applyNumberFormat="1" applyFont="1" applyFill="1" applyBorder="1" applyAlignment="1">
      <alignment horizontal="center" vertical="center" wrapText="1"/>
    </xf>
    <xf numFmtId="167" fontId="67" fillId="0" borderId="2" xfId="54" applyNumberFormat="1" applyFont="1" applyBorder="1" applyAlignment="1">
      <alignment horizontal="center" vertical="center"/>
    </xf>
    <xf numFmtId="167" fontId="67" fillId="0" borderId="2" xfId="54" applyNumberFormat="1" applyFont="1" applyBorder="1" applyAlignment="1">
      <alignment horizontal="center" vertical="center" wrapText="1"/>
    </xf>
    <xf numFmtId="167" fontId="68" fillId="0" borderId="2" xfId="54" applyNumberFormat="1" applyFont="1" applyBorder="1" applyAlignment="1">
      <alignment horizontal="center" vertical="center"/>
    </xf>
    <xf numFmtId="0" fontId="65" fillId="0" borderId="0" xfId="4" applyFont="1"/>
    <xf numFmtId="0" fontId="73" fillId="8" borderId="2" xfId="4" applyFont="1" applyFill="1" applyBorder="1" applyAlignment="1">
      <alignment horizontal="center" vertical="center" wrapText="1"/>
    </xf>
    <xf numFmtId="0" fontId="75" fillId="0" borderId="0" xfId="4" applyFont="1"/>
    <xf numFmtId="0" fontId="75" fillId="0" borderId="2" xfId="1" applyFont="1" applyBorder="1" applyAlignment="1">
      <alignment vertical="center"/>
    </xf>
    <xf numFmtId="0" fontId="73" fillId="7" borderId="0" xfId="4" applyFont="1" applyFill="1" applyAlignment="1">
      <alignment vertical="center"/>
    </xf>
    <xf numFmtId="0" fontId="63" fillId="0" borderId="0" xfId="9" applyFont="1" applyAlignment="1">
      <alignment horizontal="center" vertical="center" wrapText="1"/>
    </xf>
    <xf numFmtId="0" fontId="73" fillId="8" borderId="2" xfId="9" applyFont="1" applyFill="1" applyBorder="1" applyAlignment="1">
      <alignment horizontal="center" vertical="center" wrapText="1"/>
    </xf>
    <xf numFmtId="0" fontId="73" fillId="8" borderId="2" xfId="9" applyFont="1" applyFill="1" applyBorder="1" applyAlignment="1">
      <alignment horizontal="center" vertical="center" wrapText="1" shrinkToFit="1"/>
    </xf>
    <xf numFmtId="0" fontId="73" fillId="8" borderId="2" xfId="9" applyFont="1" applyFill="1" applyBorder="1" applyAlignment="1">
      <alignment horizontal="center" vertical="center"/>
    </xf>
    <xf numFmtId="0" fontId="75" fillId="7" borderId="0" xfId="9" applyFont="1" applyFill="1"/>
    <xf numFmtId="0" fontId="75" fillId="0" borderId="0" xfId="9" applyFont="1" applyAlignment="1">
      <alignment vertical="center"/>
    </xf>
    <xf numFmtId="0" fontId="73" fillId="7" borderId="0" xfId="9" applyFont="1" applyFill="1" applyAlignment="1">
      <alignment vertical="center"/>
    </xf>
    <xf numFmtId="0" fontId="88" fillId="0" borderId="0" xfId="9" applyFont="1"/>
    <xf numFmtId="0" fontId="75" fillId="0" borderId="0" xfId="9" applyFont="1"/>
    <xf numFmtId="0" fontId="75" fillId="8" borderId="0" xfId="5" applyFont="1" applyFill="1"/>
    <xf numFmtId="0" fontId="75" fillId="0" borderId="0" xfId="5" applyFont="1"/>
    <xf numFmtId="0" fontId="73" fillId="8" borderId="2" xfId="48" applyFont="1" applyFill="1" applyBorder="1" applyAlignment="1">
      <alignment horizontal="center" vertical="center"/>
    </xf>
    <xf numFmtId="0" fontId="67" fillId="8" borderId="0" xfId="54" applyFont="1" applyFill="1" applyAlignment="1">
      <alignment vertical="center" wrapText="1"/>
    </xf>
    <xf numFmtId="0" fontId="70" fillId="0" borderId="2" xfId="0" applyFont="1" applyBorder="1" applyAlignment="1">
      <alignment horizontal="left"/>
    </xf>
    <xf numFmtId="0" fontId="68" fillId="0" borderId="2" xfId="0" applyFont="1" applyBorder="1"/>
    <xf numFmtId="0" fontId="67" fillId="8" borderId="0" xfId="54" applyFont="1" applyFill="1" applyAlignment="1">
      <alignment vertical="center"/>
    </xf>
    <xf numFmtId="0" fontId="93" fillId="0" borderId="2" xfId="54" applyFont="1" applyBorder="1" applyAlignment="1">
      <alignment horizontal="center" vertical="center"/>
    </xf>
    <xf numFmtId="0" fontId="93" fillId="0" borderId="0" xfId="54" applyFont="1" applyAlignment="1">
      <alignment vertical="center"/>
    </xf>
    <xf numFmtId="0" fontId="68" fillId="0" borderId="0" xfId="0" applyFont="1" applyAlignment="1">
      <alignment horizontal="center"/>
    </xf>
    <xf numFmtId="0" fontId="68" fillId="0" borderId="0" xfId="0" applyFont="1"/>
    <xf numFmtId="0" fontId="68" fillId="0" borderId="0" xfId="0" applyFont="1" applyAlignment="1">
      <alignment horizontal="center" vertical="center"/>
    </xf>
    <xf numFmtId="0" fontId="67" fillId="0" borderId="2" xfId="0" applyFont="1" applyBorder="1"/>
    <xf numFmtId="0" fontId="98" fillId="0" borderId="0" xfId="54" applyFont="1" applyAlignment="1">
      <alignment vertical="center" wrapText="1"/>
    </xf>
    <xf numFmtId="167" fontId="98" fillId="0" borderId="2" xfId="54" applyNumberFormat="1" applyFont="1" applyBorder="1" applyAlignment="1">
      <alignment horizontal="center" vertical="center" wrapText="1"/>
    </xf>
    <xf numFmtId="167" fontId="98" fillId="0" borderId="2" xfId="54" applyNumberFormat="1" applyFont="1" applyBorder="1" applyAlignment="1">
      <alignment vertical="center" wrapText="1"/>
    </xf>
    <xf numFmtId="167" fontId="67" fillId="0" borderId="2" xfId="54" applyNumberFormat="1" applyFont="1" applyBorder="1" applyAlignment="1">
      <alignment vertical="top" wrapText="1"/>
    </xf>
    <xf numFmtId="167" fontId="67" fillId="0" borderId="2" xfId="54" applyNumberFormat="1" applyFont="1" applyBorder="1" applyAlignment="1">
      <alignment vertical="center" wrapText="1"/>
    </xf>
    <xf numFmtId="0" fontId="63" fillId="0" borderId="0" xfId="1" applyFont="1" applyAlignment="1">
      <alignment vertical="top"/>
    </xf>
    <xf numFmtId="0" fontId="87" fillId="0" borderId="0" xfId="1" applyFont="1" applyAlignment="1">
      <alignment horizontal="center" vertical="center" textRotation="90" wrapText="1"/>
    </xf>
    <xf numFmtId="167" fontId="75" fillId="0" borderId="2" xfId="1" applyNumberFormat="1" applyFont="1" applyBorder="1" applyAlignment="1">
      <alignment horizontal="center" vertical="center"/>
    </xf>
    <xf numFmtId="167" fontId="73" fillId="12" borderId="2" xfId="1" applyNumberFormat="1" applyFont="1" applyFill="1" applyBorder="1" applyAlignment="1">
      <alignment horizontal="center" vertical="center"/>
    </xf>
    <xf numFmtId="0" fontId="75" fillId="0" borderId="0" xfId="1" applyFont="1" applyAlignment="1">
      <alignment vertical="center" wrapText="1"/>
    </xf>
    <xf numFmtId="0" fontId="67" fillId="0" borderId="0" xfId="69" applyFont="1"/>
    <xf numFmtId="0" fontId="73" fillId="8" borderId="8" xfId="4" applyFont="1" applyFill="1" applyBorder="1" applyAlignment="1">
      <alignment horizontal="center" vertical="center" wrapText="1"/>
    </xf>
    <xf numFmtId="0" fontId="63" fillId="8" borderId="0" xfId="5" applyFont="1" applyFill="1" applyAlignment="1">
      <alignment vertical="center" wrapText="1"/>
    </xf>
    <xf numFmtId="0" fontId="65" fillId="8" borderId="0" xfId="5" applyFont="1" applyFill="1" applyAlignment="1">
      <alignment vertical="center"/>
    </xf>
    <xf numFmtId="0" fontId="69" fillId="0" borderId="11" xfId="5" applyFont="1" applyBorder="1" applyAlignment="1">
      <alignment horizontal="center" vertical="center" wrapText="1"/>
    </xf>
    <xf numFmtId="0" fontId="65" fillId="0" borderId="0" xfId="5" applyFont="1" applyAlignment="1">
      <alignment vertical="center"/>
    </xf>
    <xf numFmtId="0" fontId="63" fillId="0" borderId="2" xfId="5" applyFont="1" applyBorder="1" applyAlignment="1">
      <alignment vertical="center"/>
    </xf>
    <xf numFmtId="0" fontId="63" fillId="0" borderId="0" xfId="5" applyFont="1" applyAlignment="1">
      <alignment vertical="center"/>
    </xf>
    <xf numFmtId="0" fontId="71" fillId="0" borderId="0" xfId="17" applyFont="1"/>
    <xf numFmtId="0" fontId="71" fillId="0" borderId="0" xfId="17" applyFont="1" applyAlignment="1">
      <alignment horizontal="right"/>
    </xf>
    <xf numFmtId="0" fontId="65" fillId="0" borderId="0" xfId="5" applyFont="1" applyAlignment="1">
      <alignment horizontal="right"/>
    </xf>
    <xf numFmtId="0" fontId="75" fillId="0" borderId="2" xfId="5" applyFont="1" applyBorder="1" applyAlignment="1">
      <alignment horizontal="right" vertical="center"/>
    </xf>
    <xf numFmtId="1" fontId="75" fillId="0" borderId="2" xfId="4" applyNumberFormat="1" applyFont="1" applyBorder="1" applyAlignment="1">
      <alignment vertical="center"/>
    </xf>
    <xf numFmtId="0" fontId="75" fillId="0" borderId="2" xfId="5" applyFont="1" applyBorder="1" applyAlignment="1">
      <alignment vertical="center"/>
    </xf>
    <xf numFmtId="0" fontId="75" fillId="0" borderId="11" xfId="5" applyFont="1" applyBorder="1" applyAlignment="1">
      <alignment vertical="center"/>
    </xf>
    <xf numFmtId="0" fontId="75" fillId="0" borderId="17" xfId="5" applyFont="1" applyBorder="1" applyAlignment="1">
      <alignment vertical="center"/>
    </xf>
    <xf numFmtId="167" fontId="75" fillId="0" borderId="11" xfId="5" applyNumberFormat="1" applyFont="1" applyBorder="1" applyAlignment="1">
      <alignment horizontal="right" vertical="center"/>
    </xf>
    <xf numFmtId="167" fontId="75" fillId="0" borderId="17" xfId="5" applyNumberFormat="1" applyFont="1" applyBorder="1" applyAlignment="1">
      <alignment horizontal="right" vertical="center"/>
    </xf>
    <xf numFmtId="167" fontId="75" fillId="0" borderId="2" xfId="5" applyNumberFormat="1" applyFont="1" applyBorder="1" applyAlignment="1">
      <alignment horizontal="right" vertical="center"/>
    </xf>
    <xf numFmtId="167" fontId="75" fillId="0" borderId="11" xfId="5" applyNumberFormat="1" applyFont="1" applyBorder="1" applyAlignment="1">
      <alignment vertical="center"/>
    </xf>
    <xf numFmtId="1" fontId="75" fillId="0" borderId="2" xfId="5" applyNumberFormat="1" applyFont="1" applyBorder="1" applyAlignment="1">
      <alignment horizontal="right" vertical="center"/>
    </xf>
    <xf numFmtId="1" fontId="75" fillId="0" borderId="10" xfId="5" applyNumberFormat="1" applyFont="1" applyBorder="1" applyAlignment="1">
      <alignment horizontal="right" vertical="center"/>
    </xf>
    <xf numFmtId="1" fontId="75" fillId="0" borderId="2" xfId="5" applyNumberFormat="1" applyFont="1" applyBorder="1" applyAlignment="1">
      <alignment vertical="center"/>
    </xf>
    <xf numFmtId="167" fontId="75" fillId="0" borderId="10" xfId="5" applyNumberFormat="1" applyFont="1" applyBorder="1" applyAlignment="1">
      <alignment horizontal="right" vertical="center"/>
    </xf>
    <xf numFmtId="167" fontId="75" fillId="0" borderId="2" xfId="5" applyNumberFormat="1" applyFont="1" applyBorder="1" applyAlignment="1">
      <alignment vertical="center"/>
    </xf>
    <xf numFmtId="0" fontId="75" fillId="0" borderId="10" xfId="5" applyFont="1" applyBorder="1" applyAlignment="1">
      <alignment horizontal="right" vertical="center"/>
    </xf>
    <xf numFmtId="0" fontId="75" fillId="0" borderId="9" xfId="41" applyFont="1" applyBorder="1" applyAlignment="1">
      <alignment horizontal="right" vertical="center"/>
    </xf>
    <xf numFmtId="0" fontId="75" fillId="0" borderId="9" xfId="41" applyFont="1" applyBorder="1" applyAlignment="1">
      <alignment vertical="center"/>
    </xf>
    <xf numFmtId="0" fontId="75" fillId="0" borderId="10" xfId="41" applyFont="1" applyBorder="1" applyAlignment="1">
      <alignment vertical="center"/>
    </xf>
    <xf numFmtId="0" fontId="75" fillId="0" borderId="2" xfId="41" applyFont="1" applyBorder="1" applyAlignment="1">
      <alignment horizontal="right" vertical="center"/>
    </xf>
    <xf numFmtId="0" fontId="83" fillId="2" borderId="2" xfId="5" applyFont="1" applyFill="1" applyBorder="1" applyAlignment="1">
      <alignment horizontal="right" vertical="center" wrapText="1"/>
    </xf>
    <xf numFmtId="1" fontId="83" fillId="2" borderId="2" xfId="5" applyNumberFormat="1" applyFont="1" applyFill="1" applyBorder="1" applyAlignment="1">
      <alignment horizontal="right" vertical="center" wrapText="1"/>
    </xf>
    <xf numFmtId="0" fontId="83" fillId="0" borderId="2" xfId="5" applyFont="1" applyBorder="1" applyAlignment="1">
      <alignment horizontal="right" vertical="center" wrapText="1"/>
    </xf>
    <xf numFmtId="1" fontId="83" fillId="0" borderId="2" xfId="5" applyNumberFormat="1" applyFont="1" applyBorder="1" applyAlignment="1">
      <alignment horizontal="right" vertical="center" wrapText="1"/>
    </xf>
    <xf numFmtId="167" fontId="75" fillId="0" borderId="13" xfId="41" applyNumberFormat="1" applyFont="1" applyBorder="1" applyAlignment="1">
      <alignment horizontal="right" vertical="center"/>
    </xf>
    <xf numFmtId="167" fontId="75" fillId="0" borderId="12" xfId="41" applyNumberFormat="1" applyFont="1" applyBorder="1" applyAlignment="1">
      <alignment horizontal="right" vertical="center"/>
    </xf>
    <xf numFmtId="167" fontId="83" fillId="2" borderId="12" xfId="41" applyNumberFormat="1" applyFont="1" applyFill="1" applyBorder="1" applyAlignment="1">
      <alignment horizontal="right" vertical="center" wrapText="1"/>
    </xf>
    <xf numFmtId="167" fontId="83" fillId="2" borderId="14" xfId="41" applyNumberFormat="1" applyFont="1" applyFill="1" applyBorder="1" applyAlignment="1">
      <alignment horizontal="right" vertical="center" wrapText="1"/>
    </xf>
    <xf numFmtId="167" fontId="75" fillId="0" borderId="12" xfId="41" applyNumberFormat="1" applyFont="1" applyBorder="1" applyAlignment="1">
      <alignment vertical="center"/>
    </xf>
    <xf numFmtId="167" fontId="75" fillId="0" borderId="2" xfId="41" applyNumberFormat="1" applyFont="1" applyBorder="1" applyAlignment="1">
      <alignment horizontal="right" vertical="center"/>
    </xf>
    <xf numFmtId="167" fontId="83" fillId="2" borderId="2" xfId="41" applyNumberFormat="1" applyFont="1" applyFill="1" applyBorder="1" applyAlignment="1">
      <alignment horizontal="right" vertical="center" wrapText="1"/>
    </xf>
    <xf numFmtId="167" fontId="75" fillId="0" borderId="2" xfId="41" applyNumberFormat="1" applyFont="1" applyBorder="1" applyAlignment="1">
      <alignment vertical="center"/>
    </xf>
    <xf numFmtId="1" fontId="75" fillId="0" borderId="2" xfId="50" applyNumberFormat="1" applyFont="1" applyBorder="1" applyAlignment="1">
      <alignment vertical="center"/>
    </xf>
    <xf numFmtId="0" fontId="75" fillId="0" borderId="2" xfId="50" applyFont="1" applyBorder="1" applyAlignment="1">
      <alignment vertical="center"/>
    </xf>
    <xf numFmtId="167" fontId="75" fillId="0" borderId="2" xfId="50" applyNumberFormat="1" applyFont="1" applyBorder="1" applyAlignment="1">
      <alignment horizontal="right" vertical="center"/>
    </xf>
    <xf numFmtId="0" fontId="75" fillId="0" borderId="2" xfId="50" applyFont="1" applyBorder="1" applyAlignment="1">
      <alignment horizontal="right" vertical="center"/>
    </xf>
    <xf numFmtId="1" fontId="75" fillId="0" borderId="2" xfId="50" applyNumberFormat="1" applyFont="1" applyBorder="1" applyAlignment="1">
      <alignment horizontal="right" vertical="center"/>
    </xf>
    <xf numFmtId="167" fontId="75" fillId="0" borderId="11" xfId="50" applyNumberFormat="1" applyFont="1" applyBorder="1" applyAlignment="1">
      <alignment horizontal="right" vertical="center"/>
    </xf>
    <xf numFmtId="0" fontId="75" fillId="0" borderId="13" xfId="5" applyFont="1" applyBorder="1" applyAlignment="1">
      <alignment horizontal="right" vertical="center"/>
    </xf>
    <xf numFmtId="0" fontId="75" fillId="0" borderId="12" xfId="5" applyFont="1" applyBorder="1" applyAlignment="1">
      <alignment horizontal="right" vertical="center"/>
    </xf>
    <xf numFmtId="0" fontId="75" fillId="0" borderId="12" xfId="5" applyFont="1" applyBorder="1" applyAlignment="1">
      <alignment vertical="center"/>
    </xf>
    <xf numFmtId="0" fontId="75" fillId="0" borderId="14" xfId="5" applyFont="1" applyBorder="1" applyAlignment="1">
      <alignment vertical="center"/>
    </xf>
    <xf numFmtId="0" fontId="75" fillId="0" borderId="4" xfId="5" applyFont="1" applyBorder="1" applyAlignment="1">
      <alignment horizontal="right" vertical="center"/>
    </xf>
    <xf numFmtId="0" fontId="75" fillId="0" borderId="4" xfId="5" applyFont="1" applyBorder="1" applyAlignment="1">
      <alignment vertical="center"/>
    </xf>
    <xf numFmtId="167" fontId="75" fillId="0" borderId="8" xfId="50" applyNumberFormat="1" applyFont="1" applyBorder="1" applyAlignment="1">
      <alignment horizontal="right" vertical="center"/>
    </xf>
    <xf numFmtId="1" fontId="75" fillId="0" borderId="8" xfId="50" applyNumberFormat="1" applyFont="1" applyBorder="1" applyAlignment="1">
      <alignment horizontal="right" vertical="center"/>
    </xf>
    <xf numFmtId="0" fontId="75" fillId="0" borderId="9" xfId="5" applyFont="1" applyBorder="1" applyAlignment="1">
      <alignment horizontal="right" vertical="center"/>
    </xf>
    <xf numFmtId="0" fontId="75" fillId="0" borderId="10" xfId="5" applyFont="1" applyBorder="1" applyAlignment="1">
      <alignment vertical="center"/>
    </xf>
    <xf numFmtId="0" fontId="75" fillId="0" borderId="9" xfId="5" applyFont="1" applyBorder="1" applyAlignment="1">
      <alignment vertical="center"/>
    </xf>
    <xf numFmtId="167" fontId="75" fillId="0" borderId="9" xfId="5" applyNumberFormat="1" applyFont="1" applyBorder="1" applyAlignment="1">
      <alignment horizontal="right" vertical="center"/>
    </xf>
    <xf numFmtId="165" fontId="75" fillId="0" borderId="2" xfId="4" applyNumberFormat="1" applyFont="1" applyBorder="1" applyAlignment="1">
      <alignment horizontal="right" vertical="center"/>
    </xf>
    <xf numFmtId="0" fontId="70" fillId="0" borderId="0" xfId="41" applyFont="1"/>
    <xf numFmtId="0" fontId="70" fillId="0" borderId="0" xfId="41" applyFont="1" applyAlignment="1">
      <alignment vertical="center"/>
    </xf>
    <xf numFmtId="0" fontId="87" fillId="0" borderId="0" xfId="41" applyFont="1"/>
    <xf numFmtId="2" fontId="65" fillId="0" borderId="2" xfId="45" applyNumberFormat="1" applyFont="1" applyBorder="1" applyAlignment="1">
      <alignment horizontal="center" vertical="center"/>
    </xf>
    <xf numFmtId="2" fontId="75" fillId="0" borderId="2" xfId="45" applyNumberFormat="1" applyFont="1" applyBorder="1" applyAlignment="1">
      <alignment horizontal="center" vertical="center"/>
    </xf>
    <xf numFmtId="1" fontId="70" fillId="0" borderId="2" xfId="45" applyNumberFormat="1" applyFont="1" applyBorder="1" applyAlignment="1">
      <alignment horizontal="center" vertical="center"/>
    </xf>
    <xf numFmtId="1" fontId="75" fillId="0" borderId="2" xfId="45" applyNumberFormat="1" applyFont="1" applyBorder="1" applyAlignment="1">
      <alignment horizontal="center" vertical="center"/>
    </xf>
    <xf numFmtId="0" fontId="75" fillId="0" borderId="11" xfId="17" applyFont="1" applyBorder="1" applyAlignment="1">
      <alignment vertical="center"/>
    </xf>
    <xf numFmtId="0" fontId="75" fillId="0" borderId="2" xfId="17" applyFont="1" applyBorder="1" applyAlignment="1">
      <alignment vertical="center"/>
    </xf>
    <xf numFmtId="167" fontId="75" fillId="0" borderId="11" xfId="17" applyNumberFormat="1" applyFont="1" applyBorder="1" applyAlignment="1">
      <alignment vertical="center"/>
    </xf>
    <xf numFmtId="167" fontId="83" fillId="2" borderId="2" xfId="5" applyNumberFormat="1" applyFont="1" applyFill="1" applyBorder="1" applyAlignment="1">
      <alignment horizontal="right" vertical="center" wrapText="1"/>
    </xf>
    <xf numFmtId="167" fontId="75" fillId="2" borderId="2" xfId="5" applyNumberFormat="1" applyFont="1" applyFill="1" applyBorder="1" applyAlignment="1">
      <alignment horizontal="right" vertical="center" wrapText="1"/>
    </xf>
    <xf numFmtId="167" fontId="83" fillId="0" borderId="2" xfId="5" applyNumberFormat="1" applyFont="1" applyBorder="1" applyAlignment="1">
      <alignment horizontal="right" vertical="center" wrapText="1"/>
    </xf>
    <xf numFmtId="0" fontId="83" fillId="2" borderId="18" xfId="5" applyFont="1" applyFill="1" applyBorder="1" applyAlignment="1">
      <alignment horizontal="right" vertical="center" wrapText="1"/>
    </xf>
    <xf numFmtId="0" fontId="83" fillId="2" borderId="0" xfId="5" applyFont="1" applyFill="1" applyAlignment="1">
      <alignment horizontal="right" vertical="center" wrapText="1"/>
    </xf>
    <xf numFmtId="0" fontId="83" fillId="2" borderId="19" xfId="5" applyFont="1" applyFill="1" applyBorder="1" applyAlignment="1">
      <alignment horizontal="right" vertical="center" wrapText="1"/>
    </xf>
    <xf numFmtId="1" fontId="66" fillId="0" borderId="2" xfId="81" applyNumberFormat="1" applyFont="1" applyBorder="1" applyAlignment="1">
      <alignment horizontal="center" vertical="center"/>
    </xf>
    <xf numFmtId="1" fontId="67" fillId="5" borderId="2" xfId="81" applyNumberFormat="1" applyFont="1" applyFill="1" applyBorder="1" applyAlignment="1">
      <alignment horizontal="center" vertical="center"/>
    </xf>
    <xf numFmtId="1" fontId="68" fillId="0" borderId="2" xfId="81" applyNumberFormat="1" applyFont="1" applyBorder="1" applyAlignment="1">
      <alignment horizontal="center" vertical="center"/>
    </xf>
    <xf numFmtId="1" fontId="73" fillId="0" borderId="2" xfId="38" applyNumberFormat="1" applyFont="1" applyBorder="1" applyAlignment="1">
      <alignment horizontal="center" vertical="center"/>
    </xf>
    <xf numFmtId="167" fontId="75" fillId="0" borderId="0" xfId="1" applyNumberFormat="1" applyFont="1"/>
    <xf numFmtId="0" fontId="69" fillId="0" borderId="15" xfId="38" applyFont="1" applyBorder="1" applyAlignment="1">
      <alignment horizontal="center" vertical="center" wrapText="1"/>
    </xf>
    <xf numFmtId="0" fontId="75" fillId="0" borderId="2" xfId="38" applyFont="1" applyBorder="1" applyAlignment="1">
      <alignment horizontal="right" vertical="center"/>
    </xf>
    <xf numFmtId="0" fontId="73" fillId="0" borderId="11" xfId="50" applyFont="1" applyBorder="1" applyAlignment="1">
      <alignment vertical="center"/>
    </xf>
    <xf numFmtId="0" fontId="63" fillId="0" borderId="8" xfId="1" applyFont="1" applyBorder="1" applyAlignment="1">
      <alignment vertical="center" wrapText="1"/>
    </xf>
    <xf numFmtId="0" fontId="63" fillId="0" borderId="8" xfId="1" applyFont="1" applyBorder="1" applyAlignment="1">
      <alignment vertical="center"/>
    </xf>
    <xf numFmtId="0" fontId="69" fillId="0" borderId="15" xfId="0" applyFont="1" applyBorder="1" applyAlignment="1">
      <alignment horizontal="center" vertical="center" wrapText="1"/>
    </xf>
    <xf numFmtId="0" fontId="105" fillId="0" borderId="2" xfId="0" applyFont="1" applyBorder="1" applyAlignment="1">
      <alignment horizontal="center" vertical="center"/>
    </xf>
    <xf numFmtId="0" fontId="105" fillId="5" borderId="2" xfId="0" applyFont="1" applyFill="1" applyBorder="1" applyAlignment="1">
      <alignment horizontal="center" vertical="center"/>
    </xf>
    <xf numFmtId="0" fontId="105" fillId="13" borderId="2" xfId="0" applyFont="1" applyFill="1" applyBorder="1" applyAlignment="1">
      <alignment horizontal="center" vertical="center"/>
    </xf>
    <xf numFmtId="0" fontId="86" fillId="0" borderId="2" xfId="0" applyFont="1" applyBorder="1" applyAlignment="1">
      <alignment horizontal="center" vertical="center"/>
    </xf>
    <xf numFmtId="0" fontId="73" fillId="0" borderId="8" xfId="1" applyFont="1" applyBorder="1" applyAlignment="1">
      <alignment vertical="center" wrapText="1"/>
    </xf>
    <xf numFmtId="0" fontId="73" fillId="0" borderId="8" xfId="1" applyFont="1" applyBorder="1" applyAlignment="1">
      <alignment vertical="center"/>
    </xf>
    <xf numFmtId="0" fontId="69" fillId="0" borderId="15" xfId="1" applyFont="1" applyBorder="1" applyAlignment="1">
      <alignment horizontal="center" vertical="center" wrapText="1"/>
    </xf>
    <xf numFmtId="0" fontId="75" fillId="0" borderId="2" xfId="0" applyFont="1" applyBorder="1" applyAlignment="1">
      <alignment horizontal="right" vertical="center"/>
    </xf>
    <xf numFmtId="0" fontId="73" fillId="0" borderId="2" xfId="0" applyFont="1" applyBorder="1" applyAlignment="1">
      <alignment horizontal="right" vertical="center"/>
    </xf>
    <xf numFmtId="167" fontId="75" fillId="0" borderId="0" xfId="1" applyNumberFormat="1" applyFont="1" applyAlignment="1">
      <alignment vertical="center"/>
    </xf>
    <xf numFmtId="0" fontId="63" fillId="0" borderId="2" xfId="1" applyFont="1" applyBorder="1" applyAlignment="1">
      <alignment horizontal="center" vertical="center"/>
    </xf>
    <xf numFmtId="0" fontId="73" fillId="0" borderId="2" xfId="38" applyFont="1" applyBorder="1" applyAlignment="1">
      <alignment horizontal="center" vertical="center"/>
    </xf>
    <xf numFmtId="0" fontId="81" fillId="8" borderId="2" xfId="5" applyFont="1" applyFill="1" applyBorder="1" applyAlignment="1">
      <alignment horizontal="center" vertical="center" wrapText="1"/>
    </xf>
    <xf numFmtId="0" fontId="73" fillId="0" borderId="2" xfId="45" applyFont="1" applyBorder="1" applyAlignment="1">
      <alignment horizontal="center" vertical="center"/>
    </xf>
    <xf numFmtId="0" fontId="68" fillId="0" borderId="0" xfId="69" applyFont="1"/>
    <xf numFmtId="0" fontId="73" fillId="0" borderId="0" xfId="1" applyFont="1" applyAlignment="1">
      <alignment horizontal="center" vertical="center"/>
    </xf>
    <xf numFmtId="0" fontId="73" fillId="0" borderId="0" xfId="1" applyFont="1" applyAlignment="1">
      <alignment horizontal="center"/>
    </xf>
    <xf numFmtId="167" fontId="73" fillId="8" borderId="2" xfId="48" applyNumberFormat="1" applyFont="1" applyFill="1" applyBorder="1" applyAlignment="1">
      <alignment horizontal="center" vertical="center"/>
    </xf>
    <xf numFmtId="0" fontId="63" fillId="0" borderId="2" xfId="5" applyFont="1" applyBorder="1" applyAlignment="1">
      <alignment horizontal="right" vertical="top"/>
    </xf>
    <xf numFmtId="0" fontId="63" fillId="0" borderId="2" xfId="4" applyFont="1" applyBorder="1" applyAlignment="1">
      <alignment horizontal="center" vertical="center"/>
    </xf>
    <xf numFmtId="0" fontId="63" fillId="0" borderId="0" xfId="5" applyFont="1"/>
    <xf numFmtId="0" fontId="102" fillId="0" borderId="11" xfId="38" applyFont="1" applyBorder="1" applyAlignment="1">
      <alignment horizontal="center" vertical="center" wrapText="1"/>
    </xf>
    <xf numFmtId="0" fontId="73" fillId="0" borderId="0" xfId="38" applyFont="1"/>
    <xf numFmtId="167" fontId="104" fillId="0" borderId="2" xfId="54" applyNumberFormat="1" applyFont="1" applyBorder="1" applyAlignment="1">
      <alignment horizontal="center" vertical="center" wrapText="1"/>
    </xf>
    <xf numFmtId="0" fontId="102" fillId="0" borderId="2" xfId="1" applyFont="1" applyBorder="1" applyAlignment="1">
      <alignment horizontal="center" vertical="center" wrapText="1"/>
    </xf>
    <xf numFmtId="0" fontId="68" fillId="0" borderId="2" xfId="69" applyFont="1" applyBorder="1" applyAlignment="1">
      <alignment horizontal="center" vertical="center"/>
    </xf>
    <xf numFmtId="0" fontId="68" fillId="0" borderId="0" xfId="69" applyFont="1" applyAlignment="1">
      <alignment horizontal="center" vertical="center"/>
    </xf>
    <xf numFmtId="0" fontId="68" fillId="0" borderId="2" xfId="69" applyFont="1" applyBorder="1" applyAlignment="1">
      <alignment horizontal="left" vertical="center" wrapText="1"/>
    </xf>
    <xf numFmtId="0" fontId="67" fillId="0" borderId="0" xfId="69" applyFont="1" applyAlignment="1">
      <alignment horizontal="left" vertical="center"/>
    </xf>
    <xf numFmtId="0" fontId="102" fillId="0" borderId="11" xfId="5" applyFont="1" applyBorder="1" applyAlignment="1">
      <alignment horizontal="center" vertical="center" wrapText="1"/>
    </xf>
    <xf numFmtId="0" fontId="63" fillId="0" borderId="2" xfId="5" applyFont="1" applyBorder="1" applyAlignment="1">
      <alignment horizontal="center" vertical="center"/>
    </xf>
    <xf numFmtId="0" fontId="93" fillId="0" borderId="2" xfId="54" applyFont="1" applyBorder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108" fillId="0" borderId="2" xfId="4" applyFont="1" applyBorder="1" applyAlignment="1">
      <alignment horizontal="center" vertical="center" wrapText="1"/>
    </xf>
    <xf numFmtId="0" fontId="102" fillId="0" borderId="2" xfId="5" applyFont="1" applyBorder="1" applyAlignment="1">
      <alignment horizontal="center" vertical="center" wrapText="1"/>
    </xf>
    <xf numFmtId="0" fontId="73" fillId="0" borderId="0" xfId="28" applyFont="1" applyAlignment="1">
      <alignment vertical="center"/>
    </xf>
    <xf numFmtId="0" fontId="73" fillId="0" borderId="2" xfId="28" applyFont="1" applyBorder="1" applyAlignment="1">
      <alignment horizontal="left" vertical="center" wrapText="1"/>
    </xf>
    <xf numFmtId="0" fontId="87" fillId="0" borderId="2" xfId="45" applyFont="1" applyBorder="1" applyAlignment="1">
      <alignment horizontal="center" vertical="center" wrapText="1"/>
    </xf>
    <xf numFmtId="0" fontId="109" fillId="0" borderId="0" xfId="45" applyFont="1"/>
    <xf numFmtId="0" fontId="73" fillId="0" borderId="0" xfId="45" applyFont="1"/>
    <xf numFmtId="0" fontId="102" fillId="0" borderId="11" xfId="45" applyFont="1" applyBorder="1" applyAlignment="1">
      <alignment horizontal="center" vertical="center" wrapText="1"/>
    </xf>
    <xf numFmtId="0" fontId="102" fillId="0" borderId="2" xfId="45" applyFont="1" applyBorder="1" applyAlignment="1">
      <alignment horizontal="center" vertical="center" wrapText="1"/>
    </xf>
    <xf numFmtId="0" fontId="102" fillId="7" borderId="0" xfId="45" applyFont="1" applyFill="1"/>
    <xf numFmtId="0" fontId="73" fillId="0" borderId="0" xfId="45" applyFont="1" applyAlignment="1">
      <alignment vertical="center"/>
    </xf>
    <xf numFmtId="1" fontId="73" fillId="0" borderId="0" xfId="45" applyNumberFormat="1" applyFont="1" applyAlignment="1">
      <alignment vertical="center"/>
    </xf>
    <xf numFmtId="0" fontId="111" fillId="0" borderId="11" xfId="5" applyFont="1" applyBorder="1" applyAlignment="1">
      <alignment horizontal="center" vertical="center" wrapText="1"/>
    </xf>
    <xf numFmtId="0" fontId="73" fillId="8" borderId="0" xfId="5" applyFont="1" applyFill="1" applyAlignment="1">
      <alignment vertical="center"/>
    </xf>
    <xf numFmtId="0" fontId="63" fillId="0" borderId="0" xfId="55" applyFont="1" applyAlignment="1">
      <alignment horizontal="center" vertical="center"/>
    </xf>
    <xf numFmtId="0" fontId="109" fillId="8" borderId="0" xfId="55" applyFont="1" applyFill="1" applyAlignment="1">
      <alignment horizontal="center" vertical="center"/>
    </xf>
    <xf numFmtId="167" fontId="111" fillId="2" borderId="2" xfId="1" applyNumberFormat="1" applyFont="1" applyFill="1" applyBorder="1" applyAlignment="1">
      <alignment horizontal="center" vertical="center" wrapText="1"/>
    </xf>
    <xf numFmtId="0" fontId="102" fillId="8" borderId="0" xfId="55" applyFont="1" applyFill="1" applyAlignment="1">
      <alignment vertical="center"/>
    </xf>
    <xf numFmtId="0" fontId="73" fillId="0" borderId="2" xfId="55" applyFont="1" applyBorder="1" applyAlignment="1">
      <alignment horizontal="center" vertical="center"/>
    </xf>
    <xf numFmtId="0" fontId="102" fillId="8" borderId="0" xfId="1" applyFont="1" applyFill="1" applyAlignment="1">
      <alignment vertical="center"/>
    </xf>
    <xf numFmtId="0" fontId="73" fillId="0" borderId="2" xfId="9" applyFont="1" applyBorder="1" applyAlignment="1">
      <alignment horizontal="center" vertical="center"/>
    </xf>
    <xf numFmtId="0" fontId="73" fillId="0" borderId="4" xfId="9" applyFont="1" applyBorder="1" applyAlignment="1">
      <alignment horizontal="center" vertical="center"/>
    </xf>
    <xf numFmtId="0" fontId="109" fillId="0" borderId="0" xfId="9" applyFont="1"/>
    <xf numFmtId="0" fontId="73" fillId="0" borderId="0" xfId="9" applyFont="1"/>
    <xf numFmtId="0" fontId="102" fillId="0" borderId="2" xfId="9" applyFont="1" applyBorder="1" applyAlignment="1">
      <alignment horizontal="center" vertical="center" wrapText="1"/>
    </xf>
    <xf numFmtId="0" fontId="102" fillId="0" borderId="2" xfId="9" applyFont="1" applyBorder="1" applyAlignment="1">
      <alignment horizontal="center" vertical="center" wrapText="1" shrinkToFit="1"/>
    </xf>
    <xf numFmtId="0" fontId="102" fillId="0" borderId="2" xfId="9" applyFont="1" applyBorder="1" applyAlignment="1">
      <alignment horizontal="center" vertical="center"/>
    </xf>
    <xf numFmtId="0" fontId="102" fillId="0" borderId="2" xfId="4" applyFont="1" applyBorder="1" applyAlignment="1">
      <alignment horizontal="center" vertical="center" wrapText="1"/>
    </xf>
    <xf numFmtId="0" fontId="102" fillId="0" borderId="2" xfId="54" applyFont="1" applyBorder="1" applyAlignment="1">
      <alignment horizontal="center" vertical="center" wrapText="1"/>
    </xf>
    <xf numFmtId="0" fontId="73" fillId="0" borderId="2" xfId="4" applyFont="1" applyBorder="1" applyAlignment="1">
      <alignment horizontal="center" vertical="center"/>
    </xf>
    <xf numFmtId="0" fontId="73" fillId="0" borderId="4" xfId="4" applyFont="1" applyBorder="1" applyAlignment="1">
      <alignment horizontal="center" vertical="center"/>
    </xf>
    <xf numFmtId="0" fontId="63" fillId="0" borderId="0" xfId="4" applyFont="1"/>
    <xf numFmtId="0" fontId="63" fillId="0" borderId="0" xfId="54" applyFont="1" applyAlignment="1">
      <alignment vertical="top"/>
    </xf>
    <xf numFmtId="0" fontId="73" fillId="0" borderId="0" xfId="54" applyFont="1" applyAlignment="1">
      <alignment vertical="center"/>
    </xf>
    <xf numFmtId="0" fontId="102" fillId="0" borderId="0" xfId="54" applyFont="1" applyAlignment="1">
      <alignment vertical="center"/>
    </xf>
    <xf numFmtId="0" fontId="102" fillId="0" borderId="0" xfId="54" applyFont="1"/>
    <xf numFmtId="0" fontId="73" fillId="0" borderId="2" xfId="0" applyFont="1" applyBorder="1" applyAlignment="1">
      <alignment horizontal="left" vertical="center"/>
    </xf>
    <xf numFmtId="0" fontId="94" fillId="0" borderId="0" xfId="54" applyFont="1" applyAlignment="1">
      <alignment vertical="center" wrapText="1"/>
    </xf>
    <xf numFmtId="0" fontId="102" fillId="0" borderId="11" xfId="0" applyFont="1" applyBorder="1" applyAlignment="1">
      <alignment horizontal="center" vertical="center" wrapText="1"/>
    </xf>
    <xf numFmtId="0" fontId="112" fillId="0" borderId="0" xfId="5" applyFont="1" applyAlignment="1">
      <alignment vertical="top"/>
    </xf>
    <xf numFmtId="0" fontId="113" fillId="0" borderId="0" xfId="5" applyFont="1"/>
    <xf numFmtId="0" fontId="114" fillId="2" borderId="2" xfId="1" applyFont="1" applyFill="1" applyBorder="1" applyAlignment="1">
      <alignment horizontal="center" vertical="center" wrapText="1"/>
    </xf>
    <xf numFmtId="0" fontId="45" fillId="0" borderId="0" xfId="1" applyFont="1" applyAlignment="1">
      <alignment vertical="center"/>
    </xf>
    <xf numFmtId="0" fontId="49" fillId="0" borderId="0" xfId="1" applyFont="1" applyAlignment="1">
      <alignment horizontal="center" vertical="center"/>
    </xf>
    <xf numFmtId="0" fontId="45" fillId="0" borderId="2" xfId="1" applyFont="1" applyBorder="1" applyAlignment="1">
      <alignment horizontal="center" vertical="center"/>
    </xf>
    <xf numFmtId="0" fontId="45" fillId="0" borderId="0" xfId="1" applyFont="1" applyAlignment="1">
      <alignment horizontal="center" vertical="center"/>
    </xf>
    <xf numFmtId="0" fontId="114" fillId="2" borderId="4" xfId="1" applyFont="1" applyFill="1" applyBorder="1" applyAlignment="1">
      <alignment horizontal="center" vertical="center" wrapText="1"/>
    </xf>
    <xf numFmtId="0" fontId="45" fillId="0" borderId="0" xfId="1" applyFont="1"/>
    <xf numFmtId="0" fontId="45" fillId="0" borderId="0" xfId="1" applyFont="1" applyAlignment="1">
      <alignment horizontal="center" vertical="center" wrapText="1"/>
    </xf>
    <xf numFmtId="0" fontId="63" fillId="0" borderId="0" xfId="0" applyFont="1"/>
    <xf numFmtId="0" fontId="108" fillId="0" borderId="2" xfId="0" applyFont="1" applyBorder="1" applyAlignment="1">
      <alignment horizontal="center" vertical="center" wrapText="1"/>
    </xf>
    <xf numFmtId="0" fontId="72" fillId="0" borderId="0" xfId="1" applyFont="1" applyAlignment="1">
      <alignment horizontal="center" vertical="center"/>
    </xf>
    <xf numFmtId="0" fontId="72" fillId="0" borderId="2" xfId="1" applyFont="1" applyBorder="1" applyAlignment="1">
      <alignment horizontal="center" vertical="center"/>
    </xf>
    <xf numFmtId="0" fontId="111" fillId="2" borderId="2" xfId="1" applyFont="1" applyFill="1" applyBorder="1" applyAlignment="1">
      <alignment horizontal="center" vertical="center" wrapText="1"/>
    </xf>
    <xf numFmtId="0" fontId="102" fillId="0" borderId="0" xfId="1" applyFont="1"/>
    <xf numFmtId="0" fontId="67" fillId="0" borderId="2" xfId="82" applyFont="1" applyBorder="1" applyAlignment="1">
      <alignment horizontal="center" vertical="center"/>
    </xf>
    <xf numFmtId="0" fontId="68" fillId="0" borderId="2" xfId="82" applyFont="1" applyBorder="1" applyAlignment="1">
      <alignment horizontal="center" vertical="center"/>
    </xf>
    <xf numFmtId="0" fontId="114" fillId="2" borderId="2" xfId="5" applyFont="1" applyFill="1" applyBorder="1" applyAlignment="1">
      <alignment horizontal="center" vertical="center" wrapText="1"/>
    </xf>
    <xf numFmtId="0" fontId="45" fillId="0" borderId="2" xfId="4" applyFont="1" applyBorder="1" applyAlignment="1">
      <alignment horizontal="center" vertical="center" wrapText="1"/>
    </xf>
    <xf numFmtId="0" fontId="111" fillId="2" borderId="4" xfId="0" applyFont="1" applyFill="1" applyBorder="1" applyAlignment="1">
      <alignment horizontal="center" vertical="center" wrapText="1"/>
    </xf>
    <xf numFmtId="0" fontId="111" fillId="2" borderId="2" xfId="0" applyFont="1" applyFill="1" applyBorder="1" applyAlignment="1">
      <alignment horizontal="center" vertical="center" wrapText="1"/>
    </xf>
    <xf numFmtId="0" fontId="87" fillId="0" borderId="0" xfId="5" applyFont="1" applyAlignment="1">
      <alignment vertical="center"/>
    </xf>
    <xf numFmtId="0" fontId="70" fillId="0" borderId="0" xfId="5" applyFont="1" applyAlignment="1">
      <alignment horizontal="center" vertical="center"/>
    </xf>
    <xf numFmtId="0" fontId="63" fillId="0" borderId="2" xfId="4" applyFont="1" applyBorder="1" applyAlignment="1">
      <alignment vertical="center" wrapText="1"/>
    </xf>
    <xf numFmtId="0" fontId="73" fillId="0" borderId="0" xfId="1" applyFont="1"/>
    <xf numFmtId="0" fontId="102" fillId="0" borderId="11" xfId="1" applyFont="1" applyBorder="1" applyAlignment="1">
      <alignment horizontal="center" vertical="center" wrapText="1"/>
    </xf>
    <xf numFmtId="0" fontId="72" fillId="0" borderId="0" xfId="5" applyFont="1"/>
    <xf numFmtId="0" fontId="110" fillId="0" borderId="2" xfId="4" applyFont="1" applyBorder="1" applyAlignment="1">
      <alignment horizontal="center" vertical="center"/>
    </xf>
    <xf numFmtId="0" fontId="110" fillId="0" borderId="8" xfId="4" applyFont="1" applyBorder="1" applyAlignment="1">
      <alignment horizontal="center" vertical="center"/>
    </xf>
    <xf numFmtId="0" fontId="80" fillId="0" borderId="0" xfId="69" applyFont="1" applyAlignment="1">
      <alignment horizontal="center" vertical="center"/>
    </xf>
    <xf numFmtId="0" fontId="68" fillId="8" borderId="2" xfId="0" applyFont="1" applyFill="1" applyBorder="1" applyAlignment="1">
      <alignment horizontal="center" vertical="center"/>
    </xf>
    <xf numFmtId="0" fontId="79" fillId="0" borderId="0" xfId="54" applyFont="1" applyAlignment="1">
      <alignment vertical="center" wrapText="1"/>
    </xf>
    <xf numFmtId="1" fontId="75" fillId="0" borderId="10" xfId="4" applyNumberFormat="1" applyFont="1" applyBorder="1" applyAlignment="1">
      <alignment vertical="center"/>
    </xf>
    <xf numFmtId="2" fontId="73" fillId="0" borderId="0" xfId="45" applyNumberFormat="1" applyFont="1" applyAlignment="1">
      <alignment horizontal="center" vertical="center"/>
    </xf>
    <xf numFmtId="0" fontId="71" fillId="0" borderId="0" xfId="2" applyFont="1" applyAlignment="1">
      <alignment horizontal="right"/>
    </xf>
    <xf numFmtId="0" fontId="77" fillId="0" borderId="3" xfId="54" applyFont="1" applyBorder="1" applyAlignment="1">
      <alignment vertical="center"/>
    </xf>
    <xf numFmtId="0" fontId="68" fillId="0" borderId="2" xfId="0" applyFont="1" applyBorder="1" applyAlignment="1">
      <alignment horizontal="left" vertical="center" wrapText="1"/>
    </xf>
    <xf numFmtId="1" fontId="87" fillId="0" borderId="2" xfId="0" applyNumberFormat="1" applyFont="1" applyBorder="1" applyAlignment="1">
      <alignment horizontal="center" vertical="center"/>
    </xf>
    <xf numFmtId="1" fontId="75" fillId="0" borderId="0" xfId="38" applyNumberFormat="1" applyFont="1"/>
    <xf numFmtId="0" fontId="65" fillId="9" borderId="0" xfId="4" applyFont="1" applyFill="1" applyAlignment="1">
      <alignment vertical="center"/>
    </xf>
    <xf numFmtId="0" fontId="68" fillId="0" borderId="0" xfId="93" applyFont="1"/>
    <xf numFmtId="0" fontId="67" fillId="0" borderId="0" xfId="93" applyFont="1"/>
    <xf numFmtId="0" fontId="63" fillId="8" borderId="2" xfId="93" applyFont="1" applyFill="1" applyBorder="1" applyAlignment="1">
      <alignment horizontal="center" vertical="center" wrapText="1"/>
    </xf>
    <xf numFmtId="0" fontId="67" fillId="0" borderId="0" xfId="93" applyFont="1" applyAlignment="1">
      <alignment wrapText="1"/>
    </xf>
    <xf numFmtId="0" fontId="99" fillId="0" borderId="2" xfId="93" applyFont="1" applyBorder="1" applyAlignment="1">
      <alignment horizontal="center" vertical="center" wrapText="1"/>
    </xf>
    <xf numFmtId="0" fontId="100" fillId="0" borderId="0" xfId="93" applyFont="1" applyAlignment="1">
      <alignment wrapText="1"/>
    </xf>
    <xf numFmtId="0" fontId="68" fillId="0" borderId="2" xfId="93" applyFont="1" applyBorder="1" applyAlignment="1">
      <alignment vertical="center"/>
    </xf>
    <xf numFmtId="0" fontId="66" fillId="0" borderId="2" xfId="93" applyFont="1" applyBorder="1" applyAlignment="1">
      <alignment horizontal="left" vertical="center" wrapText="1"/>
    </xf>
    <xf numFmtId="0" fontId="68" fillId="0" borderId="2" xfId="93" applyFont="1" applyBorder="1" applyAlignment="1">
      <alignment horizontal="center" vertical="center"/>
    </xf>
    <xf numFmtId="0" fontId="67" fillId="0" borderId="0" xfId="93" applyFont="1" applyAlignment="1">
      <alignment vertical="center"/>
    </xf>
    <xf numFmtId="0" fontId="67" fillId="0" borderId="2" xfId="93" applyFont="1" applyBorder="1" applyAlignment="1">
      <alignment horizontal="center" vertical="center"/>
    </xf>
    <xf numFmtId="0" fontId="75" fillId="0" borderId="2" xfId="93" applyFont="1" applyBorder="1" applyAlignment="1">
      <alignment horizontal="center" vertical="center"/>
    </xf>
    <xf numFmtId="0" fontId="67" fillId="0" borderId="0" xfId="93" applyFont="1" applyAlignment="1">
      <alignment horizontal="center" vertical="center"/>
    </xf>
    <xf numFmtId="0" fontId="67" fillId="0" borderId="0" xfId="94" applyFont="1" applyAlignment="1">
      <alignment horizontal="center"/>
    </xf>
    <xf numFmtId="0" fontId="67" fillId="0" borderId="0" xfId="94" applyFont="1"/>
    <xf numFmtId="0" fontId="101" fillId="8" borderId="2" xfId="94" applyFont="1" applyFill="1" applyBorder="1" applyAlignment="1">
      <alignment horizontal="center" vertical="center" wrapText="1"/>
    </xf>
    <xf numFmtId="0" fontId="101" fillId="8" borderId="2" xfId="94" applyFont="1" applyFill="1" applyBorder="1" applyAlignment="1">
      <alignment horizontal="center" vertical="center" textRotation="90" wrapText="1"/>
    </xf>
    <xf numFmtId="0" fontId="67" fillId="0" borderId="0" xfId="94" applyFont="1" applyAlignment="1">
      <alignment wrapText="1"/>
    </xf>
    <xf numFmtId="0" fontId="99" fillId="0" borderId="2" xfId="94" applyFont="1" applyBorder="1" applyAlignment="1">
      <alignment horizontal="center" vertical="center" wrapText="1"/>
    </xf>
    <xf numFmtId="0" fontId="99" fillId="0" borderId="13" xfId="94" applyFont="1" applyBorder="1" applyAlignment="1">
      <alignment horizontal="center" vertical="center" wrapText="1"/>
    </xf>
    <xf numFmtId="0" fontId="100" fillId="0" borderId="0" xfId="94" applyFont="1" applyAlignment="1">
      <alignment wrapText="1"/>
    </xf>
    <xf numFmtId="0" fontId="68" fillId="0" borderId="2" xfId="94" applyFont="1" applyBorder="1" applyAlignment="1">
      <alignment horizontal="left"/>
    </xf>
    <xf numFmtId="0" fontId="67" fillId="0" borderId="2" xfId="94" applyFont="1" applyBorder="1"/>
    <xf numFmtId="0" fontId="67" fillId="0" borderId="2" xfId="94" applyFont="1" applyBorder="1" applyAlignment="1">
      <alignment horizontal="left" indent="1"/>
    </xf>
    <xf numFmtId="0" fontId="75" fillId="0" borderId="2" xfId="94" applyFont="1" applyBorder="1"/>
    <xf numFmtId="0" fontId="66" fillId="0" borderId="0" xfId="94" applyFont="1" applyAlignment="1">
      <alignment horizontal="right" vertical="center" wrapText="1"/>
    </xf>
    <xf numFmtId="0" fontId="66" fillId="0" borderId="0" xfId="94" applyFont="1" applyAlignment="1">
      <alignment vertical="center"/>
    </xf>
    <xf numFmtId="0" fontId="68" fillId="8" borderId="0" xfId="94" applyFont="1" applyFill="1"/>
    <xf numFmtId="0" fontId="101" fillId="8" borderId="8" xfId="94" applyFont="1" applyFill="1" applyBorder="1" applyAlignment="1">
      <alignment horizontal="center" vertical="center" wrapText="1"/>
    </xf>
    <xf numFmtId="0" fontId="100" fillId="0" borderId="2" xfId="94" applyFont="1" applyBorder="1" applyAlignment="1">
      <alignment horizontal="center" vertical="center" wrapText="1"/>
    </xf>
    <xf numFmtId="0" fontId="100" fillId="0" borderId="4" xfId="94" applyFont="1" applyBorder="1" applyAlignment="1">
      <alignment horizontal="center" vertical="center" wrapText="1"/>
    </xf>
    <xf numFmtId="0" fontId="100" fillId="0" borderId="0" xfId="94" applyFont="1" applyAlignment="1">
      <alignment horizontal="center"/>
    </xf>
    <xf numFmtId="0" fontId="100" fillId="0" borderId="0" xfId="94" applyFont="1"/>
    <xf numFmtId="0" fontId="67" fillId="0" borderId="2" xfId="94" applyFont="1" applyBorder="1" applyAlignment="1">
      <alignment vertical="center"/>
    </xf>
    <xf numFmtId="0" fontId="68" fillId="0" borderId="8" xfId="94" applyFont="1" applyBorder="1" applyAlignment="1">
      <alignment horizontal="left" vertical="center" wrapText="1"/>
    </xf>
    <xf numFmtId="0" fontId="115" fillId="0" borderId="2" xfId="94" applyFont="1" applyBorder="1" applyAlignment="1">
      <alignment horizontal="right" vertical="center"/>
    </xf>
    <xf numFmtId="1" fontId="68" fillId="0" borderId="10" xfId="94" applyNumberFormat="1" applyFont="1" applyBorder="1" applyAlignment="1">
      <alignment vertical="center"/>
    </xf>
    <xf numFmtId="1" fontId="68" fillId="0" borderId="2" xfId="94" applyNumberFormat="1" applyFont="1" applyBorder="1" applyAlignment="1">
      <alignment vertical="center"/>
    </xf>
    <xf numFmtId="0" fontId="68" fillId="0" borderId="2" xfId="94" applyFont="1" applyBorder="1" applyAlignment="1">
      <alignment vertical="center"/>
    </xf>
    <xf numFmtId="0" fontId="68" fillId="0" borderId="0" xfId="94" applyFont="1" applyAlignment="1">
      <alignment vertical="center"/>
    </xf>
    <xf numFmtId="0" fontId="67" fillId="0" borderId="2" xfId="94" applyFont="1" applyBorder="1" applyAlignment="1">
      <alignment horizontal="center" vertical="center"/>
    </xf>
    <xf numFmtId="0" fontId="116" fillId="0" borderId="2" xfId="94" applyFont="1" applyBorder="1" applyAlignment="1">
      <alignment horizontal="right" vertical="center"/>
    </xf>
    <xf numFmtId="1" fontId="67" fillId="0" borderId="2" xfId="94" applyNumberFormat="1" applyFont="1" applyBorder="1" applyAlignment="1">
      <alignment vertical="center"/>
    </xf>
    <xf numFmtId="0" fontId="67" fillId="0" borderId="0" xfId="94" applyFont="1" applyAlignment="1">
      <alignment vertical="center"/>
    </xf>
    <xf numFmtId="0" fontId="116" fillId="0" borderId="2" xfId="94" applyFont="1" applyBorder="1" applyAlignment="1">
      <alignment vertical="center"/>
    </xf>
    <xf numFmtId="0" fontId="67" fillId="0" borderId="2" xfId="94" applyFont="1" applyBorder="1" applyAlignment="1">
      <alignment horizontal="right" vertical="center"/>
    </xf>
    <xf numFmtId="1" fontId="67" fillId="0" borderId="10" xfId="94" applyNumberFormat="1" applyFont="1" applyBorder="1" applyAlignment="1">
      <alignment vertical="center"/>
    </xf>
    <xf numFmtId="0" fontId="66" fillId="0" borderId="0" xfId="94" applyFont="1" applyAlignment="1">
      <alignment horizontal="right" vertical="center"/>
    </xf>
    <xf numFmtId="0" fontId="64" fillId="0" borderId="0" xfId="94" applyFont="1" applyAlignment="1">
      <alignment horizontal="center" vertical="center"/>
    </xf>
    <xf numFmtId="0" fontId="66" fillId="0" borderId="0" xfId="94" applyFont="1" applyAlignment="1">
      <alignment horizontal="left" vertical="center"/>
    </xf>
    <xf numFmtId="0" fontId="64" fillId="0" borderId="0" xfId="94" applyFont="1" applyAlignment="1">
      <alignment vertical="center"/>
    </xf>
    <xf numFmtId="0" fontId="68" fillId="0" borderId="0" xfId="94" applyFont="1"/>
    <xf numFmtId="0" fontId="73" fillId="8" borderId="2" xfId="94" applyFont="1" applyFill="1" applyBorder="1" applyAlignment="1">
      <alignment horizontal="center" vertical="center" wrapText="1"/>
    </xf>
    <xf numFmtId="0" fontId="73" fillId="8" borderId="10" xfId="94" applyFont="1" applyFill="1" applyBorder="1" applyAlignment="1">
      <alignment horizontal="center" vertical="center" wrapText="1"/>
    </xf>
    <xf numFmtId="0" fontId="100" fillId="0" borderId="4" xfId="94" applyFont="1" applyBorder="1" applyAlignment="1">
      <alignment horizontal="center" vertical="center"/>
    </xf>
    <xf numFmtId="0" fontId="97" fillId="0" borderId="0" xfId="94" applyFont="1"/>
    <xf numFmtId="0" fontId="68" fillId="0" borderId="8" xfId="94" applyFont="1" applyBorder="1" applyAlignment="1">
      <alignment horizontal="left"/>
    </xf>
    <xf numFmtId="0" fontId="68" fillId="0" borderId="9" xfId="94" applyFont="1" applyBorder="1"/>
    <xf numFmtId="0" fontId="68" fillId="0" borderId="10" xfId="94" applyFont="1" applyBorder="1"/>
    <xf numFmtId="0" fontId="67" fillId="0" borderId="11" xfId="94" applyFont="1" applyBorder="1" applyAlignment="1">
      <alignment horizontal="left" vertical="center" indent="1"/>
    </xf>
    <xf numFmtId="0" fontId="67" fillId="0" borderId="2" xfId="94" applyFont="1" applyBorder="1" applyAlignment="1">
      <alignment horizontal="right"/>
    </xf>
    <xf numFmtId="0" fontId="67" fillId="0" borderId="2" xfId="94" applyFont="1" applyBorder="1" applyAlignment="1">
      <alignment horizontal="left" vertical="center" indent="1"/>
    </xf>
    <xf numFmtId="0" fontId="67" fillId="0" borderId="10" xfId="94" applyFont="1" applyBorder="1"/>
    <xf numFmtId="1" fontId="67" fillId="0" borderId="2" xfId="94" applyNumberFormat="1" applyFont="1" applyBorder="1"/>
    <xf numFmtId="1" fontId="67" fillId="0" borderId="10" xfId="94" applyNumberFormat="1" applyFont="1" applyBorder="1"/>
    <xf numFmtId="0" fontId="68" fillId="0" borderId="2" xfId="94" applyFont="1" applyBorder="1"/>
    <xf numFmtId="0" fontId="68" fillId="0" borderId="2" xfId="94" applyFont="1" applyBorder="1" applyAlignment="1">
      <alignment horizontal="left" vertical="center" wrapText="1"/>
    </xf>
    <xf numFmtId="0" fontId="68" fillId="0" borderId="0" xfId="94" applyFont="1" applyAlignment="1">
      <alignment horizontal="right" vertical="center"/>
    </xf>
    <xf numFmtId="0" fontId="67" fillId="8" borderId="0" xfId="94" applyFont="1" applyFill="1"/>
    <xf numFmtId="0" fontId="99" fillId="0" borderId="2" xfId="94" applyFont="1" applyBorder="1" applyAlignment="1">
      <alignment horizontal="center" vertical="center"/>
    </xf>
    <xf numFmtId="0" fontId="68" fillId="0" borderId="18" xfId="94" applyFont="1" applyBorder="1" applyAlignment="1">
      <alignment horizontal="left"/>
    </xf>
    <xf numFmtId="0" fontId="68" fillId="0" borderId="13" xfId="94" applyFont="1" applyBorder="1"/>
    <xf numFmtId="0" fontId="68" fillId="0" borderId="12" xfId="94" applyFont="1" applyBorder="1"/>
    <xf numFmtId="0" fontId="68" fillId="0" borderId="14" xfId="94" applyFont="1" applyBorder="1"/>
    <xf numFmtId="0" fontId="67" fillId="0" borderId="13" xfId="94" applyFont="1" applyBorder="1"/>
    <xf numFmtId="0" fontId="67" fillId="0" borderId="12" xfId="94" applyFont="1" applyBorder="1"/>
    <xf numFmtId="0" fontId="67" fillId="0" borderId="14" xfId="94" applyFont="1" applyBorder="1"/>
    <xf numFmtId="0" fontId="68" fillId="0" borderId="16" xfId="94" applyFont="1" applyBorder="1" applyAlignment="1">
      <alignment horizontal="left"/>
    </xf>
    <xf numFmtId="0" fontId="68" fillId="0" borderId="8" xfId="94" applyFont="1" applyBorder="1"/>
    <xf numFmtId="0" fontId="66" fillId="0" borderId="0" xfId="95" applyFont="1" applyAlignment="1">
      <alignment horizontal="right" vertical="center"/>
    </xf>
    <xf numFmtId="0" fontId="67" fillId="0" borderId="0" xfId="95" applyFont="1"/>
    <xf numFmtId="0" fontId="73" fillId="8" borderId="2" xfId="95" applyFont="1" applyFill="1" applyBorder="1" applyAlignment="1">
      <alignment horizontal="center" vertical="center" wrapText="1"/>
    </xf>
    <xf numFmtId="0" fontId="99" fillId="0" borderId="2" xfId="95" applyFont="1" applyBorder="1" applyAlignment="1">
      <alignment horizontal="center" vertical="center"/>
    </xf>
    <xf numFmtId="0" fontId="99" fillId="0" borderId="2" xfId="95" applyFont="1" applyBorder="1" applyAlignment="1">
      <alignment horizontal="center" vertical="center" wrapText="1"/>
    </xf>
    <xf numFmtId="0" fontId="68" fillId="0" borderId="2" xfId="95" applyFont="1" applyBorder="1" applyAlignment="1">
      <alignment horizontal="left"/>
    </xf>
    <xf numFmtId="0" fontId="67" fillId="0" borderId="2" xfId="95" applyFont="1" applyBorder="1" applyAlignment="1">
      <alignment horizontal="left" vertical="center" indent="1"/>
    </xf>
    <xf numFmtId="0" fontId="67" fillId="0" borderId="2" xfId="95" applyFont="1" applyBorder="1"/>
    <xf numFmtId="0" fontId="68" fillId="0" borderId="18" xfId="95" applyFont="1" applyBorder="1" applyAlignment="1">
      <alignment horizontal="left"/>
    </xf>
    <xf numFmtId="0" fontId="67" fillId="0" borderId="13" xfId="95" applyFont="1" applyBorder="1"/>
    <xf numFmtId="0" fontId="67" fillId="0" borderId="12" xfId="95" applyFont="1" applyBorder="1"/>
    <xf numFmtId="0" fontId="67" fillId="0" borderId="14" xfId="95" applyFont="1" applyBorder="1"/>
    <xf numFmtId="0" fontId="75" fillId="0" borderId="2" xfId="95" applyFont="1" applyBorder="1"/>
    <xf numFmtId="0" fontId="67" fillId="0" borderId="9" xfId="95" applyFont="1" applyBorder="1"/>
    <xf numFmtId="0" fontId="67" fillId="0" borderId="10" xfId="95" applyFont="1" applyBorder="1"/>
    <xf numFmtId="0" fontId="67" fillId="0" borderId="3" xfId="95" applyFont="1" applyBorder="1"/>
    <xf numFmtId="0" fontId="67" fillId="0" borderId="17" xfId="95" applyFont="1" applyBorder="1"/>
    <xf numFmtId="0" fontId="67" fillId="0" borderId="11" xfId="95" applyFont="1" applyBorder="1"/>
    <xf numFmtId="0" fontId="67" fillId="0" borderId="0" xfId="95" applyFont="1" applyAlignment="1">
      <alignment horizontal="center"/>
    </xf>
    <xf numFmtId="0" fontId="99" fillId="0" borderId="13" xfId="95" applyFont="1" applyBorder="1" applyAlignment="1">
      <alignment horizontal="center" vertical="center"/>
    </xf>
    <xf numFmtId="0" fontId="99" fillId="0" borderId="12" xfId="95" applyFont="1" applyBorder="1" applyAlignment="1">
      <alignment horizontal="center" vertical="center" wrapText="1"/>
    </xf>
    <xf numFmtId="0" fontId="99" fillId="0" borderId="4" xfId="95" applyFont="1" applyBorder="1" applyAlignment="1">
      <alignment horizontal="center" vertical="center"/>
    </xf>
    <xf numFmtId="0" fontId="99" fillId="0" borderId="4" xfId="95" applyFont="1" applyBorder="1" applyAlignment="1">
      <alignment horizontal="center" vertical="center" wrapText="1"/>
    </xf>
    <xf numFmtId="0" fontId="68" fillId="0" borderId="8" xfId="95" applyFont="1" applyBorder="1" applyAlignment="1">
      <alignment horizontal="left"/>
    </xf>
    <xf numFmtId="0" fontId="67" fillId="0" borderId="8" xfId="95" applyFont="1" applyBorder="1"/>
    <xf numFmtId="0" fontId="67" fillId="0" borderId="16" xfId="95" applyFont="1" applyBorder="1"/>
    <xf numFmtId="0" fontId="68" fillId="0" borderId="8" xfId="95" applyFont="1" applyBorder="1" applyAlignment="1">
      <alignment horizontal="left" wrapText="1"/>
    </xf>
    <xf numFmtId="0" fontId="67" fillId="0" borderId="0" xfId="96" applyFont="1" applyAlignment="1">
      <alignment horizontal="center"/>
    </xf>
    <xf numFmtId="0" fontId="66" fillId="0" borderId="0" xfId="97" applyFont="1" applyAlignment="1">
      <alignment horizontal="right" vertical="center"/>
    </xf>
    <xf numFmtId="0" fontId="67" fillId="0" borderId="0" xfId="97" applyFont="1"/>
    <xf numFmtId="0" fontId="73" fillId="8" borderId="2" xfId="97" applyFont="1" applyFill="1" applyBorder="1" applyAlignment="1">
      <alignment horizontal="center" vertical="center" wrapText="1"/>
    </xf>
    <xf numFmtId="0" fontId="99" fillId="0" borderId="13" xfId="97" applyFont="1" applyBorder="1" applyAlignment="1">
      <alignment horizontal="center" vertical="center"/>
    </xf>
    <xf numFmtId="0" fontId="99" fillId="0" borderId="2" xfId="97" applyFont="1" applyBorder="1" applyAlignment="1">
      <alignment horizontal="center" vertical="center"/>
    </xf>
    <xf numFmtId="0" fontId="99" fillId="0" borderId="2" xfId="97" applyFont="1" applyBorder="1" applyAlignment="1">
      <alignment horizontal="center" vertical="center" wrapText="1"/>
    </xf>
    <xf numFmtId="0" fontId="68" fillId="0" borderId="13" xfId="97" applyFont="1" applyBorder="1" applyAlignment="1">
      <alignment horizontal="left"/>
    </xf>
    <xf numFmtId="0" fontId="68" fillId="0" borderId="12" xfId="97" applyFont="1" applyBorder="1"/>
    <xf numFmtId="0" fontId="68" fillId="0" borderId="14" xfId="97" applyFont="1" applyBorder="1"/>
    <xf numFmtId="0" fontId="67" fillId="0" borderId="2" xfId="97" applyFont="1" applyBorder="1" applyAlignment="1">
      <alignment horizontal="left" vertical="center" indent="1"/>
    </xf>
    <xf numFmtId="165" fontId="67" fillId="0" borderId="0" xfId="97" applyNumberFormat="1" applyFont="1" applyAlignment="1">
      <alignment horizontal="right"/>
    </xf>
    <xf numFmtId="0" fontId="67" fillId="0" borderId="2" xfId="97" applyFont="1" applyBorder="1" applyAlignment="1">
      <alignment horizontal="left" indent="1"/>
    </xf>
    <xf numFmtId="165" fontId="67" fillId="0" borderId="2" xfId="97" applyNumberFormat="1" applyFont="1" applyBorder="1"/>
    <xf numFmtId="165" fontId="68" fillId="0" borderId="12" xfId="97" applyNumberFormat="1" applyFont="1" applyBorder="1" applyAlignment="1">
      <alignment horizontal="right"/>
    </xf>
    <xf numFmtId="165" fontId="68" fillId="0" borderId="14" xfId="97" applyNumberFormat="1" applyFont="1" applyBorder="1" applyAlignment="1">
      <alignment horizontal="right"/>
    </xf>
    <xf numFmtId="165" fontId="75" fillId="0" borderId="2" xfId="97" applyNumberFormat="1" applyFont="1" applyBorder="1" applyAlignment="1">
      <alignment horizontal="right"/>
    </xf>
    <xf numFmtId="165" fontId="67" fillId="0" borderId="2" xfId="97" applyNumberFormat="1" applyFont="1" applyBorder="1" applyAlignment="1">
      <alignment horizontal="right"/>
    </xf>
    <xf numFmtId="0" fontId="68" fillId="0" borderId="18" xfId="97" applyFont="1" applyBorder="1" applyAlignment="1">
      <alignment horizontal="left"/>
    </xf>
    <xf numFmtId="165" fontId="68" fillId="0" borderId="0" xfId="97" applyNumberFormat="1" applyFont="1" applyAlignment="1">
      <alignment horizontal="right"/>
    </xf>
    <xf numFmtId="165" fontId="68" fillId="0" borderId="19" xfId="97" applyNumberFormat="1" applyFont="1" applyBorder="1" applyAlignment="1">
      <alignment horizontal="right"/>
    </xf>
    <xf numFmtId="165" fontId="106" fillId="0" borderId="2" xfId="97" applyNumberFormat="1" applyFont="1" applyBorder="1" applyAlignment="1">
      <alignment horizontal="right"/>
    </xf>
    <xf numFmtId="2" fontId="68" fillId="0" borderId="0" xfId="97" applyNumberFormat="1" applyFont="1" applyAlignment="1">
      <alignment horizontal="right"/>
    </xf>
    <xf numFmtId="165" fontId="67" fillId="0" borderId="19" xfId="97" applyNumberFormat="1" applyFont="1" applyBorder="1" applyAlignment="1">
      <alignment horizontal="right"/>
    </xf>
    <xf numFmtId="0" fontId="68" fillId="0" borderId="8" xfId="97" applyFont="1" applyBorder="1" applyAlignment="1">
      <alignment horizontal="left"/>
    </xf>
    <xf numFmtId="165" fontId="67" fillId="0" borderId="12" xfId="97" applyNumberFormat="1" applyFont="1" applyBorder="1" applyAlignment="1">
      <alignment horizontal="right"/>
    </xf>
    <xf numFmtId="165" fontId="67" fillId="0" borderId="14" xfId="97" applyNumberFormat="1" applyFont="1" applyBorder="1" applyAlignment="1">
      <alignment horizontal="right"/>
    </xf>
    <xf numFmtId="0" fontId="66" fillId="0" borderId="3" xfId="97" applyFont="1" applyBorder="1" applyAlignment="1">
      <alignment horizontal="right" vertical="center"/>
    </xf>
    <xf numFmtId="0" fontId="66" fillId="0" borderId="0" xfId="97" applyFont="1" applyAlignment="1">
      <alignment vertical="center"/>
    </xf>
    <xf numFmtId="0" fontId="73" fillId="8" borderId="2" xfId="97" applyFont="1" applyFill="1" applyBorder="1" applyAlignment="1">
      <alignment horizontal="center" vertical="center"/>
    </xf>
    <xf numFmtId="0" fontId="67" fillId="0" borderId="2" xfId="97" applyFont="1" applyBorder="1" applyAlignment="1">
      <alignment vertical="center"/>
    </xf>
    <xf numFmtId="0" fontId="66" fillId="0" borderId="2" xfId="97" applyFont="1" applyBorder="1" applyAlignment="1">
      <alignment horizontal="left" vertical="center" wrapText="1"/>
    </xf>
    <xf numFmtId="2" fontId="66" fillId="0" borderId="2" xfId="97" applyNumberFormat="1" applyFont="1" applyBorder="1" applyAlignment="1">
      <alignment horizontal="center" vertical="center"/>
    </xf>
    <xf numFmtId="2" fontId="66" fillId="0" borderId="2" xfId="98" applyNumberFormat="1" applyFont="1" applyBorder="1" applyAlignment="1">
      <alignment horizontal="center" vertical="center"/>
    </xf>
    <xf numFmtId="0" fontId="67" fillId="0" borderId="2" xfId="97" applyFont="1" applyBorder="1" applyAlignment="1">
      <alignment horizontal="center" vertical="center"/>
    </xf>
    <xf numFmtId="2" fontId="64" fillId="0" borderId="2" xfId="98" applyNumberFormat="1" applyFont="1" applyBorder="1" applyAlignment="1">
      <alignment horizontal="center" vertical="center"/>
    </xf>
    <xf numFmtId="0" fontId="67" fillId="0" borderId="0" xfId="97" applyFont="1" applyAlignment="1">
      <alignment horizontal="center"/>
    </xf>
    <xf numFmtId="0" fontId="66" fillId="0" borderId="0" xfId="99" applyFont="1" applyAlignment="1">
      <alignment horizontal="right" vertical="center"/>
    </xf>
    <xf numFmtId="0" fontId="64" fillId="0" borderId="0" xfId="99" applyFont="1" applyAlignment="1">
      <alignment vertical="center"/>
    </xf>
    <xf numFmtId="0" fontId="103" fillId="0" borderId="0" xfId="99" applyFont="1"/>
    <xf numFmtId="0" fontId="87" fillId="8" borderId="2" xfId="99" applyFont="1" applyFill="1" applyBorder="1" applyAlignment="1">
      <alignment horizontal="center" vertical="center" wrapText="1"/>
    </xf>
    <xf numFmtId="0" fontId="103" fillId="0" borderId="0" xfId="99" applyFont="1" applyAlignment="1">
      <alignment wrapText="1"/>
    </xf>
    <xf numFmtId="0" fontId="99" fillId="0" borderId="2" xfId="99" applyFont="1" applyBorder="1" applyAlignment="1">
      <alignment horizontal="center" vertical="center"/>
    </xf>
    <xf numFmtId="0" fontId="99" fillId="0" borderId="2" xfId="99" applyFont="1" applyBorder="1" applyAlignment="1">
      <alignment horizontal="center" vertical="center" wrapText="1"/>
    </xf>
    <xf numFmtId="0" fontId="80" fillId="0" borderId="8" xfId="99" applyFont="1" applyBorder="1" applyAlignment="1">
      <alignment horizontal="left"/>
    </xf>
    <xf numFmtId="0" fontId="103" fillId="0" borderId="9" xfId="99" applyFont="1" applyBorder="1"/>
    <xf numFmtId="0" fontId="103" fillId="0" borderId="10" xfId="99" applyFont="1" applyBorder="1"/>
    <xf numFmtId="0" fontId="103" fillId="0" borderId="11" xfId="99" applyFont="1" applyBorder="1" applyAlignment="1">
      <alignment horizontal="left" vertical="center" indent="1"/>
    </xf>
    <xf numFmtId="0" fontId="103" fillId="0" borderId="9" xfId="99" applyFont="1" applyBorder="1" applyAlignment="1">
      <alignment horizontal="center"/>
    </xf>
    <xf numFmtId="0" fontId="103" fillId="0" borderId="10" xfId="99" applyFont="1" applyBorder="1" applyAlignment="1">
      <alignment horizontal="center"/>
    </xf>
    <xf numFmtId="0" fontId="103" fillId="0" borderId="2" xfId="99" applyFont="1" applyBorder="1" applyAlignment="1">
      <alignment horizontal="left" vertical="center" indent="1"/>
    </xf>
    <xf numFmtId="1" fontId="103" fillId="0" borderId="9" xfId="99" applyNumberFormat="1" applyFont="1" applyBorder="1" applyAlignment="1">
      <alignment horizontal="center"/>
    </xf>
    <xf numFmtId="1" fontId="103" fillId="0" borderId="10" xfId="99" applyNumberFormat="1" applyFont="1" applyBorder="1" applyAlignment="1">
      <alignment horizontal="center"/>
    </xf>
    <xf numFmtId="1" fontId="103" fillId="0" borderId="2" xfId="99" applyNumberFormat="1" applyFont="1" applyBorder="1" applyAlignment="1">
      <alignment horizontal="center"/>
    </xf>
    <xf numFmtId="0" fontId="66" fillId="0" borderId="0" xfId="99" applyFont="1" applyAlignment="1">
      <alignment vertical="center"/>
    </xf>
    <xf numFmtId="0" fontId="67" fillId="0" borderId="0" xfId="99" applyFont="1"/>
    <xf numFmtId="0" fontId="73" fillId="8" borderId="4" xfId="99" applyFont="1" applyFill="1" applyBorder="1" applyAlignment="1">
      <alignment horizontal="center" vertical="center" wrapText="1"/>
    </xf>
    <xf numFmtId="0" fontId="73" fillId="8" borderId="13" xfId="99" applyFont="1" applyFill="1" applyBorder="1" applyAlignment="1">
      <alignment horizontal="center" vertical="center" wrapText="1"/>
    </xf>
    <xf numFmtId="0" fontId="100" fillId="0" borderId="13" xfId="97" applyFont="1" applyBorder="1" applyAlignment="1">
      <alignment horizontal="center" vertical="center"/>
    </xf>
    <xf numFmtId="0" fontId="100" fillId="0" borderId="13" xfId="99" applyFont="1" applyBorder="1" applyAlignment="1">
      <alignment horizontal="center" vertical="center"/>
    </xf>
    <xf numFmtId="0" fontId="100" fillId="0" borderId="13" xfId="99" applyFont="1" applyBorder="1" applyAlignment="1">
      <alignment horizontal="center" vertical="center" wrapText="1"/>
    </xf>
    <xf numFmtId="0" fontId="100" fillId="0" borderId="12" xfId="99" applyFont="1" applyBorder="1" applyAlignment="1">
      <alignment horizontal="center" vertical="center" wrapText="1"/>
    </xf>
    <xf numFmtId="0" fontId="100" fillId="0" borderId="14" xfId="99" applyFont="1" applyBorder="1" applyAlignment="1">
      <alignment horizontal="center" vertical="center" wrapText="1"/>
    </xf>
    <xf numFmtId="0" fontId="100" fillId="0" borderId="4" xfId="99" applyFont="1" applyBorder="1" applyAlignment="1">
      <alignment horizontal="center" vertical="center"/>
    </xf>
    <xf numFmtId="0" fontId="98" fillId="0" borderId="0" xfId="99" applyFont="1"/>
    <xf numFmtId="0" fontId="68" fillId="0" borderId="8" xfId="99" applyFont="1" applyBorder="1" applyAlignment="1">
      <alignment horizontal="left"/>
    </xf>
    <xf numFmtId="0" fontId="68" fillId="0" borderId="8" xfId="99" applyFont="1" applyBorder="1"/>
    <xf numFmtId="0" fontId="68" fillId="0" borderId="9" xfId="99" applyFont="1" applyBorder="1"/>
    <xf numFmtId="0" fontId="68" fillId="0" borderId="10" xfId="99" applyFont="1" applyBorder="1"/>
    <xf numFmtId="0" fontId="67" fillId="0" borderId="16" xfId="99" applyFont="1" applyBorder="1" applyAlignment="1">
      <alignment horizontal="left" vertical="center" indent="1"/>
    </xf>
    <xf numFmtId="0" fontId="68" fillId="0" borderId="16" xfId="99" applyFont="1" applyBorder="1"/>
    <xf numFmtId="0" fontId="68" fillId="0" borderId="3" xfId="99" applyFont="1" applyBorder="1"/>
    <xf numFmtId="0" fontId="68" fillId="0" borderId="17" xfId="99" applyFont="1" applyBorder="1"/>
    <xf numFmtId="0" fontId="67" fillId="0" borderId="8" xfId="99" applyFont="1" applyBorder="1" applyAlignment="1">
      <alignment horizontal="left" vertical="center" indent="1"/>
    </xf>
    <xf numFmtId="0" fontId="67" fillId="0" borderId="2" xfId="99" applyFont="1" applyBorder="1"/>
    <xf numFmtId="0" fontId="75" fillId="0" borderId="2" xfId="99" applyFont="1" applyBorder="1"/>
    <xf numFmtId="0" fontId="68" fillId="0" borderId="8" xfId="99" applyFont="1" applyBorder="1" applyAlignment="1">
      <alignment horizontal="left" wrapText="1"/>
    </xf>
    <xf numFmtId="0" fontId="68" fillId="0" borderId="2" xfId="99" applyFont="1" applyBorder="1"/>
    <xf numFmtId="0" fontId="103" fillId="0" borderId="0" xfId="99" applyFont="1" applyAlignment="1">
      <alignment vertical="center"/>
    </xf>
    <xf numFmtId="0" fontId="101" fillId="8" borderId="2" xfId="99" applyFont="1" applyFill="1" applyBorder="1" applyAlignment="1">
      <alignment horizontal="center" vertical="center"/>
    </xf>
    <xf numFmtId="0" fontId="67" fillId="0" borderId="0" xfId="99" applyFont="1" applyAlignment="1">
      <alignment vertical="center"/>
    </xf>
    <xf numFmtId="0" fontId="100" fillId="0" borderId="2" xfId="99" applyFont="1" applyBorder="1" applyAlignment="1">
      <alignment horizontal="center" vertical="center"/>
    </xf>
    <xf numFmtId="0" fontId="68" fillId="0" borderId="4" xfId="99" applyFont="1" applyBorder="1" applyAlignment="1">
      <alignment horizontal="left"/>
    </xf>
    <xf numFmtId="0" fontId="67" fillId="0" borderId="8" xfId="99" applyFont="1" applyBorder="1"/>
    <xf numFmtId="0" fontId="67" fillId="0" borderId="9" xfId="99" applyFont="1" applyBorder="1"/>
    <xf numFmtId="0" fontId="67" fillId="0" borderId="10" xfId="99" applyFont="1" applyBorder="1"/>
    <xf numFmtId="0" fontId="67" fillId="0" borderId="13" xfId="99" applyFont="1" applyBorder="1"/>
    <xf numFmtId="0" fontId="67" fillId="0" borderId="12" xfId="99" applyFont="1" applyBorder="1"/>
    <xf numFmtId="0" fontId="67" fillId="0" borderId="14" xfId="99" applyFont="1" applyBorder="1"/>
    <xf numFmtId="0" fontId="67" fillId="0" borderId="2" xfId="99" applyFont="1" applyBorder="1" applyAlignment="1">
      <alignment horizontal="left" vertical="center" indent="1"/>
    </xf>
    <xf numFmtId="0" fontId="67" fillId="0" borderId="0" xfId="99" applyFont="1" applyAlignment="1">
      <alignment horizontal="left" vertical="center" indent="1"/>
    </xf>
    <xf numFmtId="0" fontId="67" fillId="0" borderId="2" xfId="99" applyFont="1" applyBorder="1" applyAlignment="1">
      <alignment horizontal="left" indent="1"/>
    </xf>
    <xf numFmtId="0" fontId="68" fillId="0" borderId="2" xfId="99" applyFont="1" applyBorder="1" applyAlignment="1">
      <alignment horizontal="left"/>
    </xf>
    <xf numFmtId="0" fontId="68" fillId="0" borderId="8" xfId="97" applyFont="1" applyBorder="1" applyAlignment="1">
      <alignment horizontal="left" wrapText="1"/>
    </xf>
    <xf numFmtId="1" fontId="75" fillId="0" borderId="11" xfId="4" applyNumberFormat="1" applyFont="1" applyBorder="1" applyAlignment="1">
      <alignment vertical="center"/>
    </xf>
    <xf numFmtId="168" fontId="75" fillId="0" borderId="0" xfId="84" applyNumberFormat="1" applyFont="1"/>
    <xf numFmtId="0" fontId="64" fillId="0" borderId="0" xfId="103" applyFont="1" applyAlignment="1">
      <alignment vertical="center"/>
    </xf>
    <xf numFmtId="0" fontId="68" fillId="8" borderId="2" xfId="103" applyFont="1" applyFill="1" applyBorder="1" applyAlignment="1">
      <alignment horizontal="center" vertical="center" wrapText="1"/>
    </xf>
    <xf numFmtId="0" fontId="68" fillId="8" borderId="0" xfId="103" applyFont="1" applyFill="1" applyAlignment="1">
      <alignment vertical="center"/>
    </xf>
    <xf numFmtId="0" fontId="68" fillId="8" borderId="0" xfId="103" applyFont="1" applyFill="1" applyAlignment="1">
      <alignment vertical="center" wrapText="1"/>
    </xf>
    <xf numFmtId="0" fontId="94" fillId="0" borderId="2" xfId="103" applyFont="1" applyBorder="1" applyAlignment="1">
      <alignment horizontal="center" vertical="center" wrapText="1"/>
    </xf>
    <xf numFmtId="0" fontId="94" fillId="0" borderId="0" xfId="103" applyFont="1" applyAlignment="1">
      <alignment vertical="center" wrapText="1"/>
    </xf>
    <xf numFmtId="0" fontId="68" fillId="0" borderId="2" xfId="103" applyFont="1" applyBorder="1" applyAlignment="1">
      <alignment horizontal="center" vertical="center"/>
    </xf>
    <xf numFmtId="0" fontId="67" fillId="0" borderId="2" xfId="103" applyFont="1" applyBorder="1" applyAlignment="1">
      <alignment vertical="center" wrapText="1"/>
    </xf>
    <xf numFmtId="0" fontId="70" fillId="0" borderId="2" xfId="56" applyFont="1" applyBorder="1" applyAlignment="1">
      <alignment horizontal="center" vertical="center"/>
    </xf>
    <xf numFmtId="0" fontId="67" fillId="0" borderId="0" xfId="103" applyFont="1" applyAlignment="1">
      <alignment vertical="center"/>
    </xf>
    <xf numFmtId="0" fontId="67" fillId="0" borderId="2" xfId="103" applyFont="1" applyBorder="1" applyAlignment="1">
      <alignment horizontal="center" vertical="center"/>
    </xf>
    <xf numFmtId="0" fontId="87" fillId="0" borderId="2" xfId="56" applyFont="1" applyBorder="1" applyAlignment="1">
      <alignment horizontal="center" vertical="center"/>
    </xf>
    <xf numFmtId="0" fontId="68" fillId="0" borderId="0" xfId="103" applyFont="1" applyAlignment="1">
      <alignment vertical="center"/>
    </xf>
    <xf numFmtId="0" fontId="68" fillId="0" borderId="0" xfId="103" applyFont="1" applyAlignment="1">
      <alignment horizontal="center" vertical="center"/>
    </xf>
    <xf numFmtId="0" fontId="67" fillId="0" borderId="0" xfId="103" applyFont="1" applyAlignment="1">
      <alignment vertical="center" wrapText="1"/>
    </xf>
    <xf numFmtId="0" fontId="67" fillId="0" borderId="0" xfId="103" applyFont="1" applyAlignment="1">
      <alignment horizontal="center" vertical="center"/>
    </xf>
    <xf numFmtId="0" fontId="68" fillId="0" borderId="0" xfId="103" applyFont="1" applyAlignment="1">
      <alignment horizontal="left" vertical="center"/>
    </xf>
    <xf numFmtId="0" fontId="68" fillId="0" borderId="2" xfId="103" applyFont="1" applyBorder="1" applyAlignment="1">
      <alignment vertical="center" wrapText="1"/>
    </xf>
    <xf numFmtId="0" fontId="68" fillId="0" borderId="2" xfId="103" applyFont="1" applyBorder="1" applyAlignment="1">
      <alignment horizontal="left" vertical="center"/>
    </xf>
    <xf numFmtId="167" fontId="68" fillId="0" borderId="2" xfId="103" applyNumberFormat="1" applyFont="1" applyBorder="1" applyAlignment="1">
      <alignment horizontal="center" vertical="center"/>
    </xf>
    <xf numFmtId="0" fontId="67" fillId="0" borderId="2" xfId="103" applyFont="1" applyBorder="1" applyAlignment="1">
      <alignment vertical="center"/>
    </xf>
    <xf numFmtId="167" fontId="67" fillId="0" borderId="2" xfId="103" applyNumberFormat="1" applyFont="1" applyBorder="1" applyAlignment="1">
      <alignment horizontal="center" vertical="center"/>
    </xf>
    <xf numFmtId="0" fontId="68" fillId="0" borderId="2" xfId="41" applyFont="1" applyBorder="1" applyAlignment="1">
      <alignment horizontal="left" vertical="center"/>
    </xf>
    <xf numFmtId="167" fontId="67" fillId="0" borderId="2" xfId="103" applyNumberFormat="1" applyFont="1" applyBorder="1" applyAlignment="1">
      <alignment horizontal="center" vertical="center" wrapText="1"/>
    </xf>
    <xf numFmtId="167" fontId="68" fillId="0" borderId="2" xfId="103" applyNumberFormat="1" applyFont="1" applyBorder="1" applyAlignment="1">
      <alignment horizontal="center" vertical="center" wrapText="1"/>
    </xf>
    <xf numFmtId="167" fontId="67" fillId="0" borderId="0" xfId="103" applyNumberFormat="1" applyFont="1" applyAlignment="1">
      <alignment vertical="center"/>
    </xf>
    <xf numFmtId="0" fontId="97" fillId="0" borderId="0" xfId="103" applyFont="1" applyAlignment="1">
      <alignment vertical="center" wrapText="1"/>
    </xf>
    <xf numFmtId="0" fontId="95" fillId="0" borderId="2" xfId="103" applyFont="1" applyBorder="1" applyAlignment="1">
      <alignment horizontal="center" vertical="center" wrapText="1"/>
    </xf>
    <xf numFmtId="0" fontId="96" fillId="0" borderId="2" xfId="41" applyFont="1" applyBorder="1" applyAlignment="1">
      <alignment horizontal="left" vertical="center"/>
    </xf>
    <xf numFmtId="0" fontId="73" fillId="8" borderId="2" xfId="1" applyFont="1" applyFill="1" applyBorder="1" applyAlignment="1">
      <alignment horizontal="center" vertical="center" wrapText="1"/>
    </xf>
    <xf numFmtId="0" fontId="68" fillId="0" borderId="8" xfId="54" applyFont="1" applyBorder="1" applyAlignment="1">
      <alignment horizontal="center" vertical="center"/>
    </xf>
    <xf numFmtId="2" fontId="75" fillId="0" borderId="0" xfId="9" applyNumberFormat="1" applyFont="1" applyAlignment="1">
      <alignment vertical="center"/>
    </xf>
    <xf numFmtId="0" fontId="67" fillId="0" borderId="8" xfId="95" applyFont="1" applyBorder="1" applyAlignment="1">
      <alignment horizontal="right"/>
    </xf>
    <xf numFmtId="0" fontId="67" fillId="0" borderId="9" xfId="95" applyFont="1" applyBorder="1" applyAlignment="1">
      <alignment horizontal="right"/>
    </xf>
    <xf numFmtId="0" fontId="67" fillId="0" borderId="10" xfId="95" applyFont="1" applyBorder="1" applyAlignment="1">
      <alignment horizontal="right"/>
    </xf>
    <xf numFmtId="167" fontId="98" fillId="0" borderId="2" xfId="54" applyNumberFormat="1" applyFont="1" applyBorder="1" applyAlignment="1">
      <alignment horizontal="left" vertical="center" wrapText="1"/>
    </xf>
    <xf numFmtId="167" fontId="68" fillId="0" borderId="2" xfId="54" applyNumberFormat="1" applyFont="1" applyBorder="1" applyAlignment="1">
      <alignment horizontal="left" vertical="center" wrapText="1"/>
    </xf>
    <xf numFmtId="0" fontId="68" fillId="0" borderId="0" xfId="54" applyFont="1" applyAlignment="1">
      <alignment horizontal="left" vertical="center" wrapText="1"/>
    </xf>
    <xf numFmtId="0" fontId="45" fillId="8" borderId="2" xfId="5" applyFont="1" applyFill="1" applyBorder="1" applyAlignment="1">
      <alignment horizontal="center" vertical="center" wrapText="1"/>
    </xf>
    <xf numFmtId="0" fontId="45" fillId="8" borderId="2" xfId="5" applyFont="1" applyFill="1" applyBorder="1" applyAlignment="1">
      <alignment horizontal="center" vertical="center"/>
    </xf>
    <xf numFmtId="0" fontId="72" fillId="0" borderId="2" xfId="1" applyFont="1" applyFill="1" applyBorder="1" applyAlignment="1">
      <alignment horizontal="center" vertical="center"/>
    </xf>
    <xf numFmtId="0" fontId="73" fillId="8" borderId="2" xfId="1" applyFont="1" applyFill="1" applyBorder="1" applyAlignment="1">
      <alignment horizontal="center" vertical="center"/>
    </xf>
    <xf numFmtId="0" fontId="73" fillId="0" borderId="2" xfId="5" applyFont="1" applyBorder="1"/>
    <xf numFmtId="0" fontId="73" fillId="0" borderId="2" xfId="5" applyFont="1" applyBorder="1" applyAlignment="1">
      <alignment horizontal="right" vertical="top"/>
    </xf>
    <xf numFmtId="167" fontId="73" fillId="8" borderId="2" xfId="5" applyNumberFormat="1" applyFont="1" applyFill="1" applyBorder="1" applyAlignment="1">
      <alignment horizontal="center" vertical="center"/>
    </xf>
    <xf numFmtId="0" fontId="109" fillId="0" borderId="2" xfId="5" applyFont="1" applyBorder="1" applyAlignment="1">
      <alignment horizontal="center" vertical="center" wrapText="1"/>
    </xf>
    <xf numFmtId="0" fontId="88" fillId="0" borderId="2" xfId="5" applyFont="1" applyBorder="1" applyAlignment="1">
      <alignment horizontal="center" vertical="center" wrapText="1"/>
    </xf>
    <xf numFmtId="167" fontId="75" fillId="0" borderId="2" xfId="5" applyNumberFormat="1" applyFont="1" applyBorder="1" applyAlignment="1">
      <alignment horizontal="center" vertical="center"/>
    </xf>
    <xf numFmtId="167" fontId="73" fillId="0" borderId="2" xfId="5" applyNumberFormat="1" applyFont="1" applyBorder="1" applyAlignment="1">
      <alignment horizontal="center" vertical="center"/>
    </xf>
    <xf numFmtId="167" fontId="73" fillId="0" borderId="0" xfId="5" applyNumberFormat="1" applyFont="1"/>
    <xf numFmtId="167" fontId="73" fillId="0" borderId="0" xfId="5" applyNumberFormat="1" applyFont="1" applyAlignment="1">
      <alignment horizontal="right" vertical="top"/>
    </xf>
    <xf numFmtId="167" fontId="75" fillId="0" borderId="0" xfId="5" applyNumberFormat="1" applyFont="1"/>
    <xf numFmtId="167" fontId="73" fillId="0" borderId="0" xfId="5" applyNumberFormat="1" applyFont="1" applyAlignment="1">
      <alignment vertical="center" wrapText="1"/>
    </xf>
    <xf numFmtId="167" fontId="75" fillId="0" borderId="0" xfId="5" applyNumberFormat="1" applyFont="1" applyAlignment="1">
      <alignment vertical="center"/>
    </xf>
    <xf numFmtId="167" fontId="109" fillId="0" borderId="11" xfId="5" applyNumberFormat="1" applyFont="1" applyBorder="1" applyAlignment="1">
      <alignment horizontal="center" vertical="center" wrapText="1"/>
    </xf>
    <xf numFmtId="167" fontId="88" fillId="0" borderId="11" xfId="5" applyNumberFormat="1" applyFont="1" applyBorder="1" applyAlignment="1">
      <alignment horizontal="center" vertical="center" wrapText="1"/>
    </xf>
    <xf numFmtId="167" fontId="88" fillId="0" borderId="0" xfId="5" applyNumberFormat="1" applyFont="1" applyAlignment="1">
      <alignment vertical="center"/>
    </xf>
    <xf numFmtId="167" fontId="73" fillId="0" borderId="2" xfId="5" applyNumberFormat="1" applyFont="1" applyBorder="1" applyAlignment="1">
      <alignment vertical="center" wrapText="1"/>
    </xf>
    <xf numFmtId="167" fontId="75" fillId="0" borderId="2" xfId="5" applyNumberFormat="1" applyFont="1" applyBorder="1"/>
    <xf numFmtId="167" fontId="73" fillId="0" borderId="2" xfId="5" applyNumberFormat="1" applyFont="1" applyBorder="1" applyAlignment="1">
      <alignment vertical="center"/>
    </xf>
    <xf numFmtId="167" fontId="73" fillId="0" borderId="2" xfId="5" applyNumberFormat="1" applyFont="1" applyBorder="1"/>
    <xf numFmtId="0" fontId="75" fillId="5" borderId="2" xfId="0" applyFont="1" applyFill="1" applyBorder="1" applyAlignment="1">
      <alignment horizontal="center" vertical="center"/>
    </xf>
    <xf numFmtId="0" fontId="75" fillId="0" borderId="0" xfId="7" applyFont="1" applyAlignment="1">
      <alignment vertical="top"/>
    </xf>
    <xf numFmtId="0" fontId="73" fillId="0" borderId="0" xfId="5" applyFont="1" applyAlignment="1">
      <alignment horizontal="right" vertical="top"/>
    </xf>
    <xf numFmtId="0" fontId="73" fillId="0" borderId="0" xfId="0" applyFont="1" applyAlignment="1">
      <alignment vertical="center" wrapText="1"/>
    </xf>
    <xf numFmtId="0" fontId="73" fillId="8" borderId="2" xfId="0" applyFont="1" applyFill="1" applyBorder="1" applyAlignment="1">
      <alignment horizontal="center" vertical="center" wrapText="1"/>
    </xf>
    <xf numFmtId="0" fontId="73" fillId="8" borderId="2" xfId="0" applyFont="1" applyFill="1" applyBorder="1" applyAlignment="1">
      <alignment horizontal="center" vertical="center"/>
    </xf>
    <xf numFmtId="0" fontId="75" fillId="0" borderId="0" xfId="0" applyFont="1" applyAlignment="1">
      <alignment vertical="center"/>
    </xf>
    <xf numFmtId="0" fontId="109" fillId="0" borderId="11" xfId="0" applyFont="1" applyBorder="1" applyAlignment="1">
      <alignment horizontal="center" vertical="center" wrapText="1"/>
    </xf>
    <xf numFmtId="0" fontId="73" fillId="0" borderId="0" xfId="0" applyFont="1" applyAlignment="1">
      <alignment vertical="center"/>
    </xf>
    <xf numFmtId="0" fontId="73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/>
    </xf>
    <xf numFmtId="0" fontId="73" fillId="0" borderId="2" xfId="2" applyFont="1" applyBorder="1" applyAlignment="1">
      <alignment vertical="center" wrapText="1"/>
    </xf>
    <xf numFmtId="0" fontId="75" fillId="0" borderId="0" xfId="0" applyFont="1"/>
    <xf numFmtId="1" fontId="75" fillId="0" borderId="2" xfId="0" applyNumberFormat="1" applyFont="1" applyBorder="1" applyAlignment="1">
      <alignment horizontal="center" vertical="center"/>
    </xf>
    <xf numFmtId="0" fontId="73" fillId="0" borderId="0" xfId="7" applyFont="1" applyAlignment="1">
      <alignment vertical="top"/>
    </xf>
    <xf numFmtId="0" fontId="75" fillId="0" borderId="0" xfId="7" applyFont="1"/>
    <xf numFmtId="0" fontId="109" fillId="0" borderId="2" xfId="0" applyFont="1" applyBorder="1" applyAlignment="1">
      <alignment horizontal="center" vertical="center" wrapText="1"/>
    </xf>
    <xf numFmtId="1" fontId="73" fillId="0" borderId="2" xfId="0" applyNumberFormat="1" applyFont="1" applyBorder="1" applyAlignment="1">
      <alignment horizontal="center" vertical="center"/>
    </xf>
    <xf numFmtId="0" fontId="68" fillId="0" borderId="2" xfId="103" applyFont="1" applyFill="1" applyBorder="1" applyAlignment="1">
      <alignment horizontal="center" vertical="center"/>
    </xf>
    <xf numFmtId="0" fontId="87" fillId="0" borderId="2" xfId="56" applyFont="1" applyFill="1" applyBorder="1" applyAlignment="1">
      <alignment horizontal="center" vertical="center"/>
    </xf>
    <xf numFmtId="0" fontId="70" fillId="0" borderId="2" xfId="56" applyFont="1" applyFill="1" applyBorder="1" applyAlignment="1">
      <alignment horizontal="center" vertical="center"/>
    </xf>
    <xf numFmtId="0" fontId="67" fillId="0" borderId="2" xfId="54" applyFont="1" applyBorder="1" applyAlignment="1">
      <alignment vertical="center" wrapText="1"/>
    </xf>
    <xf numFmtId="0" fontId="68" fillId="0" borderId="0" xfId="54" applyFont="1" applyAlignment="1">
      <alignment horizontal="left" vertical="center"/>
    </xf>
    <xf numFmtId="0" fontId="109" fillId="0" borderId="2" xfId="54" applyFont="1" applyBorder="1" applyAlignment="1">
      <alignment horizontal="center" vertical="center" wrapText="1"/>
    </xf>
    <xf numFmtId="0" fontId="68" fillId="0" borderId="2" xfId="0" applyFont="1" applyBorder="1" applyAlignment="1">
      <alignment horizontal="left" vertical="top"/>
    </xf>
    <xf numFmtId="165" fontId="68" fillId="0" borderId="2" xfId="0" applyNumberFormat="1" applyFont="1" applyFill="1" applyBorder="1" applyAlignment="1">
      <alignment horizontal="center" vertical="center"/>
    </xf>
    <xf numFmtId="0" fontId="73" fillId="0" borderId="2" xfId="4" applyFont="1" applyBorder="1" applyAlignment="1">
      <alignment vertical="center" wrapText="1"/>
    </xf>
    <xf numFmtId="0" fontId="73" fillId="0" borderId="2" xfId="4" applyFont="1" applyBorder="1" applyAlignment="1">
      <alignment vertical="center"/>
    </xf>
    <xf numFmtId="0" fontId="73" fillId="0" borderId="2" xfId="4" applyFont="1" applyBorder="1" applyAlignment="1">
      <alignment horizontal="left" vertical="center" wrapText="1"/>
    </xf>
    <xf numFmtId="0" fontId="73" fillId="0" borderId="4" xfId="4" applyFont="1" applyBorder="1" applyAlignment="1">
      <alignment vertical="center"/>
    </xf>
    <xf numFmtId="0" fontId="73" fillId="0" borderId="2" xfId="4" applyFont="1" applyFill="1" applyBorder="1" applyAlignment="1">
      <alignment horizontal="center" vertical="center"/>
    </xf>
    <xf numFmtId="0" fontId="73" fillId="0" borderId="2" xfId="4" applyFont="1" applyFill="1" applyBorder="1" applyAlignment="1">
      <alignment vertical="center"/>
    </xf>
    <xf numFmtId="165" fontId="67" fillId="0" borderId="2" xfId="0" applyNumberFormat="1" applyFont="1" applyFill="1" applyBorder="1" applyAlignment="1">
      <alignment horizontal="center" vertical="center"/>
    </xf>
    <xf numFmtId="0" fontId="73" fillId="0" borderId="2" xfId="9" applyFont="1" applyBorder="1" applyAlignment="1">
      <alignment vertical="center"/>
    </xf>
    <xf numFmtId="0" fontId="73" fillId="0" borderId="2" xfId="9" applyFont="1" applyBorder="1" applyAlignment="1">
      <alignment vertical="center" wrapText="1"/>
    </xf>
    <xf numFmtId="0" fontId="81" fillId="0" borderId="2" xfId="9" applyFont="1" applyBorder="1" applyAlignment="1">
      <alignment vertical="center"/>
    </xf>
    <xf numFmtId="0" fontId="73" fillId="0" borderId="0" xfId="4" applyFont="1" applyAlignment="1">
      <alignment vertical="center" wrapText="1"/>
    </xf>
    <xf numFmtId="0" fontId="73" fillId="0" borderId="4" xfId="9" applyFont="1" applyBorder="1" applyAlignment="1">
      <alignment vertical="center"/>
    </xf>
    <xf numFmtId="0" fontId="73" fillId="0" borderId="2" xfId="9" applyFont="1" applyFill="1" applyBorder="1" applyAlignment="1">
      <alignment horizontal="center" vertical="center"/>
    </xf>
    <xf numFmtId="0" fontId="73" fillId="0" borderId="2" xfId="9" applyFont="1" applyFill="1" applyBorder="1" applyAlignment="1">
      <alignment vertical="center"/>
    </xf>
    <xf numFmtId="2" fontId="67" fillId="0" borderId="2" xfId="83" applyNumberFormat="1" applyFont="1" applyFill="1" applyBorder="1" applyAlignment="1">
      <alignment horizontal="center" vertical="center"/>
    </xf>
    <xf numFmtId="2" fontId="75" fillId="0" borderId="0" xfId="9" applyNumberFormat="1" applyFont="1" applyFill="1" applyAlignment="1">
      <alignment vertical="center"/>
    </xf>
    <xf numFmtId="0" fontId="75" fillId="0" borderId="0" xfId="9" applyFont="1" applyFill="1" applyAlignment="1">
      <alignment vertical="center"/>
    </xf>
    <xf numFmtId="0" fontId="73" fillId="0" borderId="3" xfId="41" applyFont="1" applyBorder="1" applyAlignment="1">
      <alignment horizontal="right" vertical="top"/>
    </xf>
    <xf numFmtId="0" fontId="75" fillId="8" borderId="0" xfId="1" applyFont="1" applyFill="1" applyAlignment="1">
      <alignment horizontal="center" vertical="center"/>
    </xf>
    <xf numFmtId="0" fontId="109" fillId="0" borderId="2" xfId="1" applyFont="1" applyBorder="1" applyAlignment="1">
      <alignment horizontal="center" vertical="center" wrapText="1"/>
    </xf>
    <xf numFmtId="0" fontId="75" fillId="8" borderId="0" xfId="1" applyFont="1" applyFill="1"/>
    <xf numFmtId="0" fontId="73" fillId="0" borderId="2" xfId="41" applyFont="1" applyBorder="1" applyAlignment="1">
      <alignment vertical="center"/>
    </xf>
    <xf numFmtId="167" fontId="73" fillId="0" borderId="2" xfId="1" applyNumberFormat="1" applyFont="1" applyBorder="1" applyAlignment="1">
      <alignment horizontal="center" vertical="center"/>
    </xf>
    <xf numFmtId="10" fontId="75" fillId="0" borderId="0" xfId="84" applyNumberFormat="1" applyFont="1"/>
    <xf numFmtId="9" fontId="75" fillId="0" borderId="0" xfId="84" applyFont="1"/>
    <xf numFmtId="0" fontId="107" fillId="0" borderId="0" xfId="0" applyFont="1"/>
    <xf numFmtId="0" fontId="63" fillId="0" borderId="0" xfId="41" applyFont="1" applyAlignment="1">
      <alignment horizontal="right" vertical="center"/>
    </xf>
    <xf numFmtId="0" fontId="81" fillId="8" borderId="2" xfId="4" applyFont="1" applyFill="1" applyBorder="1" applyAlignment="1">
      <alignment horizontal="center" vertical="center" wrapText="1"/>
    </xf>
    <xf numFmtId="0" fontId="109" fillId="0" borderId="2" xfId="55" applyFont="1" applyBorder="1" applyAlignment="1">
      <alignment horizontal="center" vertical="center" wrapText="1"/>
    </xf>
    <xf numFmtId="0" fontId="73" fillId="0" borderId="2" xfId="55" applyFont="1" applyBorder="1" applyAlignment="1">
      <alignment horizontal="left" vertical="center" wrapText="1"/>
    </xf>
    <xf numFmtId="0" fontId="75" fillId="0" borderId="2" xfId="4" applyFont="1" applyBorder="1" applyAlignment="1">
      <alignment vertical="top"/>
    </xf>
    <xf numFmtId="0" fontId="75" fillId="0" borderId="0" xfId="17" applyFont="1"/>
    <xf numFmtId="0" fontId="109" fillId="0" borderId="2" xfId="4" applyFont="1" applyBorder="1" applyAlignment="1">
      <alignment horizontal="center" vertical="center" wrapText="1"/>
    </xf>
    <xf numFmtId="0" fontId="109" fillId="0" borderId="2" xfId="17" applyFont="1" applyBorder="1" applyAlignment="1">
      <alignment horizontal="center" vertical="center" wrapText="1"/>
    </xf>
    <xf numFmtId="0" fontId="73" fillId="0" borderId="0" xfId="17" applyFont="1"/>
    <xf numFmtId="0" fontId="73" fillId="0" borderId="8" xfId="5" applyFont="1" applyBorder="1" applyAlignment="1">
      <alignment vertical="center" wrapText="1"/>
    </xf>
    <xf numFmtId="0" fontId="73" fillId="0" borderId="8" xfId="5" applyFont="1" applyBorder="1" applyAlignment="1">
      <alignment horizontal="left" vertical="center" wrapText="1"/>
    </xf>
    <xf numFmtId="0" fontId="73" fillId="0" borderId="8" xfId="5" applyFont="1" applyBorder="1" applyAlignment="1">
      <alignment horizontal="right" vertical="top"/>
    </xf>
    <xf numFmtId="0" fontId="75" fillId="0" borderId="0" xfId="4" applyFont="1" applyAlignment="1">
      <alignment vertical="center"/>
    </xf>
    <xf numFmtId="0" fontId="118" fillId="9" borderId="0" xfId="17" applyFont="1" applyFill="1"/>
    <xf numFmtId="0" fontId="75" fillId="0" borderId="0" xfId="4" applyFont="1" applyAlignment="1">
      <alignment vertical="top"/>
    </xf>
    <xf numFmtId="0" fontId="75" fillId="8" borderId="0" xfId="4" applyFont="1" applyFill="1" applyAlignment="1">
      <alignment vertical="center"/>
    </xf>
    <xf numFmtId="0" fontId="109" fillId="8" borderId="0" xfId="4" applyFont="1" applyFill="1" applyAlignment="1">
      <alignment vertical="center"/>
    </xf>
    <xf numFmtId="0" fontId="73" fillId="0" borderId="0" xfId="4" applyFont="1" applyAlignment="1">
      <alignment vertical="center"/>
    </xf>
    <xf numFmtId="0" fontId="73" fillId="8" borderId="2" xfId="41" applyFont="1" applyFill="1" applyBorder="1" applyAlignment="1">
      <alignment horizontal="right" vertical="top"/>
    </xf>
    <xf numFmtId="0" fontId="88" fillId="8" borderId="0" xfId="4" applyFont="1" applyFill="1" applyAlignment="1">
      <alignment vertical="center"/>
    </xf>
    <xf numFmtId="0" fontId="73" fillId="0" borderId="2" xfId="41" applyFont="1" applyBorder="1" applyAlignment="1">
      <alignment horizontal="right" vertical="top"/>
    </xf>
    <xf numFmtId="0" fontId="73" fillId="0" borderId="0" xfId="4" applyFont="1" applyAlignment="1">
      <alignment horizontal="center" vertical="center"/>
    </xf>
    <xf numFmtId="0" fontId="75" fillId="0" borderId="0" xfId="17" applyFont="1" applyAlignment="1">
      <alignment vertical="center"/>
    </xf>
    <xf numFmtId="0" fontId="73" fillId="8" borderId="2" xfId="44" applyFont="1" applyFill="1" applyBorder="1" applyAlignment="1">
      <alignment horizontal="center" vertical="center" wrapText="1"/>
    </xf>
    <xf numFmtId="0" fontId="109" fillId="0" borderId="2" xfId="41" applyFont="1" applyBorder="1" applyAlignment="1">
      <alignment horizontal="center" vertical="center" wrapText="1"/>
    </xf>
    <xf numFmtId="0" fontId="109" fillId="0" borderId="2" xfId="44" applyFont="1" applyBorder="1" applyAlignment="1">
      <alignment horizontal="center" vertical="center" wrapText="1"/>
    </xf>
    <xf numFmtId="0" fontId="73" fillId="0" borderId="0" xfId="17" applyFont="1" applyAlignment="1">
      <alignment vertical="center"/>
    </xf>
    <xf numFmtId="0" fontId="73" fillId="0" borderId="2" xfId="17" applyFont="1" applyBorder="1" applyAlignment="1">
      <alignment horizontal="center" vertical="center"/>
    </xf>
    <xf numFmtId="0" fontId="68" fillId="0" borderId="2" xfId="45" applyFont="1" applyBorder="1" applyAlignment="1">
      <alignment horizontal="left" vertical="center" wrapText="1"/>
    </xf>
    <xf numFmtId="0" fontId="75" fillId="0" borderId="2" xfId="2" applyFont="1" applyBorder="1" applyAlignment="1">
      <alignment horizontal="center" vertical="center"/>
    </xf>
    <xf numFmtId="0" fontId="68" fillId="0" borderId="2" xfId="2" applyFont="1" applyBorder="1" applyAlignment="1">
      <alignment horizontal="center" vertical="center"/>
    </xf>
    <xf numFmtId="0" fontId="75" fillId="0" borderId="0" xfId="17" applyFont="1" applyAlignment="1">
      <alignment vertical="center" wrapText="1"/>
    </xf>
    <xf numFmtId="0" fontId="68" fillId="0" borderId="2" xfId="46" applyFont="1" applyBorder="1" applyAlignment="1">
      <alignment horizontal="center" vertical="center"/>
    </xf>
    <xf numFmtId="0" fontId="67" fillId="0" borderId="0" xfId="46" applyFont="1"/>
    <xf numFmtId="0" fontId="109" fillId="0" borderId="2" xfId="28" applyFont="1" applyBorder="1" applyAlignment="1">
      <alignment horizontal="center" vertical="center" wrapText="1"/>
    </xf>
    <xf numFmtId="0" fontId="68" fillId="0" borderId="0" xfId="46" applyFont="1"/>
    <xf numFmtId="0" fontId="81" fillId="2" borderId="2" xfId="44" applyFont="1" applyFill="1" applyBorder="1" applyAlignment="1">
      <alignment horizontal="center" vertical="center" wrapText="1"/>
    </xf>
    <xf numFmtId="0" fontId="68" fillId="0" borderId="0" xfId="46" applyFont="1" applyAlignment="1">
      <alignment horizontal="center" vertical="center"/>
    </xf>
    <xf numFmtId="0" fontId="73" fillId="8" borderId="0" xfId="5" applyFont="1" applyFill="1" applyAlignment="1">
      <alignment vertical="center" wrapText="1"/>
    </xf>
    <xf numFmtId="0" fontId="109" fillId="0" borderId="11" xfId="5" applyFont="1" applyBorder="1" applyAlignment="1">
      <alignment horizontal="center" vertical="center" wrapText="1"/>
    </xf>
    <xf numFmtId="0" fontId="68" fillId="8" borderId="2" xfId="0" applyFont="1" applyFill="1" applyBorder="1" applyAlignment="1">
      <alignment horizontal="center" vertical="center" textRotation="90"/>
    </xf>
    <xf numFmtId="1" fontId="67" fillId="0" borderId="2" xfId="69" applyNumberFormat="1" applyFont="1" applyBorder="1" applyAlignment="1">
      <alignment horizontal="center" vertical="center"/>
    </xf>
    <xf numFmtId="1" fontId="75" fillId="0" borderId="2" xfId="69" applyNumberFormat="1" applyFont="1" applyBorder="1" applyAlignment="1">
      <alignment horizontal="center" vertical="center"/>
    </xf>
    <xf numFmtId="1" fontId="68" fillId="0" borderId="2" xfId="69" applyNumberFormat="1" applyFont="1" applyBorder="1" applyAlignment="1">
      <alignment horizontal="center" vertical="center"/>
    </xf>
    <xf numFmtId="0" fontId="67" fillId="0" borderId="0" xfId="104" applyFont="1" applyAlignment="1">
      <alignment horizontal="center"/>
    </xf>
    <xf numFmtId="0" fontId="66" fillId="0" borderId="0" xfId="105" applyFont="1" applyAlignment="1">
      <alignment vertical="center"/>
    </xf>
    <xf numFmtId="0" fontId="67" fillId="0" borderId="0" xfId="105" applyFont="1" applyAlignment="1">
      <alignment vertical="center"/>
    </xf>
    <xf numFmtId="0" fontId="101" fillId="8" borderId="2" xfId="104" applyFont="1" applyFill="1" applyBorder="1" applyAlignment="1">
      <alignment horizontal="center" vertical="center" wrapText="1"/>
    </xf>
    <xf numFmtId="0" fontId="73" fillId="8" borderId="2" xfId="105" applyFont="1" applyFill="1" applyBorder="1" applyAlignment="1">
      <alignment horizontal="center" vertical="center"/>
    </xf>
    <xf numFmtId="0" fontId="73" fillId="8" borderId="8" xfId="105" applyFont="1" applyFill="1" applyBorder="1" applyAlignment="1">
      <alignment horizontal="center" vertical="center"/>
    </xf>
    <xf numFmtId="0" fontId="104" fillId="0" borderId="2" xfId="105" applyFont="1" applyBorder="1" applyAlignment="1">
      <alignment horizontal="center" vertical="center"/>
    </xf>
    <xf numFmtId="0" fontId="104" fillId="0" borderId="4" xfId="105" applyFont="1" applyBorder="1" applyAlignment="1">
      <alignment horizontal="center" vertical="center"/>
    </xf>
    <xf numFmtId="0" fontId="98" fillId="0" borderId="0" xfId="105" applyFont="1" applyAlignment="1">
      <alignment horizontal="center" vertical="center"/>
    </xf>
    <xf numFmtId="0" fontId="68" fillId="0" borderId="8" xfId="105" applyFont="1" applyBorder="1" applyAlignment="1">
      <alignment horizontal="left"/>
    </xf>
    <xf numFmtId="0" fontId="67" fillId="0" borderId="9" xfId="105" applyFont="1" applyBorder="1"/>
    <xf numFmtId="0" fontId="67" fillId="0" borderId="10" xfId="105" applyFont="1" applyBorder="1"/>
    <xf numFmtId="0" fontId="67" fillId="0" borderId="0" xfId="105" applyFont="1"/>
    <xf numFmtId="0" fontId="67" fillId="0" borderId="11" xfId="105" applyFont="1" applyBorder="1" applyAlignment="1">
      <alignment horizontal="left" indent="1"/>
    </xf>
    <xf numFmtId="1" fontId="67" fillId="0" borderId="11" xfId="105" applyNumberFormat="1" applyFont="1" applyBorder="1" applyAlignment="1">
      <alignment vertical="center"/>
    </xf>
    <xf numFmtId="0" fontId="67" fillId="0" borderId="2" xfId="105" applyFont="1" applyBorder="1" applyAlignment="1">
      <alignment horizontal="left" indent="1"/>
    </xf>
    <xf numFmtId="1" fontId="67" fillId="0" borderId="2" xfId="105" applyNumberFormat="1" applyFont="1" applyBorder="1" applyAlignment="1">
      <alignment vertical="center"/>
    </xf>
    <xf numFmtId="1" fontId="67" fillId="0" borderId="9" xfId="105" applyNumberFormat="1" applyFont="1" applyBorder="1"/>
    <xf numFmtId="1" fontId="67" fillId="0" borderId="10" xfId="105" applyNumberFormat="1" applyFont="1" applyBorder="1"/>
    <xf numFmtId="1" fontId="75" fillId="0" borderId="2" xfId="106" applyNumberFormat="1" applyFont="1" applyBorder="1" applyAlignment="1">
      <alignment vertical="center"/>
    </xf>
    <xf numFmtId="1" fontId="75" fillId="0" borderId="2" xfId="107" applyNumberFormat="1" applyFont="1" applyBorder="1" applyAlignment="1">
      <alignment vertical="center"/>
    </xf>
    <xf numFmtId="1" fontId="67" fillId="0" borderId="9" xfId="105" applyNumberFormat="1" applyFont="1" applyBorder="1" applyAlignment="1">
      <alignment vertical="center"/>
    </xf>
    <xf numFmtId="1" fontId="67" fillId="0" borderId="10" xfId="105" applyNumberFormat="1" applyFont="1" applyBorder="1" applyAlignment="1">
      <alignment vertical="center"/>
    </xf>
    <xf numFmtId="1" fontId="107" fillId="0" borderId="2" xfId="107" applyNumberFormat="1" applyFont="1" applyBorder="1" applyAlignment="1">
      <alignment vertical="center"/>
    </xf>
    <xf numFmtId="1" fontId="107" fillId="0" borderId="2" xfId="106" applyNumberFormat="1" applyFont="1" applyBorder="1" applyAlignment="1">
      <alignment vertical="center"/>
    </xf>
    <xf numFmtId="1" fontId="106" fillId="0" borderId="2" xfId="105" applyNumberFormat="1" applyFont="1" applyBorder="1" applyAlignment="1">
      <alignment vertical="center"/>
    </xf>
    <xf numFmtId="0" fontId="106" fillId="0" borderId="9" xfId="105" applyFont="1" applyBorder="1"/>
    <xf numFmtId="0" fontId="106" fillId="0" borderId="10" xfId="105" applyFont="1" applyBorder="1"/>
    <xf numFmtId="167" fontId="107" fillId="0" borderId="2" xfId="106" applyNumberFormat="1" applyFont="1" applyBorder="1" applyAlignment="1">
      <alignment vertical="center"/>
    </xf>
    <xf numFmtId="0" fontId="106" fillId="0" borderId="2" xfId="105" applyFont="1" applyBorder="1" applyAlignment="1">
      <alignment vertical="center"/>
    </xf>
    <xf numFmtId="167" fontId="107" fillId="0" borderId="2" xfId="107" applyNumberFormat="1" applyFont="1" applyBorder="1" applyAlignment="1">
      <alignment vertical="center"/>
    </xf>
    <xf numFmtId="0" fontId="68" fillId="0" borderId="8" xfId="105" applyFont="1" applyBorder="1" applyAlignment="1">
      <alignment horizontal="left" wrapText="1"/>
    </xf>
    <xf numFmtId="165" fontId="67" fillId="0" borderId="0" xfId="105" applyNumberFormat="1" applyFont="1"/>
    <xf numFmtId="167" fontId="67" fillId="0" borderId="2" xfId="54" applyNumberFormat="1" applyFont="1" applyBorder="1" applyAlignment="1">
      <alignment horizontal="left" vertical="center" wrapText="1"/>
    </xf>
    <xf numFmtId="167" fontId="68" fillId="0" borderId="2" xfId="54" applyNumberFormat="1" applyFont="1" applyBorder="1" applyAlignment="1">
      <alignment vertical="top" wrapText="1"/>
    </xf>
    <xf numFmtId="167" fontId="68" fillId="0" borderId="2" xfId="54" applyNumberFormat="1" applyFont="1" applyBorder="1" applyAlignment="1">
      <alignment horizontal="center" vertical="center" wrapText="1"/>
    </xf>
    <xf numFmtId="167" fontId="68" fillId="0" borderId="2" xfId="54" applyNumberFormat="1" applyFont="1" applyBorder="1" applyAlignment="1">
      <alignment vertical="center" wrapText="1"/>
    </xf>
    <xf numFmtId="167" fontId="67" fillId="0" borderId="0" xfId="54" applyNumberFormat="1" applyFont="1" applyAlignment="1">
      <alignment horizontal="center" vertical="center"/>
    </xf>
    <xf numFmtId="0" fontId="79" fillId="0" borderId="0" xfId="108" applyFont="1" applyAlignment="1">
      <alignment vertical="center"/>
    </xf>
    <xf numFmtId="0" fontId="1" fillId="0" borderId="0" xfId="108"/>
    <xf numFmtId="0" fontId="77" fillId="8" borderId="2" xfId="108" applyFont="1" applyFill="1" applyBorder="1" applyAlignment="1">
      <alignment horizontal="center" vertical="center" wrapText="1"/>
    </xf>
    <xf numFmtId="0" fontId="77" fillId="8" borderId="2" xfId="108" applyFont="1" applyFill="1" applyBorder="1" applyAlignment="1">
      <alignment horizontal="center" vertical="center" textRotation="90" wrapText="1"/>
    </xf>
    <xf numFmtId="0" fontId="77" fillId="0" borderId="2" xfId="108" applyFont="1" applyBorder="1" applyAlignment="1">
      <alignment horizontal="center" vertical="center"/>
    </xf>
    <xf numFmtId="0" fontId="79" fillId="0" borderId="2" xfId="108" applyFont="1" applyBorder="1" applyAlignment="1">
      <alignment horizontal="center" vertical="center"/>
    </xf>
    <xf numFmtId="0" fontId="1" fillId="0" borderId="0" xfId="108" applyAlignment="1">
      <alignment horizontal="left"/>
    </xf>
    <xf numFmtId="167" fontId="79" fillId="0" borderId="2" xfId="108" applyNumberFormat="1" applyFont="1" applyBorder="1" applyAlignment="1">
      <alignment horizontal="center" vertical="center"/>
    </xf>
    <xf numFmtId="167" fontId="77" fillId="0" borderId="2" xfId="108" applyNumberFormat="1" applyFont="1" applyBorder="1" applyAlignment="1">
      <alignment horizontal="center" vertical="center"/>
    </xf>
    <xf numFmtId="0" fontId="77" fillId="0" borderId="2" xfId="108" applyFont="1" applyBorder="1" applyAlignment="1">
      <alignment horizontal="left" vertical="center"/>
    </xf>
    <xf numFmtId="0" fontId="77" fillId="0" borderId="2" xfId="108" applyFont="1" applyBorder="1" applyAlignment="1">
      <alignment horizontal="left" vertical="center" wrapText="1"/>
    </xf>
    <xf numFmtId="0" fontId="58" fillId="0" borderId="0" xfId="1" applyFont="1" applyAlignment="1">
      <alignment horizontal="left" wrapText="1"/>
    </xf>
    <xf numFmtId="0" fontId="58" fillId="0" borderId="12" xfId="1" applyFont="1" applyBorder="1" applyAlignment="1">
      <alignment horizontal="left" wrapText="1"/>
    </xf>
    <xf numFmtId="0" fontId="57" fillId="2" borderId="2" xfId="1" applyFont="1" applyFill="1" applyBorder="1" applyAlignment="1">
      <alignment horizontal="center" vertical="center" wrapText="1"/>
    </xf>
    <xf numFmtId="0" fontId="35" fillId="2" borderId="3" xfId="1" applyFont="1" applyFill="1" applyBorder="1" applyAlignment="1">
      <alignment horizontal="center" vertical="center"/>
    </xf>
    <xf numFmtId="0" fontId="63" fillId="0" borderId="3" xfId="0" applyFont="1" applyBorder="1" applyAlignment="1">
      <alignment horizontal="left" vertical="center"/>
    </xf>
    <xf numFmtId="0" fontId="63" fillId="0" borderId="2" xfId="1" applyFont="1" applyBorder="1" applyAlignment="1">
      <alignment horizontal="center" vertical="center"/>
    </xf>
    <xf numFmtId="0" fontId="71" fillId="0" borderId="12" xfId="1" applyFont="1" applyBorder="1" applyAlignment="1">
      <alignment horizontal="left" vertical="center" wrapText="1"/>
    </xf>
    <xf numFmtId="0" fontId="63" fillId="8" borderId="2" xfId="1" applyFont="1" applyFill="1" applyBorder="1" applyAlignment="1">
      <alignment horizontal="center" vertical="center" wrapText="1"/>
    </xf>
    <xf numFmtId="0" fontId="63" fillId="8" borderId="2" xfId="0" applyFont="1" applyFill="1" applyBorder="1" applyAlignment="1">
      <alignment horizontal="center" vertical="center"/>
    </xf>
    <xf numFmtId="0" fontId="76" fillId="2" borderId="3" xfId="1" applyFont="1" applyFill="1" applyBorder="1" applyAlignment="1">
      <alignment horizontal="left" vertical="center" wrapText="1"/>
    </xf>
    <xf numFmtId="0" fontId="76" fillId="0" borderId="2" xfId="1" applyFont="1" applyBorder="1" applyAlignment="1">
      <alignment horizontal="center" vertical="center" wrapText="1"/>
    </xf>
    <xf numFmtId="0" fontId="45" fillId="8" borderId="2" xfId="5" applyFont="1" applyFill="1" applyBorder="1" applyAlignment="1">
      <alignment horizontal="center" vertical="center"/>
    </xf>
    <xf numFmtId="0" fontId="47" fillId="8" borderId="2" xfId="39" applyFont="1" applyFill="1" applyBorder="1" applyAlignment="1">
      <alignment horizontal="center"/>
    </xf>
    <xf numFmtId="0" fontId="35" fillId="0" borderId="2" xfId="5" applyFont="1" applyFill="1" applyBorder="1" applyAlignment="1">
      <alignment horizontal="left" vertical="center"/>
    </xf>
    <xf numFmtId="0" fontId="72" fillId="8" borderId="2" xfId="1" applyFont="1" applyFill="1" applyBorder="1" applyAlignment="1">
      <alignment horizontal="center" vertical="center" wrapText="1"/>
    </xf>
    <xf numFmtId="166" fontId="45" fillId="0" borderId="8" xfId="5" applyNumberFormat="1" applyFont="1" applyBorder="1" applyAlignment="1">
      <alignment horizontal="center" vertical="center" wrapText="1"/>
    </xf>
    <xf numFmtId="166" fontId="45" fillId="0" borderId="10" xfId="5" applyNumberFormat="1" applyFont="1" applyBorder="1" applyAlignment="1">
      <alignment horizontal="center" vertical="center" wrapText="1"/>
    </xf>
    <xf numFmtId="0" fontId="117" fillId="0" borderId="12" xfId="5" applyFont="1" applyBorder="1" applyAlignment="1">
      <alignment horizontal="left" vertical="center"/>
    </xf>
    <xf numFmtId="0" fontId="63" fillId="8" borderId="4" xfId="4" applyFont="1" applyFill="1" applyBorder="1" applyAlignment="1">
      <alignment horizontal="center" vertical="center" wrapText="1"/>
    </xf>
    <xf numFmtId="0" fontId="63" fillId="8" borderId="11" xfId="4" applyFont="1" applyFill="1" applyBorder="1" applyAlignment="1">
      <alignment horizontal="center" vertical="center" wrapText="1"/>
    </xf>
    <xf numFmtId="0" fontId="63" fillId="0" borderId="8" xfId="4" applyFont="1" applyBorder="1" applyAlignment="1">
      <alignment horizontal="center" vertical="center"/>
    </xf>
    <xf numFmtId="0" fontId="63" fillId="0" borderId="10" xfId="4" applyFont="1" applyBorder="1" applyAlignment="1">
      <alignment horizontal="center" vertical="center"/>
    </xf>
    <xf numFmtId="0" fontId="63" fillId="0" borderId="0" xfId="4" applyFont="1" applyFill="1" applyAlignment="1">
      <alignment horizontal="center" vertical="center" wrapText="1"/>
    </xf>
    <xf numFmtId="0" fontId="63" fillId="8" borderId="2" xfId="4" applyFont="1" applyFill="1" applyBorder="1" applyAlignment="1">
      <alignment horizontal="center" vertical="center" wrapText="1"/>
    </xf>
    <xf numFmtId="0" fontId="72" fillId="0" borderId="0" xfId="42" applyFont="1" applyAlignment="1">
      <alignment horizontal="right" vertical="center"/>
    </xf>
    <xf numFmtId="0" fontId="72" fillId="0" borderId="3" xfId="42" applyFont="1" applyBorder="1" applyAlignment="1">
      <alignment horizontal="left" vertical="center" wrapText="1"/>
    </xf>
    <xf numFmtId="0" fontId="77" fillId="0" borderId="3" xfId="108" applyFont="1" applyBorder="1" applyAlignment="1">
      <alignment horizontal="left" vertical="center" wrapText="1"/>
    </xf>
    <xf numFmtId="0" fontId="77" fillId="0" borderId="2" xfId="108" applyFont="1" applyBorder="1" applyAlignment="1">
      <alignment horizontal="center" vertical="center"/>
    </xf>
    <xf numFmtId="0" fontId="63" fillId="0" borderId="0" xfId="1" applyFont="1" applyAlignment="1">
      <alignment horizontal="right" vertical="top"/>
    </xf>
    <xf numFmtId="0" fontId="63" fillId="0" borderId="3" xfId="1" applyFont="1" applyBorder="1" applyAlignment="1">
      <alignment horizontal="left" vertical="top" wrapText="1"/>
    </xf>
    <xf numFmtId="0" fontId="73" fillId="8" borderId="2" xfId="1" applyFont="1" applyFill="1" applyBorder="1" applyAlignment="1">
      <alignment horizontal="center" vertical="center" wrapText="1"/>
    </xf>
    <xf numFmtId="0" fontId="68" fillId="10" borderId="2" xfId="1" applyFont="1" applyFill="1" applyBorder="1" applyAlignment="1">
      <alignment horizontal="center" vertical="center" wrapText="1"/>
    </xf>
    <xf numFmtId="0" fontId="68" fillId="10" borderId="4" xfId="1" applyFont="1" applyFill="1" applyBorder="1" applyAlignment="1">
      <alignment horizontal="center" vertical="center" wrapText="1"/>
    </xf>
    <xf numFmtId="0" fontId="68" fillId="10" borderId="11" xfId="1" applyFont="1" applyFill="1" applyBorder="1" applyAlignment="1">
      <alignment horizontal="center" vertical="center" wrapText="1"/>
    </xf>
    <xf numFmtId="0" fontId="68" fillId="10" borderId="8" xfId="1" applyFont="1" applyFill="1" applyBorder="1" applyAlignment="1">
      <alignment horizontal="center" vertical="center" wrapText="1"/>
    </xf>
    <xf numFmtId="0" fontId="68" fillId="10" borderId="10" xfId="1" applyFont="1" applyFill="1" applyBorder="1" applyAlignment="1">
      <alignment horizontal="center" vertical="center" wrapText="1"/>
    </xf>
    <xf numFmtId="0" fontId="73" fillId="0" borderId="2" xfId="1" applyFont="1" applyBorder="1" applyAlignment="1">
      <alignment horizontal="center" vertical="center"/>
    </xf>
    <xf numFmtId="0" fontId="63" fillId="8" borderId="8" xfId="1" applyFont="1" applyFill="1" applyBorder="1" applyAlignment="1">
      <alignment horizontal="center" vertical="center" wrapText="1"/>
    </xf>
    <xf numFmtId="0" fontId="63" fillId="8" borderId="9" xfId="1" applyFont="1" applyFill="1" applyBorder="1" applyAlignment="1">
      <alignment horizontal="center" vertical="center" wrapText="1"/>
    </xf>
    <xf numFmtId="0" fontId="63" fillId="8" borderId="10" xfId="1" applyFont="1" applyFill="1" applyBorder="1" applyAlignment="1">
      <alignment horizontal="center" vertical="center" wrapText="1"/>
    </xf>
    <xf numFmtId="0" fontId="63" fillId="0" borderId="3" xfId="5" applyFont="1" applyBorder="1" applyAlignment="1">
      <alignment horizontal="left" vertical="top"/>
    </xf>
    <xf numFmtId="0" fontId="63" fillId="0" borderId="8" xfId="1" applyFont="1" applyBorder="1" applyAlignment="1">
      <alignment horizontal="center" vertical="center"/>
    </xf>
    <xf numFmtId="0" fontId="73" fillId="8" borderId="8" xfId="1" applyFont="1" applyFill="1" applyBorder="1" applyAlignment="1">
      <alignment horizontal="center" vertical="center" wrapText="1"/>
    </xf>
    <xf numFmtId="0" fontId="73" fillId="8" borderId="9" xfId="1" applyFont="1" applyFill="1" applyBorder="1" applyAlignment="1">
      <alignment horizontal="center" vertical="center" wrapText="1"/>
    </xf>
    <xf numFmtId="0" fontId="73" fillId="8" borderId="10" xfId="1" applyFont="1" applyFill="1" applyBorder="1" applyAlignment="1">
      <alignment horizontal="center" vertical="center" wrapText="1"/>
    </xf>
    <xf numFmtId="0" fontId="73" fillId="0" borderId="8" xfId="1" applyFont="1" applyBorder="1" applyAlignment="1">
      <alignment horizontal="center" vertical="center"/>
    </xf>
    <xf numFmtId="0" fontId="73" fillId="0" borderId="2" xfId="5" applyFont="1" applyBorder="1" applyAlignment="1">
      <alignment horizontal="left" vertical="top" wrapText="1"/>
    </xf>
    <xf numFmtId="0" fontId="73" fillId="8" borderId="2" xfId="5" applyFont="1" applyFill="1" applyBorder="1" applyAlignment="1">
      <alignment horizontal="center" vertical="center" wrapText="1"/>
    </xf>
    <xf numFmtId="0" fontId="73" fillId="0" borderId="2" xfId="5" applyFont="1" applyBorder="1" applyAlignment="1">
      <alignment horizontal="center" vertical="center"/>
    </xf>
    <xf numFmtId="167" fontId="73" fillId="0" borderId="2" xfId="5" applyNumberFormat="1" applyFont="1" applyBorder="1" applyAlignment="1">
      <alignment horizontal="center" vertical="center"/>
    </xf>
    <xf numFmtId="167" fontId="73" fillId="0" borderId="3" xfId="5" applyNumberFormat="1" applyFont="1" applyBorder="1" applyAlignment="1">
      <alignment horizontal="left" vertical="top" wrapText="1"/>
    </xf>
    <xf numFmtId="167" fontId="73" fillId="8" borderId="8" xfId="5" applyNumberFormat="1" applyFont="1" applyFill="1" applyBorder="1" applyAlignment="1">
      <alignment horizontal="center" vertical="center" wrapText="1"/>
    </xf>
    <xf numFmtId="167" fontId="73" fillId="8" borderId="9" xfId="5" applyNumberFormat="1" applyFont="1" applyFill="1" applyBorder="1" applyAlignment="1">
      <alignment horizontal="center" vertical="center" wrapText="1"/>
    </xf>
    <xf numFmtId="167" fontId="73" fillId="8" borderId="10" xfId="5" applyNumberFormat="1" applyFont="1" applyFill="1" applyBorder="1" applyAlignment="1">
      <alignment horizontal="center" vertical="center" wrapText="1"/>
    </xf>
    <xf numFmtId="0" fontId="63" fillId="0" borderId="3" xfId="5" applyFont="1" applyBorder="1" applyAlignment="1">
      <alignment horizontal="left" vertical="top" wrapText="1"/>
    </xf>
    <xf numFmtId="0" fontId="63" fillId="8" borderId="8" xfId="2" applyFont="1" applyFill="1" applyBorder="1" applyAlignment="1">
      <alignment horizontal="center" vertical="center" wrapText="1"/>
    </xf>
    <xf numFmtId="0" fontId="63" fillId="8" borderId="9" xfId="2" applyFont="1" applyFill="1" applyBorder="1" applyAlignment="1">
      <alignment horizontal="center" vertical="center" wrapText="1"/>
    </xf>
    <xf numFmtId="0" fontId="63" fillId="8" borderId="10" xfId="2" applyFont="1" applyFill="1" applyBorder="1" applyAlignment="1">
      <alignment horizontal="center" vertical="center" wrapText="1"/>
    </xf>
    <xf numFmtId="0" fontId="63" fillId="0" borderId="2" xfId="2" applyFont="1" applyBorder="1" applyAlignment="1">
      <alignment horizontal="center" vertical="center"/>
    </xf>
    <xf numFmtId="0" fontId="63" fillId="8" borderId="2" xfId="2" applyFont="1" applyFill="1" applyBorder="1" applyAlignment="1">
      <alignment horizontal="center" vertical="center" wrapText="1"/>
    </xf>
    <xf numFmtId="0" fontId="73" fillId="0" borderId="2" xfId="0" applyFont="1" applyBorder="1" applyAlignment="1">
      <alignment horizontal="center" vertical="center"/>
    </xf>
    <xf numFmtId="0" fontId="73" fillId="8" borderId="8" xfId="0" applyFont="1" applyFill="1" applyBorder="1" applyAlignment="1">
      <alignment horizontal="center" vertical="center" wrapText="1"/>
    </xf>
    <xf numFmtId="0" fontId="73" fillId="8" borderId="9" xfId="0" applyFont="1" applyFill="1" applyBorder="1" applyAlignment="1">
      <alignment horizontal="center" vertical="center" wrapText="1"/>
    </xf>
    <xf numFmtId="0" fontId="73" fillId="8" borderId="10" xfId="0" applyFont="1" applyFill="1" applyBorder="1" applyAlignment="1">
      <alignment horizontal="center" vertical="center" wrapText="1"/>
    </xf>
    <xf numFmtId="0" fontId="73" fillId="0" borderId="3" xfId="7" applyFont="1" applyBorder="1" applyAlignment="1">
      <alignment horizontal="left" vertical="top" wrapText="1"/>
    </xf>
    <xf numFmtId="0" fontId="73" fillId="0" borderId="3" xfId="7" applyFont="1" applyBorder="1" applyAlignment="1">
      <alignment horizontal="left" vertical="top"/>
    </xf>
    <xf numFmtId="0" fontId="63" fillId="0" borderId="3" xfId="7" applyFont="1" applyBorder="1" applyAlignment="1">
      <alignment horizontal="left" vertical="top" wrapText="1"/>
    </xf>
    <xf numFmtId="0" fontId="73" fillId="8" borderId="2" xfId="5" applyFont="1" applyFill="1" applyBorder="1" applyAlignment="1">
      <alignment horizontal="center" vertical="center"/>
    </xf>
    <xf numFmtId="0" fontId="73" fillId="8" borderId="8" xfId="5" applyFont="1" applyFill="1" applyBorder="1" applyAlignment="1">
      <alignment horizontal="center" vertical="center"/>
    </xf>
    <xf numFmtId="0" fontId="73" fillId="8" borderId="9" xfId="5" applyFont="1" applyFill="1" applyBorder="1" applyAlignment="1">
      <alignment horizontal="center" vertical="center"/>
    </xf>
    <xf numFmtId="0" fontId="73" fillId="8" borderId="10" xfId="5" applyFont="1" applyFill="1" applyBorder="1" applyAlignment="1">
      <alignment horizontal="center" vertical="center"/>
    </xf>
    <xf numFmtId="0" fontId="73" fillId="8" borderId="4" xfId="5" applyFont="1" applyFill="1" applyBorder="1" applyAlignment="1">
      <alignment horizontal="center" vertical="center" textRotation="90" wrapText="1"/>
    </xf>
    <xf numFmtId="0" fontId="73" fillId="8" borderId="11" xfId="5" applyFont="1" applyFill="1" applyBorder="1" applyAlignment="1">
      <alignment horizontal="center" vertical="center" textRotation="90" wrapText="1"/>
    </xf>
    <xf numFmtId="0" fontId="63" fillId="0" borderId="2" xfId="0" applyFont="1" applyBorder="1" applyAlignment="1">
      <alignment horizontal="center" vertical="center"/>
    </xf>
    <xf numFmtId="0" fontId="63" fillId="8" borderId="8" xfId="0" applyFont="1" applyFill="1" applyBorder="1" applyAlignment="1">
      <alignment horizontal="center" vertical="center" wrapText="1"/>
    </xf>
    <xf numFmtId="0" fontId="63" fillId="8" borderId="9" xfId="0" applyFont="1" applyFill="1" applyBorder="1" applyAlignment="1">
      <alignment horizontal="center" vertical="center" wrapText="1"/>
    </xf>
    <xf numFmtId="0" fontId="63" fillId="8" borderId="10" xfId="0" applyFont="1" applyFill="1" applyBorder="1" applyAlignment="1">
      <alignment horizontal="center" vertical="center" wrapText="1"/>
    </xf>
    <xf numFmtId="0" fontId="73" fillId="8" borderId="4" xfId="1" applyFont="1" applyFill="1" applyBorder="1" applyAlignment="1">
      <alignment horizontal="center" vertical="center" wrapText="1"/>
    </xf>
    <xf numFmtId="0" fontId="73" fillId="8" borderId="11" xfId="1" applyFont="1" applyFill="1" applyBorder="1" applyAlignment="1">
      <alignment horizontal="center" vertical="center" wrapText="1"/>
    </xf>
    <xf numFmtId="0" fontId="90" fillId="8" borderId="2" xfId="41" applyFont="1" applyFill="1" applyBorder="1" applyAlignment="1">
      <alignment horizontal="center" vertical="center" wrapText="1"/>
    </xf>
    <xf numFmtId="0" fontId="77" fillId="0" borderId="3" xfId="54" applyFont="1" applyBorder="1" applyAlignment="1">
      <alignment horizontal="left" vertical="center" wrapText="1"/>
    </xf>
    <xf numFmtId="0" fontId="68" fillId="0" borderId="2" xfId="0" applyFont="1" applyBorder="1" applyAlignment="1">
      <alignment horizontal="center"/>
    </xf>
    <xf numFmtId="0" fontId="72" fillId="0" borderId="0" xfId="41" applyFont="1" applyAlignment="1">
      <alignment horizontal="right" vertical="center"/>
    </xf>
    <xf numFmtId="0" fontId="90" fillId="8" borderId="2" xfId="54" applyFont="1" applyFill="1" applyBorder="1" applyAlignment="1">
      <alignment horizontal="center" vertical="center"/>
    </xf>
    <xf numFmtId="0" fontId="91" fillId="8" borderId="2" xfId="54" applyFont="1" applyFill="1" applyBorder="1" applyAlignment="1">
      <alignment horizontal="center" vertical="center"/>
    </xf>
    <xf numFmtId="0" fontId="91" fillId="8" borderId="2" xfId="54" applyFont="1" applyFill="1" applyBorder="1" applyAlignment="1">
      <alignment horizontal="center" vertical="center" wrapText="1"/>
    </xf>
    <xf numFmtId="0" fontId="68" fillId="0" borderId="8" xfId="103" applyFont="1" applyBorder="1" applyAlignment="1">
      <alignment horizontal="center" vertical="center" wrapText="1"/>
    </xf>
    <xf numFmtId="0" fontId="68" fillId="0" borderId="10" xfId="103" applyFont="1" applyBorder="1" applyAlignment="1">
      <alignment horizontal="center" vertical="center" wrapText="1"/>
    </xf>
    <xf numFmtId="0" fontId="63" fillId="0" borderId="2" xfId="41" applyFont="1" applyBorder="1" applyAlignment="1">
      <alignment horizontal="right" vertical="top"/>
    </xf>
    <xf numFmtId="0" fontId="66" fillId="0" borderId="2" xfId="103" applyFont="1" applyBorder="1" applyAlignment="1">
      <alignment horizontal="center" vertical="center" wrapText="1"/>
    </xf>
    <xf numFmtId="0" fontId="70" fillId="0" borderId="2" xfId="41" applyFont="1" applyBorder="1" applyAlignment="1">
      <alignment horizontal="center" vertical="center"/>
    </xf>
    <xf numFmtId="0" fontId="73" fillId="8" borderId="2" xfId="103" applyFont="1" applyFill="1" applyBorder="1" applyAlignment="1">
      <alignment horizontal="center" vertical="center" wrapText="1"/>
    </xf>
    <xf numFmtId="0" fontId="68" fillId="8" borderId="2" xfId="103" applyFont="1" applyFill="1" applyBorder="1" applyAlignment="1">
      <alignment horizontal="center" vertical="center" wrapText="1"/>
    </xf>
    <xf numFmtId="0" fontId="73" fillId="8" borderId="2" xfId="41" applyFont="1" applyFill="1" applyBorder="1" applyAlignment="1">
      <alignment horizontal="center" vertical="center" wrapText="1"/>
    </xf>
    <xf numFmtId="0" fontId="66" fillId="0" borderId="2" xfId="54" applyFont="1" applyBorder="1" applyAlignment="1">
      <alignment horizontal="center" vertical="center" wrapText="1"/>
    </xf>
    <xf numFmtId="0" fontId="68" fillId="0" borderId="8" xfId="54" applyFont="1" applyBorder="1" applyAlignment="1">
      <alignment horizontal="center" vertical="center"/>
    </xf>
    <xf numFmtId="0" fontId="68" fillId="0" borderId="10" xfId="54" applyFont="1" applyBorder="1" applyAlignment="1">
      <alignment horizontal="center" vertical="center"/>
    </xf>
    <xf numFmtId="0" fontId="73" fillId="8" borderId="2" xfId="54" applyFont="1" applyFill="1" applyBorder="1" applyAlignment="1">
      <alignment horizontal="center" vertical="center" wrapText="1"/>
    </xf>
    <xf numFmtId="0" fontId="68" fillId="8" borderId="2" xfId="54" applyFont="1" applyFill="1" applyBorder="1" applyAlignment="1">
      <alignment horizontal="center" vertical="center" wrapText="1"/>
    </xf>
    <xf numFmtId="0" fontId="68" fillId="0" borderId="2" xfId="54" applyFont="1" applyBorder="1" applyAlignment="1">
      <alignment horizontal="left" vertical="center" wrapText="1"/>
    </xf>
    <xf numFmtId="0" fontId="68" fillId="0" borderId="2" xfId="54" applyFont="1" applyBorder="1" applyAlignment="1">
      <alignment horizontal="left" vertical="center"/>
    </xf>
    <xf numFmtId="0" fontId="68" fillId="8" borderId="2" xfId="54" applyFont="1" applyFill="1" applyBorder="1" applyAlignment="1" applyProtection="1">
      <alignment horizontal="center" vertical="center"/>
      <protection locked="0"/>
    </xf>
    <xf numFmtId="0" fontId="68" fillId="0" borderId="9" xfId="54" applyFont="1" applyBorder="1" applyAlignment="1">
      <alignment horizontal="center" vertical="center"/>
    </xf>
    <xf numFmtId="0" fontId="68" fillId="0" borderId="4" xfId="0" applyFont="1" applyBorder="1" applyAlignment="1">
      <alignment horizontal="left" vertical="center"/>
    </xf>
    <xf numFmtId="0" fontId="68" fillId="0" borderId="15" xfId="0" applyFont="1" applyBorder="1" applyAlignment="1">
      <alignment horizontal="left" vertical="center"/>
    </xf>
    <xf numFmtId="0" fontId="68" fillId="0" borderId="11" xfId="0" applyFont="1" applyBorder="1" applyAlignment="1">
      <alignment horizontal="left" vertical="center"/>
    </xf>
    <xf numFmtId="0" fontId="68" fillId="0" borderId="4" xfId="41" applyFont="1" applyBorder="1" applyAlignment="1">
      <alignment horizontal="left" vertical="center"/>
    </xf>
    <xf numFmtId="0" fontId="68" fillId="0" borderId="15" xfId="41" applyFont="1" applyBorder="1" applyAlignment="1">
      <alignment horizontal="left" vertical="center"/>
    </xf>
    <xf numFmtId="0" fontId="68" fillId="0" borderId="11" xfId="41" applyFont="1" applyBorder="1" applyAlignment="1">
      <alignment horizontal="left" vertical="center"/>
    </xf>
    <xf numFmtId="0" fontId="68" fillId="0" borderId="8" xfId="103" applyFont="1" applyBorder="1" applyAlignment="1">
      <alignment horizontal="center" vertical="center"/>
    </xf>
    <xf numFmtId="0" fontId="68" fillId="0" borderId="9" xfId="103" applyFont="1" applyBorder="1" applyAlignment="1">
      <alignment horizontal="center" vertical="center"/>
    </xf>
    <xf numFmtId="0" fontId="68" fillId="0" borderId="10" xfId="103" applyFont="1" applyBorder="1" applyAlignment="1">
      <alignment horizontal="center" vertical="center"/>
    </xf>
    <xf numFmtId="0" fontId="68" fillId="8" borderId="2" xfId="103" applyFont="1" applyFill="1" applyBorder="1" applyAlignment="1">
      <alignment horizontal="center" vertical="center"/>
    </xf>
    <xf numFmtId="0" fontId="68" fillId="0" borderId="4" xfId="103" applyFont="1" applyBorder="1" applyAlignment="1">
      <alignment horizontal="left" vertical="center"/>
    </xf>
    <xf numFmtId="0" fontId="68" fillId="0" borderId="15" xfId="103" applyFont="1" applyBorder="1" applyAlignment="1">
      <alignment horizontal="left" vertical="center"/>
    </xf>
    <xf numFmtId="0" fontId="68" fillId="0" borderId="11" xfId="103" applyFont="1" applyBorder="1" applyAlignment="1">
      <alignment horizontal="left" vertical="center"/>
    </xf>
    <xf numFmtId="0" fontId="73" fillId="8" borderId="2" xfId="38" applyFont="1" applyFill="1" applyBorder="1" applyAlignment="1">
      <alignment horizontal="center" vertical="center"/>
    </xf>
    <xf numFmtId="0" fontId="73" fillId="0" borderId="2" xfId="38" applyFont="1" applyBorder="1" applyAlignment="1">
      <alignment horizontal="center" vertical="center"/>
    </xf>
    <xf numFmtId="0" fontId="63" fillId="0" borderId="0" xfId="5" applyFont="1" applyAlignment="1">
      <alignment horizontal="left" vertical="top"/>
    </xf>
    <xf numFmtId="0" fontId="73" fillId="8" borderId="4" xfId="38" applyFont="1" applyFill="1" applyBorder="1" applyAlignment="1">
      <alignment horizontal="center" vertical="center" wrapText="1"/>
    </xf>
    <xf numFmtId="0" fontId="73" fillId="8" borderId="11" xfId="38" applyFont="1" applyFill="1" applyBorder="1" applyAlignment="1">
      <alignment horizontal="center" vertical="center" wrapText="1"/>
    </xf>
    <xf numFmtId="0" fontId="73" fillId="8" borderId="4" xfId="54" applyFont="1" applyFill="1" applyBorder="1" applyAlignment="1">
      <alignment horizontal="center" vertical="center" wrapText="1"/>
    </xf>
    <xf numFmtId="0" fontId="73" fillId="8" borderId="11" xfId="54" applyFont="1" applyFill="1" applyBorder="1" applyAlignment="1">
      <alignment horizontal="center" vertical="center" wrapText="1"/>
    </xf>
    <xf numFmtId="0" fontId="73" fillId="8" borderId="8" xfId="38" applyFont="1" applyFill="1" applyBorder="1" applyAlignment="1">
      <alignment horizontal="center" vertical="center" wrapText="1"/>
    </xf>
    <xf numFmtId="0" fontId="73" fillId="8" borderId="9" xfId="38" applyFont="1" applyFill="1" applyBorder="1" applyAlignment="1">
      <alignment horizontal="center" vertical="center" wrapText="1"/>
    </xf>
    <xf numFmtId="0" fontId="73" fillId="8" borderId="10" xfId="38" applyFont="1" applyFill="1" applyBorder="1" applyAlignment="1">
      <alignment horizontal="center" vertical="center" wrapText="1"/>
    </xf>
    <xf numFmtId="0" fontId="73" fillId="8" borderId="8" xfId="38" applyFont="1" applyFill="1" applyBorder="1" applyAlignment="1">
      <alignment horizontal="center" vertical="center"/>
    </xf>
    <xf numFmtId="0" fontId="73" fillId="8" borderId="9" xfId="38" applyFont="1" applyFill="1" applyBorder="1" applyAlignment="1">
      <alignment horizontal="center" vertical="center"/>
    </xf>
    <xf numFmtId="0" fontId="73" fillId="8" borderId="10" xfId="38" applyFont="1" applyFill="1" applyBorder="1" applyAlignment="1">
      <alignment horizontal="center" vertical="center"/>
    </xf>
    <xf numFmtId="0" fontId="73" fillId="0" borderId="8" xfId="54" applyFont="1" applyBorder="1" applyAlignment="1">
      <alignment horizontal="center" vertical="center"/>
    </xf>
    <xf numFmtId="0" fontId="73" fillId="0" borderId="10" xfId="54" applyFont="1" applyBorder="1" applyAlignment="1">
      <alignment horizontal="center" vertical="center"/>
    </xf>
    <xf numFmtId="0" fontId="63" fillId="0" borderId="0" xfId="54" applyFont="1" applyAlignment="1">
      <alignment horizontal="left" vertical="top" wrapText="1"/>
    </xf>
    <xf numFmtId="0" fontId="73" fillId="8" borderId="2" xfId="54" applyFont="1" applyFill="1" applyBorder="1" applyAlignment="1">
      <alignment horizontal="center"/>
    </xf>
    <xf numFmtId="0" fontId="73" fillId="0" borderId="8" xfId="54" applyFont="1" applyBorder="1" applyAlignment="1">
      <alignment horizontal="center" vertical="center" wrapText="1"/>
    </xf>
    <xf numFmtId="0" fontId="73" fillId="0" borderId="10" xfId="54" applyFont="1" applyBorder="1" applyAlignment="1">
      <alignment horizontal="center" vertical="center" wrapText="1"/>
    </xf>
    <xf numFmtId="0" fontId="63" fillId="0" borderId="3" xfId="54" applyFont="1" applyBorder="1" applyAlignment="1">
      <alignment horizontal="left" vertical="top" wrapText="1"/>
    </xf>
    <xf numFmtId="0" fontId="63" fillId="0" borderId="3" xfId="54" applyFont="1" applyBorder="1" applyAlignment="1">
      <alignment horizontal="left" vertical="top"/>
    </xf>
    <xf numFmtId="0" fontId="73" fillId="8" borderId="2" xfId="54" applyFont="1" applyFill="1" applyBorder="1" applyAlignment="1">
      <alignment horizontal="center" vertical="center"/>
    </xf>
    <xf numFmtId="0" fontId="68" fillId="0" borderId="3" xfId="54" applyFont="1" applyBorder="1" applyAlignment="1">
      <alignment horizontal="left" vertical="center" wrapText="1"/>
    </xf>
    <xf numFmtId="0" fontId="68" fillId="0" borderId="8" xfId="0" applyFont="1" applyBorder="1" applyAlignment="1">
      <alignment horizontal="center" vertical="top"/>
    </xf>
    <xf numFmtId="0" fontId="68" fillId="0" borderId="10" xfId="0" applyFont="1" applyBorder="1" applyAlignment="1">
      <alignment horizontal="center" vertical="top"/>
    </xf>
    <xf numFmtId="0" fontId="63" fillId="0" borderId="3" xfId="4" applyFont="1" applyBorder="1" applyAlignment="1">
      <alignment horizontal="center" vertical="center" wrapText="1"/>
    </xf>
    <xf numFmtId="0" fontId="63" fillId="0" borderId="3" xfId="4" applyFont="1" applyBorder="1" applyAlignment="1">
      <alignment horizontal="center" vertical="center"/>
    </xf>
    <xf numFmtId="0" fontId="73" fillId="8" borderId="2" xfId="4" applyFont="1" applyFill="1" applyBorder="1" applyAlignment="1">
      <alignment horizontal="center" vertical="center" wrapText="1"/>
    </xf>
    <xf numFmtId="0" fontId="63" fillId="0" borderId="0" xfId="9" applyFont="1" applyAlignment="1">
      <alignment horizontal="center" vertical="center" wrapText="1"/>
    </xf>
    <xf numFmtId="0" fontId="73" fillId="0" borderId="8" xfId="9" applyFont="1" applyBorder="1" applyAlignment="1">
      <alignment horizontal="center" vertical="center"/>
    </xf>
    <xf numFmtId="0" fontId="73" fillId="0" borderId="10" xfId="9" applyFont="1" applyBorder="1" applyAlignment="1">
      <alignment horizontal="center" vertical="center"/>
    </xf>
    <xf numFmtId="0" fontId="73" fillId="0" borderId="2" xfId="1" applyFont="1" applyBorder="1" applyAlignment="1">
      <alignment horizontal="center" vertical="center" wrapText="1"/>
    </xf>
    <xf numFmtId="0" fontId="73" fillId="0" borderId="3" xfId="1" applyFont="1" applyBorder="1" applyAlignment="1">
      <alignment horizontal="left" vertical="center" wrapText="1"/>
    </xf>
    <xf numFmtId="0" fontId="73" fillId="0" borderId="3" xfId="1" applyFont="1" applyBorder="1" applyAlignment="1">
      <alignment horizontal="left" vertical="center"/>
    </xf>
    <xf numFmtId="0" fontId="73" fillId="8" borderId="15" xfId="1" applyFont="1" applyFill="1" applyBorder="1" applyAlignment="1">
      <alignment horizontal="center" vertical="center" wrapText="1"/>
    </xf>
    <xf numFmtId="0" fontId="81" fillId="8" borderId="2" xfId="48" applyFont="1" applyFill="1" applyBorder="1" applyAlignment="1">
      <alignment horizontal="center" vertical="center" wrapText="1"/>
    </xf>
    <xf numFmtId="0" fontId="75" fillId="8" borderId="2" xfId="48" applyFont="1" applyFill="1" applyBorder="1" applyAlignment="1">
      <alignment vertical="center"/>
    </xf>
    <xf numFmtId="0" fontId="81" fillId="8" borderId="13" xfId="1" applyFont="1" applyFill="1" applyBorder="1" applyAlignment="1">
      <alignment horizontal="center" vertical="center" wrapText="1"/>
    </xf>
    <xf numFmtId="0" fontId="81" fillId="8" borderId="12" xfId="1" applyFont="1" applyFill="1" applyBorder="1" applyAlignment="1">
      <alignment horizontal="center" vertical="center" wrapText="1"/>
    </xf>
    <xf numFmtId="0" fontId="81" fillId="8" borderId="14" xfId="1" applyFont="1" applyFill="1" applyBorder="1" applyAlignment="1">
      <alignment horizontal="center" vertical="center" wrapText="1"/>
    </xf>
    <xf numFmtId="0" fontId="81" fillId="2" borderId="2" xfId="1" applyFont="1" applyFill="1" applyBorder="1" applyAlignment="1">
      <alignment horizontal="center" vertical="center" wrapText="1"/>
    </xf>
    <xf numFmtId="0" fontId="63" fillId="0" borderId="3" xfId="41" applyFont="1" applyBorder="1" applyAlignment="1">
      <alignment horizontal="left" vertical="center" wrapText="1"/>
    </xf>
    <xf numFmtId="0" fontId="81" fillId="8" borderId="2" xfId="1" applyFont="1" applyFill="1" applyBorder="1" applyAlignment="1">
      <alignment horizontal="center" vertical="center" wrapText="1"/>
    </xf>
    <xf numFmtId="0" fontId="75" fillId="8" borderId="2" xfId="1" applyFont="1" applyFill="1" applyBorder="1" applyAlignment="1">
      <alignment vertical="center"/>
    </xf>
    <xf numFmtId="0" fontId="84" fillId="8" borderId="2" xfId="48" applyFont="1" applyFill="1" applyBorder="1" applyAlignment="1">
      <alignment horizontal="center" vertical="center" wrapText="1"/>
    </xf>
    <xf numFmtId="0" fontId="85" fillId="8" borderId="2" xfId="48" applyFont="1" applyFill="1" applyBorder="1" applyAlignment="1">
      <alignment vertical="center"/>
    </xf>
    <xf numFmtId="0" fontId="84" fillId="8" borderId="13" xfId="1" applyFont="1" applyFill="1" applyBorder="1" applyAlignment="1">
      <alignment horizontal="center" vertical="center" wrapText="1"/>
    </xf>
    <xf numFmtId="0" fontId="84" fillId="8" borderId="12" xfId="1" applyFont="1" applyFill="1" applyBorder="1" applyAlignment="1">
      <alignment horizontal="center" vertical="center" wrapText="1"/>
    </xf>
    <xf numFmtId="0" fontId="84" fillId="8" borderId="14" xfId="1" applyFont="1" applyFill="1" applyBorder="1" applyAlignment="1">
      <alignment horizontal="center" vertical="center" wrapText="1"/>
    </xf>
    <xf numFmtId="0" fontId="63" fillId="0" borderId="3" xfId="41" applyFont="1" applyBorder="1" applyAlignment="1">
      <alignment horizontal="left" vertical="top" wrapText="1"/>
    </xf>
    <xf numFmtId="0" fontId="73" fillId="8" borderId="2" xfId="55" applyFont="1" applyFill="1" applyBorder="1" applyAlignment="1">
      <alignment horizontal="center" vertical="center" wrapText="1"/>
    </xf>
    <xf numFmtId="0" fontId="84" fillId="8" borderId="2" xfId="1" applyFont="1" applyFill="1" applyBorder="1" applyAlignment="1">
      <alignment horizontal="center" vertical="center" wrapText="1"/>
    </xf>
    <xf numFmtId="0" fontId="85" fillId="8" borderId="2" xfId="1" applyFont="1" applyFill="1" applyBorder="1" applyAlignment="1">
      <alignment vertical="center"/>
    </xf>
    <xf numFmtId="0" fontId="81" fillId="2" borderId="2" xfId="55" applyFont="1" applyFill="1" applyBorder="1" applyAlignment="1">
      <alignment horizontal="center" vertical="center" wrapText="1"/>
    </xf>
    <xf numFmtId="0" fontId="73" fillId="0" borderId="3" xfId="5" applyFont="1" applyBorder="1" applyAlignment="1">
      <alignment horizontal="center" vertical="center" wrapText="1"/>
    </xf>
    <xf numFmtId="0" fontId="81" fillId="8" borderId="2" xfId="55" applyFont="1" applyFill="1" applyBorder="1" applyAlignment="1">
      <alignment horizontal="center" vertical="center" wrapText="1"/>
    </xf>
    <xf numFmtId="0" fontId="75" fillId="8" borderId="2" xfId="1" applyFont="1" applyFill="1" applyBorder="1" applyAlignment="1">
      <alignment horizontal="center" vertical="center"/>
    </xf>
    <xf numFmtId="0" fontId="73" fillId="8" borderId="4" xfId="45" applyFont="1" applyFill="1" applyBorder="1" applyAlignment="1">
      <alignment horizontal="center" vertical="center" wrapText="1"/>
    </xf>
    <xf numFmtId="0" fontId="73" fillId="8" borderId="11" xfId="45" applyFont="1" applyFill="1" applyBorder="1" applyAlignment="1">
      <alignment horizontal="center" vertical="center" wrapText="1"/>
    </xf>
    <xf numFmtId="0" fontId="73" fillId="0" borderId="8" xfId="45" applyFont="1" applyBorder="1" applyAlignment="1">
      <alignment horizontal="center" vertical="center"/>
    </xf>
    <xf numFmtId="0" fontId="73" fillId="0" borderId="10" xfId="45" applyFont="1" applyBorder="1" applyAlignment="1">
      <alignment horizontal="center" vertical="center"/>
    </xf>
    <xf numFmtId="0" fontId="73" fillId="8" borderId="2" xfId="45" applyFont="1" applyFill="1" applyBorder="1" applyAlignment="1">
      <alignment horizontal="center" vertical="center" wrapText="1"/>
    </xf>
    <xf numFmtId="0" fontId="81" fillId="8" borderId="2" xfId="5" applyFont="1" applyFill="1" applyBorder="1" applyAlignment="1">
      <alignment horizontal="center" vertical="center" wrapText="1"/>
    </xf>
    <xf numFmtId="0" fontId="73" fillId="8" borderId="2" xfId="5" applyFont="1" applyFill="1" applyBorder="1" applyAlignment="1">
      <alignment vertical="center"/>
    </xf>
    <xf numFmtId="0" fontId="81" fillId="8" borderId="13" xfId="5" applyFont="1" applyFill="1" applyBorder="1" applyAlignment="1">
      <alignment horizontal="center" vertical="center" wrapText="1"/>
    </xf>
    <xf numFmtId="0" fontId="81" fillId="8" borderId="12" xfId="5" applyFont="1" applyFill="1" applyBorder="1" applyAlignment="1">
      <alignment horizontal="center" vertical="center" wrapText="1"/>
    </xf>
    <xf numFmtId="0" fontId="81" fillId="8" borderId="14" xfId="5" applyFont="1" applyFill="1" applyBorder="1" applyAlignment="1">
      <alignment horizontal="center" vertical="center" wrapText="1"/>
    </xf>
    <xf numFmtId="0" fontId="63" fillId="0" borderId="0" xfId="5" applyFont="1" applyAlignment="1">
      <alignment horizontal="left" vertical="top" wrapText="1"/>
    </xf>
    <xf numFmtId="0" fontId="73" fillId="0" borderId="2" xfId="45" applyFont="1" applyBorder="1" applyAlignment="1">
      <alignment horizontal="center" vertical="center"/>
    </xf>
    <xf numFmtId="0" fontId="63" fillId="0" borderId="2" xfId="45" applyFont="1" applyBorder="1" applyAlignment="1">
      <alignment horizontal="center" vertical="center" wrapText="1"/>
    </xf>
    <xf numFmtId="0" fontId="73" fillId="0" borderId="3" xfId="5" applyFont="1" applyBorder="1" applyAlignment="1">
      <alignment horizontal="left" vertical="top" wrapText="1"/>
    </xf>
    <xf numFmtId="0" fontId="73" fillId="8" borderId="2" xfId="4" applyFont="1" applyFill="1" applyBorder="1" applyAlignment="1">
      <alignment horizontal="center" vertical="center"/>
    </xf>
    <xf numFmtId="0" fontId="73" fillId="0" borderId="9" xfId="5" applyFont="1" applyBorder="1" applyAlignment="1">
      <alignment horizontal="center" vertical="center" wrapText="1"/>
    </xf>
    <xf numFmtId="0" fontId="73" fillId="0" borderId="10" xfId="5" applyFont="1" applyBorder="1" applyAlignment="1">
      <alignment horizontal="center" vertical="center" wrapText="1"/>
    </xf>
    <xf numFmtId="0" fontId="73" fillId="0" borderId="12" xfId="5" applyFont="1" applyBorder="1" applyAlignment="1">
      <alignment horizontal="center" vertical="center" wrapText="1"/>
    </xf>
    <xf numFmtId="0" fontId="73" fillId="0" borderId="14" xfId="5" applyFont="1" applyBorder="1" applyAlignment="1">
      <alignment horizontal="center" vertical="center" wrapText="1"/>
    </xf>
    <xf numFmtId="0" fontId="63" fillId="0" borderId="8" xfId="5" applyFont="1" applyBorder="1" applyAlignment="1">
      <alignment horizontal="right" vertical="top"/>
    </xf>
    <xf numFmtId="0" fontId="63" fillId="0" borderId="10" xfId="5" applyFont="1" applyBorder="1" applyAlignment="1">
      <alignment horizontal="right" vertical="top"/>
    </xf>
    <xf numFmtId="0" fontId="63" fillId="0" borderId="8" xfId="5" applyFont="1" applyBorder="1" applyAlignment="1">
      <alignment horizontal="left" vertical="top" wrapText="1"/>
    </xf>
    <xf numFmtId="0" fontId="63" fillId="0" borderId="9" xfId="5" applyFont="1" applyBorder="1" applyAlignment="1">
      <alignment horizontal="left" vertical="top" wrapText="1"/>
    </xf>
    <xf numFmtId="0" fontId="63" fillId="0" borderId="10" xfId="5" applyFont="1" applyBorder="1" applyAlignment="1">
      <alignment horizontal="left" vertical="top" wrapText="1"/>
    </xf>
    <xf numFmtId="0" fontId="63" fillId="0" borderId="2" xfId="5" applyFont="1" applyBorder="1" applyAlignment="1">
      <alignment horizontal="left" vertical="top" wrapText="1"/>
    </xf>
    <xf numFmtId="0" fontId="63" fillId="8" borderId="2" xfId="4" applyFont="1" applyFill="1" applyBorder="1" applyAlignment="1">
      <alignment horizontal="center" vertical="center"/>
    </xf>
    <xf numFmtId="0" fontId="82" fillId="2" borderId="2" xfId="28" applyFont="1" applyFill="1" applyBorder="1" applyAlignment="1">
      <alignment horizontal="center" vertical="center" wrapText="1"/>
    </xf>
    <xf numFmtId="0" fontId="63" fillId="8" borderId="2" xfId="5" applyFont="1" applyFill="1" applyBorder="1" applyAlignment="1">
      <alignment horizontal="center" vertical="center" wrapText="1"/>
    </xf>
    <xf numFmtId="0" fontId="73" fillId="8" borderId="2" xfId="28" applyFont="1" applyFill="1" applyBorder="1" applyAlignment="1">
      <alignment horizontal="center" vertical="center" wrapText="1"/>
    </xf>
    <xf numFmtId="0" fontId="115" fillId="11" borderId="2" xfId="48" applyFont="1" applyFill="1" applyBorder="1" applyAlignment="1">
      <alignment horizontal="center" vertical="center" wrapText="1"/>
    </xf>
    <xf numFmtId="0" fontId="73" fillId="8" borderId="2" xfId="41" applyFont="1" applyFill="1" applyBorder="1" applyAlignment="1">
      <alignment horizontal="left" vertical="top" wrapText="1"/>
    </xf>
    <xf numFmtId="0" fontId="81" fillId="8" borderId="2" xfId="4" applyFont="1" applyFill="1" applyBorder="1" applyAlignment="1">
      <alignment horizontal="center" vertical="center" wrapText="1"/>
    </xf>
    <xf numFmtId="0" fontId="75" fillId="8" borderId="2" xfId="4" applyFont="1" applyFill="1" applyBorder="1" applyAlignment="1">
      <alignment vertical="center"/>
    </xf>
    <xf numFmtId="0" fontId="73" fillId="0" borderId="8" xfId="5" applyFont="1" applyBorder="1" applyAlignment="1">
      <alignment horizontal="right" vertical="top"/>
    </xf>
    <xf numFmtId="0" fontId="73" fillId="0" borderId="10" xfId="5" applyFont="1" applyBorder="1" applyAlignment="1">
      <alignment horizontal="right" vertical="top"/>
    </xf>
    <xf numFmtId="0" fontId="81" fillId="2" borderId="2" xfId="48" applyFont="1" applyFill="1" applyBorder="1" applyAlignment="1">
      <alignment horizontal="center" vertical="center" wrapText="1"/>
    </xf>
    <xf numFmtId="0" fontId="73" fillId="0" borderId="2" xfId="41" applyFont="1" applyBorder="1" applyAlignment="1">
      <alignment horizontal="left" vertical="top" wrapText="1"/>
    </xf>
    <xf numFmtId="0" fontId="73" fillId="0" borderId="2" xfId="17" applyFont="1" applyBorder="1" applyAlignment="1">
      <alignment horizontal="center" vertical="center" wrapText="1"/>
    </xf>
    <xf numFmtId="0" fontId="73" fillId="0" borderId="3" xfId="41" applyFont="1" applyBorder="1" applyAlignment="1">
      <alignment horizontal="left" vertical="top" wrapText="1"/>
    </xf>
    <xf numFmtId="0" fontId="73" fillId="8" borderId="2" xfId="17" applyFont="1" applyFill="1" applyBorder="1" applyAlignment="1">
      <alignment horizontal="center" vertical="center" wrapText="1"/>
    </xf>
    <xf numFmtId="0" fontId="73" fillId="8" borderId="2" xfId="44" applyFont="1" applyFill="1" applyBorder="1" applyAlignment="1">
      <alignment horizontal="center" vertical="center" wrapText="1"/>
    </xf>
    <xf numFmtId="0" fontId="81" fillId="2" borderId="2" xfId="28" applyFont="1" applyFill="1" applyBorder="1" applyAlignment="1">
      <alignment horizontal="center" vertical="center" wrapText="1"/>
    </xf>
    <xf numFmtId="0" fontId="81" fillId="2" borderId="8" xfId="28" applyFont="1" applyFill="1" applyBorder="1" applyAlignment="1">
      <alignment horizontal="center" vertical="center" wrapText="1"/>
    </xf>
    <xf numFmtId="0" fontId="81" fillId="2" borderId="10" xfId="28" applyFont="1" applyFill="1" applyBorder="1" applyAlignment="1">
      <alignment horizontal="center" vertical="center" wrapText="1"/>
    </xf>
    <xf numFmtId="0" fontId="68" fillId="0" borderId="8" xfId="45" applyFont="1" applyBorder="1" applyAlignment="1">
      <alignment horizontal="center" vertical="center" wrapText="1"/>
    </xf>
    <xf numFmtId="0" fontId="68" fillId="0" borderId="10" xfId="45" applyFont="1" applyBorder="1" applyAlignment="1">
      <alignment horizontal="center" vertical="center" wrapText="1"/>
    </xf>
    <xf numFmtId="0" fontId="73" fillId="8" borderId="4" xfId="5" applyFont="1" applyFill="1" applyBorder="1" applyAlignment="1">
      <alignment horizontal="center" vertical="center" wrapText="1"/>
    </xf>
    <xf numFmtId="0" fontId="73" fillId="8" borderId="11" xfId="5" applyFont="1" applyFill="1" applyBorder="1" applyAlignment="1">
      <alignment horizontal="center" vertical="center" wrapText="1"/>
    </xf>
    <xf numFmtId="0" fontId="73" fillId="8" borderId="8" xfId="5" applyFont="1" applyFill="1" applyBorder="1" applyAlignment="1">
      <alignment horizontal="center" vertical="center" wrapText="1"/>
    </xf>
    <xf numFmtId="0" fontId="73" fillId="8" borderId="9" xfId="5" applyFont="1" applyFill="1" applyBorder="1" applyAlignment="1">
      <alignment horizontal="center" vertical="center" wrapText="1"/>
    </xf>
    <xf numFmtId="0" fontId="73" fillId="8" borderId="10" xfId="5" applyFont="1" applyFill="1" applyBorder="1" applyAlignment="1">
      <alignment horizontal="center" vertical="center" wrapText="1"/>
    </xf>
    <xf numFmtId="0" fontId="73" fillId="0" borderId="11" xfId="38" applyFont="1" applyBorder="1" applyAlignment="1">
      <alignment horizontal="center" vertical="center"/>
    </xf>
    <xf numFmtId="0" fontId="62" fillId="8" borderId="4" xfId="5" applyFont="1" applyFill="1" applyBorder="1" applyAlignment="1">
      <alignment horizontal="center" vertical="center" wrapText="1"/>
    </xf>
    <xf numFmtId="0" fontId="62" fillId="8" borderId="11" xfId="5" applyFont="1" applyFill="1" applyBorder="1" applyAlignment="1">
      <alignment horizontal="center" vertical="center" wrapText="1"/>
    </xf>
    <xf numFmtId="0" fontId="62" fillId="8" borderId="2" xfId="5" applyFont="1" applyFill="1" applyBorder="1" applyAlignment="1">
      <alignment horizontal="center" vertical="center" wrapText="1"/>
    </xf>
    <xf numFmtId="0" fontId="63" fillId="0" borderId="0" xfId="41" applyFont="1" applyAlignment="1">
      <alignment horizontal="center" vertical="center" wrapText="1"/>
    </xf>
    <xf numFmtId="0" fontId="68" fillId="0" borderId="8" xfId="0" applyFont="1" applyBorder="1" applyAlignment="1">
      <alignment horizontal="center"/>
    </xf>
    <xf numFmtId="0" fontId="68" fillId="0" borderId="10" xfId="0" applyFont="1" applyBorder="1" applyAlignment="1">
      <alignment horizontal="center"/>
    </xf>
    <xf numFmtId="0" fontId="66" fillId="0" borderId="0" xfId="54" applyFont="1" applyAlignment="1">
      <alignment horizontal="left" vertical="center" wrapText="1"/>
    </xf>
    <xf numFmtId="0" fontId="65" fillId="0" borderId="0" xfId="41" applyFont="1" applyAlignment="1">
      <alignment vertical="center"/>
    </xf>
    <xf numFmtId="0" fontId="90" fillId="8" borderId="8" xfId="41" applyFont="1" applyFill="1" applyBorder="1" applyAlignment="1">
      <alignment horizontal="center" vertical="center"/>
    </xf>
    <xf numFmtId="0" fontId="90" fillId="8" borderId="9" xfId="41" applyFont="1" applyFill="1" applyBorder="1" applyAlignment="1">
      <alignment horizontal="center" vertical="center"/>
    </xf>
    <xf numFmtId="0" fontId="90" fillId="8" borderId="10" xfId="41" applyFont="1" applyFill="1" applyBorder="1" applyAlignment="1">
      <alignment horizontal="center" vertical="center"/>
    </xf>
    <xf numFmtId="0" fontId="68" fillId="8" borderId="2" xfId="54" applyFont="1" applyFill="1" applyBorder="1" applyAlignment="1">
      <alignment horizontal="center" vertical="center"/>
    </xf>
    <xf numFmtId="167" fontId="68" fillId="0" borderId="8" xfId="54" applyNumberFormat="1" applyFont="1" applyBorder="1" applyAlignment="1">
      <alignment horizontal="center" vertical="center"/>
    </xf>
    <xf numFmtId="167" fontId="68" fillId="0" borderId="9" xfId="54" applyNumberFormat="1" applyFont="1" applyBorder="1" applyAlignment="1">
      <alignment horizontal="center" vertical="center"/>
    </xf>
    <xf numFmtId="167" fontId="68" fillId="0" borderId="10" xfId="54" applyNumberFormat="1" applyFont="1" applyBorder="1" applyAlignment="1">
      <alignment horizontal="center" vertical="center"/>
    </xf>
    <xf numFmtId="167" fontId="68" fillId="8" borderId="2" xfId="54" applyNumberFormat="1" applyFont="1" applyFill="1" applyBorder="1" applyAlignment="1">
      <alignment horizontal="center" vertical="center" wrapText="1"/>
    </xf>
    <xf numFmtId="167" fontId="66" fillId="0" borderId="2" xfId="54" applyNumberFormat="1" applyFont="1" applyBorder="1" applyAlignment="1">
      <alignment horizontal="left" vertical="center" wrapText="1"/>
    </xf>
    <xf numFmtId="167" fontId="68" fillId="8" borderId="2" xfId="54" applyNumberFormat="1" applyFont="1" applyFill="1" applyBorder="1" applyAlignment="1">
      <alignment horizontal="center" vertical="center"/>
    </xf>
    <xf numFmtId="167" fontId="68" fillId="0" borderId="4" xfId="54" applyNumberFormat="1" applyFont="1" applyBorder="1" applyAlignment="1">
      <alignment horizontal="left" vertical="center" wrapText="1"/>
    </xf>
    <xf numFmtId="167" fontId="68" fillId="0" borderId="15" xfId="54" applyNumberFormat="1" applyFont="1" applyBorder="1" applyAlignment="1">
      <alignment horizontal="left" vertical="center" wrapText="1"/>
    </xf>
    <xf numFmtId="167" fontId="68" fillId="0" borderId="11" xfId="54" applyNumberFormat="1" applyFont="1" applyBorder="1" applyAlignment="1">
      <alignment horizontal="left" vertical="center" wrapText="1"/>
    </xf>
    <xf numFmtId="0" fontId="63" fillId="0" borderId="2" xfId="1" applyFont="1" applyBorder="1" applyAlignment="1">
      <alignment horizontal="right" vertical="top"/>
    </xf>
    <xf numFmtId="0" fontId="73" fillId="0" borderId="8" xfId="1" applyFont="1" applyBorder="1" applyAlignment="1">
      <alignment horizontal="left" vertical="top"/>
    </xf>
    <xf numFmtId="0" fontId="73" fillId="0" borderId="9" xfId="1" applyFont="1" applyBorder="1" applyAlignment="1">
      <alignment horizontal="left" vertical="top"/>
    </xf>
    <xf numFmtId="0" fontId="73" fillId="0" borderId="10" xfId="1" applyFont="1" applyBorder="1" applyAlignment="1">
      <alignment horizontal="left" vertical="top"/>
    </xf>
    <xf numFmtId="0" fontId="68" fillId="8" borderId="2" xfId="0" applyFont="1" applyFill="1" applyBorder="1" applyAlignment="1">
      <alignment horizontal="center" vertical="center" wrapText="1"/>
    </xf>
    <xf numFmtId="0" fontId="63" fillId="0" borderId="8" xfId="1" applyFont="1" applyBorder="1" applyAlignment="1">
      <alignment horizontal="center" vertical="top"/>
    </xf>
    <xf numFmtId="0" fontId="63" fillId="0" borderId="9" xfId="1" applyFont="1" applyBorder="1" applyAlignment="1">
      <alignment horizontal="center" vertical="top"/>
    </xf>
    <xf numFmtId="0" fontId="63" fillId="0" borderId="10" xfId="1" applyFont="1" applyBorder="1" applyAlignment="1">
      <alignment horizontal="center" vertical="top"/>
    </xf>
    <xf numFmtId="0" fontId="63" fillId="0" borderId="8" xfId="1" applyFont="1" applyBorder="1" applyAlignment="1">
      <alignment horizontal="left" vertical="top"/>
    </xf>
    <xf numFmtId="0" fontId="63" fillId="0" borderId="9" xfId="1" applyFont="1" applyBorder="1" applyAlignment="1">
      <alignment horizontal="left" vertical="top"/>
    </xf>
    <xf numFmtId="0" fontId="63" fillId="0" borderId="10" xfId="1" applyFont="1" applyBorder="1" applyAlignment="1">
      <alignment horizontal="left" vertical="top"/>
    </xf>
    <xf numFmtId="0" fontId="73" fillId="12" borderId="2" xfId="1" applyFont="1" applyFill="1" applyBorder="1" applyAlignment="1">
      <alignment horizontal="center" vertical="center" wrapText="1"/>
    </xf>
    <xf numFmtId="0" fontId="68" fillId="0" borderId="2" xfId="69" applyFont="1" applyBorder="1" applyAlignment="1">
      <alignment horizontal="center" vertical="center"/>
    </xf>
    <xf numFmtId="0" fontId="73" fillId="8" borderId="4" xfId="4" applyFont="1" applyFill="1" applyBorder="1" applyAlignment="1">
      <alignment horizontal="center" vertical="center" wrapText="1"/>
    </xf>
    <xf numFmtId="0" fontId="73" fillId="8" borderId="11" xfId="4" applyFont="1" applyFill="1" applyBorder="1" applyAlignment="1">
      <alignment horizontal="center" vertical="center" wrapText="1"/>
    </xf>
    <xf numFmtId="0" fontId="73" fillId="8" borderId="8" xfId="4" applyFont="1" applyFill="1" applyBorder="1" applyAlignment="1">
      <alignment horizontal="center" vertical="center" wrapText="1"/>
    </xf>
    <xf numFmtId="0" fontId="68" fillId="8" borderId="2" xfId="0" applyFont="1" applyFill="1" applyBorder="1" applyAlignment="1">
      <alignment horizontal="center" vertical="center"/>
    </xf>
    <xf numFmtId="0" fontId="63" fillId="7" borderId="2" xfId="5" applyFont="1" applyFill="1" applyBorder="1" applyAlignment="1">
      <alignment horizontal="center" vertical="center"/>
    </xf>
    <xf numFmtId="0" fontId="66" fillId="0" borderId="3" xfId="93" applyFont="1" applyBorder="1" applyAlignment="1">
      <alignment horizontal="center" vertical="center"/>
    </xf>
    <xf numFmtId="0" fontId="67" fillId="0" borderId="2" xfId="94" applyFont="1" applyBorder="1" applyAlignment="1">
      <alignment horizontal="center" vertical="top"/>
    </xf>
    <xf numFmtId="0" fontId="66" fillId="0" borderId="3" xfId="94" applyFont="1" applyBorder="1" applyAlignment="1">
      <alignment horizontal="center" vertical="center"/>
    </xf>
    <xf numFmtId="0" fontId="67" fillId="0" borderId="2" xfId="94" applyFont="1" applyBorder="1" applyAlignment="1">
      <alignment horizontal="center"/>
    </xf>
    <xf numFmtId="0" fontId="66" fillId="0" borderId="3" xfId="94" applyFont="1" applyBorder="1" applyAlignment="1">
      <alignment horizontal="left" vertical="center"/>
    </xf>
    <xf numFmtId="0" fontId="66" fillId="0" borderId="17" xfId="94" applyFont="1" applyBorder="1" applyAlignment="1">
      <alignment horizontal="center" vertical="center"/>
    </xf>
    <xf numFmtId="0" fontId="66" fillId="0" borderId="2" xfId="94" applyFont="1" applyBorder="1" applyAlignment="1">
      <alignment horizontal="center" vertical="center"/>
    </xf>
    <xf numFmtId="0" fontId="63" fillId="8" borderId="4" xfId="94" applyFont="1" applyFill="1" applyBorder="1" applyAlignment="1">
      <alignment horizontal="center" vertical="center" wrapText="1"/>
    </xf>
    <xf numFmtId="0" fontId="63" fillId="8" borderId="11" xfId="94" applyFont="1" applyFill="1" applyBorder="1" applyAlignment="1">
      <alignment horizontal="center" vertical="center" wrapText="1"/>
    </xf>
    <xf numFmtId="0" fontId="63" fillId="8" borderId="2" xfId="94" applyFont="1" applyFill="1" applyBorder="1" applyAlignment="1">
      <alignment horizontal="center" vertical="center" wrapText="1"/>
    </xf>
    <xf numFmtId="0" fontId="73" fillId="8" borderId="9" xfId="94" applyFont="1" applyFill="1" applyBorder="1" applyAlignment="1">
      <alignment horizontal="center" vertical="center" wrapText="1"/>
    </xf>
    <xf numFmtId="0" fontId="73" fillId="8" borderId="8" xfId="94" applyFont="1" applyFill="1" applyBorder="1" applyAlignment="1">
      <alignment horizontal="center" vertical="center" wrapText="1"/>
    </xf>
    <xf numFmtId="0" fontId="67" fillId="0" borderId="4" xfId="94" applyFont="1" applyBorder="1" applyAlignment="1">
      <alignment horizontal="center" vertical="top"/>
    </xf>
    <xf numFmtId="0" fontId="67" fillId="0" borderId="15" xfId="94" applyFont="1" applyBorder="1" applyAlignment="1">
      <alignment horizontal="center" vertical="top"/>
    </xf>
    <xf numFmtId="0" fontId="67" fillId="0" borderId="11" xfId="94" applyFont="1" applyBorder="1" applyAlignment="1">
      <alignment horizontal="center" vertical="top"/>
    </xf>
    <xf numFmtId="0" fontId="73" fillId="8" borderId="2" xfId="94" applyFont="1" applyFill="1" applyBorder="1" applyAlignment="1">
      <alignment horizontal="center" vertical="center" wrapText="1"/>
    </xf>
    <xf numFmtId="0" fontId="73" fillId="8" borderId="2" xfId="94" applyFont="1" applyFill="1" applyBorder="1" applyAlignment="1">
      <alignment horizontal="center"/>
    </xf>
    <xf numFmtId="0" fontId="73" fillId="8" borderId="2" xfId="94" applyFont="1" applyFill="1" applyBorder="1" applyAlignment="1">
      <alignment horizontal="center" vertical="center"/>
    </xf>
    <xf numFmtId="0" fontId="68" fillId="0" borderId="3" xfId="94" applyFont="1" applyBorder="1" applyAlignment="1">
      <alignment horizontal="left" vertical="center"/>
    </xf>
    <xf numFmtId="0" fontId="66" fillId="0" borderId="3" xfId="95" applyFont="1" applyBorder="1" applyAlignment="1">
      <alignment horizontal="left" vertical="center"/>
    </xf>
    <xf numFmtId="0" fontId="73" fillId="8" borderId="2" xfId="95" applyFont="1" applyFill="1" applyBorder="1" applyAlignment="1">
      <alignment horizontal="center" vertical="center"/>
    </xf>
    <xf numFmtId="0" fontId="73" fillId="8" borderId="2" xfId="95" applyFont="1" applyFill="1" applyBorder="1" applyAlignment="1">
      <alignment horizontal="center" vertical="center" wrapText="1"/>
    </xf>
    <xf numFmtId="0" fontId="73" fillId="8" borderId="2" xfId="95" applyFont="1" applyFill="1" applyBorder="1" applyAlignment="1">
      <alignment horizontal="center"/>
    </xf>
    <xf numFmtId="0" fontId="67" fillId="0" borderId="8" xfId="95" applyFont="1" applyBorder="1" applyAlignment="1">
      <alignment horizontal="center"/>
    </xf>
    <xf numFmtId="0" fontId="67" fillId="0" borderId="9" xfId="95" applyFont="1" applyBorder="1" applyAlignment="1">
      <alignment horizontal="center"/>
    </xf>
    <xf numFmtId="0" fontId="67" fillId="0" borderId="10" xfId="95" applyFont="1" applyBorder="1" applyAlignment="1">
      <alignment horizontal="center"/>
    </xf>
    <xf numFmtId="0" fontId="67" fillId="0" borderId="2" xfId="95" applyFont="1" applyBorder="1" applyAlignment="1">
      <alignment horizontal="center" vertical="top"/>
    </xf>
    <xf numFmtId="0" fontId="67" fillId="0" borderId="4" xfId="95" applyFont="1" applyBorder="1" applyAlignment="1">
      <alignment horizontal="center" vertical="top"/>
    </xf>
    <xf numFmtId="0" fontId="67" fillId="0" borderId="15" xfId="95" applyFont="1" applyBorder="1" applyAlignment="1">
      <alignment horizontal="center" vertical="top"/>
    </xf>
    <xf numFmtId="0" fontId="67" fillId="0" borderId="11" xfId="95" applyFont="1" applyBorder="1" applyAlignment="1">
      <alignment horizontal="center" vertical="top"/>
    </xf>
    <xf numFmtId="0" fontId="73" fillId="8" borderId="4" xfId="95" applyFont="1" applyFill="1" applyBorder="1" applyAlignment="1">
      <alignment horizontal="center" vertical="center"/>
    </xf>
    <xf numFmtId="0" fontId="73" fillId="8" borderId="8" xfId="95" applyFont="1" applyFill="1" applyBorder="1" applyAlignment="1">
      <alignment horizontal="center" vertical="center" wrapText="1"/>
    </xf>
    <xf numFmtId="0" fontId="73" fillId="8" borderId="9" xfId="95" applyFont="1" applyFill="1" applyBorder="1" applyAlignment="1">
      <alignment horizontal="center" vertical="center" wrapText="1"/>
    </xf>
    <xf numFmtId="0" fontId="73" fillId="8" borderId="10" xfId="95" applyFont="1" applyFill="1" applyBorder="1" applyAlignment="1">
      <alignment horizontal="center" vertical="center" wrapText="1"/>
    </xf>
    <xf numFmtId="0" fontId="67" fillId="0" borderId="2" xfId="95" applyFont="1" applyBorder="1" applyAlignment="1">
      <alignment horizontal="center"/>
    </xf>
    <xf numFmtId="0" fontId="67" fillId="0" borderId="2" xfId="96" applyFont="1" applyBorder="1" applyAlignment="1">
      <alignment horizontal="center" vertical="top"/>
    </xf>
    <xf numFmtId="0" fontId="67" fillId="0" borderId="4" xfId="96" applyFont="1" applyBorder="1" applyAlignment="1">
      <alignment horizontal="center" vertical="top"/>
    </xf>
    <xf numFmtId="0" fontId="67" fillId="0" borderId="15" xfId="96" applyFont="1" applyBorder="1" applyAlignment="1">
      <alignment horizontal="center" vertical="top"/>
    </xf>
    <xf numFmtId="0" fontId="67" fillId="0" borderId="11" xfId="96" applyFont="1" applyBorder="1" applyAlignment="1">
      <alignment horizontal="center" vertical="top"/>
    </xf>
    <xf numFmtId="0" fontId="66" fillId="0" borderId="0" xfId="97" applyFont="1" applyAlignment="1">
      <alignment horizontal="left" vertical="center"/>
    </xf>
    <xf numFmtId="0" fontId="73" fillId="8" borderId="2" xfId="97" applyFont="1" applyFill="1" applyBorder="1" applyAlignment="1">
      <alignment horizontal="center" vertical="center"/>
    </xf>
    <xf numFmtId="0" fontId="73" fillId="8" borderId="2" xfId="97" applyFont="1" applyFill="1" applyBorder="1" applyAlignment="1">
      <alignment horizontal="center" vertical="center" wrapText="1"/>
    </xf>
    <xf numFmtId="0" fontId="67" fillId="0" borderId="2" xfId="96" applyFont="1" applyBorder="1" applyAlignment="1">
      <alignment horizontal="center"/>
    </xf>
    <xf numFmtId="0" fontId="90" fillId="8" borderId="2" xfId="97" applyFont="1" applyFill="1" applyBorder="1" applyAlignment="1">
      <alignment horizontal="center" vertical="center"/>
    </xf>
    <xf numFmtId="0" fontId="67" fillId="0" borderId="2" xfId="97" applyFont="1" applyBorder="1" applyAlignment="1">
      <alignment horizontal="center" vertical="top"/>
    </xf>
    <xf numFmtId="0" fontId="66" fillId="0" borderId="3" xfId="99" applyFont="1" applyBorder="1" applyAlignment="1">
      <alignment horizontal="left" vertical="center"/>
    </xf>
    <xf numFmtId="0" fontId="73" fillId="8" borderId="2" xfId="99" applyFont="1" applyFill="1" applyBorder="1" applyAlignment="1">
      <alignment horizontal="center" vertical="center"/>
    </xf>
    <xf numFmtId="0" fontId="73" fillId="8" borderId="2" xfId="99" applyFont="1" applyFill="1" applyBorder="1" applyAlignment="1">
      <alignment horizontal="center" vertical="center" wrapText="1"/>
    </xf>
    <xf numFmtId="0" fontId="73" fillId="8" borderId="2" xfId="99" applyFont="1" applyFill="1" applyBorder="1" applyAlignment="1">
      <alignment horizontal="center"/>
    </xf>
    <xf numFmtId="0" fontId="67" fillId="0" borderId="2" xfId="97" applyFont="1" applyBorder="1" applyAlignment="1">
      <alignment horizontal="center"/>
    </xf>
    <xf numFmtId="0" fontId="73" fillId="8" borderId="4" xfId="99" applyFont="1" applyFill="1" applyBorder="1" applyAlignment="1">
      <alignment horizontal="center" vertical="center"/>
    </xf>
    <xf numFmtId="0" fontId="67" fillId="0" borderId="4" xfId="97" applyFont="1" applyBorder="1" applyAlignment="1">
      <alignment horizontal="center" vertical="top"/>
    </xf>
    <xf numFmtId="0" fontId="67" fillId="0" borderId="15" xfId="97" applyFont="1" applyBorder="1" applyAlignment="1">
      <alignment horizontal="center" vertical="top"/>
    </xf>
    <xf numFmtId="0" fontId="66" fillId="0" borderId="3" xfId="99" applyFont="1" applyBorder="1" applyAlignment="1">
      <alignment horizontal="center" vertical="center"/>
    </xf>
    <xf numFmtId="0" fontId="90" fillId="8" borderId="2" xfId="99" applyFont="1" applyFill="1" applyBorder="1" applyAlignment="1">
      <alignment horizontal="center" vertical="center"/>
    </xf>
    <xf numFmtId="0" fontId="90" fillId="8" borderId="2" xfId="99" applyFont="1" applyFill="1" applyBorder="1" applyAlignment="1">
      <alignment horizontal="center" vertical="center" wrapText="1"/>
    </xf>
    <xf numFmtId="0" fontId="67" fillId="0" borderId="2" xfId="104" applyFont="1" applyBorder="1" applyAlignment="1">
      <alignment horizontal="center" vertical="top"/>
    </xf>
    <xf numFmtId="0" fontId="67" fillId="0" borderId="8" xfId="104" applyFont="1" applyBorder="1" applyAlignment="1">
      <alignment horizontal="center"/>
    </xf>
    <xf numFmtId="0" fontId="67" fillId="0" borderId="2" xfId="104" applyFont="1" applyBorder="1" applyAlignment="1">
      <alignment horizontal="center"/>
    </xf>
    <xf numFmtId="0" fontId="32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2" fontId="67" fillId="0" borderId="2" xfId="98" applyNumberFormat="1" applyFont="1" applyBorder="1" applyAlignment="1">
      <alignment horizontal="center" vertical="center"/>
    </xf>
    <xf numFmtId="0" fontId="66" fillId="0" borderId="0" xfId="97" applyFont="1" applyFill="1" applyAlignment="1">
      <alignment vertical="center"/>
    </xf>
    <xf numFmtId="0" fontId="73" fillId="0" borderId="2" xfId="97" applyFont="1" applyFill="1" applyBorder="1" applyAlignment="1">
      <alignment horizontal="center" vertical="center"/>
    </xf>
    <xf numFmtId="0" fontId="99" fillId="0" borderId="2" xfId="97" applyFont="1" applyFill="1" applyBorder="1" applyAlignment="1">
      <alignment horizontal="center" vertical="center"/>
    </xf>
    <xf numFmtId="2" fontId="66" fillId="0" borderId="2" xfId="97" applyNumberFormat="1" applyFont="1" applyFill="1" applyBorder="1" applyAlignment="1">
      <alignment horizontal="center" vertical="center"/>
    </xf>
    <xf numFmtId="2" fontId="65" fillId="0" borderId="2" xfId="45" applyNumberFormat="1" applyFont="1" applyFill="1" applyBorder="1" applyAlignment="1">
      <alignment horizontal="center" vertical="center"/>
    </xf>
    <xf numFmtId="2" fontId="75" fillId="0" borderId="2" xfId="45" applyNumberFormat="1" applyFont="1" applyFill="1" applyBorder="1" applyAlignment="1">
      <alignment horizontal="center" vertical="center"/>
    </xf>
    <xf numFmtId="0" fontId="70" fillId="0" borderId="0" xfId="41" applyFont="1" applyFill="1"/>
  </cellXfs>
  <cellStyles count="109">
    <cellStyle name="Comma 2" xfId="6" xr:uid="{00000000-0005-0000-0000-000000000000}"/>
    <cellStyle name="Normal" xfId="0" builtinId="0"/>
    <cellStyle name="Normal 10" xfId="20" xr:uid="{00000000-0005-0000-0000-000002000000}"/>
    <cellStyle name="Normal 10 2" xfId="56" xr:uid="{00000000-0005-0000-0000-000003000000}"/>
    <cellStyle name="Normal 11" xfId="35" xr:uid="{00000000-0005-0000-0000-000004000000}"/>
    <cellStyle name="Normal 12" xfId="37" xr:uid="{00000000-0005-0000-0000-000005000000}"/>
    <cellStyle name="Normal 13" xfId="40" xr:uid="{00000000-0005-0000-0000-000006000000}"/>
    <cellStyle name="Normal 14" xfId="46" xr:uid="{00000000-0005-0000-0000-000007000000}"/>
    <cellStyle name="Normal 14 2 2 2 2 2" xfId="51" xr:uid="{00000000-0005-0000-0000-000008000000}"/>
    <cellStyle name="Normal 14 2 2 2 2 2 2" xfId="58" xr:uid="{00000000-0005-0000-0000-000009000000}"/>
    <cellStyle name="Normal 14 2 2 2 2 2 2 2" xfId="62" xr:uid="{00000000-0005-0000-0000-00000A000000}"/>
    <cellStyle name="Normal 14 2 2 2 2 2 2 2 2" xfId="66" xr:uid="{00000000-0005-0000-0000-00000B000000}"/>
    <cellStyle name="Normal 14 2 2 2 2 2 2 2 2 2" xfId="78" xr:uid="{00000000-0005-0000-0000-00000C000000}"/>
    <cellStyle name="Normal 14 2 2 2 2 2 2 2 2 2 2" xfId="90" xr:uid="{05BEE358-FC7D-4AAD-9CC6-5010B77BF0F9}"/>
    <cellStyle name="Normal 14 2 2 2 2 2 2 2 2 2 2 2" xfId="99" xr:uid="{CAD332A6-A278-4FD5-979C-CBBF312F0B81}"/>
    <cellStyle name="Normal 14 2 2 2 2 2 2 2 2 2 2 2 2" xfId="105" xr:uid="{8C1D3B82-4058-416D-901F-4B6BFE1D9869}"/>
    <cellStyle name="Normal 14 2 2 3 2" xfId="49" xr:uid="{00000000-0005-0000-0000-00000D000000}"/>
    <cellStyle name="Normal 14 2 2 3 2 2" xfId="57" xr:uid="{00000000-0005-0000-0000-00000E000000}"/>
    <cellStyle name="Normal 14 2 2 3 2 2 2" xfId="61" xr:uid="{00000000-0005-0000-0000-00000F000000}"/>
    <cellStyle name="Normal 14 2 2 3 2 2 2 2" xfId="65" xr:uid="{00000000-0005-0000-0000-000010000000}"/>
    <cellStyle name="Normal 14 2 2 3 2 2 2 2 2" xfId="72" xr:uid="{00000000-0005-0000-0000-000011000000}"/>
    <cellStyle name="Normal 14 2 2 3 2 2 2 2 2 2" xfId="76" xr:uid="{00000000-0005-0000-0000-000012000000}"/>
    <cellStyle name="Normal 14 2 2 3 2 2 2 2 2 2 2" xfId="88" xr:uid="{E60BC305-37EB-4212-B7B2-231BF495C9F7}"/>
    <cellStyle name="Normal 14 2 2 3 2 2 2 2 2 2 2 2" xfId="97" xr:uid="{547BF574-7424-4A7C-A7E5-B7C8AF2191F6}"/>
    <cellStyle name="Normal 14 2 2 3 2 2 2 2 2 2 2 2 2" xfId="104" xr:uid="{3E497B24-5E9A-48A7-8121-2CFB6EE0B836}"/>
    <cellStyle name="Normal 14 2 2 3 2 2 2 2 3" xfId="74" xr:uid="{00000000-0005-0000-0000-000013000000}"/>
    <cellStyle name="Normal 14 2 2 3 2 2 2 2 3 2" xfId="86" xr:uid="{8D67815F-6AC9-4995-A852-3DF7A2EBB73D}"/>
    <cellStyle name="Normal 14 2 2 3 2 2 2 2 3 2 2" xfId="95" xr:uid="{1B98DCDD-8927-4F86-ABAB-753C02447C29}"/>
    <cellStyle name="Normal 14 2 2 3 2 2 2 3" xfId="71" xr:uid="{00000000-0005-0000-0000-000014000000}"/>
    <cellStyle name="Normal 14 2 2 3 2 2 2 3 2" xfId="75" xr:uid="{00000000-0005-0000-0000-000015000000}"/>
    <cellStyle name="Normal 14 2 2 3 2 2 2 3 2 2" xfId="87" xr:uid="{AC562CA4-D1FD-42FB-9117-170B2E27519B}"/>
    <cellStyle name="Normal 14 2 2 3 2 2 2 3 2 2 2" xfId="96" xr:uid="{C50E3B63-2259-45C8-9DA1-6595F78F02D9}"/>
    <cellStyle name="Normal 14 2 2 3 2 2 2 4" xfId="73" xr:uid="{00000000-0005-0000-0000-000016000000}"/>
    <cellStyle name="Normal 14 2 2 3 2 2 2 4 2" xfId="85" xr:uid="{37442C0C-6D7B-40E5-BC3B-FA5C98FB51B9}"/>
    <cellStyle name="Normal 14 2 2 3 2 2 2 4 2 2" xfId="94" xr:uid="{5734124F-B939-4198-900A-DD6D30D61B97}"/>
    <cellStyle name="Normal 14 2 2 3 2 2 2 4 3" xfId="93" xr:uid="{16EBE6F9-4FD2-4CD4-8865-1F26D40BE21D}"/>
    <cellStyle name="Normal 15" xfId="69" xr:uid="{00000000-0005-0000-0000-000017000000}"/>
    <cellStyle name="Normal 16" xfId="70" xr:uid="{00000000-0005-0000-0000-000018000000}"/>
    <cellStyle name="Normal 16 2" xfId="77" xr:uid="{00000000-0005-0000-0000-000019000000}"/>
    <cellStyle name="Normal 16 2 2" xfId="89" xr:uid="{219E3835-1A75-484E-BD64-6CD453F4F39E}"/>
    <cellStyle name="Normal 16 2 2 2" xfId="98" xr:uid="{22263250-1253-45E8-B820-85CED8D77008}"/>
    <cellStyle name="Normal 17" xfId="81" xr:uid="{8C6EB768-F151-48CA-A103-5C5C5F84F61A}"/>
    <cellStyle name="Normal 18" xfId="82" xr:uid="{E734C3A2-DD8D-4051-8CF7-D07DA4E2D39A}"/>
    <cellStyle name="Normal 19" xfId="83" xr:uid="{21D93BDD-7D61-4933-8941-2D6C7494D14B}"/>
    <cellStyle name="Normal 2" xfId="1" xr:uid="{00000000-0005-0000-0000-00001A000000}"/>
    <cellStyle name="Normal 2 2" xfId="5" xr:uid="{00000000-0005-0000-0000-00001B000000}"/>
    <cellStyle name="Normal 2 2 2" xfId="41" xr:uid="{00000000-0005-0000-0000-00001C000000}"/>
    <cellStyle name="Normal 2 3" xfId="7" xr:uid="{00000000-0005-0000-0000-00001D000000}"/>
    <cellStyle name="Normal 2 4" xfId="17" xr:uid="{00000000-0005-0000-0000-00001E000000}"/>
    <cellStyle name="Normal 2 4 2" xfId="33" xr:uid="{00000000-0005-0000-0000-00001F000000}"/>
    <cellStyle name="Normal 2 5" xfId="22" xr:uid="{00000000-0005-0000-0000-000020000000}"/>
    <cellStyle name="Normal 2 5 2" xfId="23" xr:uid="{00000000-0005-0000-0000-000021000000}"/>
    <cellStyle name="Normal 2 6" xfId="25" xr:uid="{00000000-0005-0000-0000-000022000000}"/>
    <cellStyle name="Normal 2 7" xfId="38" xr:uid="{00000000-0005-0000-0000-000023000000}"/>
    <cellStyle name="Normal 2 7 2" xfId="50" xr:uid="{00000000-0005-0000-0000-000024000000}"/>
    <cellStyle name="Normal 20" xfId="102" xr:uid="{04A7B315-901D-49D3-AB2B-EA41A96BCE05}"/>
    <cellStyle name="Normal 3" xfId="2" xr:uid="{00000000-0005-0000-0000-000025000000}"/>
    <cellStyle name="Normal 3 2" xfId="3" xr:uid="{00000000-0005-0000-0000-000026000000}"/>
    <cellStyle name="Normal 3 2 2" xfId="4" xr:uid="{00000000-0005-0000-0000-000027000000}"/>
    <cellStyle name="Normal 3 2 2 2" xfId="48" xr:uid="{00000000-0005-0000-0000-000028000000}"/>
    <cellStyle name="Normal 3 2 3" xfId="26" xr:uid="{00000000-0005-0000-0000-000029000000}"/>
    <cellStyle name="Normal 3 2 3 2" xfId="34" xr:uid="{00000000-0005-0000-0000-00002A000000}"/>
    <cellStyle name="Normal 3 2 3 3" xfId="36" xr:uid="{00000000-0005-0000-0000-00002B000000}"/>
    <cellStyle name="Normal 3 2 3 4" xfId="39" xr:uid="{00000000-0005-0000-0000-00002C000000}"/>
    <cellStyle name="Normal 3 3" xfId="15" xr:uid="{00000000-0005-0000-0000-00002D000000}"/>
    <cellStyle name="Normal 3 3 2" xfId="28" xr:uid="{00000000-0005-0000-0000-00002E000000}"/>
    <cellStyle name="Normal 3 3 2 2" xfId="44" xr:uid="{00000000-0005-0000-0000-00002F000000}"/>
    <cellStyle name="Normal 3 4" xfId="24" xr:uid="{00000000-0005-0000-0000-000030000000}"/>
    <cellStyle name="Normal 3 4 2" xfId="55" xr:uid="{00000000-0005-0000-0000-000031000000}"/>
    <cellStyle name="Normal 3 5" xfId="47" xr:uid="{00000000-0005-0000-0000-000032000000}"/>
    <cellStyle name="Normal 4" xfId="8" xr:uid="{00000000-0005-0000-0000-000033000000}"/>
    <cellStyle name="Normal 4 2" xfId="9" xr:uid="{00000000-0005-0000-0000-000034000000}"/>
    <cellStyle name="Normal 4 2 2" xfId="45" xr:uid="{00000000-0005-0000-0000-000035000000}"/>
    <cellStyle name="Normal 5" xfId="10" xr:uid="{00000000-0005-0000-0000-000036000000}"/>
    <cellStyle name="Normal 5 2" xfId="32" xr:uid="{00000000-0005-0000-0000-000037000000}"/>
    <cellStyle name="Normal 5 2 2 2 2 2" xfId="53" xr:uid="{00000000-0005-0000-0000-000038000000}"/>
    <cellStyle name="Normal 5 2 2 2 2 2 2" xfId="60" xr:uid="{00000000-0005-0000-0000-000039000000}"/>
    <cellStyle name="Normal 5 2 2 2 2 2 2 2" xfId="64" xr:uid="{00000000-0005-0000-0000-00003A000000}"/>
    <cellStyle name="Normal 5 2 2 2 2 2 2 2 2" xfId="68" xr:uid="{00000000-0005-0000-0000-00003B000000}"/>
    <cellStyle name="Normal 5 2 2 2 2 2 2 2 2 2" xfId="80" xr:uid="{00000000-0005-0000-0000-00003C000000}"/>
    <cellStyle name="Normal 5 2 2 2 2 2 2 2 2 2 2" xfId="92" xr:uid="{CFDF2064-5794-4881-83DE-A0574FFC7F89}"/>
    <cellStyle name="Normal 5 2 2 2 2 2 2 2 2 2 2 2" xfId="101" xr:uid="{DAA3808A-E8A8-48D0-80B3-281ADDFDB92E}"/>
    <cellStyle name="Normal 5 2 2 2 2 2 2 2 2 2 2 2 2" xfId="107" xr:uid="{583F50A6-60FB-4832-9B33-0A04DB7AAA1C}"/>
    <cellStyle name="Normal 5 2 3 2 2" xfId="52" xr:uid="{00000000-0005-0000-0000-00003D000000}"/>
    <cellStyle name="Normal 5 2 3 2 2 2" xfId="59" xr:uid="{00000000-0005-0000-0000-00003E000000}"/>
    <cellStyle name="Normal 5 2 3 2 2 2 2" xfId="63" xr:uid="{00000000-0005-0000-0000-00003F000000}"/>
    <cellStyle name="Normal 5 2 3 2 2 2 2 2" xfId="67" xr:uid="{00000000-0005-0000-0000-000040000000}"/>
    <cellStyle name="Normal 5 2 3 2 2 2 2 2 2" xfId="79" xr:uid="{00000000-0005-0000-0000-000041000000}"/>
    <cellStyle name="Normal 5 2 3 2 2 2 2 2 2 2" xfId="91" xr:uid="{2BF25A3D-09E4-4C61-ABAF-0EF278A7B33D}"/>
    <cellStyle name="Normal 5 2 3 2 2 2 2 2 2 2 2" xfId="100" xr:uid="{49254B01-892B-432D-A689-F779075A2BDD}"/>
    <cellStyle name="Normal 5 2 3 2 2 2 2 2 2 2 2 2" xfId="106" xr:uid="{96808A17-2963-4B93-95BA-B0593ACBE01C}"/>
    <cellStyle name="Normal 6" xfId="11" xr:uid="{00000000-0005-0000-0000-000042000000}"/>
    <cellStyle name="Normal 7" xfId="12" xr:uid="{00000000-0005-0000-0000-000043000000}"/>
    <cellStyle name="Normal 7 2" xfId="19" xr:uid="{00000000-0005-0000-0000-000044000000}"/>
    <cellStyle name="Normal 7 2 2" xfId="43" xr:uid="{00000000-0005-0000-0000-000045000000}"/>
    <cellStyle name="Normal 7 2 2 2" xfId="108" xr:uid="{8320D067-6C5E-4E9D-A348-B951A7F3040E}"/>
    <cellStyle name="Normal 7 3" xfId="29" xr:uid="{00000000-0005-0000-0000-000046000000}"/>
    <cellStyle name="Normal 7 3 2" xfId="54" xr:uid="{00000000-0005-0000-0000-000047000000}"/>
    <cellStyle name="Normal 7 3 2 2" xfId="103" xr:uid="{F0576BFF-C7EE-4C53-867C-991BF3A12AA1}"/>
    <cellStyle name="Normal 7 4" xfId="30" xr:uid="{00000000-0005-0000-0000-000048000000}"/>
    <cellStyle name="Normal 7 5" xfId="31" xr:uid="{00000000-0005-0000-0000-000049000000}"/>
    <cellStyle name="Normal 8" xfId="16" xr:uid="{00000000-0005-0000-0000-00004A000000}"/>
    <cellStyle name="Normal 8 2" xfId="18" xr:uid="{00000000-0005-0000-0000-00004B000000}"/>
    <cellStyle name="Normal 8 2 2" xfId="42" xr:uid="{00000000-0005-0000-0000-00004C000000}"/>
    <cellStyle name="Normal 9" xfId="21" xr:uid="{00000000-0005-0000-0000-00004D000000}"/>
    <cellStyle name="Percent" xfId="84" builtinId="5"/>
    <cellStyle name="Percent 2" xfId="13" xr:uid="{00000000-0005-0000-0000-00004E000000}"/>
    <cellStyle name="Percent 3" xfId="14" xr:uid="{00000000-0005-0000-0000-00004F000000}"/>
    <cellStyle name="Percent 4" xfId="27" xr:uid="{00000000-0005-0000-0000-000050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2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5194591773951103E-2"/>
          <c:y val="5.1784412365121033E-2"/>
          <c:w val="0.9030447751894517"/>
          <c:h val="0.7978412073491079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'ManagementCollegeNo (2)'!$A$41</c:f>
              <c:strCache>
                <c:ptCount val="1"/>
                <c:pt idx="0">
                  <c:v>% Number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-3.7037037037037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4B-45AE-B226-7F943A670A91}"/>
                </c:ext>
              </c:extLst>
            </c:dLbl>
            <c:dLbl>
              <c:idx val="1"/>
              <c:layout>
                <c:manualLayout>
                  <c:x val="1.9782393669634532E-3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4B-45AE-B226-7F943A670A91}"/>
                </c:ext>
              </c:extLst>
            </c:dLbl>
            <c:dLbl>
              <c:idx val="2"/>
              <c:layout>
                <c:manualLayout>
                  <c:x val="0"/>
                  <c:y val="-5.55555555555554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4B-45AE-B226-7F943A670A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'ManagementCollegeNo (2)'!$B$40:$D$40</c:f>
              <c:strCache>
                <c:ptCount val="3"/>
                <c:pt idx="0">
                  <c:v>Private Un-Aided</c:v>
                </c:pt>
                <c:pt idx="1">
                  <c:v>Private Aided</c:v>
                </c:pt>
                <c:pt idx="2">
                  <c:v>Government</c:v>
                </c:pt>
              </c:strCache>
            </c:strRef>
          </c:cat>
          <c:val>
            <c:numRef>
              <c:f>'ManagementCollegeNo (2)'!$B$41:$D$41</c:f>
              <c:numCache>
                <c:formatCode>0.0</c:formatCode>
                <c:ptCount val="3"/>
                <c:pt idx="0">
                  <c:v>59.003575974301469</c:v>
                </c:pt>
                <c:pt idx="1">
                  <c:v>14.206921631614037</c:v>
                </c:pt>
                <c:pt idx="2">
                  <c:v>26.78950239408449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4B-45AE-B226-7F943A670A91}"/>
            </c:ext>
          </c:extLst>
        </c:ser>
        <c:ser>
          <c:idx val="1"/>
          <c:order val="1"/>
          <c:tx>
            <c:strRef>
              <c:f>'ManagementCollegeNo (2)'!$A$42</c:f>
              <c:strCache>
                <c:ptCount val="1"/>
                <c:pt idx="0">
                  <c:v>% Enrolment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1869436201780601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4B-45AE-B226-7F943A670A91}"/>
                </c:ext>
              </c:extLst>
            </c:dLbl>
            <c:dLbl>
              <c:idx val="1"/>
              <c:layout>
                <c:manualLayout>
                  <c:x val="9.8911968348173313E-3"/>
                  <c:y val="-4.6296296296296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4B-45AE-B226-7F943A670A91}"/>
                </c:ext>
              </c:extLst>
            </c:dLbl>
            <c:dLbl>
              <c:idx val="2"/>
              <c:layout>
                <c:manualLayout>
                  <c:x val="9.891196834817392E-3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54B-45AE-B226-7F943A670A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'ManagementCollegeNo (2)'!$B$40:$D$40</c:f>
              <c:strCache>
                <c:ptCount val="3"/>
                <c:pt idx="0">
                  <c:v>Private Un-Aided</c:v>
                </c:pt>
                <c:pt idx="1">
                  <c:v>Private Aided</c:v>
                </c:pt>
                <c:pt idx="2">
                  <c:v>Government</c:v>
                </c:pt>
              </c:strCache>
            </c:strRef>
          </c:cat>
          <c:val>
            <c:numRef>
              <c:f>'ManagementCollegeNo (2)'!$B$42:$D$42</c:f>
              <c:numCache>
                <c:formatCode>0.0</c:formatCode>
                <c:ptCount val="3"/>
                <c:pt idx="0">
                  <c:v>37.020716588195</c:v>
                </c:pt>
                <c:pt idx="1">
                  <c:v>23.781242219635931</c:v>
                </c:pt>
                <c:pt idx="2">
                  <c:v>39.198041192169065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4B-45AE-B226-7F943A670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75548296"/>
        <c:axId val="375548688"/>
        <c:axId val="0"/>
      </c:bar3DChart>
      <c:catAx>
        <c:axId val="37554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5548688"/>
        <c:crosses val="autoZero"/>
        <c:auto val="1"/>
        <c:lblAlgn val="ctr"/>
        <c:lblOffset val="100"/>
        <c:noMultiLvlLbl val="0"/>
      </c:catAx>
      <c:valAx>
        <c:axId val="37554868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5548296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47194576197264376"/>
          <c:y val="5.6946847161346202E-2"/>
          <c:w val="0.30882911913239447"/>
          <c:h val="0.18880726116132696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266" l="0.70000000000000062" r="0.70000000000000062" t="0.75000000000001266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'ManagementCollegeNo (2)'!$B$40:$D$40</c:f>
              <c:strCache>
                <c:ptCount val="3"/>
                <c:pt idx="0">
                  <c:v>Private Un-Aided</c:v>
                </c:pt>
                <c:pt idx="1">
                  <c:v>Private Aided</c:v>
                </c:pt>
                <c:pt idx="2">
                  <c:v>Government</c:v>
                </c:pt>
              </c:strCache>
            </c:strRef>
          </c:cat>
          <c:val>
            <c:numRef>
              <c:f>'ManagementCollegeNo (2)'!$B$41:$D$41</c:f>
              <c:numCache>
                <c:formatCode>0.0</c:formatCode>
                <c:ptCount val="3"/>
                <c:pt idx="0">
                  <c:v>59.003575974301469</c:v>
                </c:pt>
                <c:pt idx="1">
                  <c:v>14.206921631614037</c:v>
                </c:pt>
                <c:pt idx="2">
                  <c:v>26.78950239408449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2-4A8D-8747-BA51CABF0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81620633104019E-2"/>
          <c:y val="5.1941612561587247E-2"/>
          <c:w val="0.86533020346865264"/>
          <c:h val="0.89611677487681107"/>
        </c:manualLayout>
      </c:layout>
      <c:bubbleChart>
        <c:varyColors val="0"/>
        <c:ser>
          <c:idx val="0"/>
          <c:order val="0"/>
          <c:tx>
            <c:strRef>
              <c:f>'4CollegeIndicator (2)'!$D$2</c:f>
              <c:strCache>
                <c:ptCount val="1"/>
                <c:pt idx="0">
                  <c:v>Population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-0.15232722143864597"/>
                  <c:y val="0.1403508771929825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A0-4EC5-9B91-F5DC3A5D0A8C}"/>
                </c:ext>
              </c:extLst>
            </c:dLbl>
            <c:dLbl>
              <c:idx val="2"/>
              <c:layout>
                <c:manualLayout>
                  <c:x val="-3.7611659614480486E-2"/>
                  <c:y val="-8.42105263157895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A0-4EC5-9B91-F5DC3A5D0A8C}"/>
                </c:ext>
              </c:extLst>
            </c:dLbl>
            <c:dLbl>
              <c:idx val="3"/>
              <c:layout>
                <c:manualLayout>
                  <c:x val="-0.10719322990127345"/>
                  <c:y val="8.42105263157895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A0-4EC5-9B91-F5DC3A5D0A8C}"/>
                </c:ext>
              </c:extLst>
            </c:dLbl>
            <c:dLbl>
              <c:idx val="4"/>
              <c:layout>
                <c:manualLayout>
                  <c:x val="-0.10343206393982136"/>
                  <c:y val="-0.1543859649122807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A0-4EC5-9B91-F5DC3A5D0A8C}"/>
                </c:ext>
              </c:extLst>
            </c:dLbl>
            <c:dLbl>
              <c:idx val="5"/>
              <c:layout>
                <c:manualLayout>
                  <c:x val="-0.10719322990127345"/>
                  <c:y val="8.888852051388326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A0-4EC5-9B91-F5DC3A5D0A8C}"/>
                </c:ext>
              </c:extLst>
            </c:dLbl>
            <c:dLbl>
              <c:idx val="6"/>
              <c:layout>
                <c:manualLayout>
                  <c:x val="-9.2148566055477207E-2"/>
                  <c:y val="-0.1029239766081872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A0-4EC5-9B91-F5DC3A5D0A8C}"/>
                </c:ext>
              </c:extLst>
            </c:dLbl>
            <c:dLbl>
              <c:idx val="7"/>
              <c:layout>
                <c:manualLayout>
                  <c:x val="-8.4626234132581205E-2"/>
                  <c:y val="0.1122807017543859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A0-4EC5-9B91-F5DC3A5D0A8C}"/>
                </c:ext>
              </c:extLst>
            </c:dLbl>
            <c:dLbl>
              <c:idx val="8"/>
              <c:layout>
                <c:manualLayout>
                  <c:x val="-8.0865068171136395E-2"/>
                  <c:y val="-0.1356725146198776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A0-4EC5-9B91-F5DC3A5D0A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'4CollegeIndicator (2)'!$C$3:$C$11</c:f>
              <c:strCache>
                <c:ptCount val="9"/>
                <c:pt idx="0">
                  <c:v>Uttar Pradesh</c:v>
                </c:pt>
                <c:pt idx="1">
                  <c:v>Maharashtra</c:v>
                </c:pt>
                <c:pt idx="2">
                  <c:v>Bihar</c:v>
                </c:pt>
                <c:pt idx="3">
                  <c:v>West Bengal</c:v>
                </c:pt>
                <c:pt idx="4">
                  <c:v>Andhra Pradesh</c:v>
                </c:pt>
                <c:pt idx="5">
                  <c:v>Madhya Pradesh</c:v>
                </c:pt>
                <c:pt idx="6">
                  <c:v>Rajasthan</c:v>
                </c:pt>
                <c:pt idx="7">
                  <c:v>Tamil Nadu</c:v>
                </c:pt>
                <c:pt idx="8">
                  <c:v>Karnataka</c:v>
                </c:pt>
              </c:strCache>
            </c:strRef>
          </c:xVal>
          <c:yVal>
            <c:numRef>
              <c:f>'4CollegeIndicator (2)'!$D$3:$D$11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bubbleSize>
            <c:numRef>
              <c:f>'4CollegeIndicator (2)'!$E$3:$E$11</c:f>
              <c:numCache>
                <c:formatCode>General</c:formatCode>
                <c:ptCount val="9"/>
                <c:pt idx="0">
                  <c:v>4049</c:v>
                </c:pt>
                <c:pt idx="1">
                  <c:v>4512</c:v>
                </c:pt>
                <c:pt idx="2">
                  <c:v>629</c:v>
                </c:pt>
                <c:pt idx="3">
                  <c:v>857</c:v>
                </c:pt>
                <c:pt idx="4">
                  <c:v>4780</c:v>
                </c:pt>
                <c:pt idx="5">
                  <c:v>2009</c:v>
                </c:pt>
                <c:pt idx="6">
                  <c:v>2435</c:v>
                </c:pt>
                <c:pt idx="7">
                  <c:v>1985</c:v>
                </c:pt>
                <c:pt idx="8">
                  <c:v>3098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8-C8A0-4EC5-9B91-F5DC3A5D0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77627912"/>
        <c:axId val="377632224"/>
      </c:bubbleChart>
      <c:valAx>
        <c:axId val="377627912"/>
        <c:scaling>
          <c:orientation val="minMax"/>
          <c:max val="10"/>
          <c:min val="0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7632224"/>
        <c:crosses val="autoZero"/>
        <c:crossBetween val="midCat"/>
      </c:valAx>
      <c:valAx>
        <c:axId val="377632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7627912"/>
        <c:crosses val="autoZero"/>
        <c:crossBetween val="midCat"/>
        <c:dispUnits>
          <c:builtInUnit val="hundredThousands"/>
          <c:dispUnitsLbl>
            <c:layout>
              <c:manualLayout>
                <c:xMode val="edge"/>
                <c:yMode val="edge"/>
                <c:x val="6.9189165176637858E-3"/>
                <c:y val="0.15942717686605329"/>
              </c:manualLayout>
            </c:layout>
            <c:tx>
              <c:rich>
                <a:bodyPr/>
                <a:lstStyle/>
                <a:p>
                  <a:pPr>
                    <a:defRPr lang="en-US"/>
                  </a:pPr>
                  <a:r>
                    <a:rPr lang="en-US"/>
                    <a:t>Population (18-23 years) in Lakhs</a:t>
                  </a:r>
                </a:p>
              </c:rich>
            </c:tx>
          </c:dispUnitsLbl>
        </c:dispUnits>
      </c:valAx>
      <c:spPr>
        <a:ln>
          <a:solidFill>
            <a:srgbClr val="8064A2">
              <a:lumMod val="75000"/>
            </a:srgbClr>
          </a:solidFill>
        </a:ln>
      </c:spPr>
    </c:plotArea>
    <c:plotVisOnly val="1"/>
    <c:dispBlanksAs val="gap"/>
    <c:showDLblsOverMax val="0"/>
  </c:chart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ubbleChart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-0.17777777777777778"/>
                  <c:y val="-0.1309941520467839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C9-4C5E-B8ED-8CC62776132A}"/>
                </c:ext>
              </c:extLst>
            </c:dLbl>
            <c:dLbl>
              <c:idx val="2"/>
              <c:layout>
                <c:manualLayout>
                  <c:x val="-0.10555555555555562"/>
                  <c:y val="9.824561403508773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C9-4C5E-B8ED-8CC62776132A}"/>
                </c:ext>
              </c:extLst>
            </c:dLbl>
            <c:dLbl>
              <c:idx val="3"/>
              <c:layout>
                <c:manualLayout>
                  <c:x val="-1.3888888888889232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C9-4C5E-B8ED-8CC62776132A}"/>
                </c:ext>
              </c:extLst>
            </c:dLbl>
            <c:dLbl>
              <c:idx val="4"/>
              <c:layout>
                <c:manualLayout>
                  <c:x val="-6.1111111111111123E-2"/>
                  <c:y val="-0.1590643274853845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C9-4C5E-B8ED-8CC6277613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'4CollegeIndicator (2)'!$C$8:$C$15</c:f>
              <c:strCache>
                <c:ptCount val="8"/>
                <c:pt idx="0">
                  <c:v>Madhya Pradesh</c:v>
                </c:pt>
                <c:pt idx="1">
                  <c:v>Rajasthan</c:v>
                </c:pt>
                <c:pt idx="2">
                  <c:v>Tamil Nadu</c:v>
                </c:pt>
                <c:pt idx="3">
                  <c:v>Karnataka</c:v>
                </c:pt>
                <c:pt idx="4">
                  <c:v>Gujarat</c:v>
                </c:pt>
                <c:pt idx="5">
                  <c:v>Odisha</c:v>
                </c:pt>
                <c:pt idx="6">
                  <c:v>Jharkhand</c:v>
                </c:pt>
                <c:pt idx="7">
                  <c:v>Assam</c:v>
                </c:pt>
              </c:strCache>
            </c:strRef>
          </c:xVal>
          <c:yVal>
            <c:numRef>
              <c:f>'4CollegeIndicator (2)'!$D$8:$D$15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bubbleSize>
            <c:numRef>
              <c:f>'4CollegeIndicator (2)'!$E$8:$E$15</c:f>
              <c:numCache>
                <c:formatCode>General</c:formatCode>
                <c:ptCount val="8"/>
                <c:pt idx="0">
                  <c:v>2009</c:v>
                </c:pt>
                <c:pt idx="1">
                  <c:v>2435</c:v>
                </c:pt>
                <c:pt idx="2">
                  <c:v>1985</c:v>
                </c:pt>
                <c:pt idx="3">
                  <c:v>3098</c:v>
                </c:pt>
                <c:pt idx="4">
                  <c:v>1815</c:v>
                </c:pt>
                <c:pt idx="5">
                  <c:v>1089</c:v>
                </c:pt>
                <c:pt idx="6">
                  <c:v>187</c:v>
                </c:pt>
                <c:pt idx="7">
                  <c:v>485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4-4DC9-4C5E-B8ED-8CC627761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77633792"/>
        <c:axId val="377628304"/>
      </c:bubbleChart>
      <c:valAx>
        <c:axId val="377633792"/>
        <c:scaling>
          <c:orientation val="minMax"/>
        </c:scaling>
        <c:delete val="1"/>
        <c:axPos val="b"/>
        <c:majorTickMark val="out"/>
        <c:minorTickMark val="none"/>
        <c:tickLblPos val="nextTo"/>
        <c:crossAx val="377628304"/>
        <c:crosses val="autoZero"/>
        <c:crossBetween val="midCat"/>
      </c:valAx>
      <c:valAx>
        <c:axId val="377628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7633792"/>
        <c:crosses val="autoZero"/>
        <c:crossBetween val="midCat"/>
        <c:dispUnits>
          <c:builtInUnit val="hundredThousands"/>
          <c:dispUnitsLbl>
            <c:layout>
              <c:manualLayout>
                <c:xMode val="edge"/>
                <c:yMode val="edge"/>
                <c:x val="3.888888888888889E-2"/>
                <c:y val="0.19685407745084488"/>
              </c:manualLayout>
            </c:layout>
            <c:tx>
              <c:rich>
                <a:bodyPr/>
                <a:lstStyle/>
                <a:p>
                  <a:pPr>
                    <a:defRPr lang="en-US"/>
                  </a:pPr>
                  <a:r>
                    <a:rPr lang="en-US"/>
                    <a:t>Population (18-23 years) in Lakhs</a:t>
                  </a:r>
                </a:p>
              </c:rich>
            </c:tx>
          </c:dispUnitsLbl>
        </c:dispUnits>
      </c:valAx>
    </c:plotArea>
    <c:plotVisOnly val="1"/>
    <c:dispBlanksAs val="gap"/>
    <c:showDLblsOverMax val="0"/>
  </c:chart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StandaloneMgt!$A$7</c:f>
              <c:strCache>
                <c:ptCount val="1"/>
                <c:pt idx="0">
                  <c:v>Private</c:v>
                </c:pt>
              </c:strCache>
            </c:strRef>
          </c:tx>
          <c:invertIfNegative val="0"/>
          <c:cat>
            <c:strRef>
              <c:f>StandaloneMgt!$B$6:$E$6</c:f>
              <c:strCache>
                <c:ptCount val="4"/>
                <c:pt idx="0">
                  <c:v>Technical</c:v>
                </c:pt>
                <c:pt idx="1">
                  <c:v>Teacher Training</c:v>
                </c:pt>
                <c:pt idx="2">
                  <c:v>Nursing</c:v>
                </c:pt>
                <c:pt idx="3">
                  <c:v>PGDM</c:v>
                </c:pt>
              </c:strCache>
            </c:strRef>
          </c:cat>
          <c:val>
            <c:numRef>
              <c:f>StandaloneMgt!$B$7:$E$7</c:f>
              <c:numCache>
                <c:formatCode>General</c:formatCode>
                <c:ptCount val="4"/>
                <c:pt idx="0">
                  <c:v>1426</c:v>
                </c:pt>
                <c:pt idx="1">
                  <c:v>2130</c:v>
                </c:pt>
                <c:pt idx="2">
                  <c:v>742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5-4875-95A5-FDC4B07F298B}"/>
            </c:ext>
          </c:extLst>
        </c:ser>
        <c:ser>
          <c:idx val="1"/>
          <c:order val="1"/>
          <c:tx>
            <c:strRef>
              <c:f>StandaloneMgt!$A$8</c:f>
              <c:strCache>
                <c:ptCount val="1"/>
              </c:strCache>
            </c:strRef>
          </c:tx>
          <c:spPr>
            <a:solidFill>
              <a:schemeClr val="bg2">
                <a:lumMod val="90000"/>
              </a:schemeClr>
            </a:solidFill>
          </c:spPr>
          <c:invertIfNegative val="0"/>
          <c:cat>
            <c:strRef>
              <c:f>StandaloneMgt!$B$6:$E$6</c:f>
              <c:strCache>
                <c:ptCount val="4"/>
                <c:pt idx="0">
                  <c:v>Technical</c:v>
                </c:pt>
                <c:pt idx="1">
                  <c:v>Teacher Training</c:v>
                </c:pt>
                <c:pt idx="2">
                  <c:v>Nursing</c:v>
                </c:pt>
                <c:pt idx="3">
                  <c:v>PGDM</c:v>
                </c:pt>
              </c:strCache>
            </c:strRef>
          </c:cat>
          <c:val>
            <c:numRef>
              <c:f>StandaloneMgt!$B$8:$E$8</c:f>
              <c:numCache>
                <c:formatCode>General</c:formatCode>
                <c:ptCount val="4"/>
                <c:pt idx="0">
                  <c:v>555</c:v>
                </c:pt>
                <c:pt idx="1">
                  <c:v>666</c:v>
                </c:pt>
                <c:pt idx="2">
                  <c:v>131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05-4875-95A5-FDC4B07F2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7626736"/>
        <c:axId val="377631048"/>
        <c:axId val="0"/>
      </c:bar3DChart>
      <c:catAx>
        <c:axId val="3776267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7631048"/>
        <c:crosses val="autoZero"/>
        <c:auto val="1"/>
        <c:lblAlgn val="ctr"/>
        <c:lblOffset val="100"/>
        <c:noMultiLvlLbl val="0"/>
      </c:catAx>
      <c:valAx>
        <c:axId val="37763104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7626736"/>
        <c:crosses val="autoZero"/>
        <c:crossBetween val="between"/>
      </c:valAx>
    </c:plotArea>
    <c:legend>
      <c:legendPos val="r"/>
      <c:legendEntry>
        <c:idx val="0"/>
        <c:delete val="1"/>
      </c:legendEntry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44" l="0.70000000000000062" r="0.70000000000000062" t="0.75000000000001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3</xdr:col>
      <xdr:colOff>171450</xdr:colOff>
      <xdr:row>53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314325</xdr:colOff>
      <xdr:row>40</xdr:row>
      <xdr:rowOff>152400</xdr:rowOff>
    </xdr:from>
    <xdr:to>
      <xdr:col>8</xdr:col>
      <xdr:colOff>762000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0</xdr:row>
      <xdr:rowOff>304800</xdr:rowOff>
    </xdr:from>
    <xdr:to>
      <xdr:col>17</xdr:col>
      <xdr:colOff>76201</xdr:colOff>
      <xdr:row>11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12</xdr:row>
      <xdr:rowOff>133350</xdr:rowOff>
    </xdr:from>
    <xdr:to>
      <xdr:col>14</xdr:col>
      <xdr:colOff>180975</xdr:colOff>
      <xdr:row>26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6</xdr:row>
      <xdr:rowOff>47625</xdr:rowOff>
    </xdr:from>
    <xdr:to>
      <xdr:col>13</xdr:col>
      <xdr:colOff>381000</xdr:colOff>
      <xdr:row>23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AISHE%20Tables%201%20to%2052%20(2021-22)_26-09-2023_updateSettings%20done%20and%20estimation%20manually%20entered,PHD%20COR%20%20_10.10.2310_45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Education\Final%20Analysis\2021_as%20on%2031.08.23\Tables\Table5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AISHE%202020-21%20Updated%20Report%20Material\Final%20AISHE%20Tables%202020-21%20revised_%2006.02.2023%206.37%20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UniNo"/>
      <sheetName val="1InsResponse"/>
      <sheetName val="2University-Specialisation"/>
      <sheetName val="3Collegerange"/>
      <sheetName val="4aCollegeSpec"/>
      <sheetName val="5ManagementCollegeNo"/>
      <sheetName val="6TotalEnr"/>
      <sheetName val="6aTotalRegularEnr"/>
      <sheetName val="6bTotalDistanceEnr"/>
      <sheetName val="6cTotalPrivateEnr"/>
      <sheetName val="7UnivActwithConsUnit"/>
      <sheetName val="8CollegeAct"/>
      <sheetName val="9AllSAAct"/>
      <sheetName val="9aSAILevel"/>
      <sheetName val="10InstituionEst"/>
      <sheetName val="11Programme"/>
      <sheetName val="11aProgrammeDistance "/>
      <sheetName val="11bProgrammePrivate"/>
      <sheetName val="12UGDisc "/>
      <sheetName val="13PGDisc"/>
      <sheetName val="14-15TotalEnrCategory (2)"/>
      <sheetName val="16FS-countrylevel"/>
      <sheetName val="17FS-statelevel"/>
      <sheetName val="18FS-prog"/>
      <sheetName val="ManagementCollegeNo (2)"/>
      <sheetName val="WomenCollege"/>
      <sheetName val="19GER(2011)"/>
      <sheetName val="20GPI2011"/>
      <sheetName val="21TeacherCategory"/>
      <sheetName val="22TeacherPost"/>
      <sheetName val="22aTeacherPostUC"/>
      <sheetName val="22bTeacherPostU"/>
      <sheetName val="23StaffPost"/>
      <sheetName val="24StaffCategory"/>
      <sheetName val="25PTR"/>
      <sheetName val="26UnivEnrolinclConstituentU"/>
      <sheetName val="27TypeEnrolmentCategory-Est"/>
      <sheetName val="29TypeTeacherPostEstimated"/>
      <sheetName val="30TypeTeacherCategoryEstimated"/>
      <sheetName val="31Hostelstate "/>
      <sheetName val="32TypeHostel"/>
      <sheetName val="33OutTurnState"/>
      <sheetName val="33a CategoryOutTurn"/>
      <sheetName val="34OutTurn Prog "/>
      <sheetName val="34a"/>
      <sheetName val="35UGDisc"/>
      <sheetName val="36 PGDisc "/>
      <sheetName val="37CollegeTypeNo"/>
      <sheetName val="38Pop2020(2011)"/>
      <sheetName val="39TypeStateUnivwithConsUnit"/>
      <sheetName val="40NoUni"/>
      <sheetName val="41NoUniType"/>
      <sheetName val="42CollegeIndicator"/>
      <sheetName val="43ENRLT 6"/>
      <sheetName val="44ENRLR 6a"/>
      <sheetName val="45EnrlCategory 14"/>
      <sheetName val="46EnrlMinority 14"/>
      <sheetName val="47GER  19"/>
      <sheetName val="48GPI 20"/>
      <sheetName val="49PTR 25"/>
      <sheetName val="50LevelEnrlUniType"/>
      <sheetName val="51PostTeacher"/>
      <sheetName val="52Pop"/>
      <sheetName val="4CollegeIndicator (2)"/>
      <sheetName val="RespondingTypeCollege"/>
      <sheetName val="Paste"/>
      <sheetName val="StandaloneM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B5" t="str">
            <v>A &amp; N Islands</v>
          </cell>
          <cell r="C5">
            <v>9</v>
          </cell>
          <cell r="D5">
            <v>9</v>
          </cell>
          <cell r="E5">
            <v>5</v>
          </cell>
          <cell r="F5">
            <v>9</v>
          </cell>
          <cell r="G5">
            <v>14</v>
          </cell>
          <cell r="K5">
            <v>69</v>
          </cell>
          <cell r="L5">
            <v>283</v>
          </cell>
          <cell r="M5">
            <v>352</v>
          </cell>
          <cell r="N5">
            <v>2259</v>
          </cell>
          <cell r="O5">
            <v>3231</v>
          </cell>
          <cell r="P5">
            <v>5490</v>
          </cell>
          <cell r="R5">
            <v>281</v>
          </cell>
          <cell r="T5">
            <v>515</v>
          </cell>
          <cell r="U5">
            <v>281</v>
          </cell>
          <cell r="V5">
            <v>796</v>
          </cell>
          <cell r="W5">
            <v>39</v>
          </cell>
          <cell r="X5">
            <v>33</v>
          </cell>
          <cell r="Y5">
            <v>72</v>
          </cell>
          <cell r="Z5">
            <v>193</v>
          </cell>
          <cell r="AA5">
            <v>355</v>
          </cell>
          <cell r="AB5">
            <v>548</v>
          </cell>
          <cell r="AC5">
            <v>3080</v>
          </cell>
          <cell r="AD5">
            <v>4192</v>
          </cell>
          <cell r="AE5">
            <v>7272</v>
          </cell>
          <cell r="AF5">
            <v>808</v>
          </cell>
        </row>
        <row r="6">
          <cell r="B6" t="str">
            <v>Andhra Pradesh</v>
          </cell>
          <cell r="C6">
            <v>2602</v>
          </cell>
          <cell r="D6">
            <v>2582</v>
          </cell>
          <cell r="E6">
            <v>552</v>
          </cell>
          <cell r="F6">
            <v>459</v>
          </cell>
          <cell r="G6">
            <v>1011</v>
          </cell>
          <cell r="K6">
            <v>55930</v>
          </cell>
          <cell r="L6">
            <v>56033</v>
          </cell>
          <cell r="M6">
            <v>111963</v>
          </cell>
          <cell r="N6">
            <v>660578</v>
          </cell>
          <cell r="O6">
            <v>607047</v>
          </cell>
          <cell r="P6">
            <v>1267625</v>
          </cell>
          <cell r="Q6">
            <v>79</v>
          </cell>
          <cell r="R6">
            <v>10531</v>
          </cell>
          <cell r="S6">
            <v>159</v>
          </cell>
          <cell r="T6">
            <v>32084</v>
          </cell>
          <cell r="U6">
            <v>10531</v>
          </cell>
          <cell r="V6">
            <v>42615</v>
          </cell>
          <cell r="Z6">
            <v>4879</v>
          </cell>
          <cell r="AA6">
            <v>2067</v>
          </cell>
          <cell r="AB6">
            <v>6946</v>
          </cell>
          <cell r="AC6">
            <v>754102</v>
          </cell>
          <cell r="AD6">
            <v>676217</v>
          </cell>
          <cell r="AE6">
            <v>1430319</v>
          </cell>
          <cell r="AF6">
            <v>554</v>
          </cell>
        </row>
        <row r="7">
          <cell r="B7" t="str">
            <v>Arunachal Pradesh</v>
          </cell>
          <cell r="C7">
            <v>44</v>
          </cell>
          <cell r="D7">
            <v>43</v>
          </cell>
          <cell r="E7">
            <v>4</v>
          </cell>
          <cell r="F7">
            <v>2</v>
          </cell>
          <cell r="G7">
            <v>6</v>
          </cell>
          <cell r="K7">
            <v>163</v>
          </cell>
          <cell r="L7">
            <v>296</v>
          </cell>
          <cell r="M7">
            <v>459</v>
          </cell>
          <cell r="N7">
            <v>13894</v>
          </cell>
          <cell r="O7">
            <v>13615</v>
          </cell>
          <cell r="P7">
            <v>27509</v>
          </cell>
          <cell r="Q7">
            <v>1</v>
          </cell>
          <cell r="R7">
            <v>191</v>
          </cell>
          <cell r="S7">
            <v>4</v>
          </cell>
          <cell r="U7">
            <v>191</v>
          </cell>
          <cell r="V7">
            <v>191</v>
          </cell>
          <cell r="Z7">
            <v>272</v>
          </cell>
          <cell r="AA7">
            <v>179</v>
          </cell>
          <cell r="AB7">
            <v>451</v>
          </cell>
          <cell r="AC7">
            <v>14334</v>
          </cell>
          <cell r="AD7">
            <v>14286</v>
          </cell>
          <cell r="AE7">
            <v>28620</v>
          </cell>
          <cell r="AF7">
            <v>666</v>
          </cell>
        </row>
        <row r="8">
          <cell r="B8" t="str">
            <v>Assam</v>
          </cell>
          <cell r="C8">
            <v>607</v>
          </cell>
          <cell r="D8">
            <v>553</v>
          </cell>
          <cell r="E8">
            <v>75</v>
          </cell>
          <cell r="F8">
            <v>65</v>
          </cell>
          <cell r="G8">
            <v>140</v>
          </cell>
          <cell r="H8">
            <v>4</v>
          </cell>
          <cell r="I8">
            <v>26</v>
          </cell>
          <cell r="J8">
            <v>30</v>
          </cell>
          <cell r="K8">
            <v>4275</v>
          </cell>
          <cell r="L8">
            <v>6773</v>
          </cell>
          <cell r="M8">
            <v>11048</v>
          </cell>
          <cell r="N8">
            <v>233924</v>
          </cell>
          <cell r="O8">
            <v>247756</v>
          </cell>
          <cell r="P8">
            <v>481680</v>
          </cell>
          <cell r="Q8">
            <v>203</v>
          </cell>
          <cell r="R8">
            <v>1689</v>
          </cell>
          <cell r="S8">
            <v>619</v>
          </cell>
          <cell r="T8">
            <v>1931</v>
          </cell>
          <cell r="U8">
            <v>1689</v>
          </cell>
          <cell r="V8">
            <v>3620</v>
          </cell>
          <cell r="W8">
            <v>81</v>
          </cell>
          <cell r="X8">
            <v>641</v>
          </cell>
          <cell r="Y8">
            <v>722</v>
          </cell>
          <cell r="Z8">
            <v>1446</v>
          </cell>
          <cell r="AA8">
            <v>1569</v>
          </cell>
          <cell r="AB8">
            <v>3015</v>
          </cell>
          <cell r="AC8">
            <v>241939</v>
          </cell>
          <cell r="AD8">
            <v>258935</v>
          </cell>
          <cell r="AE8">
            <v>500874</v>
          </cell>
          <cell r="AF8">
            <v>906</v>
          </cell>
        </row>
        <row r="9">
          <cell r="B9" t="str">
            <v>Bihar</v>
          </cell>
          <cell r="C9">
            <v>1092</v>
          </cell>
          <cell r="D9">
            <v>1072</v>
          </cell>
          <cell r="E9">
            <v>37</v>
          </cell>
          <cell r="F9">
            <v>25</v>
          </cell>
          <cell r="G9">
            <v>62</v>
          </cell>
          <cell r="K9">
            <v>31537</v>
          </cell>
          <cell r="L9">
            <v>33347</v>
          </cell>
          <cell r="M9">
            <v>64884</v>
          </cell>
          <cell r="N9">
            <v>1157363</v>
          </cell>
          <cell r="O9">
            <v>969362</v>
          </cell>
          <cell r="P9">
            <v>2126725</v>
          </cell>
          <cell r="Q9">
            <v>313</v>
          </cell>
          <cell r="R9">
            <v>22779</v>
          </cell>
          <cell r="S9">
            <v>505</v>
          </cell>
          <cell r="T9">
            <v>19151</v>
          </cell>
          <cell r="U9">
            <v>22779</v>
          </cell>
          <cell r="V9">
            <v>41930</v>
          </cell>
          <cell r="W9">
            <v>1178</v>
          </cell>
          <cell r="X9">
            <v>969</v>
          </cell>
          <cell r="Y9">
            <v>2147</v>
          </cell>
          <cell r="Z9">
            <v>1506</v>
          </cell>
          <cell r="AA9">
            <v>820</v>
          </cell>
          <cell r="AB9">
            <v>2326</v>
          </cell>
          <cell r="AC9">
            <v>1211085</v>
          </cell>
          <cell r="AD9">
            <v>1027494</v>
          </cell>
          <cell r="AE9">
            <v>2238579</v>
          </cell>
          <cell r="AF9">
            <v>2088</v>
          </cell>
        </row>
        <row r="10">
          <cell r="B10" t="str">
            <v>Chandigarh</v>
          </cell>
          <cell r="C10">
            <v>26</v>
          </cell>
          <cell r="D10">
            <v>26</v>
          </cell>
          <cell r="E10">
            <v>15</v>
          </cell>
          <cell r="F10">
            <v>40</v>
          </cell>
          <cell r="G10">
            <v>55</v>
          </cell>
          <cell r="I10">
            <v>1</v>
          </cell>
          <cell r="J10">
            <v>1</v>
          </cell>
          <cell r="K10">
            <v>1440</v>
          </cell>
          <cell r="L10">
            <v>4154</v>
          </cell>
          <cell r="M10">
            <v>5594</v>
          </cell>
          <cell r="N10">
            <v>18022</v>
          </cell>
          <cell r="O10">
            <v>24382</v>
          </cell>
          <cell r="P10">
            <v>42404</v>
          </cell>
          <cell r="Q10">
            <v>143</v>
          </cell>
          <cell r="R10">
            <v>162</v>
          </cell>
          <cell r="S10">
            <v>469</v>
          </cell>
          <cell r="T10">
            <v>60</v>
          </cell>
          <cell r="U10">
            <v>162</v>
          </cell>
          <cell r="V10">
            <v>222</v>
          </cell>
          <cell r="W10">
            <v>110</v>
          </cell>
          <cell r="X10">
            <v>130</v>
          </cell>
          <cell r="Y10">
            <v>240</v>
          </cell>
          <cell r="Z10">
            <v>24</v>
          </cell>
          <cell r="AA10">
            <v>67</v>
          </cell>
          <cell r="AB10">
            <v>91</v>
          </cell>
          <cell r="AC10">
            <v>19814</v>
          </cell>
          <cell r="AD10">
            <v>29262</v>
          </cell>
          <cell r="AE10">
            <v>49076</v>
          </cell>
          <cell r="AF10">
            <v>1888</v>
          </cell>
        </row>
        <row r="11">
          <cell r="B11" t="str">
            <v>Chhattisgarh</v>
          </cell>
          <cell r="C11">
            <v>917</v>
          </cell>
          <cell r="D11">
            <v>895</v>
          </cell>
          <cell r="E11">
            <v>168</v>
          </cell>
          <cell r="F11">
            <v>271</v>
          </cell>
          <cell r="G11">
            <v>439</v>
          </cell>
          <cell r="H11">
            <v>4</v>
          </cell>
          <cell r="I11">
            <v>8</v>
          </cell>
          <cell r="J11">
            <v>12</v>
          </cell>
          <cell r="K11">
            <v>20352</v>
          </cell>
          <cell r="L11">
            <v>37890</v>
          </cell>
          <cell r="M11">
            <v>58242</v>
          </cell>
          <cell r="N11">
            <v>191429</v>
          </cell>
          <cell r="O11">
            <v>251624</v>
          </cell>
          <cell r="P11">
            <v>443053</v>
          </cell>
          <cell r="Q11">
            <v>4772</v>
          </cell>
          <cell r="R11">
            <v>10500</v>
          </cell>
          <cell r="S11">
            <v>10346</v>
          </cell>
          <cell r="T11">
            <v>16987</v>
          </cell>
          <cell r="U11">
            <v>10500</v>
          </cell>
          <cell r="V11">
            <v>27487</v>
          </cell>
          <cell r="W11">
            <v>189</v>
          </cell>
          <cell r="X11">
            <v>352</v>
          </cell>
          <cell r="Y11">
            <v>541</v>
          </cell>
          <cell r="Z11">
            <v>1089</v>
          </cell>
          <cell r="AA11">
            <v>1034</v>
          </cell>
          <cell r="AB11">
            <v>2123</v>
          </cell>
          <cell r="AC11">
            <v>234990</v>
          </cell>
          <cell r="AD11">
            <v>307253</v>
          </cell>
          <cell r="AE11">
            <v>542243</v>
          </cell>
          <cell r="AF11">
            <v>606</v>
          </cell>
        </row>
        <row r="12">
          <cell r="B12" t="str">
            <v>Delhi</v>
          </cell>
          <cell r="C12">
            <v>188</v>
          </cell>
          <cell r="D12">
            <v>171</v>
          </cell>
          <cell r="E12">
            <v>47</v>
          </cell>
          <cell r="F12">
            <v>44</v>
          </cell>
          <cell r="G12">
            <v>91</v>
          </cell>
          <cell r="K12">
            <v>5940</v>
          </cell>
          <cell r="L12">
            <v>8209</v>
          </cell>
          <cell r="M12">
            <v>14149</v>
          </cell>
          <cell r="N12">
            <v>133080</v>
          </cell>
          <cell r="O12">
            <v>143661</v>
          </cell>
          <cell r="P12">
            <v>276741</v>
          </cell>
          <cell r="Q12">
            <v>433</v>
          </cell>
          <cell r="R12">
            <v>2970</v>
          </cell>
          <cell r="S12">
            <v>782</v>
          </cell>
          <cell r="T12">
            <v>1445</v>
          </cell>
          <cell r="U12">
            <v>2970</v>
          </cell>
          <cell r="V12">
            <v>4415</v>
          </cell>
          <cell r="W12">
            <v>157</v>
          </cell>
          <cell r="X12">
            <v>456</v>
          </cell>
          <cell r="Y12">
            <v>613</v>
          </cell>
          <cell r="Z12">
            <v>1659</v>
          </cell>
          <cell r="AA12">
            <v>1147</v>
          </cell>
          <cell r="AB12">
            <v>2806</v>
          </cell>
          <cell r="AC12">
            <v>142761</v>
          </cell>
          <cell r="AD12">
            <v>156836</v>
          </cell>
          <cell r="AE12">
            <v>299597</v>
          </cell>
          <cell r="AF12">
            <v>1752</v>
          </cell>
        </row>
        <row r="13">
          <cell r="B13" t="str">
            <v>Goa</v>
          </cell>
          <cell r="C13">
            <v>62</v>
          </cell>
          <cell r="D13">
            <v>62</v>
          </cell>
          <cell r="E13">
            <v>69</v>
          </cell>
          <cell r="F13">
            <v>101</v>
          </cell>
          <cell r="G13">
            <v>170</v>
          </cell>
          <cell r="H13">
            <v>10</v>
          </cell>
          <cell r="J13">
            <v>10</v>
          </cell>
          <cell r="K13">
            <v>940</v>
          </cell>
          <cell r="L13">
            <v>1883</v>
          </cell>
          <cell r="M13">
            <v>2823</v>
          </cell>
          <cell r="N13">
            <v>16893</v>
          </cell>
          <cell r="O13">
            <v>20681</v>
          </cell>
          <cell r="P13">
            <v>37574</v>
          </cell>
          <cell r="Q13">
            <v>48</v>
          </cell>
          <cell r="R13">
            <v>146</v>
          </cell>
          <cell r="S13">
            <v>104</v>
          </cell>
          <cell r="T13">
            <v>33</v>
          </cell>
          <cell r="U13">
            <v>146</v>
          </cell>
          <cell r="V13">
            <v>179</v>
          </cell>
          <cell r="W13">
            <v>12</v>
          </cell>
          <cell r="Y13">
            <v>12</v>
          </cell>
          <cell r="Z13">
            <v>319</v>
          </cell>
          <cell r="AA13">
            <v>944</v>
          </cell>
          <cell r="AB13">
            <v>1263</v>
          </cell>
          <cell r="AC13">
            <v>18324</v>
          </cell>
          <cell r="AD13">
            <v>23811</v>
          </cell>
          <cell r="AE13">
            <v>42135</v>
          </cell>
          <cell r="AF13">
            <v>680</v>
          </cell>
        </row>
        <row r="14">
          <cell r="B14" t="str">
            <v>Gujarat</v>
          </cell>
          <cell r="C14">
            <v>2395</v>
          </cell>
          <cell r="D14">
            <v>2374</v>
          </cell>
          <cell r="E14">
            <v>350</v>
          </cell>
          <cell r="F14">
            <v>205</v>
          </cell>
          <cell r="G14">
            <v>555</v>
          </cell>
          <cell r="K14">
            <v>46651</v>
          </cell>
          <cell r="L14">
            <v>61421</v>
          </cell>
          <cell r="M14">
            <v>108072</v>
          </cell>
          <cell r="N14">
            <v>574363</v>
          </cell>
          <cell r="O14">
            <v>469587</v>
          </cell>
          <cell r="P14">
            <v>1043950</v>
          </cell>
          <cell r="Q14">
            <v>1055</v>
          </cell>
          <cell r="R14">
            <v>28933</v>
          </cell>
          <cell r="S14">
            <v>2428</v>
          </cell>
          <cell r="T14">
            <v>83329</v>
          </cell>
          <cell r="U14">
            <v>28933</v>
          </cell>
          <cell r="V14">
            <v>112262</v>
          </cell>
          <cell r="W14">
            <v>2079</v>
          </cell>
          <cell r="X14">
            <v>1262</v>
          </cell>
          <cell r="Y14">
            <v>3341</v>
          </cell>
          <cell r="Z14">
            <v>2206</v>
          </cell>
          <cell r="AA14">
            <v>1707</v>
          </cell>
          <cell r="AB14">
            <v>3913</v>
          </cell>
          <cell r="AC14">
            <v>710033</v>
          </cell>
          <cell r="AD14">
            <v>564488</v>
          </cell>
          <cell r="AE14">
            <v>1274521</v>
          </cell>
          <cell r="AF14">
            <v>537</v>
          </cell>
        </row>
        <row r="15">
          <cell r="B15" t="str">
            <v>Haryana</v>
          </cell>
          <cell r="C15">
            <v>1090</v>
          </cell>
          <cell r="D15">
            <v>1089</v>
          </cell>
          <cell r="E15">
            <v>129</v>
          </cell>
          <cell r="F15">
            <v>115</v>
          </cell>
          <cell r="G15">
            <v>244</v>
          </cell>
          <cell r="H15">
            <v>4</v>
          </cell>
          <cell r="I15">
            <v>2</v>
          </cell>
          <cell r="J15">
            <v>6</v>
          </cell>
          <cell r="K15">
            <v>19194</v>
          </cell>
          <cell r="L15">
            <v>41249</v>
          </cell>
          <cell r="M15">
            <v>60443</v>
          </cell>
          <cell r="N15">
            <v>259503</v>
          </cell>
          <cell r="O15">
            <v>314478</v>
          </cell>
          <cell r="P15">
            <v>573981</v>
          </cell>
          <cell r="Q15">
            <v>414</v>
          </cell>
          <cell r="R15">
            <v>12592</v>
          </cell>
          <cell r="S15">
            <v>1165</v>
          </cell>
          <cell r="T15">
            <v>13453</v>
          </cell>
          <cell r="U15">
            <v>12592</v>
          </cell>
          <cell r="V15">
            <v>26045</v>
          </cell>
          <cell r="W15">
            <v>122</v>
          </cell>
          <cell r="X15">
            <v>395</v>
          </cell>
          <cell r="Y15">
            <v>517</v>
          </cell>
          <cell r="Z15">
            <v>3550</v>
          </cell>
          <cell r="AA15">
            <v>2723</v>
          </cell>
          <cell r="AB15">
            <v>6273</v>
          </cell>
          <cell r="AC15">
            <v>296369</v>
          </cell>
          <cell r="AD15">
            <v>372305</v>
          </cell>
          <cell r="AE15">
            <v>668674</v>
          </cell>
          <cell r="AF15">
            <v>614</v>
          </cell>
        </row>
        <row r="16">
          <cell r="B16" t="str">
            <v>Himachal Pradesh</v>
          </cell>
          <cell r="C16">
            <v>349</v>
          </cell>
          <cell r="D16">
            <v>348</v>
          </cell>
          <cell r="E16">
            <v>3</v>
          </cell>
          <cell r="F16">
            <v>3</v>
          </cell>
          <cell r="G16">
            <v>6</v>
          </cell>
          <cell r="K16">
            <v>2623</v>
          </cell>
          <cell r="L16">
            <v>6498</v>
          </cell>
          <cell r="M16">
            <v>9121</v>
          </cell>
          <cell r="N16">
            <v>76614</v>
          </cell>
          <cell r="O16">
            <v>109947</v>
          </cell>
          <cell r="P16">
            <v>186561</v>
          </cell>
          <cell r="Q16">
            <v>254</v>
          </cell>
          <cell r="R16">
            <v>2515</v>
          </cell>
          <cell r="S16">
            <v>678</v>
          </cell>
          <cell r="T16">
            <v>1447</v>
          </cell>
          <cell r="U16">
            <v>2515</v>
          </cell>
          <cell r="V16">
            <v>3962</v>
          </cell>
          <cell r="W16">
            <v>70</v>
          </cell>
          <cell r="X16">
            <v>49</v>
          </cell>
          <cell r="Y16">
            <v>119</v>
          </cell>
          <cell r="Z16">
            <v>77</v>
          </cell>
          <cell r="AA16">
            <v>133</v>
          </cell>
          <cell r="AB16">
            <v>210</v>
          </cell>
          <cell r="AC16">
            <v>81088</v>
          </cell>
          <cell r="AD16">
            <v>119569</v>
          </cell>
          <cell r="AE16">
            <v>200657</v>
          </cell>
          <cell r="AF16">
            <v>577</v>
          </cell>
        </row>
        <row r="17">
          <cell r="B17" t="str">
            <v>Jammu and Kashmir</v>
          </cell>
          <cell r="C17">
            <v>341</v>
          </cell>
          <cell r="D17">
            <v>337</v>
          </cell>
          <cell r="E17">
            <v>117</v>
          </cell>
          <cell r="F17">
            <v>129</v>
          </cell>
          <cell r="G17">
            <v>246</v>
          </cell>
          <cell r="K17">
            <v>2073</v>
          </cell>
          <cell r="L17">
            <v>2678</v>
          </cell>
          <cell r="M17">
            <v>4751</v>
          </cell>
          <cell r="N17">
            <v>94363</v>
          </cell>
          <cell r="O17">
            <v>108720</v>
          </cell>
          <cell r="P17">
            <v>203083</v>
          </cell>
          <cell r="Q17">
            <v>163</v>
          </cell>
          <cell r="R17">
            <v>458</v>
          </cell>
          <cell r="S17">
            <v>252</v>
          </cell>
          <cell r="T17">
            <v>232</v>
          </cell>
          <cell r="U17">
            <v>458</v>
          </cell>
          <cell r="V17">
            <v>690</v>
          </cell>
          <cell r="Z17">
            <v>1923</v>
          </cell>
          <cell r="AA17">
            <v>2268</v>
          </cell>
          <cell r="AB17">
            <v>4191</v>
          </cell>
          <cell r="AC17">
            <v>98871</v>
          </cell>
          <cell r="AD17">
            <v>114342</v>
          </cell>
          <cell r="AE17">
            <v>213213</v>
          </cell>
          <cell r="AF17">
            <v>633</v>
          </cell>
        </row>
        <row r="18">
          <cell r="B18" t="str">
            <v>Jharkhand</v>
          </cell>
          <cell r="C18">
            <v>366</v>
          </cell>
          <cell r="D18">
            <v>365</v>
          </cell>
          <cell r="E18">
            <v>11</v>
          </cell>
          <cell r="F18">
            <v>8</v>
          </cell>
          <cell r="G18">
            <v>19</v>
          </cell>
          <cell r="H18">
            <v>14</v>
          </cell>
          <cell r="I18">
            <v>66</v>
          </cell>
          <cell r="J18">
            <v>80</v>
          </cell>
          <cell r="K18">
            <v>17465</v>
          </cell>
          <cell r="L18">
            <v>28631</v>
          </cell>
          <cell r="M18">
            <v>46096</v>
          </cell>
          <cell r="N18">
            <v>300222</v>
          </cell>
          <cell r="O18">
            <v>311739</v>
          </cell>
          <cell r="P18">
            <v>611961</v>
          </cell>
          <cell r="Q18">
            <v>59</v>
          </cell>
          <cell r="R18">
            <v>5147</v>
          </cell>
          <cell r="S18">
            <v>100</v>
          </cell>
          <cell r="T18">
            <v>9634</v>
          </cell>
          <cell r="U18">
            <v>5147</v>
          </cell>
          <cell r="V18">
            <v>14781</v>
          </cell>
          <cell r="W18">
            <v>297</v>
          </cell>
          <cell r="X18">
            <v>285</v>
          </cell>
          <cell r="Y18">
            <v>582</v>
          </cell>
          <cell r="Z18">
            <v>534</v>
          </cell>
          <cell r="AA18">
            <v>210</v>
          </cell>
          <cell r="AB18">
            <v>744</v>
          </cell>
          <cell r="AC18">
            <v>328236</v>
          </cell>
          <cell r="AD18">
            <v>346127</v>
          </cell>
          <cell r="AE18">
            <v>674363</v>
          </cell>
          <cell r="AF18">
            <v>1848</v>
          </cell>
        </row>
        <row r="19">
          <cell r="B19" t="str">
            <v>Karnataka</v>
          </cell>
          <cell r="C19">
            <v>4430</v>
          </cell>
          <cell r="D19">
            <v>4283</v>
          </cell>
          <cell r="E19">
            <v>721</v>
          </cell>
          <cell r="F19">
            <v>670</v>
          </cell>
          <cell r="G19">
            <v>1391</v>
          </cell>
          <cell r="H19">
            <v>2</v>
          </cell>
          <cell r="I19">
            <v>8</v>
          </cell>
          <cell r="J19">
            <v>10</v>
          </cell>
          <cell r="K19">
            <v>51605</v>
          </cell>
          <cell r="L19">
            <v>69941</v>
          </cell>
          <cell r="M19">
            <v>121546</v>
          </cell>
          <cell r="N19">
            <v>818591</v>
          </cell>
          <cell r="O19">
            <v>800444</v>
          </cell>
          <cell r="P19">
            <v>1619035</v>
          </cell>
          <cell r="Q19">
            <v>596</v>
          </cell>
          <cell r="R19">
            <v>8123</v>
          </cell>
          <cell r="S19">
            <v>1148</v>
          </cell>
          <cell r="T19">
            <v>8103</v>
          </cell>
          <cell r="U19">
            <v>8123</v>
          </cell>
          <cell r="V19">
            <v>16226</v>
          </cell>
          <cell r="W19">
            <v>1040</v>
          </cell>
          <cell r="X19">
            <v>468</v>
          </cell>
          <cell r="Y19">
            <v>1508</v>
          </cell>
          <cell r="Z19">
            <v>4133</v>
          </cell>
          <cell r="AA19">
            <v>4086</v>
          </cell>
          <cell r="AB19">
            <v>8219</v>
          </cell>
          <cell r="AC19">
            <v>884791</v>
          </cell>
          <cell r="AD19">
            <v>884292</v>
          </cell>
          <cell r="AE19">
            <v>1769083</v>
          </cell>
          <cell r="AF19">
            <v>413</v>
          </cell>
        </row>
        <row r="20">
          <cell r="B20" t="str">
            <v>Kerala</v>
          </cell>
          <cell r="C20">
            <v>1463</v>
          </cell>
          <cell r="D20">
            <v>1332</v>
          </cell>
          <cell r="E20">
            <v>1042</v>
          </cell>
          <cell r="F20">
            <v>2791</v>
          </cell>
          <cell r="G20">
            <v>3833</v>
          </cell>
          <cell r="I20">
            <v>6</v>
          </cell>
          <cell r="J20">
            <v>6</v>
          </cell>
          <cell r="K20">
            <v>19160</v>
          </cell>
          <cell r="L20">
            <v>66329</v>
          </cell>
          <cell r="M20">
            <v>85489</v>
          </cell>
          <cell r="N20">
            <v>280805</v>
          </cell>
          <cell r="O20">
            <v>401353</v>
          </cell>
          <cell r="P20">
            <v>682158</v>
          </cell>
          <cell r="Q20">
            <v>91</v>
          </cell>
          <cell r="R20">
            <v>4376</v>
          </cell>
          <cell r="S20">
            <v>256</v>
          </cell>
          <cell r="T20">
            <v>4424</v>
          </cell>
          <cell r="U20">
            <v>4376</v>
          </cell>
          <cell r="V20">
            <v>8800</v>
          </cell>
          <cell r="W20">
            <v>36</v>
          </cell>
          <cell r="X20">
            <v>293</v>
          </cell>
          <cell r="Y20">
            <v>329</v>
          </cell>
          <cell r="Z20">
            <v>4100</v>
          </cell>
          <cell r="AA20">
            <v>5689</v>
          </cell>
          <cell r="AB20">
            <v>9789</v>
          </cell>
          <cell r="AC20">
            <v>309658</v>
          </cell>
          <cell r="AD20">
            <v>481002</v>
          </cell>
          <cell r="AE20">
            <v>790660</v>
          </cell>
          <cell r="AF20">
            <v>594</v>
          </cell>
        </row>
        <row r="21">
          <cell r="B21" t="str">
            <v>Ladakh</v>
          </cell>
          <cell r="C21">
            <v>6</v>
          </cell>
          <cell r="D21">
            <v>6</v>
          </cell>
          <cell r="N21">
            <v>1102</v>
          </cell>
          <cell r="O21">
            <v>1979</v>
          </cell>
          <cell r="P21">
            <v>3081</v>
          </cell>
          <cell r="AC21">
            <v>1102</v>
          </cell>
          <cell r="AD21">
            <v>1979</v>
          </cell>
          <cell r="AE21">
            <v>3081</v>
          </cell>
          <cell r="AF21">
            <v>514</v>
          </cell>
        </row>
        <row r="22">
          <cell r="B22" t="str">
            <v>Lakshadweep</v>
          </cell>
        </row>
        <row r="23">
          <cell r="B23" t="str">
            <v>Madhya Pradesh</v>
          </cell>
          <cell r="C23">
            <v>2742</v>
          </cell>
          <cell r="D23">
            <v>2464</v>
          </cell>
          <cell r="E23">
            <v>455</v>
          </cell>
          <cell r="F23">
            <v>592</v>
          </cell>
          <cell r="G23">
            <v>1047</v>
          </cell>
          <cell r="K23">
            <v>126073</v>
          </cell>
          <cell r="L23">
            <v>177866</v>
          </cell>
          <cell r="M23">
            <v>303939</v>
          </cell>
          <cell r="N23">
            <v>812717</v>
          </cell>
          <cell r="O23">
            <v>772097</v>
          </cell>
          <cell r="P23">
            <v>1584814</v>
          </cell>
          <cell r="Q23">
            <v>4455</v>
          </cell>
          <cell r="R23">
            <v>24913</v>
          </cell>
          <cell r="S23">
            <v>8811</v>
          </cell>
          <cell r="T23">
            <v>44069</v>
          </cell>
          <cell r="U23">
            <v>24913</v>
          </cell>
          <cell r="V23">
            <v>68982</v>
          </cell>
          <cell r="W23">
            <v>944</v>
          </cell>
          <cell r="X23">
            <v>481</v>
          </cell>
          <cell r="Y23">
            <v>1425</v>
          </cell>
          <cell r="Z23">
            <v>10934</v>
          </cell>
          <cell r="AA23">
            <v>10340</v>
          </cell>
          <cell r="AB23">
            <v>21274</v>
          </cell>
          <cell r="AC23">
            <v>999647</v>
          </cell>
          <cell r="AD23">
            <v>990645</v>
          </cell>
          <cell r="AE23">
            <v>1990292</v>
          </cell>
          <cell r="AF23">
            <v>808</v>
          </cell>
        </row>
        <row r="24">
          <cell r="B24" t="str">
            <v>Maharashtra</v>
          </cell>
          <cell r="C24">
            <v>4692</v>
          </cell>
          <cell r="D24">
            <v>4685</v>
          </cell>
          <cell r="E24">
            <v>3543</v>
          </cell>
          <cell r="F24">
            <v>2934</v>
          </cell>
          <cell r="G24">
            <v>6477</v>
          </cell>
          <cell r="H24">
            <v>56</v>
          </cell>
          <cell r="I24">
            <v>24</v>
          </cell>
          <cell r="J24">
            <v>80</v>
          </cell>
          <cell r="K24">
            <v>150060</v>
          </cell>
          <cell r="L24">
            <v>183501</v>
          </cell>
          <cell r="M24">
            <v>333561</v>
          </cell>
          <cell r="N24">
            <v>1536337</v>
          </cell>
          <cell r="O24">
            <v>1272047</v>
          </cell>
          <cell r="P24">
            <v>2808384</v>
          </cell>
          <cell r="Q24">
            <v>2219</v>
          </cell>
          <cell r="R24">
            <v>14593</v>
          </cell>
          <cell r="S24">
            <v>4671</v>
          </cell>
          <cell r="T24">
            <v>23288</v>
          </cell>
          <cell r="U24">
            <v>14593</v>
          </cell>
          <cell r="V24">
            <v>37881</v>
          </cell>
          <cell r="W24">
            <v>1092</v>
          </cell>
          <cell r="X24">
            <v>1160</v>
          </cell>
          <cell r="Y24">
            <v>2252</v>
          </cell>
          <cell r="Z24">
            <v>6852</v>
          </cell>
          <cell r="AA24">
            <v>6761</v>
          </cell>
          <cell r="AB24">
            <v>13613</v>
          </cell>
          <cell r="AC24">
            <v>1723447</v>
          </cell>
          <cell r="AD24">
            <v>1483472</v>
          </cell>
          <cell r="AE24">
            <v>3206919</v>
          </cell>
          <cell r="AF24">
            <v>685</v>
          </cell>
        </row>
        <row r="25">
          <cell r="B25" t="str">
            <v>Manipur</v>
          </cell>
          <cell r="C25">
            <v>108</v>
          </cell>
          <cell r="D25">
            <v>103</v>
          </cell>
          <cell r="E25">
            <v>13</v>
          </cell>
          <cell r="F25">
            <v>4</v>
          </cell>
          <cell r="G25">
            <v>17</v>
          </cell>
          <cell r="I25">
            <v>6</v>
          </cell>
          <cell r="J25">
            <v>6</v>
          </cell>
          <cell r="K25">
            <v>514</v>
          </cell>
          <cell r="L25">
            <v>939</v>
          </cell>
          <cell r="M25">
            <v>1453</v>
          </cell>
          <cell r="N25">
            <v>52012</v>
          </cell>
          <cell r="O25">
            <v>49610</v>
          </cell>
          <cell r="P25">
            <v>101622</v>
          </cell>
          <cell r="Q25">
            <v>48</v>
          </cell>
          <cell r="R25">
            <v>478</v>
          </cell>
          <cell r="S25">
            <v>170</v>
          </cell>
          <cell r="T25">
            <v>532</v>
          </cell>
          <cell r="U25">
            <v>478</v>
          </cell>
          <cell r="V25">
            <v>1010</v>
          </cell>
          <cell r="W25">
            <v>18</v>
          </cell>
          <cell r="X25">
            <v>12</v>
          </cell>
          <cell r="Y25">
            <v>30</v>
          </cell>
          <cell r="AC25">
            <v>53137</v>
          </cell>
          <cell r="AD25">
            <v>51171</v>
          </cell>
          <cell r="AE25">
            <v>104308</v>
          </cell>
          <cell r="AF25">
            <v>1013</v>
          </cell>
        </row>
        <row r="26">
          <cell r="B26" t="str">
            <v>Meghalaya</v>
          </cell>
          <cell r="C26">
            <v>77</v>
          </cell>
          <cell r="D26">
            <v>69</v>
          </cell>
          <cell r="E26">
            <v>28</v>
          </cell>
          <cell r="F26">
            <v>27</v>
          </cell>
          <cell r="G26">
            <v>55</v>
          </cell>
          <cell r="K26">
            <v>220</v>
          </cell>
          <cell r="L26">
            <v>413</v>
          </cell>
          <cell r="M26">
            <v>633</v>
          </cell>
          <cell r="N26">
            <v>28061</v>
          </cell>
          <cell r="O26">
            <v>33666</v>
          </cell>
          <cell r="P26">
            <v>61727</v>
          </cell>
          <cell r="Q26">
            <v>10</v>
          </cell>
          <cell r="S26">
            <v>19</v>
          </cell>
          <cell r="W26">
            <v>30</v>
          </cell>
          <cell r="X26">
            <v>52</v>
          </cell>
          <cell r="Y26">
            <v>82</v>
          </cell>
          <cell r="Z26">
            <v>70</v>
          </cell>
          <cell r="AA26">
            <v>104</v>
          </cell>
          <cell r="AB26">
            <v>174</v>
          </cell>
          <cell r="AC26">
            <v>28419</v>
          </cell>
          <cell r="AD26">
            <v>34271</v>
          </cell>
          <cell r="AE26">
            <v>62690</v>
          </cell>
          <cell r="AF26">
            <v>909</v>
          </cell>
        </row>
        <row r="27">
          <cell r="B27" t="str">
            <v>Mizoram</v>
          </cell>
          <cell r="C27">
            <v>40</v>
          </cell>
          <cell r="D27">
            <v>40</v>
          </cell>
          <cell r="E27">
            <v>10</v>
          </cell>
          <cell r="F27">
            <v>14</v>
          </cell>
          <cell r="G27">
            <v>24</v>
          </cell>
          <cell r="K27">
            <v>251</v>
          </cell>
          <cell r="L27">
            <v>208</v>
          </cell>
          <cell r="M27">
            <v>459</v>
          </cell>
          <cell r="N27">
            <v>13250</v>
          </cell>
          <cell r="O27">
            <v>12923</v>
          </cell>
          <cell r="P27">
            <v>26173</v>
          </cell>
          <cell r="R27">
            <v>7</v>
          </cell>
          <cell r="T27">
            <v>85</v>
          </cell>
          <cell r="U27">
            <v>7</v>
          </cell>
          <cell r="V27">
            <v>92</v>
          </cell>
          <cell r="AC27">
            <v>13596</v>
          </cell>
          <cell r="AD27">
            <v>13152</v>
          </cell>
          <cell r="AE27">
            <v>26748</v>
          </cell>
          <cell r="AF27">
            <v>669</v>
          </cell>
        </row>
        <row r="28">
          <cell r="B28" t="str">
            <v>Nagaland</v>
          </cell>
          <cell r="C28">
            <v>69</v>
          </cell>
          <cell r="D28">
            <v>68</v>
          </cell>
          <cell r="E28">
            <v>9</v>
          </cell>
          <cell r="F28">
            <v>8</v>
          </cell>
          <cell r="G28">
            <v>17</v>
          </cell>
          <cell r="K28">
            <v>516</v>
          </cell>
          <cell r="L28">
            <v>822</v>
          </cell>
          <cell r="M28">
            <v>1338</v>
          </cell>
          <cell r="N28">
            <v>15721</v>
          </cell>
          <cell r="O28">
            <v>18331</v>
          </cell>
          <cell r="P28">
            <v>34052</v>
          </cell>
          <cell r="R28">
            <v>179</v>
          </cell>
          <cell r="T28">
            <v>86</v>
          </cell>
          <cell r="U28">
            <v>179</v>
          </cell>
          <cell r="V28">
            <v>265</v>
          </cell>
          <cell r="W28">
            <v>305</v>
          </cell>
          <cell r="X28">
            <v>274</v>
          </cell>
          <cell r="Y28">
            <v>579</v>
          </cell>
          <cell r="AC28">
            <v>16637</v>
          </cell>
          <cell r="AD28">
            <v>19614</v>
          </cell>
          <cell r="AE28">
            <v>36251</v>
          </cell>
          <cell r="AF28">
            <v>533</v>
          </cell>
        </row>
        <row r="29">
          <cell r="B29" t="str">
            <v>Odisha</v>
          </cell>
          <cell r="C29">
            <v>1300</v>
          </cell>
          <cell r="D29">
            <v>1289</v>
          </cell>
          <cell r="E29">
            <v>29</v>
          </cell>
          <cell r="F29">
            <v>14</v>
          </cell>
          <cell r="G29">
            <v>43</v>
          </cell>
          <cell r="H29">
            <v>15</v>
          </cell>
          <cell r="I29">
            <v>36</v>
          </cell>
          <cell r="J29">
            <v>51</v>
          </cell>
          <cell r="K29">
            <v>26663</v>
          </cell>
          <cell r="L29">
            <v>22017</v>
          </cell>
          <cell r="M29">
            <v>48680</v>
          </cell>
          <cell r="N29">
            <v>342986</v>
          </cell>
          <cell r="O29">
            <v>332274</v>
          </cell>
          <cell r="P29">
            <v>675260</v>
          </cell>
          <cell r="Q29">
            <v>434</v>
          </cell>
          <cell r="R29">
            <v>3183</v>
          </cell>
          <cell r="S29">
            <v>774</v>
          </cell>
          <cell r="T29">
            <v>9334</v>
          </cell>
          <cell r="U29">
            <v>3183</v>
          </cell>
          <cell r="V29">
            <v>12517</v>
          </cell>
          <cell r="W29">
            <v>423</v>
          </cell>
          <cell r="X29">
            <v>431</v>
          </cell>
          <cell r="Y29">
            <v>854</v>
          </cell>
          <cell r="Z29">
            <v>2168</v>
          </cell>
          <cell r="AA29">
            <v>2384</v>
          </cell>
          <cell r="AB29">
            <v>4552</v>
          </cell>
          <cell r="AC29">
            <v>382052</v>
          </cell>
          <cell r="AD29">
            <v>360679</v>
          </cell>
          <cell r="AE29">
            <v>742731</v>
          </cell>
          <cell r="AF29">
            <v>576</v>
          </cell>
        </row>
        <row r="30">
          <cell r="B30" t="str">
            <v>Puducherry</v>
          </cell>
          <cell r="C30">
            <v>82</v>
          </cell>
          <cell r="D30">
            <v>68</v>
          </cell>
          <cell r="E30">
            <v>47</v>
          </cell>
          <cell r="F30">
            <v>50</v>
          </cell>
          <cell r="G30">
            <v>97</v>
          </cell>
          <cell r="K30">
            <v>1959</v>
          </cell>
          <cell r="L30">
            <v>3033</v>
          </cell>
          <cell r="M30">
            <v>4992</v>
          </cell>
          <cell r="N30">
            <v>20844</v>
          </cell>
          <cell r="O30">
            <v>24416</v>
          </cell>
          <cell r="P30">
            <v>45260</v>
          </cell>
          <cell r="Q30">
            <v>21</v>
          </cell>
          <cell r="R30">
            <v>516</v>
          </cell>
          <cell r="S30">
            <v>36</v>
          </cell>
          <cell r="T30">
            <v>151</v>
          </cell>
          <cell r="U30">
            <v>516</v>
          </cell>
          <cell r="V30">
            <v>667</v>
          </cell>
          <cell r="W30">
            <v>7</v>
          </cell>
          <cell r="X30">
            <v>3</v>
          </cell>
          <cell r="Y30">
            <v>10</v>
          </cell>
          <cell r="Z30">
            <v>76</v>
          </cell>
          <cell r="AA30">
            <v>512</v>
          </cell>
          <cell r="AB30">
            <v>588</v>
          </cell>
          <cell r="AC30">
            <v>23105</v>
          </cell>
          <cell r="AD30">
            <v>28545</v>
          </cell>
          <cell r="AE30">
            <v>51650</v>
          </cell>
          <cell r="AF30">
            <v>760</v>
          </cell>
        </row>
        <row r="31">
          <cell r="B31" t="str">
            <v>Punjab</v>
          </cell>
          <cell r="C31">
            <v>1044</v>
          </cell>
          <cell r="D31">
            <v>1037</v>
          </cell>
          <cell r="E31">
            <v>4</v>
          </cell>
          <cell r="F31">
            <v>9</v>
          </cell>
          <cell r="G31">
            <v>13</v>
          </cell>
          <cell r="H31">
            <v>2</v>
          </cell>
          <cell r="I31">
            <v>23</v>
          </cell>
          <cell r="J31">
            <v>25</v>
          </cell>
          <cell r="K31">
            <v>14514</v>
          </cell>
          <cell r="L31">
            <v>29360</v>
          </cell>
          <cell r="M31">
            <v>43874</v>
          </cell>
          <cell r="N31">
            <v>204662</v>
          </cell>
          <cell r="O31">
            <v>224203</v>
          </cell>
          <cell r="P31">
            <v>428865</v>
          </cell>
          <cell r="Q31">
            <v>2039</v>
          </cell>
          <cell r="R31">
            <v>16114</v>
          </cell>
          <cell r="S31">
            <v>4531</v>
          </cell>
          <cell r="T31">
            <v>9509</v>
          </cell>
          <cell r="U31">
            <v>16114</v>
          </cell>
          <cell r="V31">
            <v>25623</v>
          </cell>
          <cell r="W31">
            <v>417</v>
          </cell>
          <cell r="X31">
            <v>655</v>
          </cell>
          <cell r="Y31">
            <v>1072</v>
          </cell>
          <cell r="Z31">
            <v>3572</v>
          </cell>
          <cell r="AA31">
            <v>5182</v>
          </cell>
          <cell r="AB31">
            <v>8754</v>
          </cell>
          <cell r="AC31">
            <v>234719</v>
          </cell>
          <cell r="AD31">
            <v>278038</v>
          </cell>
          <cell r="AE31">
            <v>512757</v>
          </cell>
          <cell r="AF31">
            <v>494</v>
          </cell>
        </row>
        <row r="32">
          <cell r="B32" t="str">
            <v>Rajasthan</v>
          </cell>
          <cell r="C32">
            <v>3934</v>
          </cell>
          <cell r="D32">
            <v>3521</v>
          </cell>
          <cell r="E32">
            <v>559</v>
          </cell>
          <cell r="F32">
            <v>407</v>
          </cell>
          <cell r="G32">
            <v>966</v>
          </cell>
          <cell r="K32">
            <v>47809</v>
          </cell>
          <cell r="L32">
            <v>87923</v>
          </cell>
          <cell r="M32">
            <v>135732</v>
          </cell>
          <cell r="N32">
            <v>775251</v>
          </cell>
          <cell r="O32">
            <v>757969</v>
          </cell>
          <cell r="P32">
            <v>1533220</v>
          </cell>
          <cell r="Q32">
            <v>1568</v>
          </cell>
          <cell r="R32">
            <v>9216</v>
          </cell>
          <cell r="S32">
            <v>3086</v>
          </cell>
          <cell r="T32">
            <v>19287</v>
          </cell>
          <cell r="U32">
            <v>9216</v>
          </cell>
          <cell r="V32">
            <v>28503</v>
          </cell>
          <cell r="W32">
            <v>1257</v>
          </cell>
          <cell r="X32">
            <v>1100</v>
          </cell>
          <cell r="Y32">
            <v>2357</v>
          </cell>
          <cell r="Z32">
            <v>51838</v>
          </cell>
          <cell r="AA32">
            <v>51060</v>
          </cell>
          <cell r="AB32">
            <v>102898</v>
          </cell>
          <cell r="AC32">
            <v>897569</v>
          </cell>
          <cell r="AD32">
            <v>909193</v>
          </cell>
          <cell r="AE32">
            <v>1806762</v>
          </cell>
          <cell r="AF32">
            <v>513</v>
          </cell>
        </row>
        <row r="33">
          <cell r="B33" t="str">
            <v>Sikkim</v>
          </cell>
          <cell r="C33">
            <v>24</v>
          </cell>
          <cell r="D33">
            <v>20</v>
          </cell>
          <cell r="E33">
            <v>9</v>
          </cell>
          <cell r="F33">
            <v>9</v>
          </cell>
          <cell r="G33">
            <v>18</v>
          </cell>
          <cell r="K33">
            <v>189</v>
          </cell>
          <cell r="L33">
            <v>223</v>
          </cell>
          <cell r="M33">
            <v>412</v>
          </cell>
          <cell r="N33">
            <v>5906</v>
          </cell>
          <cell r="O33">
            <v>7453</v>
          </cell>
          <cell r="P33">
            <v>13359</v>
          </cell>
          <cell r="R33">
            <v>31</v>
          </cell>
          <cell r="T33">
            <v>88</v>
          </cell>
          <cell r="U33">
            <v>31</v>
          </cell>
          <cell r="V33">
            <v>119</v>
          </cell>
          <cell r="W33">
            <v>45</v>
          </cell>
          <cell r="X33">
            <v>2</v>
          </cell>
          <cell r="Y33">
            <v>47</v>
          </cell>
          <cell r="Z33">
            <v>105</v>
          </cell>
          <cell r="AA33">
            <v>187</v>
          </cell>
          <cell r="AB33">
            <v>292</v>
          </cell>
          <cell r="AC33">
            <v>6342</v>
          </cell>
          <cell r="AD33">
            <v>7905</v>
          </cell>
          <cell r="AE33">
            <v>14247</v>
          </cell>
          <cell r="AF33">
            <v>712</v>
          </cell>
        </row>
        <row r="34">
          <cell r="B34" t="str">
            <v>Tamil Nadu</v>
          </cell>
          <cell r="C34">
            <v>2829</v>
          </cell>
          <cell r="D34">
            <v>2807</v>
          </cell>
          <cell r="E34">
            <v>3023</v>
          </cell>
          <cell r="F34">
            <v>5045</v>
          </cell>
          <cell r="G34">
            <v>8068</v>
          </cell>
          <cell r="H34">
            <v>804</v>
          </cell>
          <cell r="I34">
            <v>1752</v>
          </cell>
          <cell r="J34">
            <v>2556</v>
          </cell>
          <cell r="K34">
            <v>92826</v>
          </cell>
          <cell r="L34">
            <v>151538</v>
          </cell>
          <cell r="M34">
            <v>244364</v>
          </cell>
          <cell r="N34">
            <v>934768</v>
          </cell>
          <cell r="O34">
            <v>1044496</v>
          </cell>
          <cell r="P34">
            <v>1979264</v>
          </cell>
          <cell r="Q34">
            <v>919</v>
          </cell>
          <cell r="R34">
            <v>13180</v>
          </cell>
          <cell r="S34">
            <v>1978</v>
          </cell>
          <cell r="T34">
            <v>5846</v>
          </cell>
          <cell r="U34">
            <v>13180</v>
          </cell>
          <cell r="V34">
            <v>19026</v>
          </cell>
          <cell r="W34">
            <v>1168</v>
          </cell>
          <cell r="X34">
            <v>3280</v>
          </cell>
          <cell r="Y34">
            <v>4448</v>
          </cell>
          <cell r="Z34">
            <v>3546</v>
          </cell>
          <cell r="AA34">
            <v>4653</v>
          </cell>
          <cell r="AB34">
            <v>8199</v>
          </cell>
          <cell r="AC34">
            <v>1042900</v>
          </cell>
          <cell r="AD34">
            <v>1225003</v>
          </cell>
          <cell r="AE34">
            <v>2267903</v>
          </cell>
          <cell r="AF34">
            <v>808</v>
          </cell>
        </row>
        <row r="35">
          <cell r="B35" t="str">
            <v>Telangana</v>
          </cell>
          <cell r="C35">
            <v>2083</v>
          </cell>
          <cell r="D35">
            <v>1940</v>
          </cell>
          <cell r="E35">
            <v>15</v>
          </cell>
          <cell r="F35">
            <v>10</v>
          </cell>
          <cell r="G35">
            <v>25</v>
          </cell>
          <cell r="H35">
            <v>37</v>
          </cell>
          <cell r="I35">
            <v>34</v>
          </cell>
          <cell r="J35">
            <v>71</v>
          </cell>
          <cell r="K35">
            <v>51405</v>
          </cell>
          <cell r="L35">
            <v>71562</v>
          </cell>
          <cell r="M35">
            <v>122967</v>
          </cell>
          <cell r="N35">
            <v>524079</v>
          </cell>
          <cell r="O35">
            <v>524697</v>
          </cell>
          <cell r="P35">
            <v>1048776</v>
          </cell>
          <cell r="Q35">
            <v>294</v>
          </cell>
          <cell r="R35">
            <v>2924</v>
          </cell>
          <cell r="S35">
            <v>618</v>
          </cell>
          <cell r="T35">
            <v>6968</v>
          </cell>
          <cell r="U35">
            <v>2924</v>
          </cell>
          <cell r="V35">
            <v>9892</v>
          </cell>
          <cell r="W35">
            <v>47</v>
          </cell>
          <cell r="X35">
            <v>199</v>
          </cell>
          <cell r="Y35">
            <v>246</v>
          </cell>
          <cell r="Z35">
            <v>2136</v>
          </cell>
          <cell r="AA35">
            <v>1345</v>
          </cell>
          <cell r="AB35">
            <v>3481</v>
          </cell>
          <cell r="AC35">
            <v>584981</v>
          </cell>
          <cell r="AD35">
            <v>601095</v>
          </cell>
          <cell r="AE35">
            <v>1186076</v>
          </cell>
          <cell r="AF35">
            <v>611</v>
          </cell>
        </row>
        <row r="36">
          <cell r="B36" t="str">
            <v>D &amp; N Haveli and Daman &amp; Diu</v>
          </cell>
          <cell r="C36">
            <v>19</v>
          </cell>
          <cell r="D36">
            <v>19</v>
          </cell>
          <cell r="E36">
            <v>0</v>
          </cell>
          <cell r="F36">
            <v>0</v>
          </cell>
          <cell r="G36">
            <v>0</v>
          </cell>
          <cell r="K36">
            <v>254</v>
          </cell>
          <cell r="L36">
            <v>500</v>
          </cell>
          <cell r="M36">
            <v>754</v>
          </cell>
          <cell r="N36">
            <v>4412</v>
          </cell>
          <cell r="O36">
            <v>5068</v>
          </cell>
          <cell r="P36">
            <v>9480</v>
          </cell>
          <cell r="R36">
            <v>422</v>
          </cell>
          <cell r="T36">
            <v>1686</v>
          </cell>
          <cell r="U36">
            <v>422</v>
          </cell>
          <cell r="V36">
            <v>2108</v>
          </cell>
          <cell r="Z36">
            <v>36</v>
          </cell>
          <cell r="AA36">
            <v>54</v>
          </cell>
          <cell r="AB36">
            <v>90</v>
          </cell>
          <cell r="AC36">
            <v>6388</v>
          </cell>
          <cell r="AD36">
            <v>6044</v>
          </cell>
          <cell r="AE36">
            <v>12432</v>
          </cell>
          <cell r="AF36">
            <v>654</v>
          </cell>
        </row>
        <row r="37">
          <cell r="B37" t="str">
            <v>Tripura</v>
          </cell>
          <cell r="C37">
            <v>54</v>
          </cell>
          <cell r="D37">
            <v>54</v>
          </cell>
          <cell r="E37">
            <v>7</v>
          </cell>
          <cell r="F37">
            <v>4</v>
          </cell>
          <cell r="G37">
            <v>11</v>
          </cell>
          <cell r="K37">
            <v>298</v>
          </cell>
          <cell r="L37">
            <v>240</v>
          </cell>
          <cell r="M37">
            <v>538</v>
          </cell>
          <cell r="N37">
            <v>37139</v>
          </cell>
          <cell r="O37">
            <v>33950</v>
          </cell>
          <cell r="P37">
            <v>71089</v>
          </cell>
          <cell r="R37">
            <v>1312</v>
          </cell>
          <cell r="T37">
            <v>1674</v>
          </cell>
          <cell r="U37">
            <v>1312</v>
          </cell>
          <cell r="V37">
            <v>2986</v>
          </cell>
          <cell r="W37">
            <v>6</v>
          </cell>
          <cell r="X37">
            <v>10</v>
          </cell>
          <cell r="Y37">
            <v>16</v>
          </cell>
          <cell r="Z37">
            <v>129</v>
          </cell>
          <cell r="AA37">
            <v>132</v>
          </cell>
          <cell r="AB37">
            <v>261</v>
          </cell>
          <cell r="AC37">
            <v>39253</v>
          </cell>
          <cell r="AD37">
            <v>35648</v>
          </cell>
          <cell r="AE37">
            <v>74901</v>
          </cell>
          <cell r="AF37">
            <v>1387</v>
          </cell>
        </row>
        <row r="38">
          <cell r="B38" t="str">
            <v>Uttar Pradesh</v>
          </cell>
          <cell r="C38">
            <v>8375</v>
          </cell>
          <cell r="D38">
            <v>7182</v>
          </cell>
          <cell r="E38">
            <v>747</v>
          </cell>
          <cell r="F38">
            <v>521</v>
          </cell>
          <cell r="G38">
            <v>1268</v>
          </cell>
          <cell r="K38">
            <v>211277</v>
          </cell>
          <cell r="L38">
            <v>296639</v>
          </cell>
          <cell r="M38">
            <v>507916</v>
          </cell>
          <cell r="N38">
            <v>2470297</v>
          </cell>
          <cell r="O38">
            <v>2369740</v>
          </cell>
          <cell r="P38">
            <v>4840037</v>
          </cell>
          <cell r="Q38">
            <v>2774</v>
          </cell>
          <cell r="R38">
            <v>22748</v>
          </cell>
          <cell r="S38">
            <v>5011</v>
          </cell>
          <cell r="T38">
            <v>46420</v>
          </cell>
          <cell r="U38">
            <v>22748</v>
          </cell>
          <cell r="V38">
            <v>69168</v>
          </cell>
          <cell r="W38">
            <v>1271</v>
          </cell>
          <cell r="X38">
            <v>1342</v>
          </cell>
          <cell r="Y38">
            <v>2613</v>
          </cell>
          <cell r="Z38">
            <v>24192</v>
          </cell>
          <cell r="AA38">
            <v>13257</v>
          </cell>
          <cell r="AB38">
            <v>37449</v>
          </cell>
          <cell r="AC38">
            <v>2756978</v>
          </cell>
          <cell r="AD38">
            <v>2706484</v>
          </cell>
          <cell r="AE38">
            <v>5463462</v>
          </cell>
          <cell r="AF38">
            <v>761</v>
          </cell>
        </row>
        <row r="39">
          <cell r="B39" t="str">
            <v>Uttarakhand</v>
          </cell>
          <cell r="C39">
            <v>500</v>
          </cell>
          <cell r="D39">
            <v>402</v>
          </cell>
          <cell r="E39">
            <v>453</v>
          </cell>
          <cell r="F39">
            <v>495</v>
          </cell>
          <cell r="G39">
            <v>948</v>
          </cell>
          <cell r="K39">
            <v>12518</v>
          </cell>
          <cell r="L39">
            <v>20401</v>
          </cell>
          <cell r="M39">
            <v>32919</v>
          </cell>
          <cell r="N39">
            <v>99785</v>
          </cell>
          <cell r="O39">
            <v>119192</v>
          </cell>
          <cell r="P39">
            <v>218977</v>
          </cell>
          <cell r="Q39">
            <v>69</v>
          </cell>
          <cell r="R39">
            <v>2065</v>
          </cell>
          <cell r="S39">
            <v>198</v>
          </cell>
          <cell r="T39">
            <v>3466</v>
          </cell>
          <cell r="U39">
            <v>2065</v>
          </cell>
          <cell r="V39">
            <v>5531</v>
          </cell>
          <cell r="W39">
            <v>2</v>
          </cell>
          <cell r="X39">
            <v>1</v>
          </cell>
          <cell r="Y39">
            <v>3</v>
          </cell>
          <cell r="Z39">
            <v>747</v>
          </cell>
          <cell r="AA39">
            <v>349</v>
          </cell>
          <cell r="AB39">
            <v>1096</v>
          </cell>
          <cell r="AC39">
            <v>117040</v>
          </cell>
          <cell r="AD39">
            <v>142632</v>
          </cell>
          <cell r="AE39">
            <v>259672</v>
          </cell>
          <cell r="AF39">
            <v>646</v>
          </cell>
        </row>
        <row r="40">
          <cell r="B40" t="str">
            <v>West Bengal</v>
          </cell>
          <cell r="C40">
            <v>1514</v>
          </cell>
          <cell r="D40">
            <v>1510</v>
          </cell>
          <cell r="E40">
            <v>300</v>
          </cell>
          <cell r="F40">
            <v>101</v>
          </cell>
          <cell r="G40">
            <v>401</v>
          </cell>
          <cell r="H40">
            <v>41</v>
          </cell>
          <cell r="I40">
            <v>9</v>
          </cell>
          <cell r="J40">
            <v>50</v>
          </cell>
          <cell r="K40">
            <v>20611</v>
          </cell>
          <cell r="L40">
            <v>26925</v>
          </cell>
          <cell r="M40">
            <v>47536</v>
          </cell>
          <cell r="N40">
            <v>794424</v>
          </cell>
          <cell r="O40">
            <v>886245</v>
          </cell>
          <cell r="P40">
            <v>1680669</v>
          </cell>
          <cell r="Q40">
            <v>705</v>
          </cell>
          <cell r="R40">
            <v>26879</v>
          </cell>
          <cell r="S40">
            <v>1117</v>
          </cell>
          <cell r="T40">
            <v>27552</v>
          </cell>
          <cell r="U40">
            <v>26879</v>
          </cell>
          <cell r="V40">
            <v>54431</v>
          </cell>
          <cell r="W40">
            <v>1065</v>
          </cell>
          <cell r="X40">
            <v>966</v>
          </cell>
          <cell r="Y40">
            <v>2031</v>
          </cell>
          <cell r="Z40">
            <v>4391</v>
          </cell>
          <cell r="AA40">
            <v>4632</v>
          </cell>
          <cell r="AB40">
            <v>9023</v>
          </cell>
          <cell r="AC40">
            <v>849089</v>
          </cell>
          <cell r="AD40">
            <v>946169</v>
          </cell>
          <cell r="AE40">
            <v>1795258</v>
          </cell>
          <cell r="AF40">
            <v>1189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A3" t="str">
            <v>state</v>
          </cell>
          <cell r="B3" t="str">
            <v>Private Un-Aided</v>
          </cell>
          <cell r="C3" t="str">
            <v>Prvt_Unaided_enrol</v>
          </cell>
          <cell r="D3" t="str">
            <v>Private Aided</v>
          </cell>
          <cell r="E3" t="str">
            <v>Prvt_Aided_enrol</v>
          </cell>
          <cell r="F3" t="str">
            <v>Government</v>
          </cell>
          <cell r="G3" t="str">
            <v>Govt_enrol</v>
          </cell>
          <cell r="H3" t="str">
            <v>All</v>
          </cell>
          <cell r="I3" t="str">
            <v>All_enrol</v>
          </cell>
        </row>
        <row r="4">
          <cell r="A4" t="str">
            <v>Andhra Pradesh</v>
          </cell>
          <cell r="B4">
            <v>2</v>
          </cell>
          <cell r="C4">
            <v>102</v>
          </cell>
          <cell r="F4">
            <v>6</v>
          </cell>
          <cell r="G4">
            <v>365</v>
          </cell>
          <cell r="H4">
            <v>8</v>
          </cell>
          <cell r="I4">
            <v>467</v>
          </cell>
        </row>
        <row r="5">
          <cell r="A5" t="str">
            <v>Assam</v>
          </cell>
          <cell r="B5">
            <v>3</v>
          </cell>
          <cell r="C5">
            <v>128</v>
          </cell>
          <cell r="D5">
            <v>2</v>
          </cell>
          <cell r="E5">
            <v>60</v>
          </cell>
          <cell r="H5">
            <v>5</v>
          </cell>
          <cell r="I5">
            <v>188</v>
          </cell>
        </row>
        <row r="6">
          <cell r="A6" t="str">
            <v>Bihar</v>
          </cell>
          <cell r="B6">
            <v>13</v>
          </cell>
          <cell r="C6">
            <v>4242</v>
          </cell>
          <cell r="D6">
            <v>1</v>
          </cell>
          <cell r="E6">
            <v>0</v>
          </cell>
          <cell r="F6">
            <v>2</v>
          </cell>
          <cell r="G6">
            <v>156</v>
          </cell>
          <cell r="H6">
            <v>16</v>
          </cell>
          <cell r="I6">
            <v>4398</v>
          </cell>
        </row>
        <row r="7">
          <cell r="A7" t="str">
            <v>Chhattisgarh</v>
          </cell>
          <cell r="B7">
            <v>6</v>
          </cell>
          <cell r="C7">
            <v>135</v>
          </cell>
          <cell r="D7">
            <v>2</v>
          </cell>
          <cell r="E7">
            <v>267</v>
          </cell>
          <cell r="F7">
            <v>26</v>
          </cell>
          <cell r="G7">
            <v>2655</v>
          </cell>
          <cell r="H7">
            <v>34</v>
          </cell>
          <cell r="I7">
            <v>3057</v>
          </cell>
        </row>
        <row r="8">
          <cell r="A8" t="str">
            <v>Delhi</v>
          </cell>
          <cell r="F8">
            <v>1</v>
          </cell>
          <cell r="G8">
            <v>165</v>
          </cell>
          <cell r="H8">
            <v>1</v>
          </cell>
          <cell r="I8">
            <v>165</v>
          </cell>
        </row>
        <row r="9">
          <cell r="A9" t="str">
            <v>Gujarat</v>
          </cell>
          <cell r="B9">
            <v>147</v>
          </cell>
          <cell r="C9">
            <v>13457</v>
          </cell>
          <cell r="D9">
            <v>11</v>
          </cell>
          <cell r="E9">
            <v>1947</v>
          </cell>
          <cell r="F9">
            <v>4</v>
          </cell>
          <cell r="G9">
            <v>513</v>
          </cell>
          <cell r="H9">
            <v>162</v>
          </cell>
          <cell r="I9">
            <v>15917</v>
          </cell>
        </row>
        <row r="10">
          <cell r="A10" t="str">
            <v>Haryana</v>
          </cell>
          <cell r="B10">
            <v>6</v>
          </cell>
          <cell r="C10">
            <v>722</v>
          </cell>
          <cell r="D10">
            <v>1</v>
          </cell>
          <cell r="E10">
            <v>100</v>
          </cell>
          <cell r="F10">
            <v>3</v>
          </cell>
          <cell r="G10">
            <v>412</v>
          </cell>
          <cell r="H10">
            <v>10</v>
          </cell>
          <cell r="I10">
            <v>1234</v>
          </cell>
        </row>
        <row r="11">
          <cell r="A11" t="str">
            <v>Jammu and Kashmir</v>
          </cell>
          <cell r="B11">
            <v>1</v>
          </cell>
          <cell r="C11">
            <v>23</v>
          </cell>
          <cell r="H11">
            <v>1</v>
          </cell>
          <cell r="I11">
            <v>23</v>
          </cell>
        </row>
        <row r="12">
          <cell r="A12" t="str">
            <v>Jharkhand</v>
          </cell>
          <cell r="B12">
            <v>5</v>
          </cell>
          <cell r="C12">
            <v>1398</v>
          </cell>
          <cell r="D12">
            <v>1</v>
          </cell>
          <cell r="E12">
            <v>180</v>
          </cell>
          <cell r="H12">
            <v>6</v>
          </cell>
          <cell r="I12">
            <v>1578</v>
          </cell>
        </row>
        <row r="13">
          <cell r="A13" t="str">
            <v>Karnataka</v>
          </cell>
          <cell r="B13">
            <v>79</v>
          </cell>
          <cell r="C13">
            <v>2796</v>
          </cell>
          <cell r="D13">
            <v>1</v>
          </cell>
          <cell r="E13">
            <v>150</v>
          </cell>
          <cell r="F13">
            <v>16</v>
          </cell>
          <cell r="G13">
            <v>914</v>
          </cell>
          <cell r="H13">
            <v>96</v>
          </cell>
          <cell r="I13">
            <v>3860</v>
          </cell>
        </row>
        <row r="14">
          <cell r="A14" t="str">
            <v>Kerala</v>
          </cell>
          <cell r="B14">
            <v>2</v>
          </cell>
          <cell r="C14">
            <v>18</v>
          </cell>
          <cell r="H14">
            <v>2</v>
          </cell>
          <cell r="I14">
            <v>18</v>
          </cell>
        </row>
        <row r="15">
          <cell r="A15" t="str">
            <v>Madhya Pradesh</v>
          </cell>
          <cell r="B15">
            <v>40</v>
          </cell>
          <cell r="C15">
            <v>4996</v>
          </cell>
          <cell r="D15">
            <v>10</v>
          </cell>
          <cell r="E15">
            <v>1236</v>
          </cell>
          <cell r="F15">
            <v>11</v>
          </cell>
          <cell r="G15">
            <v>951</v>
          </cell>
          <cell r="H15">
            <v>61</v>
          </cell>
          <cell r="I15">
            <v>7183</v>
          </cell>
        </row>
        <row r="16">
          <cell r="A16" t="str">
            <v>Maharashtra</v>
          </cell>
          <cell r="B16">
            <v>138</v>
          </cell>
          <cell r="C16">
            <v>14028</v>
          </cell>
          <cell r="D16">
            <v>1</v>
          </cell>
          <cell r="E16">
            <v>0</v>
          </cell>
          <cell r="F16">
            <v>5</v>
          </cell>
          <cell r="G16">
            <v>747</v>
          </cell>
          <cell r="H16">
            <v>144</v>
          </cell>
          <cell r="I16">
            <v>14775</v>
          </cell>
        </row>
        <row r="17">
          <cell r="A17" t="str">
            <v>Meghalaya</v>
          </cell>
          <cell r="B17">
            <v>3</v>
          </cell>
          <cell r="C17">
            <v>107</v>
          </cell>
          <cell r="H17">
            <v>3</v>
          </cell>
          <cell r="I17">
            <v>107</v>
          </cell>
        </row>
        <row r="18">
          <cell r="A18" t="str">
            <v>Nagaland</v>
          </cell>
          <cell r="B18">
            <v>1</v>
          </cell>
          <cell r="C18">
            <v>45</v>
          </cell>
          <cell r="H18">
            <v>1</v>
          </cell>
          <cell r="I18">
            <v>45</v>
          </cell>
        </row>
        <row r="19">
          <cell r="A19" t="str">
            <v>Odisha</v>
          </cell>
          <cell r="B19">
            <v>11</v>
          </cell>
          <cell r="C19">
            <v>557</v>
          </cell>
          <cell r="D19">
            <v>3</v>
          </cell>
          <cell r="E19">
            <v>234</v>
          </cell>
          <cell r="F19">
            <v>4</v>
          </cell>
          <cell r="G19">
            <v>351</v>
          </cell>
          <cell r="H19">
            <v>18</v>
          </cell>
          <cell r="I19">
            <v>1142</v>
          </cell>
        </row>
        <row r="20">
          <cell r="A20" t="str">
            <v>Punjab</v>
          </cell>
          <cell r="B20">
            <v>14</v>
          </cell>
          <cell r="C20">
            <v>861</v>
          </cell>
          <cell r="D20">
            <v>2</v>
          </cell>
          <cell r="E20">
            <v>10</v>
          </cell>
          <cell r="F20">
            <v>14</v>
          </cell>
          <cell r="G20">
            <v>1281</v>
          </cell>
          <cell r="H20">
            <v>30</v>
          </cell>
          <cell r="I20">
            <v>2152</v>
          </cell>
        </row>
        <row r="21">
          <cell r="A21" t="str">
            <v>Rajasthan</v>
          </cell>
          <cell r="B21">
            <v>65</v>
          </cell>
          <cell r="C21">
            <v>3850</v>
          </cell>
          <cell r="D21">
            <v>7</v>
          </cell>
          <cell r="E21">
            <v>594</v>
          </cell>
          <cell r="F21">
            <v>65</v>
          </cell>
          <cell r="G21">
            <v>7646</v>
          </cell>
          <cell r="H21">
            <v>137</v>
          </cell>
          <cell r="I21">
            <v>12090</v>
          </cell>
        </row>
        <row r="22">
          <cell r="A22" t="str">
            <v>Tamil Nadu</v>
          </cell>
          <cell r="B22">
            <v>48</v>
          </cell>
          <cell r="C22">
            <v>2752</v>
          </cell>
          <cell r="D22">
            <v>1</v>
          </cell>
          <cell r="E22">
            <v>60</v>
          </cell>
          <cell r="F22">
            <v>23</v>
          </cell>
          <cell r="G22">
            <v>2591</v>
          </cell>
          <cell r="H22">
            <v>72</v>
          </cell>
          <cell r="I22">
            <v>5403</v>
          </cell>
        </row>
        <row r="23">
          <cell r="A23" t="str">
            <v>Telangana</v>
          </cell>
          <cell r="B23">
            <v>5</v>
          </cell>
          <cell r="C23">
            <v>887</v>
          </cell>
          <cell r="F23">
            <v>4</v>
          </cell>
          <cell r="G23">
            <v>461</v>
          </cell>
          <cell r="H23">
            <v>9</v>
          </cell>
          <cell r="I23">
            <v>1348</v>
          </cell>
        </row>
        <row r="24">
          <cell r="A24" t="str">
            <v>Uttar Pradesh</v>
          </cell>
          <cell r="B24">
            <v>45</v>
          </cell>
          <cell r="C24">
            <v>7118</v>
          </cell>
          <cell r="D24">
            <v>2</v>
          </cell>
          <cell r="E24">
            <v>436</v>
          </cell>
          <cell r="F24">
            <v>4</v>
          </cell>
          <cell r="G24">
            <v>361</v>
          </cell>
          <cell r="H24">
            <v>51</v>
          </cell>
          <cell r="I24">
            <v>7915</v>
          </cell>
        </row>
        <row r="25">
          <cell r="A25" t="str">
            <v>Uttarakhand</v>
          </cell>
          <cell r="B25">
            <v>4</v>
          </cell>
          <cell r="C25">
            <v>257</v>
          </cell>
          <cell r="D25">
            <v>2</v>
          </cell>
          <cell r="E25">
            <v>189</v>
          </cell>
          <cell r="F25">
            <v>7</v>
          </cell>
          <cell r="G25">
            <v>1165</v>
          </cell>
          <cell r="H25">
            <v>13</v>
          </cell>
          <cell r="I25">
            <v>1611</v>
          </cell>
        </row>
        <row r="26">
          <cell r="A26" t="str">
            <v>West Bengal</v>
          </cell>
          <cell r="B26">
            <v>21</v>
          </cell>
          <cell r="C26">
            <v>1456</v>
          </cell>
          <cell r="D26">
            <v>11</v>
          </cell>
          <cell r="E26">
            <v>270</v>
          </cell>
          <cell r="F26">
            <v>9</v>
          </cell>
          <cell r="G26">
            <v>681</v>
          </cell>
          <cell r="H26">
            <v>41</v>
          </cell>
          <cell r="I26">
            <v>2407</v>
          </cell>
        </row>
        <row r="27">
          <cell r="A27" t="str">
            <v>All India</v>
          </cell>
          <cell r="B27">
            <v>659</v>
          </cell>
          <cell r="C27">
            <v>59935</v>
          </cell>
          <cell r="D27">
            <v>58</v>
          </cell>
          <cell r="E27">
            <v>5733</v>
          </cell>
          <cell r="F27">
            <v>204</v>
          </cell>
          <cell r="G27">
            <v>21415</v>
          </cell>
          <cell r="H27">
            <v>921</v>
          </cell>
          <cell r="I27">
            <v>87083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UniNo"/>
      <sheetName val="1InsResponse"/>
      <sheetName val="2University-Specialisation"/>
      <sheetName val="3Collegerange"/>
      <sheetName val="4CollegeIndicator"/>
      <sheetName val="4aCollegeSpec"/>
      <sheetName val="5ManagementCollegeNo"/>
      <sheetName val="6TotalEnr"/>
      <sheetName val="6aTotalRegularEnr"/>
      <sheetName val="6bTotalDistanceEnr"/>
      <sheetName val="7UnivActwithConsUnit"/>
      <sheetName val="8CollegeAct"/>
      <sheetName val="9AllSAAct"/>
      <sheetName val="9aSAILevel"/>
      <sheetName val="10InstituionEst"/>
      <sheetName val="11Programme"/>
      <sheetName val="11aProgrammeDistance "/>
      <sheetName val="12UGDisc "/>
      <sheetName val="13PGDisc"/>
      <sheetName val="14-15TotalEnrCategory"/>
      <sheetName val="16FS-countrylevel"/>
      <sheetName val="17FS-statelevel"/>
      <sheetName val="18FS-prog"/>
      <sheetName val="ManagementCollegeNo (2)"/>
      <sheetName val="WomenCollege"/>
      <sheetName val="19GER(2011)"/>
      <sheetName val="20GPI2011"/>
      <sheetName val="21TeacherCategory"/>
      <sheetName val="22TeacherPost"/>
      <sheetName val="22aTeacherPostUC"/>
      <sheetName val="22bTeacherPostU"/>
      <sheetName val="23StaffPost"/>
      <sheetName val="24StaffCategory"/>
      <sheetName val="25PTR"/>
      <sheetName val="26UnivEnrolinclConstituentU"/>
      <sheetName val="27TypeEnrolmentCategory-Est"/>
      <sheetName val="29TypeTeacherPostEstimated"/>
      <sheetName val="30TypeTeacherCategoryEstimated"/>
      <sheetName val="31Hostelstate "/>
      <sheetName val="32TypeHostel"/>
      <sheetName val="33OutTurnState"/>
      <sheetName val="33a CategoryOutTurn"/>
      <sheetName val="34OutTurn Prog "/>
      <sheetName val="34a"/>
      <sheetName val="35UGDisc"/>
      <sheetName val="36 PGDisc "/>
      <sheetName val="37CollegeTypeNo"/>
      <sheetName val="38Pop2020(2011)"/>
      <sheetName val="39TypeStateUnivwithConsUnit"/>
      <sheetName val="40NoUni"/>
      <sheetName val="41NoUniType"/>
      <sheetName val="42CollegeIndicator"/>
      <sheetName val="43ENRLT 6"/>
      <sheetName val="44ENRLR 6a"/>
      <sheetName val="45EnrlCategory 14"/>
      <sheetName val="46EnrlMinority 14"/>
      <sheetName val="47GER  19"/>
      <sheetName val="48GPI 20"/>
      <sheetName val="49PTR 25"/>
      <sheetName val="50LevelEnrlUniType"/>
      <sheetName val="51PostTeacher"/>
      <sheetName val="52Pop"/>
      <sheetName val="4CollegeIndicator (2)"/>
      <sheetName val="RespondingTypeCollege"/>
      <sheetName val="Paste"/>
      <sheetName val="StandaloneM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6">
          <cell r="I6">
            <v>18.760653940481273</v>
          </cell>
          <cell r="J6">
            <v>19.081669122527202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38"/>
  <sheetViews>
    <sheetView showZeros="0" view="pageBreakPreview" zoomScale="145" zoomScaleSheetLayoutView="145" workbookViewId="0">
      <pane ySplit="3" topLeftCell="A28" activePane="bottomLeft" state="frozen"/>
      <selection pane="bottomLeft" activeCell="F15" sqref="F15"/>
    </sheetView>
  </sheetViews>
  <sheetFormatPr defaultColWidth="9.28515625" defaultRowHeight="14.25"/>
  <cols>
    <col min="1" max="1" width="6.42578125" style="494" bestFit="1" customWidth="1"/>
    <col min="2" max="2" width="19.28515625" style="66" customWidth="1"/>
    <col min="3" max="3" width="6" style="66" customWidth="1"/>
    <col min="4" max="7" width="5.7109375" style="66" customWidth="1"/>
    <col min="8" max="10" width="6.28515625" style="66" customWidth="1"/>
    <col min="11" max="12" width="5.7109375" style="66" customWidth="1"/>
    <col min="13" max="13" width="5.5703125" style="66" customWidth="1"/>
    <col min="14" max="14" width="7.5703125" style="491" customWidth="1"/>
    <col min="15" max="15" width="10.5703125" style="66" bestFit="1" customWidth="1"/>
    <col min="16" max="18" width="9.28515625" style="66"/>
    <col min="19" max="19" width="40.28515625" style="66" customWidth="1"/>
    <col min="20" max="16384" width="9.28515625" style="66"/>
  </cols>
  <sheetData>
    <row r="1" spans="1:15" s="63" customFormat="1" ht="43.5" customHeight="1">
      <c r="A1" s="492"/>
      <c r="B1" s="940" t="s">
        <v>1083</v>
      </c>
      <c r="C1" s="940"/>
      <c r="D1" s="940"/>
      <c r="E1" s="940"/>
      <c r="F1" s="940"/>
      <c r="G1" s="940"/>
      <c r="H1" s="940"/>
      <c r="I1" s="940"/>
      <c r="J1" s="940"/>
      <c r="K1" s="940"/>
      <c r="L1" s="940"/>
      <c r="M1" s="940"/>
      <c r="N1" s="940"/>
    </row>
    <row r="2" spans="1:15" s="64" customFormat="1" ht="116.25" customHeight="1">
      <c r="A2" s="70" t="s">
        <v>1067</v>
      </c>
      <c r="B2" s="70" t="s">
        <v>137</v>
      </c>
      <c r="C2" s="71" t="s">
        <v>120</v>
      </c>
      <c r="D2" s="71" t="s">
        <v>121</v>
      </c>
      <c r="E2" s="71" t="s">
        <v>122</v>
      </c>
      <c r="F2" s="71" t="s">
        <v>123</v>
      </c>
      <c r="G2" s="71" t="s">
        <v>126</v>
      </c>
      <c r="H2" s="71" t="s">
        <v>124</v>
      </c>
      <c r="I2" s="71" t="s">
        <v>125</v>
      </c>
      <c r="J2" s="71" t="s">
        <v>133</v>
      </c>
      <c r="K2" s="71" t="s">
        <v>127</v>
      </c>
      <c r="L2" s="71" t="s">
        <v>128</v>
      </c>
      <c r="M2" s="71" t="s">
        <v>129</v>
      </c>
      <c r="N2" s="72" t="s">
        <v>60</v>
      </c>
      <c r="O2" s="42"/>
    </row>
    <row r="3" spans="1:15" s="497" customFormat="1">
      <c r="A3" s="490">
        <v>1</v>
      </c>
      <c r="B3" s="490">
        <v>2</v>
      </c>
      <c r="C3" s="490">
        <v>3</v>
      </c>
      <c r="D3" s="490">
        <v>4</v>
      </c>
      <c r="E3" s="490">
        <v>5</v>
      </c>
      <c r="F3" s="495">
        <v>6</v>
      </c>
      <c r="G3" s="495">
        <v>7</v>
      </c>
      <c r="H3" s="495">
        <v>8</v>
      </c>
      <c r="I3" s="495">
        <v>9</v>
      </c>
      <c r="J3" s="495">
        <v>10</v>
      </c>
      <c r="K3" s="495">
        <v>11</v>
      </c>
      <c r="L3" s="495">
        <v>12</v>
      </c>
      <c r="M3" s="495">
        <v>13</v>
      </c>
      <c r="N3" s="495">
        <v>14</v>
      </c>
      <c r="O3" s="496"/>
    </row>
    <row r="4" spans="1:15" ht="18.75" customHeight="1">
      <c r="A4" s="493">
        <v>1</v>
      </c>
      <c r="B4" s="65" t="s">
        <v>15</v>
      </c>
      <c r="C4" s="69">
        <v>3</v>
      </c>
      <c r="D4" s="69"/>
      <c r="E4" s="69">
        <v>10</v>
      </c>
      <c r="F4" s="69">
        <v>24</v>
      </c>
      <c r="G4" s="69">
        <v>1</v>
      </c>
      <c r="H4" s="69"/>
      <c r="I4" s="69">
        <v>5</v>
      </c>
      <c r="J4" s="69"/>
      <c r="K4" s="69"/>
      <c r="L4" s="69"/>
      <c r="M4" s="69">
        <v>4</v>
      </c>
      <c r="N4" s="493">
        <v>47</v>
      </c>
      <c r="O4" s="42"/>
    </row>
    <row r="5" spans="1:15" ht="18.75" customHeight="1">
      <c r="A5" s="493">
        <v>2</v>
      </c>
      <c r="B5" s="65" t="s">
        <v>16</v>
      </c>
      <c r="C5" s="69">
        <v>1</v>
      </c>
      <c r="D5" s="69"/>
      <c r="E5" s="69">
        <v>1</v>
      </c>
      <c r="F5" s="69"/>
      <c r="G5" s="69"/>
      <c r="H5" s="69"/>
      <c r="I5" s="69">
        <v>6</v>
      </c>
      <c r="J5" s="69">
        <v>1</v>
      </c>
      <c r="K5" s="69">
        <v>1</v>
      </c>
      <c r="L5" s="69"/>
      <c r="M5" s="69"/>
      <c r="N5" s="493">
        <v>10</v>
      </c>
      <c r="O5" s="42"/>
    </row>
    <row r="6" spans="1:15" ht="18.75" customHeight="1">
      <c r="A6" s="493">
        <v>3</v>
      </c>
      <c r="B6" s="65" t="s">
        <v>17</v>
      </c>
      <c r="C6" s="69">
        <v>2</v>
      </c>
      <c r="D6" s="69"/>
      <c r="E6" s="69">
        <v>5</v>
      </c>
      <c r="F6" s="69">
        <v>15</v>
      </c>
      <c r="G6" s="69"/>
      <c r="H6" s="69">
        <v>1</v>
      </c>
      <c r="I6" s="69">
        <v>6</v>
      </c>
      <c r="J6" s="69"/>
      <c r="K6" s="69">
        <v>1</v>
      </c>
      <c r="L6" s="69"/>
      <c r="M6" s="69"/>
      <c r="N6" s="493">
        <v>30</v>
      </c>
      <c r="O6" s="42"/>
    </row>
    <row r="7" spans="1:15" ht="18.75" customHeight="1">
      <c r="A7" s="493">
        <v>4</v>
      </c>
      <c r="B7" s="65" t="s">
        <v>18</v>
      </c>
      <c r="C7" s="69">
        <v>4</v>
      </c>
      <c r="D7" s="69"/>
      <c r="E7" s="69">
        <v>6</v>
      </c>
      <c r="F7" s="69">
        <v>17</v>
      </c>
      <c r="G7" s="69">
        <v>1</v>
      </c>
      <c r="H7" s="69">
        <v>1</v>
      </c>
      <c r="I7" s="69">
        <v>7</v>
      </c>
      <c r="J7" s="69"/>
      <c r="K7" s="69">
        <v>1</v>
      </c>
      <c r="L7" s="69"/>
      <c r="M7" s="69"/>
      <c r="N7" s="493">
        <v>37</v>
      </c>
      <c r="O7" s="42"/>
    </row>
    <row r="8" spans="1:15" ht="18.75" customHeight="1">
      <c r="A8" s="493">
        <v>5</v>
      </c>
      <c r="B8" s="65" t="s">
        <v>19</v>
      </c>
      <c r="C8" s="69"/>
      <c r="D8" s="69"/>
      <c r="E8" s="69">
        <v>1</v>
      </c>
      <c r="F8" s="69">
        <v>1</v>
      </c>
      <c r="G8" s="69"/>
      <c r="H8" s="69"/>
      <c r="I8" s="69"/>
      <c r="J8" s="69"/>
      <c r="K8" s="69">
        <v>1</v>
      </c>
      <c r="L8" s="69"/>
      <c r="M8" s="69"/>
      <c r="N8" s="493">
        <v>3</v>
      </c>
      <c r="O8" s="42"/>
    </row>
    <row r="9" spans="1:15" ht="18.75" customHeight="1">
      <c r="A9" s="493">
        <v>6</v>
      </c>
      <c r="B9" s="67" t="s">
        <v>20</v>
      </c>
      <c r="C9" s="69">
        <v>1</v>
      </c>
      <c r="D9" s="69"/>
      <c r="E9" s="69">
        <v>4</v>
      </c>
      <c r="F9" s="69">
        <v>14</v>
      </c>
      <c r="G9" s="69"/>
      <c r="H9" s="69">
        <v>1</v>
      </c>
      <c r="I9" s="69">
        <v>14</v>
      </c>
      <c r="J9" s="69"/>
      <c r="K9" s="69"/>
      <c r="L9" s="69"/>
      <c r="M9" s="69"/>
      <c r="N9" s="493">
        <v>34</v>
      </c>
      <c r="O9" s="42"/>
    </row>
    <row r="10" spans="1:15" ht="18.75" customHeight="1">
      <c r="A10" s="493">
        <v>7</v>
      </c>
      <c r="B10" s="65" t="s">
        <v>23</v>
      </c>
      <c r="C10" s="69">
        <v>6</v>
      </c>
      <c r="D10" s="69">
        <v>1</v>
      </c>
      <c r="E10" s="69">
        <v>6</v>
      </c>
      <c r="F10" s="69">
        <v>9</v>
      </c>
      <c r="G10" s="69"/>
      <c r="H10" s="69"/>
      <c r="I10" s="69"/>
      <c r="J10" s="69"/>
      <c r="K10" s="69">
        <v>6</v>
      </c>
      <c r="L10" s="69">
        <v>1</v>
      </c>
      <c r="M10" s="69">
        <v>1</v>
      </c>
      <c r="N10" s="493">
        <v>30</v>
      </c>
      <c r="O10" s="42"/>
    </row>
    <row r="11" spans="1:15" ht="18.75" customHeight="1">
      <c r="A11" s="493">
        <v>8</v>
      </c>
      <c r="B11" s="65" t="s">
        <v>24</v>
      </c>
      <c r="C11" s="69"/>
      <c r="D11" s="69"/>
      <c r="E11" s="69">
        <v>2</v>
      </c>
      <c r="F11" s="69">
        <v>1</v>
      </c>
      <c r="G11" s="69"/>
      <c r="H11" s="69"/>
      <c r="I11" s="69"/>
      <c r="J11" s="69"/>
      <c r="K11" s="69"/>
      <c r="L11" s="69"/>
      <c r="M11" s="69"/>
      <c r="N11" s="493">
        <v>3</v>
      </c>
      <c r="O11" s="42"/>
    </row>
    <row r="12" spans="1:15" ht="18.75" customHeight="1">
      <c r="A12" s="493">
        <v>9</v>
      </c>
      <c r="B12" s="65" t="s">
        <v>25</v>
      </c>
      <c r="C12" s="69">
        <v>1</v>
      </c>
      <c r="D12" s="69"/>
      <c r="E12" s="69">
        <v>9</v>
      </c>
      <c r="F12" s="69">
        <v>26</v>
      </c>
      <c r="G12" s="69"/>
      <c r="H12" s="69">
        <v>1</v>
      </c>
      <c r="I12" s="69">
        <v>51</v>
      </c>
      <c r="J12" s="69"/>
      <c r="K12" s="69">
        <v>1</v>
      </c>
      <c r="L12" s="69">
        <v>1</v>
      </c>
      <c r="M12" s="69">
        <v>1</v>
      </c>
      <c r="N12" s="493">
        <v>91</v>
      </c>
      <c r="O12" s="42"/>
    </row>
    <row r="13" spans="1:15" ht="18.75" customHeight="1">
      <c r="A13" s="493">
        <v>10</v>
      </c>
      <c r="B13" s="65" t="s">
        <v>26</v>
      </c>
      <c r="C13" s="69">
        <v>1</v>
      </c>
      <c r="D13" s="69"/>
      <c r="E13" s="69">
        <v>5</v>
      </c>
      <c r="F13" s="69">
        <v>20</v>
      </c>
      <c r="G13" s="69"/>
      <c r="H13" s="69"/>
      <c r="I13" s="69">
        <v>24</v>
      </c>
      <c r="J13" s="69"/>
      <c r="K13" s="69">
        <v>3</v>
      </c>
      <c r="L13" s="69"/>
      <c r="M13" s="69">
        <v>3</v>
      </c>
      <c r="N13" s="493">
        <v>56</v>
      </c>
      <c r="O13" s="42"/>
    </row>
    <row r="14" spans="1:15" ht="18.75" customHeight="1">
      <c r="A14" s="493">
        <v>11</v>
      </c>
      <c r="B14" s="65" t="s">
        <v>27</v>
      </c>
      <c r="C14" s="69">
        <v>1</v>
      </c>
      <c r="D14" s="69"/>
      <c r="E14" s="69">
        <v>5</v>
      </c>
      <c r="F14" s="69">
        <v>7</v>
      </c>
      <c r="G14" s="69"/>
      <c r="H14" s="69"/>
      <c r="I14" s="69">
        <v>17</v>
      </c>
      <c r="J14" s="69"/>
      <c r="K14" s="69"/>
      <c r="L14" s="69"/>
      <c r="M14" s="69"/>
      <c r="N14" s="493">
        <v>30</v>
      </c>
      <c r="O14" s="42"/>
    </row>
    <row r="15" spans="1:15" ht="18.75" customHeight="1">
      <c r="A15" s="493">
        <v>12</v>
      </c>
      <c r="B15" s="67" t="s">
        <v>57</v>
      </c>
      <c r="C15" s="69">
        <v>2</v>
      </c>
      <c r="D15" s="69"/>
      <c r="E15" s="69">
        <v>4</v>
      </c>
      <c r="F15" s="69">
        <v>9</v>
      </c>
      <c r="G15" s="69">
        <v>1</v>
      </c>
      <c r="H15" s="69"/>
      <c r="I15" s="69"/>
      <c r="J15" s="69"/>
      <c r="K15" s="69"/>
      <c r="L15" s="69"/>
      <c r="M15" s="69"/>
      <c r="N15" s="493">
        <v>16</v>
      </c>
      <c r="O15" s="42"/>
    </row>
    <row r="16" spans="1:15" ht="18.75" customHeight="1">
      <c r="A16" s="493">
        <v>13</v>
      </c>
      <c r="B16" s="65" t="s">
        <v>29</v>
      </c>
      <c r="C16" s="69">
        <v>1</v>
      </c>
      <c r="D16" s="69"/>
      <c r="E16" s="69">
        <v>5</v>
      </c>
      <c r="F16" s="69">
        <v>11</v>
      </c>
      <c r="G16" s="69"/>
      <c r="H16" s="69"/>
      <c r="I16" s="69">
        <v>15</v>
      </c>
      <c r="J16" s="69"/>
      <c r="K16" s="69"/>
      <c r="L16" s="69"/>
      <c r="M16" s="69">
        <v>1</v>
      </c>
      <c r="N16" s="493">
        <v>33</v>
      </c>
      <c r="O16" s="42"/>
    </row>
    <row r="17" spans="1:15" ht="18.75" customHeight="1">
      <c r="A17" s="493">
        <v>14</v>
      </c>
      <c r="B17" s="65" t="s">
        <v>30</v>
      </c>
      <c r="C17" s="69">
        <v>1</v>
      </c>
      <c r="D17" s="69"/>
      <c r="E17" s="69">
        <v>6</v>
      </c>
      <c r="F17" s="69">
        <v>33</v>
      </c>
      <c r="G17" s="69"/>
      <c r="H17" s="69">
        <v>1</v>
      </c>
      <c r="I17" s="69">
        <v>20</v>
      </c>
      <c r="J17" s="69"/>
      <c r="K17" s="69">
        <v>2</v>
      </c>
      <c r="L17" s="69"/>
      <c r="M17" s="69">
        <v>12</v>
      </c>
      <c r="N17" s="493">
        <v>75</v>
      </c>
      <c r="O17" s="42"/>
    </row>
    <row r="18" spans="1:15" ht="18.75" customHeight="1">
      <c r="A18" s="493">
        <v>15</v>
      </c>
      <c r="B18" s="65" t="s">
        <v>31</v>
      </c>
      <c r="C18" s="69">
        <v>1</v>
      </c>
      <c r="D18" s="69"/>
      <c r="E18" s="69">
        <v>6</v>
      </c>
      <c r="F18" s="69">
        <v>14</v>
      </c>
      <c r="G18" s="69"/>
      <c r="H18" s="69">
        <v>1</v>
      </c>
      <c r="I18" s="69"/>
      <c r="J18" s="69"/>
      <c r="K18" s="69">
        <v>2</v>
      </c>
      <c r="L18" s="69"/>
      <c r="M18" s="69">
        <v>1</v>
      </c>
      <c r="N18" s="493">
        <v>25</v>
      </c>
      <c r="O18" s="42"/>
    </row>
    <row r="19" spans="1:15" ht="18.75" customHeight="1">
      <c r="A19" s="493">
        <v>16</v>
      </c>
      <c r="B19" s="65" t="s">
        <v>154</v>
      </c>
      <c r="C19" s="69"/>
      <c r="D19" s="69"/>
      <c r="E19" s="69"/>
      <c r="F19" s="69">
        <v>1</v>
      </c>
      <c r="G19" s="69"/>
      <c r="H19" s="69"/>
      <c r="I19" s="69"/>
      <c r="J19" s="69"/>
      <c r="K19" s="69">
        <v>1</v>
      </c>
      <c r="L19" s="69"/>
      <c r="M19" s="69"/>
      <c r="N19" s="493">
        <v>2</v>
      </c>
      <c r="O19" s="42"/>
    </row>
    <row r="20" spans="1:15" ht="18.75" customHeight="1">
      <c r="A20" s="493">
        <v>17</v>
      </c>
      <c r="B20" s="65" t="s">
        <v>33</v>
      </c>
      <c r="C20" s="69">
        <v>2</v>
      </c>
      <c r="D20" s="69"/>
      <c r="E20" s="69">
        <v>10</v>
      </c>
      <c r="F20" s="69">
        <v>23</v>
      </c>
      <c r="G20" s="69"/>
      <c r="H20" s="69">
        <v>1</v>
      </c>
      <c r="I20" s="69">
        <v>40</v>
      </c>
      <c r="J20" s="69"/>
      <c r="K20" s="69">
        <v>1</v>
      </c>
      <c r="L20" s="69"/>
      <c r="M20" s="69"/>
      <c r="N20" s="493">
        <v>77</v>
      </c>
      <c r="O20" s="42"/>
    </row>
    <row r="21" spans="1:15" ht="18.75" customHeight="1">
      <c r="A21" s="493">
        <v>18</v>
      </c>
      <c r="B21" s="65" t="s">
        <v>34</v>
      </c>
      <c r="C21" s="69">
        <v>1</v>
      </c>
      <c r="D21" s="69"/>
      <c r="E21" s="69">
        <v>7</v>
      </c>
      <c r="F21" s="69">
        <v>23</v>
      </c>
      <c r="G21" s="69"/>
      <c r="H21" s="69">
        <v>1</v>
      </c>
      <c r="I21" s="69">
        <v>21</v>
      </c>
      <c r="J21" s="69"/>
      <c r="K21" s="69">
        <v>7</v>
      </c>
      <c r="L21" s="69">
        <v>2</v>
      </c>
      <c r="M21" s="69">
        <v>12</v>
      </c>
      <c r="N21" s="493">
        <v>74</v>
      </c>
      <c r="O21" s="42"/>
    </row>
    <row r="22" spans="1:15" ht="18.75" customHeight="1">
      <c r="A22" s="493">
        <v>19</v>
      </c>
      <c r="B22" s="65" t="s">
        <v>35</v>
      </c>
      <c r="C22" s="69">
        <v>3</v>
      </c>
      <c r="D22" s="69"/>
      <c r="E22" s="69">
        <v>2</v>
      </c>
      <c r="F22" s="69">
        <v>3</v>
      </c>
      <c r="G22" s="69"/>
      <c r="H22" s="69"/>
      <c r="I22" s="69">
        <v>2</v>
      </c>
      <c r="J22" s="69"/>
      <c r="K22" s="69"/>
      <c r="L22" s="69"/>
      <c r="M22" s="69"/>
      <c r="N22" s="493">
        <v>10</v>
      </c>
      <c r="O22" s="42"/>
    </row>
    <row r="23" spans="1:15" ht="18.75" customHeight="1">
      <c r="A23" s="493">
        <v>20</v>
      </c>
      <c r="B23" s="65" t="s">
        <v>36</v>
      </c>
      <c r="C23" s="69">
        <v>1</v>
      </c>
      <c r="D23" s="69"/>
      <c r="E23" s="69">
        <v>2</v>
      </c>
      <c r="F23" s="69"/>
      <c r="G23" s="69"/>
      <c r="H23" s="69"/>
      <c r="I23" s="69">
        <v>8</v>
      </c>
      <c r="J23" s="69"/>
      <c r="K23" s="69"/>
      <c r="L23" s="69"/>
      <c r="M23" s="69"/>
      <c r="N23" s="493">
        <v>11</v>
      </c>
      <c r="O23" s="42"/>
    </row>
    <row r="24" spans="1:15" ht="18.75" customHeight="1">
      <c r="A24" s="493">
        <v>21</v>
      </c>
      <c r="B24" s="65" t="s">
        <v>37</v>
      </c>
      <c r="C24" s="69">
        <v>1</v>
      </c>
      <c r="D24" s="69"/>
      <c r="E24" s="69">
        <v>1</v>
      </c>
      <c r="F24" s="69"/>
      <c r="G24" s="69"/>
      <c r="H24" s="69"/>
      <c r="I24" s="69">
        <v>1</v>
      </c>
      <c r="J24" s="69"/>
      <c r="K24" s="69"/>
      <c r="L24" s="69"/>
      <c r="M24" s="69"/>
      <c r="N24" s="493">
        <v>3</v>
      </c>
      <c r="O24" s="42"/>
    </row>
    <row r="25" spans="1:15" ht="18.75" customHeight="1">
      <c r="A25" s="493">
        <v>22</v>
      </c>
      <c r="B25" s="65" t="s">
        <v>38</v>
      </c>
      <c r="C25" s="69">
        <v>1</v>
      </c>
      <c r="D25" s="69"/>
      <c r="E25" s="69">
        <v>1</v>
      </c>
      <c r="F25" s="69"/>
      <c r="G25" s="69"/>
      <c r="H25" s="69"/>
      <c r="I25" s="69">
        <v>4</v>
      </c>
      <c r="J25" s="69"/>
      <c r="K25" s="69"/>
      <c r="L25" s="69"/>
      <c r="M25" s="69"/>
      <c r="N25" s="493">
        <v>6</v>
      </c>
      <c r="O25" s="42"/>
    </row>
    <row r="26" spans="1:15" ht="18.75" customHeight="1">
      <c r="A26" s="493">
        <v>23</v>
      </c>
      <c r="B26" s="65" t="s">
        <v>39</v>
      </c>
      <c r="C26" s="69">
        <v>1</v>
      </c>
      <c r="D26" s="69"/>
      <c r="E26" s="69">
        <v>5</v>
      </c>
      <c r="F26" s="69">
        <v>19</v>
      </c>
      <c r="G26" s="69"/>
      <c r="H26" s="69">
        <v>1</v>
      </c>
      <c r="I26" s="69">
        <v>8</v>
      </c>
      <c r="J26" s="69"/>
      <c r="K26" s="69"/>
      <c r="L26" s="69"/>
      <c r="M26" s="69">
        <v>3</v>
      </c>
      <c r="N26" s="493">
        <v>37</v>
      </c>
      <c r="O26" s="42"/>
    </row>
    <row r="27" spans="1:15" ht="18.75" customHeight="1">
      <c r="A27" s="493">
        <v>24</v>
      </c>
      <c r="B27" s="65" t="s">
        <v>40</v>
      </c>
      <c r="C27" s="69">
        <v>1</v>
      </c>
      <c r="D27" s="69"/>
      <c r="E27" s="69">
        <v>2</v>
      </c>
      <c r="F27" s="69"/>
      <c r="G27" s="69"/>
      <c r="H27" s="69"/>
      <c r="I27" s="69"/>
      <c r="J27" s="69"/>
      <c r="K27" s="69"/>
      <c r="L27" s="69"/>
      <c r="M27" s="69">
        <v>1</v>
      </c>
      <c r="N27" s="493">
        <v>4</v>
      </c>
      <c r="O27" s="42"/>
    </row>
    <row r="28" spans="1:15" ht="18.75" customHeight="1">
      <c r="A28" s="493">
        <v>25</v>
      </c>
      <c r="B28" s="65" t="s">
        <v>41</v>
      </c>
      <c r="C28" s="69">
        <v>1</v>
      </c>
      <c r="D28" s="69"/>
      <c r="E28" s="69">
        <v>6</v>
      </c>
      <c r="F28" s="69">
        <v>12</v>
      </c>
      <c r="G28" s="69"/>
      <c r="H28" s="69">
        <v>1</v>
      </c>
      <c r="I28" s="69">
        <v>18</v>
      </c>
      <c r="J28" s="69"/>
      <c r="K28" s="69">
        <v>1</v>
      </c>
      <c r="L28" s="69"/>
      <c r="M28" s="69">
        <v>1</v>
      </c>
      <c r="N28" s="493">
        <v>40</v>
      </c>
      <c r="O28" s="42"/>
    </row>
    <row r="29" spans="1:15" ht="18.75" customHeight="1">
      <c r="A29" s="493">
        <v>26</v>
      </c>
      <c r="B29" s="65" t="s">
        <v>42</v>
      </c>
      <c r="C29" s="69">
        <v>1</v>
      </c>
      <c r="D29" s="69"/>
      <c r="E29" s="69">
        <v>5</v>
      </c>
      <c r="F29" s="69">
        <v>26</v>
      </c>
      <c r="G29" s="69">
        <v>1</v>
      </c>
      <c r="H29" s="69">
        <v>1</v>
      </c>
      <c r="I29" s="69">
        <v>49</v>
      </c>
      <c r="J29" s="69"/>
      <c r="K29" s="69"/>
      <c r="L29" s="69"/>
      <c r="M29" s="69">
        <v>7</v>
      </c>
      <c r="N29" s="493">
        <v>90</v>
      </c>
      <c r="O29" s="42"/>
    </row>
    <row r="30" spans="1:15" ht="18.75" customHeight="1">
      <c r="A30" s="493">
        <v>27</v>
      </c>
      <c r="B30" s="65" t="s">
        <v>43</v>
      </c>
      <c r="C30" s="69">
        <v>1</v>
      </c>
      <c r="D30" s="69"/>
      <c r="E30" s="69">
        <v>1</v>
      </c>
      <c r="F30" s="69">
        <v>1</v>
      </c>
      <c r="G30" s="69"/>
      <c r="H30" s="69"/>
      <c r="I30" s="69">
        <v>6</v>
      </c>
      <c r="J30" s="69"/>
      <c r="K30" s="69"/>
      <c r="L30" s="69"/>
      <c r="M30" s="69"/>
      <c r="N30" s="493">
        <v>9</v>
      </c>
      <c r="O30" s="42"/>
    </row>
    <row r="31" spans="1:15" ht="18.75" customHeight="1">
      <c r="A31" s="493">
        <v>28</v>
      </c>
      <c r="B31" s="65" t="s">
        <v>44</v>
      </c>
      <c r="C31" s="69">
        <v>2</v>
      </c>
      <c r="D31" s="69"/>
      <c r="E31" s="69">
        <v>7</v>
      </c>
      <c r="F31" s="69">
        <v>21</v>
      </c>
      <c r="G31" s="69"/>
      <c r="H31" s="69">
        <v>1</v>
      </c>
      <c r="I31" s="69">
        <v>3</v>
      </c>
      <c r="J31" s="69"/>
      <c r="K31" s="69"/>
      <c r="L31" s="69">
        <v>2</v>
      </c>
      <c r="M31" s="69">
        <v>26</v>
      </c>
      <c r="N31" s="493">
        <v>62</v>
      </c>
      <c r="O31" s="42"/>
    </row>
    <row r="32" spans="1:15" ht="18.75" customHeight="1">
      <c r="A32" s="493">
        <v>29</v>
      </c>
      <c r="B32" s="65" t="s">
        <v>131</v>
      </c>
      <c r="C32" s="69">
        <v>3</v>
      </c>
      <c r="D32" s="69"/>
      <c r="E32" s="69">
        <v>4</v>
      </c>
      <c r="F32" s="69">
        <v>15</v>
      </c>
      <c r="G32" s="69">
        <v>1</v>
      </c>
      <c r="H32" s="69">
        <v>1</v>
      </c>
      <c r="I32" s="69">
        <v>4</v>
      </c>
      <c r="J32" s="69"/>
      <c r="K32" s="69">
        <v>1</v>
      </c>
      <c r="L32" s="69"/>
      <c r="M32" s="69">
        <v>2</v>
      </c>
      <c r="N32" s="493">
        <v>31</v>
      </c>
      <c r="O32" s="42"/>
    </row>
    <row r="33" spans="1:15" ht="18.75" customHeight="1">
      <c r="A33" s="493">
        <v>30</v>
      </c>
      <c r="B33" s="65" t="s">
        <v>45</v>
      </c>
      <c r="C33" s="69">
        <v>1</v>
      </c>
      <c r="D33" s="69"/>
      <c r="E33" s="69">
        <v>2</v>
      </c>
      <c r="F33" s="69">
        <v>1</v>
      </c>
      <c r="G33" s="69"/>
      <c r="H33" s="69"/>
      <c r="I33" s="69">
        <v>1</v>
      </c>
      <c r="J33" s="69"/>
      <c r="K33" s="69"/>
      <c r="L33" s="69"/>
      <c r="M33" s="69"/>
      <c r="N33" s="493">
        <v>5</v>
      </c>
      <c r="O33" s="42"/>
    </row>
    <row r="34" spans="1:15" ht="18.75" customHeight="1">
      <c r="A34" s="493">
        <v>31</v>
      </c>
      <c r="B34" s="65" t="s">
        <v>47</v>
      </c>
      <c r="C34" s="69">
        <v>6</v>
      </c>
      <c r="D34" s="69"/>
      <c r="E34" s="69">
        <v>11</v>
      </c>
      <c r="F34" s="69">
        <v>32</v>
      </c>
      <c r="G34" s="69">
        <v>1</v>
      </c>
      <c r="H34" s="69">
        <v>1</v>
      </c>
      <c r="I34" s="69">
        <v>31</v>
      </c>
      <c r="J34" s="69"/>
      <c r="K34" s="69">
        <v>2</v>
      </c>
      <c r="L34" s="69">
        <v>3</v>
      </c>
      <c r="M34" s="69">
        <v>4</v>
      </c>
      <c r="N34" s="493">
        <v>91</v>
      </c>
      <c r="O34" s="42"/>
    </row>
    <row r="35" spans="1:15" ht="18.75" customHeight="1">
      <c r="A35" s="493">
        <v>32</v>
      </c>
      <c r="B35" s="67" t="s">
        <v>46</v>
      </c>
      <c r="C35" s="69">
        <v>1</v>
      </c>
      <c r="D35" s="69"/>
      <c r="E35" s="69">
        <v>4</v>
      </c>
      <c r="F35" s="69">
        <v>10</v>
      </c>
      <c r="G35" s="69"/>
      <c r="H35" s="69">
        <v>1</v>
      </c>
      <c r="I35" s="69">
        <v>19</v>
      </c>
      <c r="J35" s="69"/>
      <c r="K35" s="69">
        <v>1</v>
      </c>
      <c r="L35" s="69">
        <v>1</v>
      </c>
      <c r="M35" s="69">
        <v>1</v>
      </c>
      <c r="N35" s="493">
        <v>38</v>
      </c>
      <c r="O35" s="42"/>
    </row>
    <row r="36" spans="1:15" ht="18.75" customHeight="1">
      <c r="A36" s="493">
        <v>33</v>
      </c>
      <c r="B36" s="65" t="s">
        <v>48</v>
      </c>
      <c r="C36" s="69">
        <v>1</v>
      </c>
      <c r="D36" s="69"/>
      <c r="E36" s="69">
        <v>8</v>
      </c>
      <c r="F36" s="69">
        <v>35</v>
      </c>
      <c r="G36" s="69"/>
      <c r="H36" s="69">
        <v>1</v>
      </c>
      <c r="I36" s="69">
        <v>11</v>
      </c>
      <c r="J36" s="69"/>
      <c r="K36" s="69">
        <v>1</v>
      </c>
      <c r="L36" s="69"/>
      <c r="M36" s="69">
        <v>1</v>
      </c>
      <c r="N36" s="493">
        <v>58</v>
      </c>
      <c r="O36" s="42"/>
    </row>
    <row r="37" spans="1:15" s="491" customFormat="1" ht="18.75" customHeight="1">
      <c r="A37" s="939" t="s">
        <v>49</v>
      </c>
      <c r="B37" s="939"/>
      <c r="C37" s="493">
        <v>53</v>
      </c>
      <c r="D37" s="493">
        <v>1</v>
      </c>
      <c r="E37" s="493">
        <v>153</v>
      </c>
      <c r="F37" s="493">
        <v>423</v>
      </c>
      <c r="G37" s="493">
        <v>6</v>
      </c>
      <c r="H37" s="493">
        <v>16</v>
      </c>
      <c r="I37" s="493">
        <v>391</v>
      </c>
      <c r="J37" s="493">
        <v>1</v>
      </c>
      <c r="K37" s="493">
        <v>33</v>
      </c>
      <c r="L37" s="493">
        <v>10</v>
      </c>
      <c r="M37" s="493">
        <v>81</v>
      </c>
      <c r="N37" s="493">
        <v>1168</v>
      </c>
      <c r="O37" s="496"/>
    </row>
    <row r="38" spans="1:15" ht="28.5" customHeight="1">
      <c r="B38" s="937" t="s">
        <v>134</v>
      </c>
      <c r="C38" s="937"/>
      <c r="D38" s="937"/>
      <c r="E38" s="937"/>
      <c r="F38" s="938"/>
      <c r="G38" s="938"/>
      <c r="H38" s="938"/>
      <c r="I38" s="938"/>
      <c r="J38" s="938"/>
      <c r="K38" s="938"/>
      <c r="L38" s="938"/>
      <c r="M38" s="938"/>
      <c r="N38" s="938"/>
      <c r="O38" s="42"/>
    </row>
  </sheetData>
  <mergeCells count="3">
    <mergeCell ref="B38:N38"/>
    <mergeCell ref="A37:B37"/>
    <mergeCell ref="B1:N1"/>
  </mergeCells>
  <pageMargins left="0.70866141732283472" right="0.35433070866141736" top="0.39370078740157483" bottom="0.39370078740157483" header="0.31496062992125984" footer="0.19685039370078741"/>
  <pageSetup paperSize="9" scale="90" orientation="portrait" r:id="rId1"/>
  <headerFooter>
    <oddFooter>&amp;L&amp;"Arial,Italic"&amp;9AISHE 2021-22&amp;CT-1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O42"/>
  <sheetViews>
    <sheetView view="pageBreakPreview" zoomScaleSheetLayoutView="100" workbookViewId="0"/>
  </sheetViews>
  <sheetFormatPr defaultColWidth="8.7109375" defaultRowHeight="15.75"/>
  <cols>
    <col min="1" max="1" width="6.42578125" style="498" customWidth="1"/>
    <col min="2" max="2" width="21.28515625" style="94" customWidth="1"/>
    <col min="3" max="3" width="11.42578125" style="94" customWidth="1"/>
    <col min="4" max="4" width="11.7109375" style="94" customWidth="1"/>
    <col min="5" max="5" width="10.28515625" style="94" customWidth="1"/>
    <col min="6" max="6" width="11.7109375" style="94" customWidth="1"/>
    <col min="7" max="7" width="12.28515625" style="94" customWidth="1"/>
    <col min="8" max="8" width="10.28515625" style="94" customWidth="1"/>
    <col min="9" max="9" width="11.7109375" style="94" customWidth="1"/>
    <col min="10" max="10" width="12.28515625" style="94" customWidth="1"/>
    <col min="11" max="11" width="11" style="94" customWidth="1"/>
    <col min="12" max="12" width="11.5703125" style="94" customWidth="1"/>
    <col min="13" max="13" width="12.28515625" style="94" customWidth="1"/>
    <col min="14" max="14" width="10.28515625" style="94" customWidth="1"/>
    <col min="15" max="16384" width="8.7109375" style="94"/>
  </cols>
  <sheetData>
    <row r="1" spans="1:15" ht="22.9" customHeight="1">
      <c r="B1" s="95" t="s">
        <v>889</v>
      </c>
      <c r="C1" s="941" t="s">
        <v>920</v>
      </c>
      <c r="D1" s="941"/>
      <c r="E1" s="941"/>
      <c r="F1" s="941"/>
      <c r="G1" s="941"/>
      <c r="H1" s="941"/>
      <c r="I1" s="941"/>
      <c r="J1" s="941"/>
      <c r="K1" s="941"/>
      <c r="L1" s="941"/>
      <c r="M1" s="941"/>
      <c r="N1" s="941"/>
    </row>
    <row r="2" spans="1:15" ht="23.25" customHeight="1">
      <c r="A2" s="944" t="s">
        <v>988</v>
      </c>
      <c r="B2" s="944" t="s">
        <v>137</v>
      </c>
      <c r="C2" s="945" t="s">
        <v>169</v>
      </c>
      <c r="D2" s="945"/>
      <c r="E2" s="945"/>
      <c r="F2" s="945" t="s">
        <v>170</v>
      </c>
      <c r="G2" s="945"/>
      <c r="H2" s="945"/>
      <c r="I2" s="945" t="s">
        <v>909</v>
      </c>
      <c r="J2" s="945"/>
      <c r="K2" s="945"/>
      <c r="L2" s="945" t="s">
        <v>12</v>
      </c>
      <c r="M2" s="945"/>
      <c r="N2" s="945"/>
    </row>
    <row r="3" spans="1:15" ht="31.5" customHeight="1">
      <c r="A3" s="944"/>
      <c r="B3" s="944"/>
      <c r="C3" s="97" t="s">
        <v>171</v>
      </c>
      <c r="D3" s="97" t="s">
        <v>172</v>
      </c>
      <c r="E3" s="97" t="s">
        <v>173</v>
      </c>
      <c r="F3" s="97" t="s">
        <v>171</v>
      </c>
      <c r="G3" s="97" t="s">
        <v>172</v>
      </c>
      <c r="H3" s="97" t="s">
        <v>173</v>
      </c>
      <c r="I3" s="97" t="s">
        <v>171</v>
      </c>
      <c r="J3" s="97" t="s">
        <v>172</v>
      </c>
      <c r="K3" s="97" t="s">
        <v>173</v>
      </c>
      <c r="L3" s="97" t="s">
        <v>171</v>
      </c>
      <c r="M3" s="97" t="s">
        <v>172</v>
      </c>
      <c r="N3" s="97" t="s">
        <v>173</v>
      </c>
    </row>
    <row r="4" spans="1:15" s="498" customFormat="1" ht="15" customHeight="1">
      <c r="A4" s="499">
        <v>1</v>
      </c>
      <c r="B4" s="499">
        <v>2</v>
      </c>
      <c r="C4" s="499">
        <v>3</v>
      </c>
      <c r="D4" s="499">
        <v>4</v>
      </c>
      <c r="E4" s="499">
        <v>5</v>
      </c>
      <c r="F4" s="499">
        <v>6</v>
      </c>
      <c r="G4" s="499">
        <v>7</v>
      </c>
      <c r="H4" s="499">
        <v>8</v>
      </c>
      <c r="I4" s="499">
        <v>9</v>
      </c>
      <c r="J4" s="499">
        <v>10</v>
      </c>
      <c r="K4" s="499">
        <v>11</v>
      </c>
      <c r="L4" s="499">
        <v>12</v>
      </c>
      <c r="M4" s="499">
        <v>13</v>
      </c>
      <c r="N4" s="499">
        <v>14</v>
      </c>
    </row>
    <row r="5" spans="1:15" ht="31.5" customHeight="1">
      <c r="A5" s="426">
        <v>1</v>
      </c>
      <c r="B5" s="93" t="s">
        <v>1061</v>
      </c>
      <c r="C5" s="74"/>
      <c r="D5" s="74"/>
      <c r="E5" s="75"/>
      <c r="F5" s="75">
        <v>9</v>
      </c>
      <c r="G5" s="75">
        <v>9</v>
      </c>
      <c r="H5" s="236">
        <f>G5/F5</f>
        <v>1</v>
      </c>
      <c r="I5" s="75">
        <v>1</v>
      </c>
      <c r="J5" s="75">
        <v>1</v>
      </c>
      <c r="K5" s="236">
        <f>J5/I5</f>
        <v>1</v>
      </c>
      <c r="L5" s="75">
        <v>10</v>
      </c>
      <c r="M5" s="75">
        <v>10</v>
      </c>
      <c r="N5" s="236">
        <f>M5/L5</f>
        <v>1</v>
      </c>
      <c r="O5" s="98"/>
    </row>
    <row r="6" spans="1:15" ht="30.75" customHeight="1">
      <c r="A6" s="426">
        <v>2</v>
      </c>
      <c r="B6" s="93" t="s">
        <v>15</v>
      </c>
      <c r="C6" s="74">
        <v>47</v>
      </c>
      <c r="D6" s="74">
        <v>47</v>
      </c>
      <c r="E6" s="236">
        <f>D6/C6</f>
        <v>1</v>
      </c>
      <c r="F6" s="75">
        <v>2602</v>
      </c>
      <c r="G6" s="75">
        <v>2582</v>
      </c>
      <c r="H6" s="236">
        <f t="shared" ref="H6:H41" si="0">G6/F6</f>
        <v>0.99231360491929288</v>
      </c>
      <c r="I6" s="75">
        <v>722</v>
      </c>
      <c r="J6" s="75">
        <v>633</v>
      </c>
      <c r="K6" s="236">
        <f t="shared" ref="K6:K41" si="1">J6/I6</f>
        <v>0.87673130193905813</v>
      </c>
      <c r="L6" s="75">
        <v>3371</v>
      </c>
      <c r="M6" s="75">
        <v>3262</v>
      </c>
      <c r="N6" s="236">
        <f t="shared" ref="N6:N21" si="2">M6/L6</f>
        <v>0.96766538119252443</v>
      </c>
      <c r="O6" s="98"/>
    </row>
    <row r="7" spans="1:15" ht="30.75" customHeight="1">
      <c r="A7" s="426">
        <v>3</v>
      </c>
      <c r="B7" s="93" t="s">
        <v>16</v>
      </c>
      <c r="C7" s="74">
        <v>10</v>
      </c>
      <c r="D7" s="74">
        <v>10</v>
      </c>
      <c r="E7" s="236">
        <f t="shared" ref="E7:E41" si="3">D7/C7</f>
        <v>1</v>
      </c>
      <c r="F7" s="75">
        <v>44</v>
      </c>
      <c r="G7" s="75">
        <v>43</v>
      </c>
      <c r="H7" s="236">
        <f t="shared" si="0"/>
        <v>0.97727272727272729</v>
      </c>
      <c r="I7" s="75">
        <v>20</v>
      </c>
      <c r="J7" s="75">
        <v>20</v>
      </c>
      <c r="K7" s="236">
        <f t="shared" si="1"/>
        <v>1</v>
      </c>
      <c r="L7" s="75">
        <v>74</v>
      </c>
      <c r="M7" s="75">
        <v>73</v>
      </c>
      <c r="N7" s="236">
        <f t="shared" si="2"/>
        <v>0.98648648648648651</v>
      </c>
      <c r="O7" s="98"/>
    </row>
    <row r="8" spans="1:15" ht="30.75" customHeight="1">
      <c r="A8" s="426">
        <v>4</v>
      </c>
      <c r="B8" s="93" t="s">
        <v>17</v>
      </c>
      <c r="C8" s="74">
        <v>30</v>
      </c>
      <c r="D8" s="74">
        <v>30</v>
      </c>
      <c r="E8" s="236">
        <f t="shared" si="3"/>
        <v>1</v>
      </c>
      <c r="F8" s="75">
        <v>607</v>
      </c>
      <c r="G8" s="75">
        <v>553</v>
      </c>
      <c r="H8" s="236">
        <f t="shared" si="0"/>
        <v>0.91103789126853374</v>
      </c>
      <c r="I8" s="75">
        <v>99</v>
      </c>
      <c r="J8" s="75">
        <v>89</v>
      </c>
      <c r="K8" s="236">
        <f t="shared" si="1"/>
        <v>0.89898989898989901</v>
      </c>
      <c r="L8" s="75">
        <v>736</v>
      </c>
      <c r="M8" s="75">
        <v>672</v>
      </c>
      <c r="N8" s="236">
        <f t="shared" si="2"/>
        <v>0.91304347826086951</v>
      </c>
      <c r="O8" s="98"/>
    </row>
    <row r="9" spans="1:15" ht="30.75" customHeight="1">
      <c r="A9" s="426">
        <v>5</v>
      </c>
      <c r="B9" s="93" t="s">
        <v>18</v>
      </c>
      <c r="C9" s="74">
        <v>37</v>
      </c>
      <c r="D9" s="74">
        <v>37</v>
      </c>
      <c r="E9" s="236">
        <f t="shared" si="3"/>
        <v>1</v>
      </c>
      <c r="F9" s="75">
        <v>1092</v>
      </c>
      <c r="G9" s="75">
        <v>1072</v>
      </c>
      <c r="H9" s="236">
        <f t="shared" si="0"/>
        <v>0.98168498168498164</v>
      </c>
      <c r="I9" s="75">
        <v>315</v>
      </c>
      <c r="J9" s="75">
        <v>278</v>
      </c>
      <c r="K9" s="236">
        <f t="shared" si="1"/>
        <v>0.88253968253968251</v>
      </c>
      <c r="L9" s="75">
        <v>1444</v>
      </c>
      <c r="M9" s="75">
        <v>1387</v>
      </c>
      <c r="N9" s="236">
        <f t="shared" si="2"/>
        <v>0.96052631578947367</v>
      </c>
      <c r="O9" s="98"/>
    </row>
    <row r="10" spans="1:15" ht="30.75" customHeight="1">
      <c r="A10" s="426">
        <v>6</v>
      </c>
      <c r="B10" s="93" t="s">
        <v>19</v>
      </c>
      <c r="C10" s="74">
        <v>3</v>
      </c>
      <c r="D10" s="74">
        <v>3</v>
      </c>
      <c r="E10" s="236">
        <f t="shared" si="3"/>
        <v>1</v>
      </c>
      <c r="F10" s="75">
        <v>26</v>
      </c>
      <c r="G10" s="75">
        <v>26</v>
      </c>
      <c r="H10" s="236">
        <f t="shared" si="0"/>
        <v>1</v>
      </c>
      <c r="I10" s="75">
        <v>10</v>
      </c>
      <c r="J10" s="75">
        <v>10</v>
      </c>
      <c r="K10" s="236">
        <f t="shared" si="1"/>
        <v>1</v>
      </c>
      <c r="L10" s="75">
        <v>39</v>
      </c>
      <c r="M10" s="75">
        <v>39</v>
      </c>
      <c r="N10" s="236">
        <f t="shared" si="2"/>
        <v>1</v>
      </c>
      <c r="O10" s="98"/>
    </row>
    <row r="11" spans="1:15" ht="30.75" customHeight="1">
      <c r="A11" s="426">
        <v>7</v>
      </c>
      <c r="B11" s="93" t="s">
        <v>20</v>
      </c>
      <c r="C11" s="74">
        <v>34</v>
      </c>
      <c r="D11" s="74">
        <v>34</v>
      </c>
      <c r="E11" s="236">
        <f t="shared" si="3"/>
        <v>1</v>
      </c>
      <c r="F11" s="75">
        <v>917</v>
      </c>
      <c r="G11" s="75">
        <v>895</v>
      </c>
      <c r="H11" s="236">
        <f t="shared" si="0"/>
        <v>0.97600872410032713</v>
      </c>
      <c r="I11" s="75">
        <v>80</v>
      </c>
      <c r="J11" s="75">
        <v>70</v>
      </c>
      <c r="K11" s="236">
        <f t="shared" si="1"/>
        <v>0.875</v>
      </c>
      <c r="L11" s="75">
        <v>1031</v>
      </c>
      <c r="M11" s="75">
        <v>999</v>
      </c>
      <c r="N11" s="236">
        <f t="shared" si="2"/>
        <v>0.96896217264791462</v>
      </c>
      <c r="O11" s="98"/>
    </row>
    <row r="12" spans="1:15" ht="30.75" customHeight="1">
      <c r="A12" s="426">
        <v>8</v>
      </c>
      <c r="B12" s="93" t="s">
        <v>23</v>
      </c>
      <c r="C12" s="74">
        <v>30</v>
      </c>
      <c r="D12" s="74">
        <v>30</v>
      </c>
      <c r="E12" s="236">
        <f t="shared" si="3"/>
        <v>1</v>
      </c>
      <c r="F12" s="75">
        <v>188</v>
      </c>
      <c r="G12" s="75">
        <v>171</v>
      </c>
      <c r="H12" s="236">
        <f t="shared" si="0"/>
        <v>0.90957446808510634</v>
      </c>
      <c r="I12" s="75">
        <v>107</v>
      </c>
      <c r="J12" s="75">
        <v>87</v>
      </c>
      <c r="K12" s="236">
        <f t="shared" si="1"/>
        <v>0.81308411214953269</v>
      </c>
      <c r="L12" s="75">
        <v>325</v>
      </c>
      <c r="M12" s="75">
        <v>288</v>
      </c>
      <c r="N12" s="236">
        <f t="shared" si="2"/>
        <v>0.88615384615384618</v>
      </c>
      <c r="O12" s="98"/>
    </row>
    <row r="13" spans="1:15" ht="30.75" customHeight="1">
      <c r="A13" s="426">
        <v>9</v>
      </c>
      <c r="B13" s="93" t="s">
        <v>24</v>
      </c>
      <c r="C13" s="74">
        <v>3</v>
      </c>
      <c r="D13" s="74">
        <v>3</v>
      </c>
      <c r="E13" s="236">
        <f t="shared" si="3"/>
        <v>1</v>
      </c>
      <c r="F13" s="75">
        <v>62</v>
      </c>
      <c r="G13" s="75">
        <v>62</v>
      </c>
      <c r="H13" s="236">
        <f t="shared" si="0"/>
        <v>1</v>
      </c>
      <c r="I13" s="75">
        <v>17</v>
      </c>
      <c r="J13" s="75">
        <v>17</v>
      </c>
      <c r="K13" s="236">
        <f t="shared" si="1"/>
        <v>1</v>
      </c>
      <c r="L13" s="75">
        <v>82</v>
      </c>
      <c r="M13" s="75">
        <v>82</v>
      </c>
      <c r="N13" s="236">
        <f t="shared" si="2"/>
        <v>1</v>
      </c>
      <c r="O13" s="98"/>
    </row>
    <row r="14" spans="1:15" ht="30.75" customHeight="1">
      <c r="A14" s="426">
        <v>10</v>
      </c>
      <c r="B14" s="93" t="s">
        <v>25</v>
      </c>
      <c r="C14" s="74">
        <v>91</v>
      </c>
      <c r="D14" s="74">
        <v>91</v>
      </c>
      <c r="E14" s="236">
        <f t="shared" si="3"/>
        <v>1</v>
      </c>
      <c r="F14" s="75">
        <v>2395</v>
      </c>
      <c r="G14" s="75">
        <v>2374</v>
      </c>
      <c r="H14" s="236">
        <f t="shared" si="0"/>
        <v>0.99123173277661791</v>
      </c>
      <c r="I14" s="75">
        <v>327</v>
      </c>
      <c r="J14" s="75">
        <v>327</v>
      </c>
      <c r="K14" s="236">
        <f t="shared" si="1"/>
        <v>1</v>
      </c>
      <c r="L14" s="75">
        <v>2813</v>
      </c>
      <c r="M14" s="75">
        <v>2792</v>
      </c>
      <c r="N14" s="236">
        <f t="shared" si="2"/>
        <v>0.9925346605047991</v>
      </c>
      <c r="O14" s="98"/>
    </row>
    <row r="15" spans="1:15" ht="30.75" customHeight="1">
      <c r="A15" s="426">
        <v>11</v>
      </c>
      <c r="B15" s="93" t="s">
        <v>26</v>
      </c>
      <c r="C15" s="74">
        <v>56</v>
      </c>
      <c r="D15" s="74">
        <v>56</v>
      </c>
      <c r="E15" s="236">
        <f t="shared" si="3"/>
        <v>1</v>
      </c>
      <c r="F15" s="75">
        <v>1090</v>
      </c>
      <c r="G15" s="75">
        <v>1089</v>
      </c>
      <c r="H15" s="236">
        <f t="shared" si="0"/>
        <v>0.99908256880733948</v>
      </c>
      <c r="I15" s="75">
        <v>258</v>
      </c>
      <c r="J15" s="75">
        <v>257</v>
      </c>
      <c r="K15" s="236">
        <f t="shared" si="1"/>
        <v>0.99612403100775193</v>
      </c>
      <c r="L15" s="75">
        <v>1404</v>
      </c>
      <c r="M15" s="75">
        <v>1402</v>
      </c>
      <c r="N15" s="236">
        <f t="shared" si="2"/>
        <v>0.99857549857549854</v>
      </c>
      <c r="O15" s="98"/>
    </row>
    <row r="16" spans="1:15" ht="30.75" customHeight="1">
      <c r="A16" s="426">
        <v>12</v>
      </c>
      <c r="B16" s="93" t="s">
        <v>27</v>
      </c>
      <c r="C16" s="74">
        <v>30</v>
      </c>
      <c r="D16" s="74">
        <v>29</v>
      </c>
      <c r="E16" s="236">
        <f t="shared" si="3"/>
        <v>0.96666666666666667</v>
      </c>
      <c r="F16" s="75">
        <v>349</v>
      </c>
      <c r="G16" s="75">
        <v>348</v>
      </c>
      <c r="H16" s="236">
        <f t="shared" si="0"/>
        <v>0.99713467048710602</v>
      </c>
      <c r="I16" s="75">
        <v>86</v>
      </c>
      <c r="J16" s="75">
        <v>82</v>
      </c>
      <c r="K16" s="236">
        <f t="shared" si="1"/>
        <v>0.95348837209302328</v>
      </c>
      <c r="L16" s="75">
        <v>465</v>
      </c>
      <c r="M16" s="75">
        <v>459</v>
      </c>
      <c r="N16" s="236">
        <f t="shared" si="2"/>
        <v>0.98709677419354835</v>
      </c>
      <c r="O16" s="98"/>
    </row>
    <row r="17" spans="1:15" ht="30.75" customHeight="1">
      <c r="A17" s="426">
        <v>13</v>
      </c>
      <c r="B17" s="93" t="s">
        <v>57</v>
      </c>
      <c r="C17" s="74">
        <v>16</v>
      </c>
      <c r="D17" s="74">
        <v>16</v>
      </c>
      <c r="E17" s="236">
        <f t="shared" si="3"/>
        <v>1</v>
      </c>
      <c r="F17" s="75">
        <v>341</v>
      </c>
      <c r="G17" s="75">
        <v>337</v>
      </c>
      <c r="H17" s="236">
        <f t="shared" si="0"/>
        <v>0.98826979472140764</v>
      </c>
      <c r="I17" s="75">
        <v>164</v>
      </c>
      <c r="J17" s="75">
        <v>145</v>
      </c>
      <c r="K17" s="236">
        <f t="shared" si="1"/>
        <v>0.88414634146341464</v>
      </c>
      <c r="L17" s="75">
        <v>521</v>
      </c>
      <c r="M17" s="75">
        <v>498</v>
      </c>
      <c r="N17" s="236">
        <f t="shared" si="2"/>
        <v>0.95585412667946257</v>
      </c>
      <c r="O17" s="98"/>
    </row>
    <row r="18" spans="1:15" ht="30.75" customHeight="1">
      <c r="A18" s="426">
        <v>14</v>
      </c>
      <c r="B18" s="93" t="s">
        <v>29</v>
      </c>
      <c r="C18" s="74">
        <v>33</v>
      </c>
      <c r="D18" s="74">
        <v>33</v>
      </c>
      <c r="E18" s="236">
        <f t="shared" si="3"/>
        <v>1</v>
      </c>
      <c r="F18" s="75">
        <v>366</v>
      </c>
      <c r="G18" s="75">
        <v>365</v>
      </c>
      <c r="H18" s="236">
        <f t="shared" si="0"/>
        <v>0.99726775956284153</v>
      </c>
      <c r="I18" s="75">
        <v>115</v>
      </c>
      <c r="J18" s="75">
        <v>102</v>
      </c>
      <c r="K18" s="236">
        <f t="shared" si="1"/>
        <v>0.88695652173913042</v>
      </c>
      <c r="L18" s="75">
        <v>514</v>
      </c>
      <c r="M18" s="75">
        <v>500</v>
      </c>
      <c r="N18" s="236">
        <f t="shared" si="2"/>
        <v>0.97276264591439687</v>
      </c>
      <c r="O18" s="98"/>
    </row>
    <row r="19" spans="1:15" ht="30.75" customHeight="1">
      <c r="A19" s="426">
        <v>15</v>
      </c>
      <c r="B19" s="93" t="s">
        <v>30</v>
      </c>
      <c r="C19" s="74">
        <v>75</v>
      </c>
      <c r="D19" s="74">
        <v>75</v>
      </c>
      <c r="E19" s="236">
        <f t="shared" si="3"/>
        <v>1</v>
      </c>
      <c r="F19" s="75">
        <v>4430</v>
      </c>
      <c r="G19" s="75">
        <v>4283</v>
      </c>
      <c r="H19" s="236">
        <f t="shared" si="0"/>
        <v>0.96681715575620764</v>
      </c>
      <c r="I19" s="75">
        <v>1715</v>
      </c>
      <c r="J19" s="75">
        <v>1278</v>
      </c>
      <c r="K19" s="236">
        <f t="shared" si="1"/>
        <v>0.74518950437317788</v>
      </c>
      <c r="L19" s="75">
        <v>6220</v>
      </c>
      <c r="M19" s="75">
        <v>5636</v>
      </c>
      <c r="N19" s="236">
        <f t="shared" si="2"/>
        <v>0.90610932475884243</v>
      </c>
      <c r="O19" s="98"/>
    </row>
    <row r="20" spans="1:15" ht="30.75" customHeight="1">
      <c r="A20" s="426">
        <v>16</v>
      </c>
      <c r="B20" s="93" t="s">
        <v>31</v>
      </c>
      <c r="C20" s="74">
        <v>25</v>
      </c>
      <c r="D20" s="74">
        <v>25</v>
      </c>
      <c r="E20" s="236">
        <f t="shared" si="3"/>
        <v>1</v>
      </c>
      <c r="F20" s="75">
        <v>1463</v>
      </c>
      <c r="G20" s="75">
        <v>1332</v>
      </c>
      <c r="H20" s="236">
        <f t="shared" si="0"/>
        <v>0.91045796308954208</v>
      </c>
      <c r="I20" s="75">
        <v>408</v>
      </c>
      <c r="J20" s="75">
        <v>384</v>
      </c>
      <c r="K20" s="236">
        <f t="shared" si="1"/>
        <v>0.94117647058823528</v>
      </c>
      <c r="L20" s="75">
        <v>1896</v>
      </c>
      <c r="M20" s="75">
        <v>1741</v>
      </c>
      <c r="N20" s="236">
        <f t="shared" si="2"/>
        <v>0.9182489451476793</v>
      </c>
      <c r="O20" s="98"/>
    </row>
    <row r="21" spans="1:15" ht="30.75" customHeight="1">
      <c r="A21" s="426">
        <v>17</v>
      </c>
      <c r="B21" s="93" t="s">
        <v>154</v>
      </c>
      <c r="C21" s="74">
        <v>2</v>
      </c>
      <c r="D21" s="74">
        <v>2</v>
      </c>
      <c r="E21" s="236">
        <f t="shared" si="3"/>
        <v>1</v>
      </c>
      <c r="F21" s="75">
        <v>6</v>
      </c>
      <c r="G21" s="75">
        <v>6</v>
      </c>
      <c r="H21" s="236">
        <f t="shared" si="0"/>
        <v>1</v>
      </c>
      <c r="I21" s="75">
        <v>7</v>
      </c>
      <c r="J21" s="75">
        <v>6</v>
      </c>
      <c r="K21" s="236">
        <f t="shared" si="1"/>
        <v>0.8571428571428571</v>
      </c>
      <c r="L21" s="75">
        <v>15</v>
      </c>
      <c r="M21" s="75">
        <v>14</v>
      </c>
      <c r="N21" s="236">
        <f t="shared" si="2"/>
        <v>0.93333333333333335</v>
      </c>
      <c r="O21" s="98"/>
    </row>
    <row r="22" spans="1:15" ht="30.75" customHeight="1">
      <c r="A22" s="426">
        <v>18</v>
      </c>
      <c r="B22" s="93" t="s">
        <v>174</v>
      </c>
      <c r="C22" s="74"/>
      <c r="D22" s="74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98"/>
    </row>
    <row r="23" spans="1:15" ht="30.75" customHeight="1">
      <c r="A23" s="426">
        <v>19</v>
      </c>
      <c r="B23" s="93" t="s">
        <v>33</v>
      </c>
      <c r="C23" s="74">
        <v>77</v>
      </c>
      <c r="D23" s="74">
        <v>77</v>
      </c>
      <c r="E23" s="236">
        <f t="shared" si="3"/>
        <v>1</v>
      </c>
      <c r="F23" s="75">
        <v>2742</v>
      </c>
      <c r="G23" s="75">
        <v>2464</v>
      </c>
      <c r="H23" s="236">
        <f t="shared" si="0"/>
        <v>0.89861415025528812</v>
      </c>
      <c r="I23" s="75">
        <v>401</v>
      </c>
      <c r="J23" s="75">
        <v>290</v>
      </c>
      <c r="K23" s="236">
        <f t="shared" si="1"/>
        <v>0.72319201995012472</v>
      </c>
      <c r="L23" s="75">
        <v>3220</v>
      </c>
      <c r="M23" s="75">
        <v>2831</v>
      </c>
      <c r="N23" s="236">
        <f t="shared" ref="N23:N41" si="4">M23/L23</f>
        <v>0.87919254658385093</v>
      </c>
      <c r="O23" s="98"/>
    </row>
    <row r="24" spans="1:15" ht="30.75" customHeight="1">
      <c r="A24" s="426">
        <v>20</v>
      </c>
      <c r="B24" s="93" t="s">
        <v>34</v>
      </c>
      <c r="C24" s="74">
        <v>74</v>
      </c>
      <c r="D24" s="74">
        <v>74</v>
      </c>
      <c r="E24" s="236">
        <f t="shared" si="3"/>
        <v>1</v>
      </c>
      <c r="F24" s="75">
        <v>4692</v>
      </c>
      <c r="G24" s="75">
        <v>4685</v>
      </c>
      <c r="H24" s="236">
        <f t="shared" si="0"/>
        <v>0.99850809889173064</v>
      </c>
      <c r="I24" s="75">
        <v>2237</v>
      </c>
      <c r="J24" s="75">
        <v>2087</v>
      </c>
      <c r="K24" s="236">
        <f t="shared" si="1"/>
        <v>0.93294590970049174</v>
      </c>
      <c r="L24" s="75">
        <v>7003</v>
      </c>
      <c r="M24" s="75">
        <v>6846</v>
      </c>
      <c r="N24" s="236">
        <f t="shared" si="4"/>
        <v>0.97758103669855778</v>
      </c>
      <c r="O24" s="98"/>
    </row>
    <row r="25" spans="1:15" ht="30.75" customHeight="1">
      <c r="A25" s="426">
        <v>21</v>
      </c>
      <c r="B25" s="93" t="s">
        <v>35</v>
      </c>
      <c r="C25" s="74">
        <v>10</v>
      </c>
      <c r="D25" s="74">
        <v>9</v>
      </c>
      <c r="E25" s="236">
        <f t="shared" si="3"/>
        <v>0.9</v>
      </c>
      <c r="F25" s="75">
        <v>108</v>
      </c>
      <c r="G25" s="75">
        <v>103</v>
      </c>
      <c r="H25" s="236">
        <f t="shared" si="0"/>
        <v>0.95370370370370372</v>
      </c>
      <c r="I25" s="75">
        <v>36</v>
      </c>
      <c r="J25" s="75">
        <v>34</v>
      </c>
      <c r="K25" s="236">
        <f t="shared" si="1"/>
        <v>0.94444444444444442</v>
      </c>
      <c r="L25" s="75">
        <v>154</v>
      </c>
      <c r="M25" s="75">
        <v>146</v>
      </c>
      <c r="N25" s="236">
        <f t="shared" si="4"/>
        <v>0.94805194805194803</v>
      </c>
      <c r="O25" s="98"/>
    </row>
    <row r="26" spans="1:15" ht="30.75" customHeight="1">
      <c r="A26" s="426">
        <v>22</v>
      </c>
      <c r="B26" s="93" t="s">
        <v>36</v>
      </c>
      <c r="C26" s="74">
        <v>11</v>
      </c>
      <c r="D26" s="74">
        <v>11</v>
      </c>
      <c r="E26" s="236">
        <f t="shared" si="3"/>
        <v>1</v>
      </c>
      <c r="F26" s="75">
        <v>77</v>
      </c>
      <c r="G26" s="75">
        <v>69</v>
      </c>
      <c r="H26" s="236">
        <f t="shared" si="0"/>
        <v>0.89610389610389607</v>
      </c>
      <c r="I26" s="75">
        <v>23</v>
      </c>
      <c r="J26" s="75">
        <v>22</v>
      </c>
      <c r="K26" s="236">
        <f t="shared" si="1"/>
        <v>0.95652173913043481</v>
      </c>
      <c r="L26" s="75">
        <v>111</v>
      </c>
      <c r="M26" s="75">
        <v>102</v>
      </c>
      <c r="N26" s="236">
        <f t="shared" si="4"/>
        <v>0.91891891891891897</v>
      </c>
      <c r="O26" s="98"/>
    </row>
    <row r="27" spans="1:15" ht="30.75" customHeight="1">
      <c r="A27" s="426">
        <v>23</v>
      </c>
      <c r="B27" s="93" t="s">
        <v>37</v>
      </c>
      <c r="C27" s="74">
        <v>3</v>
      </c>
      <c r="D27" s="74">
        <v>3</v>
      </c>
      <c r="E27" s="236">
        <f t="shared" si="3"/>
        <v>1</v>
      </c>
      <c r="F27" s="75">
        <v>40</v>
      </c>
      <c r="G27" s="75">
        <v>40</v>
      </c>
      <c r="H27" s="236">
        <f t="shared" si="0"/>
        <v>1</v>
      </c>
      <c r="I27" s="75">
        <v>52</v>
      </c>
      <c r="J27" s="75">
        <v>50</v>
      </c>
      <c r="K27" s="236">
        <f t="shared" si="1"/>
        <v>0.96153846153846156</v>
      </c>
      <c r="L27" s="75">
        <v>95</v>
      </c>
      <c r="M27" s="75">
        <v>93</v>
      </c>
      <c r="N27" s="236">
        <f t="shared" si="4"/>
        <v>0.97894736842105268</v>
      </c>
      <c r="O27" s="98"/>
    </row>
    <row r="28" spans="1:15" ht="30.75" customHeight="1">
      <c r="A28" s="426">
        <v>24</v>
      </c>
      <c r="B28" s="93" t="s">
        <v>38</v>
      </c>
      <c r="C28" s="74">
        <v>6</v>
      </c>
      <c r="D28" s="74">
        <v>6</v>
      </c>
      <c r="E28" s="236">
        <f t="shared" si="3"/>
        <v>1</v>
      </c>
      <c r="F28" s="75">
        <v>69</v>
      </c>
      <c r="G28" s="75">
        <v>68</v>
      </c>
      <c r="H28" s="236">
        <f t="shared" si="0"/>
        <v>0.98550724637681164</v>
      </c>
      <c r="I28" s="75">
        <v>23</v>
      </c>
      <c r="J28" s="75">
        <v>22</v>
      </c>
      <c r="K28" s="236">
        <f t="shared" si="1"/>
        <v>0.95652173913043481</v>
      </c>
      <c r="L28" s="75">
        <v>98</v>
      </c>
      <c r="M28" s="75">
        <v>96</v>
      </c>
      <c r="N28" s="236">
        <f t="shared" si="4"/>
        <v>0.97959183673469385</v>
      </c>
      <c r="O28" s="98"/>
    </row>
    <row r="29" spans="1:15" ht="30.75" customHeight="1">
      <c r="A29" s="426">
        <v>25</v>
      </c>
      <c r="B29" s="93" t="s">
        <v>39</v>
      </c>
      <c r="C29" s="74">
        <v>37</v>
      </c>
      <c r="D29" s="74">
        <v>37</v>
      </c>
      <c r="E29" s="236">
        <f t="shared" si="3"/>
        <v>1</v>
      </c>
      <c r="F29" s="75">
        <v>1300</v>
      </c>
      <c r="G29" s="75">
        <v>1289</v>
      </c>
      <c r="H29" s="236">
        <f t="shared" si="0"/>
        <v>0.99153846153846159</v>
      </c>
      <c r="I29" s="75">
        <v>521</v>
      </c>
      <c r="J29" s="75">
        <v>521</v>
      </c>
      <c r="K29" s="236">
        <f t="shared" si="1"/>
        <v>1</v>
      </c>
      <c r="L29" s="75">
        <v>1858</v>
      </c>
      <c r="M29" s="75">
        <v>1847</v>
      </c>
      <c r="N29" s="236">
        <f t="shared" si="4"/>
        <v>0.99407965554359523</v>
      </c>
      <c r="O29" s="98"/>
    </row>
    <row r="30" spans="1:15" ht="30.75" customHeight="1">
      <c r="A30" s="426">
        <v>26</v>
      </c>
      <c r="B30" s="93" t="s">
        <v>40</v>
      </c>
      <c r="C30" s="74">
        <v>4</v>
      </c>
      <c r="D30" s="74">
        <v>4</v>
      </c>
      <c r="E30" s="236">
        <f t="shared" si="3"/>
        <v>1</v>
      </c>
      <c r="F30" s="75">
        <v>82</v>
      </c>
      <c r="G30" s="75">
        <v>68</v>
      </c>
      <c r="H30" s="236">
        <f t="shared" si="0"/>
        <v>0.82926829268292679</v>
      </c>
      <c r="I30" s="75">
        <v>12</v>
      </c>
      <c r="J30" s="75">
        <v>11</v>
      </c>
      <c r="K30" s="236">
        <f t="shared" si="1"/>
        <v>0.91666666666666663</v>
      </c>
      <c r="L30" s="75">
        <v>98</v>
      </c>
      <c r="M30" s="75">
        <v>83</v>
      </c>
      <c r="N30" s="236">
        <f t="shared" si="4"/>
        <v>0.84693877551020413</v>
      </c>
      <c r="O30" s="98"/>
    </row>
    <row r="31" spans="1:15" ht="30.75" customHeight="1">
      <c r="A31" s="426">
        <v>27</v>
      </c>
      <c r="B31" s="93" t="s">
        <v>41</v>
      </c>
      <c r="C31" s="74">
        <v>40</v>
      </c>
      <c r="D31" s="74">
        <v>40</v>
      </c>
      <c r="E31" s="236">
        <f t="shared" si="3"/>
        <v>1</v>
      </c>
      <c r="F31" s="75">
        <v>1044</v>
      </c>
      <c r="G31" s="75">
        <v>1037</v>
      </c>
      <c r="H31" s="236">
        <f t="shared" si="0"/>
        <v>0.99329501915708818</v>
      </c>
      <c r="I31" s="75">
        <v>367</v>
      </c>
      <c r="J31" s="75">
        <v>357</v>
      </c>
      <c r="K31" s="236">
        <f t="shared" si="1"/>
        <v>0.97275204359673029</v>
      </c>
      <c r="L31" s="75">
        <v>1451</v>
      </c>
      <c r="M31" s="75">
        <v>1434</v>
      </c>
      <c r="N31" s="236">
        <f t="shared" si="4"/>
        <v>0.98828394210889037</v>
      </c>
      <c r="O31" s="98"/>
    </row>
    <row r="32" spans="1:15" ht="30.75" customHeight="1">
      <c r="A32" s="426">
        <v>28</v>
      </c>
      <c r="B32" s="93" t="s">
        <v>42</v>
      </c>
      <c r="C32" s="74">
        <v>90</v>
      </c>
      <c r="D32" s="74">
        <v>89</v>
      </c>
      <c r="E32" s="236">
        <f t="shared" si="3"/>
        <v>0.98888888888888893</v>
      </c>
      <c r="F32" s="75">
        <v>3934</v>
      </c>
      <c r="G32" s="75">
        <v>3521</v>
      </c>
      <c r="H32" s="236">
        <f t="shared" si="0"/>
        <v>0.895017793594306</v>
      </c>
      <c r="I32" s="75">
        <v>574</v>
      </c>
      <c r="J32" s="75">
        <v>465</v>
      </c>
      <c r="K32" s="236">
        <f t="shared" si="1"/>
        <v>0.81010452961672474</v>
      </c>
      <c r="L32" s="75">
        <v>4598</v>
      </c>
      <c r="M32" s="75">
        <v>4075</v>
      </c>
      <c r="N32" s="236">
        <f t="shared" si="4"/>
        <v>0.88625489343192687</v>
      </c>
      <c r="O32" s="98"/>
    </row>
    <row r="33" spans="1:15" ht="30.75" customHeight="1">
      <c r="A33" s="426">
        <v>29</v>
      </c>
      <c r="B33" s="93" t="s">
        <v>43</v>
      </c>
      <c r="C33" s="74">
        <v>9</v>
      </c>
      <c r="D33" s="74">
        <v>7</v>
      </c>
      <c r="E33" s="236">
        <f t="shared" si="3"/>
        <v>0.77777777777777779</v>
      </c>
      <c r="F33" s="75">
        <v>24</v>
      </c>
      <c r="G33" s="75">
        <v>20</v>
      </c>
      <c r="H33" s="236">
        <f t="shared" si="0"/>
        <v>0.83333333333333337</v>
      </c>
      <c r="I33" s="75">
        <v>8</v>
      </c>
      <c r="J33" s="75">
        <v>8</v>
      </c>
      <c r="K33" s="236">
        <f t="shared" si="1"/>
        <v>1</v>
      </c>
      <c r="L33" s="75">
        <v>41</v>
      </c>
      <c r="M33" s="75">
        <v>35</v>
      </c>
      <c r="N33" s="236">
        <f t="shared" si="4"/>
        <v>0.85365853658536583</v>
      </c>
      <c r="O33" s="98"/>
    </row>
    <row r="34" spans="1:15" ht="30.75" customHeight="1">
      <c r="A34" s="426">
        <v>30</v>
      </c>
      <c r="B34" s="93" t="s">
        <v>44</v>
      </c>
      <c r="C34" s="74">
        <v>62</v>
      </c>
      <c r="D34" s="74">
        <v>62</v>
      </c>
      <c r="E34" s="236">
        <f t="shared" si="3"/>
        <v>1</v>
      </c>
      <c r="F34" s="75">
        <v>2829</v>
      </c>
      <c r="G34" s="75">
        <v>2807</v>
      </c>
      <c r="H34" s="236">
        <f t="shared" si="0"/>
        <v>0.99222340049487456</v>
      </c>
      <c r="I34" s="75">
        <v>899</v>
      </c>
      <c r="J34" s="75">
        <v>867</v>
      </c>
      <c r="K34" s="236">
        <f t="shared" si="1"/>
        <v>0.96440489432703003</v>
      </c>
      <c r="L34" s="75">
        <v>3790</v>
      </c>
      <c r="M34" s="75">
        <v>3736</v>
      </c>
      <c r="N34" s="236">
        <f t="shared" si="4"/>
        <v>0.98575197889182054</v>
      </c>
      <c r="O34" s="98"/>
    </row>
    <row r="35" spans="1:15" ht="30.75" customHeight="1">
      <c r="A35" s="426">
        <v>31</v>
      </c>
      <c r="B35" s="93" t="s">
        <v>131</v>
      </c>
      <c r="C35" s="74">
        <v>31</v>
      </c>
      <c r="D35" s="74">
        <v>31</v>
      </c>
      <c r="E35" s="236">
        <f t="shared" si="3"/>
        <v>1</v>
      </c>
      <c r="F35" s="75">
        <v>2083</v>
      </c>
      <c r="G35" s="75">
        <v>1940</v>
      </c>
      <c r="H35" s="236">
        <f t="shared" si="0"/>
        <v>0.93134901584253482</v>
      </c>
      <c r="I35" s="75">
        <v>459</v>
      </c>
      <c r="J35" s="75">
        <v>391</v>
      </c>
      <c r="K35" s="236">
        <f t="shared" si="1"/>
        <v>0.85185185185185186</v>
      </c>
      <c r="L35" s="75">
        <v>2573</v>
      </c>
      <c r="M35" s="75">
        <v>2362</v>
      </c>
      <c r="N35" s="236">
        <f t="shared" si="4"/>
        <v>0.91799455888068404</v>
      </c>
      <c r="O35" s="98"/>
    </row>
    <row r="36" spans="1:15" ht="49.5" customHeight="1">
      <c r="A36" s="426">
        <v>32</v>
      </c>
      <c r="B36" s="93" t="s">
        <v>1062</v>
      </c>
      <c r="C36" s="74"/>
      <c r="D36" s="74"/>
      <c r="E36" s="75"/>
      <c r="F36" s="75">
        <v>19</v>
      </c>
      <c r="G36" s="75">
        <v>19</v>
      </c>
      <c r="H36" s="236">
        <f t="shared" si="0"/>
        <v>1</v>
      </c>
      <c r="I36" s="75">
        <v>1</v>
      </c>
      <c r="J36" s="75">
        <v>1</v>
      </c>
      <c r="K36" s="236">
        <f t="shared" si="1"/>
        <v>1</v>
      </c>
      <c r="L36" s="75">
        <v>20</v>
      </c>
      <c r="M36" s="75">
        <v>20</v>
      </c>
      <c r="N36" s="236">
        <f t="shared" si="4"/>
        <v>1</v>
      </c>
      <c r="O36" s="98"/>
    </row>
    <row r="37" spans="1:15" ht="30.75" customHeight="1">
      <c r="A37" s="426">
        <v>33</v>
      </c>
      <c r="B37" s="93" t="s">
        <v>45</v>
      </c>
      <c r="C37" s="74">
        <v>5</v>
      </c>
      <c r="D37" s="74">
        <v>5</v>
      </c>
      <c r="E37" s="236">
        <f t="shared" si="3"/>
        <v>1</v>
      </c>
      <c r="F37" s="75">
        <v>54</v>
      </c>
      <c r="G37" s="75">
        <v>54</v>
      </c>
      <c r="H37" s="236">
        <f t="shared" si="0"/>
        <v>1</v>
      </c>
      <c r="I37" s="75">
        <v>14</v>
      </c>
      <c r="J37" s="75">
        <v>13</v>
      </c>
      <c r="K37" s="236">
        <f t="shared" si="1"/>
        <v>0.9285714285714286</v>
      </c>
      <c r="L37" s="75">
        <v>73</v>
      </c>
      <c r="M37" s="75">
        <v>72</v>
      </c>
      <c r="N37" s="236">
        <f t="shared" si="4"/>
        <v>0.98630136986301364</v>
      </c>
      <c r="O37" s="98"/>
    </row>
    <row r="38" spans="1:15" ht="30.75" customHeight="1">
      <c r="A38" s="426">
        <v>34</v>
      </c>
      <c r="B38" s="93" t="s">
        <v>47</v>
      </c>
      <c r="C38" s="74">
        <v>91</v>
      </c>
      <c r="D38" s="74">
        <v>91</v>
      </c>
      <c r="E38" s="236">
        <f t="shared" si="3"/>
        <v>1</v>
      </c>
      <c r="F38" s="75">
        <v>8375</v>
      </c>
      <c r="G38" s="75">
        <v>7182</v>
      </c>
      <c r="H38" s="236">
        <f t="shared" si="0"/>
        <v>0.8575522388059702</v>
      </c>
      <c r="I38" s="75">
        <v>1194</v>
      </c>
      <c r="J38" s="75">
        <v>939</v>
      </c>
      <c r="K38" s="236">
        <f t="shared" si="1"/>
        <v>0.78643216080402012</v>
      </c>
      <c r="L38" s="75">
        <v>9660</v>
      </c>
      <c r="M38" s="75">
        <v>8212</v>
      </c>
      <c r="N38" s="236">
        <f t="shared" si="4"/>
        <v>0.8501035196687371</v>
      </c>
      <c r="O38" s="98"/>
    </row>
    <row r="39" spans="1:15" ht="30.75" customHeight="1">
      <c r="A39" s="426">
        <v>35</v>
      </c>
      <c r="B39" s="93" t="s">
        <v>46</v>
      </c>
      <c r="C39" s="74">
        <v>38</v>
      </c>
      <c r="D39" s="74">
        <v>37</v>
      </c>
      <c r="E39" s="236">
        <f t="shared" si="3"/>
        <v>0.97368421052631582</v>
      </c>
      <c r="F39" s="75">
        <v>500</v>
      </c>
      <c r="G39" s="75">
        <v>402</v>
      </c>
      <c r="H39" s="236">
        <f t="shared" si="0"/>
        <v>0.80400000000000005</v>
      </c>
      <c r="I39" s="75">
        <v>156</v>
      </c>
      <c r="J39" s="75">
        <v>141</v>
      </c>
      <c r="K39" s="236">
        <f t="shared" si="1"/>
        <v>0.90384615384615385</v>
      </c>
      <c r="L39" s="75">
        <v>694</v>
      </c>
      <c r="M39" s="75">
        <v>580</v>
      </c>
      <c r="N39" s="236">
        <f t="shared" si="4"/>
        <v>0.83573487031700289</v>
      </c>
      <c r="O39" s="98"/>
    </row>
    <row r="40" spans="1:15" ht="30.75" customHeight="1">
      <c r="A40" s="426">
        <v>36</v>
      </c>
      <c r="B40" s="93" t="s">
        <v>48</v>
      </c>
      <c r="C40" s="74">
        <v>58</v>
      </c>
      <c r="D40" s="74">
        <v>58</v>
      </c>
      <c r="E40" s="236">
        <f t="shared" si="3"/>
        <v>1</v>
      </c>
      <c r="F40" s="75">
        <v>1514</v>
      </c>
      <c r="G40" s="75">
        <v>1510</v>
      </c>
      <c r="H40" s="236">
        <f t="shared" si="0"/>
        <v>0.99735799207397624</v>
      </c>
      <c r="I40" s="75">
        <v>574</v>
      </c>
      <c r="J40" s="75">
        <v>571</v>
      </c>
      <c r="K40" s="236">
        <f t="shared" si="1"/>
        <v>0.99477351916376311</v>
      </c>
      <c r="L40" s="75">
        <v>2146</v>
      </c>
      <c r="M40" s="75">
        <v>2139</v>
      </c>
      <c r="N40" s="236">
        <f t="shared" si="4"/>
        <v>0.99673811742777263</v>
      </c>
      <c r="O40" s="98"/>
    </row>
    <row r="41" spans="1:15" ht="27.75" customHeight="1">
      <c r="A41" s="942" t="s">
        <v>49</v>
      </c>
      <c r="B41" s="942"/>
      <c r="C41" s="76">
        <v>1168</v>
      </c>
      <c r="D41" s="76">
        <v>1162</v>
      </c>
      <c r="E41" s="237">
        <f t="shared" si="3"/>
        <v>0.99486301369863017</v>
      </c>
      <c r="F41" s="73">
        <v>45473</v>
      </c>
      <c r="G41" s="73">
        <v>42825</v>
      </c>
      <c r="H41" s="237">
        <f t="shared" si="0"/>
        <v>0.94176764233721111</v>
      </c>
      <c r="I41" s="73">
        <v>12002</v>
      </c>
      <c r="J41" s="73">
        <v>10576</v>
      </c>
      <c r="K41" s="237">
        <f t="shared" si="1"/>
        <v>0.88118646892184638</v>
      </c>
      <c r="L41" s="73">
        <v>58643</v>
      </c>
      <c r="M41" s="73">
        <v>54563</v>
      </c>
      <c r="N41" s="237">
        <f t="shared" si="4"/>
        <v>0.9304264788636325</v>
      </c>
    </row>
    <row r="42" spans="1:15" ht="36" customHeight="1">
      <c r="A42" s="943" t="s">
        <v>175</v>
      </c>
      <c r="B42" s="943"/>
      <c r="C42" s="943"/>
      <c r="D42" s="943"/>
      <c r="E42" s="943"/>
      <c r="F42" s="943"/>
      <c r="G42" s="943"/>
      <c r="H42" s="943"/>
      <c r="I42" s="943"/>
      <c r="J42" s="943"/>
      <c r="K42" s="943"/>
      <c r="L42" s="943"/>
      <c r="M42" s="943"/>
      <c r="N42" s="943"/>
    </row>
  </sheetData>
  <mergeCells count="9">
    <mergeCell ref="C1:N1"/>
    <mergeCell ref="A41:B41"/>
    <mergeCell ref="A42:N42"/>
    <mergeCell ref="A2:A3"/>
    <mergeCell ref="B2:B3"/>
    <mergeCell ref="C2:E2"/>
    <mergeCell ref="F2:H2"/>
    <mergeCell ref="I2:K2"/>
    <mergeCell ref="L2:N2"/>
  </mergeCells>
  <pageMargins left="0.56999999999999995" right="0.4" top="0.51181102362204722" bottom="0.51181102362204722" header="0.31496062992125984" footer="0.31496062992125984"/>
  <pageSetup scale="56" orientation="portrait" r:id="rId1"/>
  <headerFooter>
    <oddFooter>&amp;LAISHE 2021-22&amp;CT-1a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Y37"/>
  <sheetViews>
    <sheetView showZeros="0" view="pageBreakPreview" zoomScaleSheetLayoutView="100" workbookViewId="0">
      <pane ySplit="2" topLeftCell="A3" activePane="bottomLeft" state="frozen"/>
      <selection activeCell="F15" sqref="F15"/>
      <selection pane="bottomLeft" activeCell="F15" sqref="F15"/>
    </sheetView>
  </sheetViews>
  <sheetFormatPr defaultColWidth="9.28515625" defaultRowHeight="18.75"/>
  <cols>
    <col min="1" max="1" width="7.5703125" style="500" customWidth="1"/>
    <col min="2" max="2" width="22.7109375" style="110" customWidth="1"/>
    <col min="3" max="8" width="8.5703125" style="102" customWidth="1"/>
    <col min="9" max="9" width="9.5703125" style="102" customWidth="1"/>
    <col min="10" max="10" width="9.28515625" style="102" customWidth="1"/>
    <col min="11" max="11" width="10.7109375" style="102" customWidth="1"/>
    <col min="12" max="12" width="8.5703125" style="102" customWidth="1"/>
    <col min="13" max="13" width="7.7109375" style="102" customWidth="1"/>
    <col min="14" max="18" width="8.5703125" style="102" customWidth="1"/>
    <col min="19" max="19" width="9" style="102" customWidth="1"/>
    <col min="20" max="24" width="8.5703125" style="102" customWidth="1"/>
    <col min="25" max="25" width="9.28515625" style="102"/>
    <col min="26" max="16384" width="9.28515625" style="110"/>
  </cols>
  <sheetData>
    <row r="1" spans="1:25" s="104" customFormat="1" ht="35.25" customHeight="1">
      <c r="A1" s="500"/>
      <c r="B1" s="103" t="s">
        <v>176</v>
      </c>
      <c r="C1" s="946" t="s">
        <v>1084</v>
      </c>
      <c r="D1" s="946"/>
      <c r="E1" s="946"/>
      <c r="F1" s="946"/>
      <c r="G1" s="946"/>
      <c r="H1" s="946"/>
      <c r="I1" s="946"/>
      <c r="J1" s="946"/>
      <c r="K1" s="946"/>
      <c r="L1" s="946"/>
      <c r="M1" s="102"/>
      <c r="N1" s="946" t="str">
        <f>C1</f>
        <v>States/UTs &amp; Specialisation-wise Number of Universities
 (Based on Actual Response)</v>
      </c>
      <c r="O1" s="946"/>
      <c r="P1" s="946"/>
      <c r="Q1" s="946"/>
      <c r="R1" s="946"/>
      <c r="S1" s="946"/>
      <c r="T1" s="946"/>
      <c r="U1" s="946"/>
      <c r="V1" s="946"/>
      <c r="W1" s="946"/>
      <c r="X1" s="946"/>
      <c r="Y1" s="946"/>
    </row>
    <row r="2" spans="1:25" s="108" customFormat="1" ht="107.25" customHeight="1">
      <c r="A2" s="105" t="s">
        <v>988</v>
      </c>
      <c r="B2" s="106" t="s">
        <v>137</v>
      </c>
      <c r="C2" s="107" t="s">
        <v>5</v>
      </c>
      <c r="D2" s="107" t="s">
        <v>6</v>
      </c>
      <c r="E2" s="107" t="s">
        <v>177</v>
      </c>
      <c r="F2" s="107" t="s">
        <v>206</v>
      </c>
      <c r="G2" s="107" t="s">
        <v>877</v>
      </c>
      <c r="H2" s="107" t="s">
        <v>178</v>
      </c>
      <c r="I2" s="107" t="s">
        <v>179</v>
      </c>
      <c r="J2" s="107" t="s">
        <v>207</v>
      </c>
      <c r="K2" s="107" t="s">
        <v>180</v>
      </c>
      <c r="L2" s="107" t="s">
        <v>181</v>
      </c>
      <c r="M2" s="107" t="s">
        <v>8</v>
      </c>
      <c r="N2" s="107" t="s">
        <v>182</v>
      </c>
      <c r="O2" s="107" t="s">
        <v>7</v>
      </c>
      <c r="P2" s="107" t="s">
        <v>183</v>
      </c>
      <c r="Q2" s="107" t="s">
        <v>184</v>
      </c>
      <c r="R2" s="107" t="s">
        <v>185</v>
      </c>
      <c r="S2" s="107" t="s">
        <v>186</v>
      </c>
      <c r="T2" s="107" t="s">
        <v>208</v>
      </c>
      <c r="U2" s="107" t="s">
        <v>203</v>
      </c>
      <c r="V2" s="107" t="s">
        <v>9</v>
      </c>
      <c r="W2" s="107" t="s">
        <v>10</v>
      </c>
      <c r="X2" s="107" t="s">
        <v>209</v>
      </c>
      <c r="Y2" s="107" t="s">
        <v>60</v>
      </c>
    </row>
    <row r="3" spans="1:25" s="503" customFormat="1" ht="15" customHeight="1">
      <c r="A3" s="502">
        <v>1</v>
      </c>
      <c r="B3" s="502">
        <v>2</v>
      </c>
      <c r="C3" s="502">
        <v>3</v>
      </c>
      <c r="D3" s="502">
        <v>4</v>
      </c>
      <c r="E3" s="502">
        <v>5</v>
      </c>
      <c r="F3" s="502">
        <v>6</v>
      </c>
      <c r="G3" s="502">
        <v>7</v>
      </c>
      <c r="H3" s="502">
        <v>8</v>
      </c>
      <c r="I3" s="502">
        <v>9</v>
      </c>
      <c r="J3" s="502">
        <v>10</v>
      </c>
      <c r="K3" s="502">
        <v>11</v>
      </c>
      <c r="L3" s="502">
        <v>12</v>
      </c>
      <c r="M3" s="502">
        <v>13</v>
      </c>
      <c r="N3" s="502">
        <v>14</v>
      </c>
      <c r="O3" s="502">
        <v>15</v>
      </c>
      <c r="P3" s="502">
        <v>16</v>
      </c>
      <c r="Q3" s="502">
        <v>17</v>
      </c>
      <c r="R3" s="502">
        <v>18</v>
      </c>
      <c r="S3" s="502">
        <v>19</v>
      </c>
      <c r="T3" s="502">
        <v>20</v>
      </c>
      <c r="U3" s="502">
        <v>21</v>
      </c>
      <c r="V3" s="502">
        <v>22</v>
      </c>
      <c r="W3" s="502">
        <v>23</v>
      </c>
      <c r="X3" s="502">
        <v>24</v>
      </c>
      <c r="Y3" s="502">
        <v>25</v>
      </c>
    </row>
    <row r="4" spans="1:25" ht="26.25" customHeight="1">
      <c r="A4" s="501">
        <v>1</v>
      </c>
      <c r="B4" s="109" t="s">
        <v>15</v>
      </c>
      <c r="C4" s="504">
        <v>21</v>
      </c>
      <c r="D4" s="504">
        <v>2</v>
      </c>
      <c r="E4" s="504"/>
      <c r="F4" s="504"/>
      <c r="G4" s="504"/>
      <c r="H4" s="504">
        <v>1</v>
      </c>
      <c r="I4" s="504"/>
      <c r="J4" s="504"/>
      <c r="K4" s="504"/>
      <c r="L4" s="504">
        <v>1</v>
      </c>
      <c r="M4" s="504">
        <v>1</v>
      </c>
      <c r="N4" s="504">
        <v>1</v>
      </c>
      <c r="O4" s="504">
        <v>3</v>
      </c>
      <c r="P4" s="504"/>
      <c r="Q4" s="504"/>
      <c r="R4" s="504">
        <v>2</v>
      </c>
      <c r="S4" s="504">
        <v>2</v>
      </c>
      <c r="T4" s="504"/>
      <c r="U4" s="504"/>
      <c r="V4" s="504">
        <v>12</v>
      </c>
      <c r="W4" s="504">
        <v>1</v>
      </c>
      <c r="X4" s="504"/>
      <c r="Y4" s="504">
        <v>47</v>
      </c>
    </row>
    <row r="5" spans="1:25" ht="30.75" customHeight="1">
      <c r="A5" s="501">
        <v>2</v>
      </c>
      <c r="B5" s="109" t="s">
        <v>16</v>
      </c>
      <c r="C5" s="504">
        <v>7</v>
      </c>
      <c r="D5" s="504"/>
      <c r="E5" s="504"/>
      <c r="F5" s="504"/>
      <c r="G5" s="504"/>
      <c r="H5" s="504"/>
      <c r="I5" s="504"/>
      <c r="J5" s="504"/>
      <c r="K5" s="504"/>
      <c r="L5" s="504"/>
      <c r="M5" s="504"/>
      <c r="N5" s="504"/>
      <c r="O5" s="504">
        <v>1</v>
      </c>
      <c r="P5" s="504"/>
      <c r="Q5" s="504"/>
      <c r="R5" s="504"/>
      <c r="S5" s="504"/>
      <c r="T5" s="504"/>
      <c r="U5" s="504"/>
      <c r="V5" s="504">
        <v>2</v>
      </c>
      <c r="W5" s="504"/>
      <c r="X5" s="504"/>
      <c r="Y5" s="504">
        <v>10</v>
      </c>
    </row>
    <row r="6" spans="1:25" ht="26.25" customHeight="1">
      <c r="A6" s="501">
        <v>3</v>
      </c>
      <c r="B6" s="109" t="s">
        <v>17</v>
      </c>
      <c r="C6" s="504">
        <v>16</v>
      </c>
      <c r="D6" s="504">
        <v>1</v>
      </c>
      <c r="E6" s="504"/>
      <c r="F6" s="504"/>
      <c r="G6" s="504">
        <v>1</v>
      </c>
      <c r="H6" s="504"/>
      <c r="I6" s="504"/>
      <c r="J6" s="504"/>
      <c r="K6" s="504"/>
      <c r="L6" s="504"/>
      <c r="M6" s="504">
        <v>1</v>
      </c>
      <c r="N6" s="504"/>
      <c r="O6" s="504">
        <v>2</v>
      </c>
      <c r="P6" s="504"/>
      <c r="Q6" s="504"/>
      <c r="R6" s="504">
        <v>1</v>
      </c>
      <c r="S6" s="504"/>
      <c r="T6" s="504"/>
      <c r="U6" s="504">
        <v>1</v>
      </c>
      <c r="V6" s="504">
        <v>7</v>
      </c>
      <c r="W6" s="504"/>
      <c r="X6" s="504"/>
      <c r="Y6" s="504">
        <v>30</v>
      </c>
    </row>
    <row r="7" spans="1:25" ht="26.25" customHeight="1">
      <c r="A7" s="501">
        <v>4</v>
      </c>
      <c r="B7" s="109" t="s">
        <v>18</v>
      </c>
      <c r="C7" s="504">
        <v>25</v>
      </c>
      <c r="D7" s="504">
        <v>2</v>
      </c>
      <c r="E7" s="504"/>
      <c r="F7" s="504"/>
      <c r="G7" s="504"/>
      <c r="H7" s="504"/>
      <c r="I7" s="504"/>
      <c r="J7" s="504"/>
      <c r="K7" s="504"/>
      <c r="L7" s="504"/>
      <c r="M7" s="504"/>
      <c r="N7" s="504">
        <v>1</v>
      </c>
      <c r="O7" s="504">
        <v>3</v>
      </c>
      <c r="P7" s="504">
        <v>1</v>
      </c>
      <c r="Q7" s="504"/>
      <c r="R7" s="504">
        <v>1</v>
      </c>
      <c r="S7" s="504"/>
      <c r="T7" s="504"/>
      <c r="U7" s="504"/>
      <c r="V7" s="504">
        <v>3</v>
      </c>
      <c r="W7" s="504">
        <v>1</v>
      </c>
      <c r="X7" s="504"/>
      <c r="Y7" s="504">
        <v>37</v>
      </c>
    </row>
    <row r="8" spans="1:25" ht="26.25" customHeight="1">
      <c r="A8" s="501">
        <v>5</v>
      </c>
      <c r="B8" s="109" t="s">
        <v>19</v>
      </c>
      <c r="C8" s="504">
        <v>1</v>
      </c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>
        <v>1</v>
      </c>
      <c r="P8" s="504"/>
      <c r="Q8" s="504"/>
      <c r="R8" s="504"/>
      <c r="S8" s="504"/>
      <c r="T8" s="504"/>
      <c r="U8" s="504"/>
      <c r="V8" s="504">
        <v>1</v>
      </c>
      <c r="W8" s="504"/>
      <c r="X8" s="504"/>
      <c r="Y8" s="504">
        <v>3</v>
      </c>
    </row>
    <row r="9" spans="1:25" ht="26.25" customHeight="1">
      <c r="A9" s="501">
        <v>6</v>
      </c>
      <c r="B9" s="109" t="s">
        <v>20</v>
      </c>
      <c r="C9" s="504">
        <v>23</v>
      </c>
      <c r="D9" s="504"/>
      <c r="E9" s="504">
        <v>1</v>
      </c>
      <c r="F9" s="504"/>
      <c r="G9" s="504"/>
      <c r="H9" s="504"/>
      <c r="I9" s="504"/>
      <c r="J9" s="504"/>
      <c r="K9" s="504">
        <v>1</v>
      </c>
      <c r="L9" s="504"/>
      <c r="M9" s="504">
        <v>1</v>
      </c>
      <c r="N9" s="504">
        <v>2</v>
      </c>
      <c r="O9" s="504">
        <v>2</v>
      </c>
      <c r="P9" s="504"/>
      <c r="Q9" s="504"/>
      <c r="R9" s="504"/>
      <c r="S9" s="504"/>
      <c r="T9" s="504"/>
      <c r="U9" s="504"/>
      <c r="V9" s="504">
        <v>4</v>
      </c>
      <c r="W9" s="504"/>
      <c r="X9" s="504"/>
      <c r="Y9" s="504">
        <v>34</v>
      </c>
    </row>
    <row r="10" spans="1:25" ht="26.25" customHeight="1">
      <c r="A10" s="501">
        <v>7</v>
      </c>
      <c r="B10" s="109" t="s">
        <v>23</v>
      </c>
      <c r="C10" s="504">
        <v>10</v>
      </c>
      <c r="D10" s="504">
        <v>1</v>
      </c>
      <c r="E10" s="504">
        <v>1</v>
      </c>
      <c r="F10" s="504"/>
      <c r="G10" s="504"/>
      <c r="H10" s="504">
        <v>1</v>
      </c>
      <c r="I10" s="504"/>
      <c r="J10" s="504"/>
      <c r="K10" s="504"/>
      <c r="L10" s="504"/>
      <c r="M10" s="504">
        <v>2</v>
      </c>
      <c r="N10" s="504"/>
      <c r="O10" s="504">
        <v>3</v>
      </c>
      <c r="P10" s="504"/>
      <c r="Q10" s="504"/>
      <c r="R10" s="504">
        <v>2</v>
      </c>
      <c r="S10" s="504">
        <v>1</v>
      </c>
      <c r="T10" s="504"/>
      <c r="U10" s="504"/>
      <c r="V10" s="504">
        <v>8</v>
      </c>
      <c r="W10" s="504"/>
      <c r="X10" s="504">
        <v>1</v>
      </c>
      <c r="Y10" s="504">
        <v>30</v>
      </c>
    </row>
    <row r="11" spans="1:25" ht="26.25" customHeight="1">
      <c r="A11" s="501">
        <v>8</v>
      </c>
      <c r="B11" s="109" t="s">
        <v>24</v>
      </c>
      <c r="C11" s="504">
        <v>1</v>
      </c>
      <c r="D11" s="504"/>
      <c r="E11" s="504"/>
      <c r="F11" s="504"/>
      <c r="G11" s="504"/>
      <c r="H11" s="504"/>
      <c r="I11" s="504"/>
      <c r="J11" s="504"/>
      <c r="K11" s="504"/>
      <c r="L11" s="504"/>
      <c r="M11" s="504"/>
      <c r="N11" s="504"/>
      <c r="O11" s="504"/>
      <c r="P11" s="504"/>
      <c r="Q11" s="504"/>
      <c r="R11" s="504"/>
      <c r="S11" s="504"/>
      <c r="T11" s="504"/>
      <c r="U11" s="504"/>
      <c r="V11" s="504">
        <v>2</v>
      </c>
      <c r="W11" s="504"/>
      <c r="X11" s="504"/>
      <c r="Y11" s="504">
        <v>3</v>
      </c>
    </row>
    <row r="12" spans="1:25" ht="26.25" customHeight="1">
      <c r="A12" s="501">
        <v>9</v>
      </c>
      <c r="B12" s="109" t="s">
        <v>25</v>
      </c>
      <c r="C12" s="504">
        <v>57</v>
      </c>
      <c r="D12" s="504">
        <v>4</v>
      </c>
      <c r="E12" s="504">
        <v>1</v>
      </c>
      <c r="F12" s="504"/>
      <c r="G12" s="504"/>
      <c r="H12" s="504"/>
      <c r="I12" s="504"/>
      <c r="J12" s="504"/>
      <c r="K12" s="504"/>
      <c r="L12" s="504"/>
      <c r="M12" s="504">
        <v>1</v>
      </c>
      <c r="N12" s="504">
        <v>2</v>
      </c>
      <c r="O12" s="504">
        <v>4</v>
      </c>
      <c r="P12" s="504"/>
      <c r="Q12" s="504"/>
      <c r="R12" s="504">
        <v>1</v>
      </c>
      <c r="S12" s="504">
        <v>3</v>
      </c>
      <c r="T12" s="504"/>
      <c r="U12" s="504">
        <v>2</v>
      </c>
      <c r="V12" s="504">
        <v>15</v>
      </c>
      <c r="W12" s="504"/>
      <c r="X12" s="504">
        <v>1</v>
      </c>
      <c r="Y12" s="504">
        <v>91</v>
      </c>
    </row>
    <row r="13" spans="1:25" ht="26.25" customHeight="1">
      <c r="A13" s="501">
        <v>10</v>
      </c>
      <c r="B13" s="109" t="s">
        <v>26</v>
      </c>
      <c r="C13" s="504">
        <v>34</v>
      </c>
      <c r="D13" s="504">
        <v>3</v>
      </c>
      <c r="E13" s="504"/>
      <c r="F13" s="504"/>
      <c r="G13" s="504"/>
      <c r="H13" s="504"/>
      <c r="I13" s="504"/>
      <c r="J13" s="504"/>
      <c r="K13" s="504"/>
      <c r="L13" s="504"/>
      <c r="M13" s="504">
        <v>1</v>
      </c>
      <c r="N13" s="504">
        <v>1</v>
      </c>
      <c r="O13" s="504">
        <v>3</v>
      </c>
      <c r="P13" s="504"/>
      <c r="Q13" s="504"/>
      <c r="R13" s="504">
        <v>1</v>
      </c>
      <c r="S13" s="504">
        <v>3</v>
      </c>
      <c r="T13" s="504">
        <v>1</v>
      </c>
      <c r="U13" s="504"/>
      <c r="V13" s="504">
        <v>8</v>
      </c>
      <c r="W13" s="504">
        <v>1</v>
      </c>
      <c r="X13" s="504"/>
      <c r="Y13" s="504">
        <v>56</v>
      </c>
    </row>
    <row r="14" spans="1:25" ht="26.25" customHeight="1">
      <c r="A14" s="501">
        <v>11</v>
      </c>
      <c r="B14" s="109" t="s">
        <v>27</v>
      </c>
      <c r="C14" s="504">
        <v>16</v>
      </c>
      <c r="D14" s="504">
        <v>2</v>
      </c>
      <c r="E14" s="504"/>
      <c r="F14" s="504">
        <v>1</v>
      </c>
      <c r="G14" s="504"/>
      <c r="H14" s="504"/>
      <c r="I14" s="504"/>
      <c r="J14" s="504"/>
      <c r="K14" s="504"/>
      <c r="L14" s="504"/>
      <c r="M14" s="504">
        <v>1</v>
      </c>
      <c r="N14" s="504">
        <v>1</v>
      </c>
      <c r="O14" s="504">
        <v>1</v>
      </c>
      <c r="P14" s="504"/>
      <c r="Q14" s="504"/>
      <c r="R14" s="504"/>
      <c r="S14" s="504"/>
      <c r="T14" s="504"/>
      <c r="U14" s="504"/>
      <c r="V14" s="504">
        <v>7</v>
      </c>
      <c r="W14" s="504"/>
      <c r="X14" s="504"/>
      <c r="Y14" s="504">
        <v>29</v>
      </c>
    </row>
    <row r="15" spans="1:25" ht="30.75" customHeight="1">
      <c r="A15" s="501">
        <v>12</v>
      </c>
      <c r="B15" s="109" t="s">
        <v>57</v>
      </c>
      <c r="C15" s="504">
        <v>8</v>
      </c>
      <c r="D15" s="504">
        <v>2</v>
      </c>
      <c r="E15" s="504"/>
      <c r="F15" s="504"/>
      <c r="G15" s="504"/>
      <c r="H15" s="504"/>
      <c r="I15" s="504"/>
      <c r="J15" s="504"/>
      <c r="K15" s="504"/>
      <c r="L15" s="504"/>
      <c r="M15" s="504"/>
      <c r="N15" s="504">
        <v>1</v>
      </c>
      <c r="O15" s="504">
        <v>2</v>
      </c>
      <c r="P15" s="504"/>
      <c r="Q15" s="504"/>
      <c r="R15" s="504"/>
      <c r="S15" s="504">
        <v>1</v>
      </c>
      <c r="T15" s="504"/>
      <c r="U15" s="504"/>
      <c r="V15" s="504">
        <v>2</v>
      </c>
      <c r="W15" s="504"/>
      <c r="X15" s="504"/>
      <c r="Y15" s="504">
        <v>16</v>
      </c>
    </row>
    <row r="16" spans="1:25" ht="26.25" customHeight="1">
      <c r="A16" s="501">
        <v>13</v>
      </c>
      <c r="B16" s="109" t="s">
        <v>29</v>
      </c>
      <c r="C16" s="504">
        <v>21</v>
      </c>
      <c r="D16" s="504">
        <v>1</v>
      </c>
      <c r="E16" s="504"/>
      <c r="F16" s="504">
        <v>1</v>
      </c>
      <c r="G16" s="504"/>
      <c r="H16" s="504"/>
      <c r="I16" s="504"/>
      <c r="J16" s="504"/>
      <c r="K16" s="504"/>
      <c r="L16" s="504"/>
      <c r="M16" s="504">
        <v>1</v>
      </c>
      <c r="N16" s="504">
        <v>1</v>
      </c>
      <c r="O16" s="504">
        <v>1</v>
      </c>
      <c r="P16" s="504"/>
      <c r="Q16" s="504"/>
      <c r="R16" s="504"/>
      <c r="S16" s="504"/>
      <c r="T16" s="504"/>
      <c r="U16" s="504"/>
      <c r="V16" s="504">
        <v>6</v>
      </c>
      <c r="W16" s="504"/>
      <c r="X16" s="504">
        <v>1</v>
      </c>
      <c r="Y16" s="504">
        <v>33</v>
      </c>
    </row>
    <row r="17" spans="1:25" ht="26.25" customHeight="1">
      <c r="A17" s="501">
        <v>14</v>
      </c>
      <c r="B17" s="109" t="s">
        <v>30</v>
      </c>
      <c r="C17" s="504">
        <v>44</v>
      </c>
      <c r="D17" s="504">
        <v>5</v>
      </c>
      <c r="E17" s="504"/>
      <c r="F17" s="504"/>
      <c r="G17" s="504"/>
      <c r="H17" s="504">
        <v>1</v>
      </c>
      <c r="I17" s="504"/>
      <c r="J17" s="504"/>
      <c r="K17" s="504"/>
      <c r="L17" s="504"/>
      <c r="M17" s="504">
        <v>2</v>
      </c>
      <c r="N17" s="504">
        <v>1</v>
      </c>
      <c r="O17" s="504">
        <v>5</v>
      </c>
      <c r="P17" s="504"/>
      <c r="Q17" s="504">
        <v>1</v>
      </c>
      <c r="R17" s="504">
        <v>1</v>
      </c>
      <c r="S17" s="504">
        <v>4</v>
      </c>
      <c r="T17" s="504">
        <v>2</v>
      </c>
      <c r="U17" s="504">
        <v>1</v>
      </c>
      <c r="V17" s="504">
        <v>7</v>
      </c>
      <c r="W17" s="504">
        <v>1</v>
      </c>
      <c r="X17" s="504"/>
      <c r="Y17" s="504">
        <v>75</v>
      </c>
    </row>
    <row r="18" spans="1:25" ht="26.25" customHeight="1">
      <c r="A18" s="501">
        <v>15</v>
      </c>
      <c r="B18" s="109" t="s">
        <v>31</v>
      </c>
      <c r="C18" s="504">
        <v>8</v>
      </c>
      <c r="D18" s="504">
        <v>1</v>
      </c>
      <c r="E18" s="504"/>
      <c r="F18" s="504"/>
      <c r="G18" s="504"/>
      <c r="H18" s="504"/>
      <c r="I18" s="504">
        <v>1</v>
      </c>
      <c r="J18" s="504"/>
      <c r="K18" s="504"/>
      <c r="L18" s="504">
        <v>1</v>
      </c>
      <c r="M18" s="504">
        <v>1</v>
      </c>
      <c r="N18" s="504">
        <v>1</v>
      </c>
      <c r="O18" s="504">
        <v>2</v>
      </c>
      <c r="P18" s="504"/>
      <c r="Q18" s="504"/>
      <c r="R18" s="504">
        <v>1</v>
      </c>
      <c r="S18" s="504">
        <v>2</v>
      </c>
      <c r="T18" s="504"/>
      <c r="U18" s="504"/>
      <c r="V18" s="504">
        <v>5</v>
      </c>
      <c r="W18" s="504">
        <v>1</v>
      </c>
      <c r="X18" s="504">
        <v>1</v>
      </c>
      <c r="Y18" s="504">
        <v>25</v>
      </c>
    </row>
    <row r="19" spans="1:25" ht="26.25" customHeight="1">
      <c r="A19" s="501">
        <v>16</v>
      </c>
      <c r="B19" s="111" t="s">
        <v>154</v>
      </c>
      <c r="C19" s="504">
        <v>1</v>
      </c>
      <c r="D19" s="504"/>
      <c r="E19" s="504"/>
      <c r="F19" s="504"/>
      <c r="G19" s="504"/>
      <c r="H19" s="504"/>
      <c r="I19" s="504"/>
      <c r="J19" s="504"/>
      <c r="K19" s="504"/>
      <c r="L19" s="504"/>
      <c r="M19" s="504"/>
      <c r="N19" s="504"/>
      <c r="O19" s="504"/>
      <c r="P19" s="504">
        <v>1</v>
      </c>
      <c r="Q19" s="504"/>
      <c r="R19" s="504"/>
      <c r="S19" s="504"/>
      <c r="T19" s="504"/>
      <c r="U19" s="504"/>
      <c r="V19" s="504"/>
      <c r="W19" s="504"/>
      <c r="X19" s="504"/>
      <c r="Y19" s="504">
        <v>2</v>
      </c>
    </row>
    <row r="20" spans="1:25" ht="26.25" customHeight="1">
      <c r="A20" s="501">
        <v>17</v>
      </c>
      <c r="B20" s="109" t="s">
        <v>33</v>
      </c>
      <c r="C20" s="504">
        <v>48</v>
      </c>
      <c r="D20" s="504">
        <v>2</v>
      </c>
      <c r="E20" s="504"/>
      <c r="F20" s="504"/>
      <c r="G20" s="504"/>
      <c r="H20" s="504">
        <v>1</v>
      </c>
      <c r="I20" s="504"/>
      <c r="J20" s="504">
        <v>1</v>
      </c>
      <c r="K20" s="504">
        <v>1</v>
      </c>
      <c r="L20" s="504">
        <v>1</v>
      </c>
      <c r="M20" s="504">
        <v>2</v>
      </c>
      <c r="N20" s="504">
        <v>1</v>
      </c>
      <c r="O20" s="504">
        <v>3</v>
      </c>
      <c r="P20" s="504"/>
      <c r="Q20" s="504"/>
      <c r="R20" s="504">
        <v>2</v>
      </c>
      <c r="S20" s="504">
        <v>3</v>
      </c>
      <c r="T20" s="504">
        <v>1</v>
      </c>
      <c r="U20" s="504">
        <v>1</v>
      </c>
      <c r="V20" s="504">
        <v>10</v>
      </c>
      <c r="W20" s="504"/>
      <c r="X20" s="504"/>
      <c r="Y20" s="504">
        <v>77</v>
      </c>
    </row>
    <row r="21" spans="1:25" ht="26.25" customHeight="1">
      <c r="A21" s="501">
        <v>18</v>
      </c>
      <c r="B21" s="109" t="s">
        <v>34</v>
      </c>
      <c r="C21" s="504">
        <v>37</v>
      </c>
      <c r="D21" s="504">
        <v>5</v>
      </c>
      <c r="E21" s="504"/>
      <c r="F21" s="504"/>
      <c r="G21" s="504"/>
      <c r="H21" s="504">
        <v>1</v>
      </c>
      <c r="I21" s="504">
        <v>1</v>
      </c>
      <c r="J21" s="504"/>
      <c r="K21" s="504"/>
      <c r="L21" s="504">
        <v>1</v>
      </c>
      <c r="M21" s="504">
        <v>3</v>
      </c>
      <c r="N21" s="504">
        <v>2</v>
      </c>
      <c r="O21" s="504">
        <v>7</v>
      </c>
      <c r="P21" s="504"/>
      <c r="Q21" s="504"/>
      <c r="R21" s="504">
        <v>1</v>
      </c>
      <c r="S21" s="504">
        <v>4</v>
      </c>
      <c r="T21" s="504">
        <v>3</v>
      </c>
      <c r="U21" s="504"/>
      <c r="V21" s="504">
        <v>8</v>
      </c>
      <c r="W21" s="504">
        <v>1</v>
      </c>
      <c r="X21" s="504"/>
      <c r="Y21" s="504">
        <v>74</v>
      </c>
    </row>
    <row r="22" spans="1:25" ht="26.25" customHeight="1">
      <c r="A22" s="501">
        <v>19</v>
      </c>
      <c r="B22" s="109" t="s">
        <v>35</v>
      </c>
      <c r="C22" s="504">
        <v>3</v>
      </c>
      <c r="D22" s="504">
        <v>1</v>
      </c>
      <c r="E22" s="504"/>
      <c r="F22" s="504"/>
      <c r="G22" s="504">
        <v>1</v>
      </c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>
        <v>1</v>
      </c>
      <c r="V22" s="504">
        <v>3</v>
      </c>
      <c r="W22" s="504"/>
      <c r="X22" s="504"/>
      <c r="Y22" s="504">
        <v>9</v>
      </c>
    </row>
    <row r="23" spans="1:25" ht="26.25" customHeight="1">
      <c r="A23" s="501">
        <v>20</v>
      </c>
      <c r="B23" s="109" t="s">
        <v>36</v>
      </c>
      <c r="C23" s="504">
        <v>6</v>
      </c>
      <c r="D23" s="504"/>
      <c r="E23" s="504"/>
      <c r="F23" s="504">
        <v>1</v>
      </c>
      <c r="G23" s="504"/>
      <c r="H23" s="504"/>
      <c r="I23" s="504"/>
      <c r="J23" s="504"/>
      <c r="K23" s="504"/>
      <c r="L23" s="504"/>
      <c r="M23" s="504"/>
      <c r="N23" s="504">
        <v>1</v>
      </c>
      <c r="O23" s="504"/>
      <c r="P23" s="504"/>
      <c r="Q23" s="504"/>
      <c r="R23" s="504"/>
      <c r="S23" s="504">
        <v>1</v>
      </c>
      <c r="T23" s="504"/>
      <c r="U23" s="504"/>
      <c r="V23" s="504">
        <v>2</v>
      </c>
      <c r="W23" s="504"/>
      <c r="X23" s="504"/>
      <c r="Y23" s="504">
        <v>11</v>
      </c>
    </row>
    <row r="24" spans="1:25" ht="26.25" customHeight="1">
      <c r="A24" s="501">
        <v>21</v>
      </c>
      <c r="B24" s="109" t="s">
        <v>37</v>
      </c>
      <c r="C24" s="504">
        <v>1</v>
      </c>
      <c r="D24" s="504"/>
      <c r="E24" s="504"/>
      <c r="F24" s="504">
        <v>1</v>
      </c>
      <c r="G24" s="504"/>
      <c r="H24" s="504"/>
      <c r="I24" s="504"/>
      <c r="J24" s="504"/>
      <c r="K24" s="504"/>
      <c r="L24" s="504"/>
      <c r="M24" s="504"/>
      <c r="N24" s="504"/>
      <c r="O24" s="504"/>
      <c r="P24" s="504"/>
      <c r="Q24" s="504"/>
      <c r="R24" s="504"/>
      <c r="S24" s="504"/>
      <c r="T24" s="504"/>
      <c r="U24" s="504"/>
      <c r="V24" s="504">
        <v>1</v>
      </c>
      <c r="W24" s="504"/>
      <c r="X24" s="504"/>
      <c r="Y24" s="504">
        <v>3</v>
      </c>
    </row>
    <row r="25" spans="1:25" ht="26.25" customHeight="1">
      <c r="A25" s="501">
        <v>22</v>
      </c>
      <c r="B25" s="109" t="s">
        <v>38</v>
      </c>
      <c r="C25" s="504">
        <v>4</v>
      </c>
      <c r="D25" s="504"/>
      <c r="E25" s="504"/>
      <c r="F25" s="504">
        <v>1</v>
      </c>
      <c r="G25" s="504"/>
      <c r="H25" s="504"/>
      <c r="I25" s="504"/>
      <c r="J25" s="504"/>
      <c r="K25" s="504"/>
      <c r="L25" s="504"/>
      <c r="M25" s="504"/>
      <c r="N25" s="504"/>
      <c r="O25" s="504"/>
      <c r="P25" s="504"/>
      <c r="Q25" s="504"/>
      <c r="R25" s="504"/>
      <c r="S25" s="504"/>
      <c r="T25" s="504"/>
      <c r="U25" s="504"/>
      <c r="V25" s="504">
        <v>1</v>
      </c>
      <c r="W25" s="504"/>
      <c r="X25" s="504"/>
      <c r="Y25" s="504">
        <v>6</v>
      </c>
    </row>
    <row r="26" spans="1:25" ht="26.25" customHeight="1">
      <c r="A26" s="501">
        <v>23</v>
      </c>
      <c r="B26" s="109" t="s">
        <v>39</v>
      </c>
      <c r="C26" s="504">
        <v>19</v>
      </c>
      <c r="D26" s="504">
        <v>1</v>
      </c>
      <c r="E26" s="504"/>
      <c r="F26" s="504"/>
      <c r="G26" s="504">
        <v>1</v>
      </c>
      <c r="H26" s="504"/>
      <c r="I26" s="504"/>
      <c r="J26" s="504"/>
      <c r="K26" s="504"/>
      <c r="L26" s="504"/>
      <c r="M26" s="504">
        <v>2</v>
      </c>
      <c r="N26" s="504">
        <v>1</v>
      </c>
      <c r="O26" s="504">
        <v>2</v>
      </c>
      <c r="P26" s="504"/>
      <c r="Q26" s="504"/>
      <c r="R26" s="504">
        <v>1</v>
      </c>
      <c r="S26" s="504">
        <v>1</v>
      </c>
      <c r="T26" s="504">
        <v>1</v>
      </c>
      <c r="U26" s="504"/>
      <c r="V26" s="504">
        <v>8</v>
      </c>
      <c r="W26" s="504"/>
      <c r="X26" s="504"/>
      <c r="Y26" s="504">
        <v>37</v>
      </c>
    </row>
    <row r="27" spans="1:25" ht="26.25" customHeight="1">
      <c r="A27" s="501">
        <v>24</v>
      </c>
      <c r="B27" s="109" t="s">
        <v>40</v>
      </c>
      <c r="C27" s="504">
        <v>2</v>
      </c>
      <c r="D27" s="504"/>
      <c r="E27" s="504"/>
      <c r="F27" s="504"/>
      <c r="G27" s="504"/>
      <c r="H27" s="504"/>
      <c r="I27" s="504"/>
      <c r="J27" s="504"/>
      <c r="K27" s="504"/>
      <c r="L27" s="504"/>
      <c r="M27" s="504"/>
      <c r="N27" s="504"/>
      <c r="O27" s="504">
        <v>1</v>
      </c>
      <c r="P27" s="504"/>
      <c r="Q27" s="504"/>
      <c r="R27" s="504"/>
      <c r="S27" s="504"/>
      <c r="T27" s="504"/>
      <c r="U27" s="504"/>
      <c r="V27" s="504">
        <v>1</v>
      </c>
      <c r="W27" s="504"/>
      <c r="X27" s="504"/>
      <c r="Y27" s="504">
        <v>4</v>
      </c>
    </row>
    <row r="28" spans="1:25" ht="26.25" customHeight="1">
      <c r="A28" s="501">
        <v>25</v>
      </c>
      <c r="B28" s="109" t="s">
        <v>41</v>
      </c>
      <c r="C28" s="504">
        <v>22</v>
      </c>
      <c r="D28" s="504">
        <v>1</v>
      </c>
      <c r="E28" s="504"/>
      <c r="F28" s="504"/>
      <c r="G28" s="504"/>
      <c r="H28" s="504"/>
      <c r="I28" s="504"/>
      <c r="J28" s="504"/>
      <c r="K28" s="504"/>
      <c r="L28" s="504"/>
      <c r="M28" s="504">
        <v>1</v>
      </c>
      <c r="N28" s="504">
        <v>1</v>
      </c>
      <c r="O28" s="504">
        <v>4</v>
      </c>
      <c r="P28" s="504"/>
      <c r="Q28" s="504"/>
      <c r="R28" s="504"/>
      <c r="S28" s="504">
        <v>1</v>
      </c>
      <c r="T28" s="504"/>
      <c r="U28" s="504">
        <v>1</v>
      </c>
      <c r="V28" s="504">
        <v>8</v>
      </c>
      <c r="W28" s="504">
        <v>1</v>
      </c>
      <c r="X28" s="504"/>
      <c r="Y28" s="504">
        <v>40</v>
      </c>
    </row>
    <row r="29" spans="1:25" ht="26.25" customHeight="1">
      <c r="A29" s="501">
        <v>26</v>
      </c>
      <c r="B29" s="109" t="s">
        <v>42</v>
      </c>
      <c r="C29" s="504">
        <v>56</v>
      </c>
      <c r="D29" s="504">
        <v>5</v>
      </c>
      <c r="E29" s="504"/>
      <c r="F29" s="504"/>
      <c r="G29" s="504"/>
      <c r="H29" s="504"/>
      <c r="I29" s="504"/>
      <c r="J29" s="504"/>
      <c r="K29" s="504">
        <v>1</v>
      </c>
      <c r="L29" s="504"/>
      <c r="M29" s="504">
        <v>2</v>
      </c>
      <c r="N29" s="504">
        <v>1</v>
      </c>
      <c r="O29" s="504">
        <v>8</v>
      </c>
      <c r="P29" s="504"/>
      <c r="Q29" s="504"/>
      <c r="R29" s="504">
        <v>2</v>
      </c>
      <c r="S29" s="504">
        <v>1</v>
      </c>
      <c r="T29" s="504"/>
      <c r="U29" s="504">
        <v>1</v>
      </c>
      <c r="V29" s="504">
        <v>11</v>
      </c>
      <c r="W29" s="504">
        <v>1</v>
      </c>
      <c r="X29" s="504"/>
      <c r="Y29" s="504">
        <v>89</v>
      </c>
    </row>
    <row r="30" spans="1:25" ht="26.25" customHeight="1">
      <c r="A30" s="501">
        <v>27</v>
      </c>
      <c r="B30" s="109" t="s">
        <v>43</v>
      </c>
      <c r="C30" s="504">
        <v>5</v>
      </c>
      <c r="D30" s="504"/>
      <c r="E30" s="504"/>
      <c r="F30" s="504">
        <v>1</v>
      </c>
      <c r="G30" s="504"/>
      <c r="H30" s="504"/>
      <c r="I30" s="504"/>
      <c r="J30" s="504"/>
      <c r="K30" s="504"/>
      <c r="L30" s="504"/>
      <c r="M30" s="504"/>
      <c r="N30" s="504"/>
      <c r="O30" s="504"/>
      <c r="P30" s="504"/>
      <c r="Q30" s="504"/>
      <c r="R30" s="504"/>
      <c r="S30" s="504"/>
      <c r="T30" s="504"/>
      <c r="U30" s="504"/>
      <c r="V30" s="504">
        <v>1</v>
      </c>
      <c r="W30" s="504"/>
      <c r="X30" s="504"/>
      <c r="Y30" s="504">
        <v>7</v>
      </c>
    </row>
    <row r="31" spans="1:25" ht="26.25" customHeight="1">
      <c r="A31" s="501">
        <v>28</v>
      </c>
      <c r="B31" s="109" t="s">
        <v>44</v>
      </c>
      <c r="C31" s="504">
        <v>28</v>
      </c>
      <c r="D31" s="504">
        <v>1</v>
      </c>
      <c r="E31" s="504"/>
      <c r="F31" s="504"/>
      <c r="G31" s="504"/>
      <c r="H31" s="504">
        <v>1</v>
      </c>
      <c r="I31" s="504">
        <v>1</v>
      </c>
      <c r="J31" s="504"/>
      <c r="K31" s="504"/>
      <c r="L31" s="504">
        <v>1</v>
      </c>
      <c r="M31" s="504">
        <v>2</v>
      </c>
      <c r="N31" s="504">
        <v>1</v>
      </c>
      <c r="O31" s="504">
        <v>3</v>
      </c>
      <c r="P31" s="504"/>
      <c r="Q31" s="504">
        <v>1</v>
      </c>
      <c r="R31" s="504"/>
      <c r="S31" s="504">
        <v>2</v>
      </c>
      <c r="T31" s="504"/>
      <c r="U31" s="504">
        <v>3</v>
      </c>
      <c r="V31" s="504">
        <v>17</v>
      </c>
      <c r="W31" s="504">
        <v>1</v>
      </c>
      <c r="X31" s="504"/>
      <c r="Y31" s="504">
        <v>62</v>
      </c>
    </row>
    <row r="32" spans="1:25" ht="26.25" customHeight="1">
      <c r="A32" s="501">
        <v>29</v>
      </c>
      <c r="B32" s="109" t="s">
        <v>131</v>
      </c>
      <c r="C32" s="504">
        <v>15</v>
      </c>
      <c r="D32" s="504">
        <v>2</v>
      </c>
      <c r="E32" s="504"/>
      <c r="F32" s="504"/>
      <c r="G32" s="504"/>
      <c r="H32" s="504">
        <v>1</v>
      </c>
      <c r="I32" s="504"/>
      <c r="J32" s="504"/>
      <c r="K32" s="504"/>
      <c r="L32" s="504">
        <v>1</v>
      </c>
      <c r="M32" s="504">
        <v>1</v>
      </c>
      <c r="N32" s="504"/>
      <c r="O32" s="504">
        <v>4</v>
      </c>
      <c r="P32" s="504">
        <v>1</v>
      </c>
      <c r="Q32" s="504"/>
      <c r="R32" s="504"/>
      <c r="S32" s="504"/>
      <c r="T32" s="504"/>
      <c r="U32" s="504"/>
      <c r="V32" s="504">
        <v>5</v>
      </c>
      <c r="W32" s="504">
        <v>1</v>
      </c>
      <c r="X32" s="504"/>
      <c r="Y32" s="504">
        <v>31</v>
      </c>
    </row>
    <row r="33" spans="1:25" ht="26.25" customHeight="1">
      <c r="A33" s="501">
        <v>30</v>
      </c>
      <c r="B33" s="109" t="s">
        <v>45</v>
      </c>
      <c r="C33" s="504">
        <v>2</v>
      </c>
      <c r="D33" s="504"/>
      <c r="E33" s="504"/>
      <c r="F33" s="504">
        <v>1</v>
      </c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>
        <v>2</v>
      </c>
      <c r="W33" s="504"/>
      <c r="X33" s="504"/>
      <c r="Y33" s="504">
        <v>5</v>
      </c>
    </row>
    <row r="34" spans="1:25" ht="26.25" customHeight="1">
      <c r="A34" s="501">
        <v>31</v>
      </c>
      <c r="B34" s="109" t="s">
        <v>47</v>
      </c>
      <c r="C34" s="504">
        <v>51</v>
      </c>
      <c r="D34" s="504">
        <v>6</v>
      </c>
      <c r="E34" s="504">
        <v>1</v>
      </c>
      <c r="F34" s="504"/>
      <c r="G34" s="504"/>
      <c r="H34" s="504">
        <v>1</v>
      </c>
      <c r="I34" s="504"/>
      <c r="J34" s="504">
        <v>1</v>
      </c>
      <c r="K34" s="504"/>
      <c r="L34" s="504">
        <v>1</v>
      </c>
      <c r="M34" s="504">
        <v>1</v>
      </c>
      <c r="N34" s="504">
        <v>1</v>
      </c>
      <c r="O34" s="504">
        <v>9</v>
      </c>
      <c r="P34" s="504"/>
      <c r="Q34" s="504"/>
      <c r="R34" s="504">
        <v>1</v>
      </c>
      <c r="S34" s="504">
        <v>1</v>
      </c>
      <c r="T34" s="504"/>
      <c r="U34" s="504"/>
      <c r="V34" s="504">
        <v>14</v>
      </c>
      <c r="W34" s="504">
        <v>2</v>
      </c>
      <c r="X34" s="504">
        <v>1</v>
      </c>
      <c r="Y34" s="504">
        <v>91</v>
      </c>
    </row>
    <row r="35" spans="1:25" ht="26.25" customHeight="1">
      <c r="A35" s="501">
        <v>32</v>
      </c>
      <c r="B35" s="109" t="s">
        <v>46</v>
      </c>
      <c r="C35" s="504">
        <v>23</v>
      </c>
      <c r="D35" s="504">
        <v>3</v>
      </c>
      <c r="E35" s="504"/>
      <c r="F35" s="504"/>
      <c r="G35" s="504"/>
      <c r="H35" s="504"/>
      <c r="I35" s="504"/>
      <c r="J35" s="504"/>
      <c r="K35" s="504"/>
      <c r="L35" s="504"/>
      <c r="M35" s="504"/>
      <c r="N35" s="504">
        <v>1</v>
      </c>
      <c r="O35" s="504">
        <v>3</v>
      </c>
      <c r="P35" s="504"/>
      <c r="Q35" s="504"/>
      <c r="R35" s="504">
        <v>2</v>
      </c>
      <c r="S35" s="504"/>
      <c r="T35" s="504"/>
      <c r="U35" s="504"/>
      <c r="V35" s="504">
        <v>5</v>
      </c>
      <c r="W35" s="504"/>
      <c r="X35" s="504"/>
      <c r="Y35" s="504">
        <v>37</v>
      </c>
    </row>
    <row r="36" spans="1:25" ht="26.25" customHeight="1">
      <c r="A36" s="501">
        <v>33</v>
      </c>
      <c r="B36" s="109" t="s">
        <v>48</v>
      </c>
      <c r="C36" s="504">
        <v>40</v>
      </c>
      <c r="D36" s="504">
        <v>2</v>
      </c>
      <c r="E36" s="504">
        <v>1</v>
      </c>
      <c r="F36" s="504"/>
      <c r="G36" s="504"/>
      <c r="H36" s="504"/>
      <c r="I36" s="504">
        <v>1</v>
      </c>
      <c r="J36" s="504"/>
      <c r="K36" s="504"/>
      <c r="L36" s="504">
        <v>1</v>
      </c>
      <c r="M36" s="504">
        <v>1</v>
      </c>
      <c r="N36" s="504">
        <v>1</v>
      </c>
      <c r="O36" s="504">
        <v>2</v>
      </c>
      <c r="P36" s="504"/>
      <c r="Q36" s="504"/>
      <c r="R36" s="504"/>
      <c r="S36" s="504">
        <v>3</v>
      </c>
      <c r="T36" s="504"/>
      <c r="U36" s="504"/>
      <c r="V36" s="504">
        <v>6</v>
      </c>
      <c r="W36" s="504"/>
      <c r="X36" s="504"/>
      <c r="Y36" s="504">
        <v>58</v>
      </c>
    </row>
    <row r="37" spans="1:25" ht="26.65" customHeight="1">
      <c r="A37" s="947" t="s">
        <v>49</v>
      </c>
      <c r="B37" s="947"/>
      <c r="C37" s="505">
        <v>655</v>
      </c>
      <c r="D37" s="505">
        <v>53</v>
      </c>
      <c r="E37" s="505">
        <v>5</v>
      </c>
      <c r="F37" s="505">
        <v>7</v>
      </c>
      <c r="G37" s="505">
        <v>3</v>
      </c>
      <c r="H37" s="505">
        <v>8</v>
      </c>
      <c r="I37" s="505">
        <v>4</v>
      </c>
      <c r="J37" s="505">
        <v>2</v>
      </c>
      <c r="K37" s="505">
        <v>3</v>
      </c>
      <c r="L37" s="505">
        <v>8</v>
      </c>
      <c r="M37" s="505">
        <v>27</v>
      </c>
      <c r="N37" s="505">
        <v>23</v>
      </c>
      <c r="O37" s="505">
        <v>79</v>
      </c>
      <c r="P37" s="505">
        <v>3</v>
      </c>
      <c r="Q37" s="505">
        <v>2</v>
      </c>
      <c r="R37" s="505">
        <v>19</v>
      </c>
      <c r="S37" s="505">
        <v>33</v>
      </c>
      <c r="T37" s="505">
        <v>8</v>
      </c>
      <c r="U37" s="505">
        <v>11</v>
      </c>
      <c r="V37" s="505">
        <v>192</v>
      </c>
      <c r="W37" s="505">
        <v>12</v>
      </c>
      <c r="X37" s="505">
        <v>5</v>
      </c>
      <c r="Y37" s="505">
        <v>1162</v>
      </c>
    </row>
  </sheetData>
  <mergeCells count="3">
    <mergeCell ref="C1:L1"/>
    <mergeCell ref="A37:B37"/>
    <mergeCell ref="N1:Y1"/>
  </mergeCells>
  <printOptions horizontalCentered="1"/>
  <pageMargins left="0.27559055118110237" right="0.19685039370078741" top="0.51181102362204722" bottom="0.51181102362204722" header="0.27559055118110237" footer="0.23622047244094491"/>
  <pageSetup paperSize="9" scale="70" firstPageNumber="2" fitToWidth="0" fitToHeight="0" pageOrder="overThenDown" orientation="portrait" useFirstPageNumber="1" r:id="rId1"/>
  <headerFooter alignWithMargins="0">
    <oddFooter>&amp;LAISHE 2021-22&amp;CT-2</oddFooter>
  </headerFooter>
  <colBreaks count="1" manualBreakCount="1">
    <brk id="13" max="3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L41"/>
  <sheetViews>
    <sheetView view="pageBreakPreview" zoomScaleSheetLayoutView="100" workbookViewId="0">
      <selection activeCell="F15" sqref="F15"/>
    </sheetView>
  </sheetViews>
  <sheetFormatPr defaultColWidth="9.28515625" defaultRowHeight="18.75"/>
  <cols>
    <col min="1" max="1" width="7.140625" style="500" bestFit="1" customWidth="1"/>
    <col min="2" max="2" width="18.7109375" style="68" bestFit="1" customWidth="1"/>
    <col min="3" max="11" width="9.42578125" style="68" customWidth="1"/>
    <col min="12" max="12" width="10.7109375" style="68" bestFit="1" customWidth="1"/>
    <col min="13" max="16384" width="9.28515625" style="68"/>
  </cols>
  <sheetData>
    <row r="1" spans="1:12">
      <c r="A1" s="771"/>
      <c r="B1" s="950" t="s">
        <v>1085</v>
      </c>
      <c r="C1" s="950"/>
      <c r="D1" s="950"/>
      <c r="E1" s="950"/>
      <c r="F1" s="950"/>
      <c r="G1" s="950"/>
      <c r="H1" s="950"/>
      <c r="I1" s="950"/>
      <c r="J1" s="950"/>
      <c r="K1" s="950"/>
      <c r="L1" s="950"/>
    </row>
    <row r="2" spans="1:12" ht="14.25">
      <c r="A2" s="951" t="s">
        <v>988</v>
      </c>
      <c r="B2" s="948" t="s">
        <v>137</v>
      </c>
      <c r="C2" s="949" t="s">
        <v>140</v>
      </c>
      <c r="D2" s="949"/>
      <c r="E2" s="949"/>
      <c r="F2" s="949"/>
      <c r="G2" s="949"/>
      <c r="H2" s="949"/>
      <c r="I2" s="949"/>
      <c r="J2" s="949"/>
      <c r="K2" s="949"/>
      <c r="L2" s="949"/>
    </row>
    <row r="3" spans="1:12" ht="42.75">
      <c r="A3" s="951"/>
      <c r="B3" s="948"/>
      <c r="C3" s="769" t="s">
        <v>141</v>
      </c>
      <c r="D3" s="770" t="s">
        <v>142</v>
      </c>
      <c r="E3" s="770" t="s">
        <v>143</v>
      </c>
      <c r="F3" s="770" t="s">
        <v>144</v>
      </c>
      <c r="G3" s="770" t="s">
        <v>145</v>
      </c>
      <c r="H3" s="770" t="s">
        <v>146</v>
      </c>
      <c r="I3" s="770" t="s">
        <v>147</v>
      </c>
      <c r="J3" s="770" t="s">
        <v>148</v>
      </c>
      <c r="K3" s="770" t="s">
        <v>149</v>
      </c>
      <c r="L3" s="769" t="s">
        <v>150</v>
      </c>
    </row>
    <row r="4" spans="1:12" ht="12.75">
      <c r="A4" s="502">
        <v>1</v>
      </c>
      <c r="B4" s="506">
        <v>2</v>
      </c>
      <c r="C4" s="502">
        <v>3</v>
      </c>
      <c r="D4" s="506">
        <v>4</v>
      </c>
      <c r="E4" s="502">
        <v>5</v>
      </c>
      <c r="F4" s="506">
        <v>6</v>
      </c>
      <c r="G4" s="502">
        <v>7</v>
      </c>
      <c r="H4" s="506">
        <v>8</v>
      </c>
      <c r="I4" s="502">
        <v>9</v>
      </c>
      <c r="J4" s="506">
        <v>10</v>
      </c>
      <c r="K4" s="502">
        <v>11</v>
      </c>
      <c r="L4" s="506">
        <v>12</v>
      </c>
    </row>
    <row r="5" spans="1:12" ht="37.5" customHeight="1">
      <c r="A5" s="507">
        <v>1</v>
      </c>
      <c r="B5" s="56" t="s">
        <v>1061</v>
      </c>
      <c r="C5" s="77">
        <v>3</v>
      </c>
      <c r="D5" s="77"/>
      <c r="E5" s="77"/>
      <c r="F5" s="77"/>
      <c r="G5" s="77"/>
      <c r="H5" s="77"/>
      <c r="I5" s="77"/>
      <c r="J5" s="77"/>
      <c r="K5" s="77"/>
      <c r="L5" s="77"/>
    </row>
    <row r="6" spans="1:12" ht="22.5" customHeight="1">
      <c r="A6" s="507">
        <v>2</v>
      </c>
      <c r="B6" s="57" t="s">
        <v>15</v>
      </c>
      <c r="C6" s="77">
        <v>4</v>
      </c>
      <c r="D6" s="77"/>
      <c r="E6" s="77"/>
      <c r="F6" s="77"/>
      <c r="G6" s="77">
        <v>7</v>
      </c>
      <c r="H6" s="77">
        <v>6</v>
      </c>
      <c r="I6" s="77"/>
      <c r="J6" s="77"/>
      <c r="K6" s="77"/>
      <c r="L6" s="77"/>
    </row>
    <row r="7" spans="1:12" ht="22.5" customHeight="1">
      <c r="A7" s="507">
        <v>3</v>
      </c>
      <c r="B7" s="57" t="s">
        <v>16</v>
      </c>
      <c r="C7" s="77">
        <v>15</v>
      </c>
      <c r="D7" s="77">
        <v>1</v>
      </c>
      <c r="E7" s="77"/>
      <c r="F7" s="77"/>
      <c r="G7" s="77"/>
      <c r="H7" s="77"/>
      <c r="I7" s="77"/>
      <c r="J7" s="77"/>
      <c r="K7" s="77"/>
      <c r="L7" s="77"/>
    </row>
    <row r="8" spans="1:12" ht="22.5" customHeight="1">
      <c r="A8" s="507">
        <v>4</v>
      </c>
      <c r="B8" s="56" t="s">
        <v>17</v>
      </c>
      <c r="C8" s="77">
        <v>7</v>
      </c>
      <c r="D8" s="77">
        <v>12</v>
      </c>
      <c r="E8" s="77">
        <v>11</v>
      </c>
      <c r="F8" s="77"/>
      <c r="G8" s="77">
        <v>1</v>
      </c>
      <c r="H8" s="77"/>
      <c r="I8" s="77"/>
      <c r="J8" s="77"/>
      <c r="K8" s="77"/>
      <c r="L8" s="77"/>
    </row>
    <row r="9" spans="1:12" ht="22.5" customHeight="1">
      <c r="A9" s="507">
        <v>5</v>
      </c>
      <c r="B9" s="56" t="s">
        <v>18</v>
      </c>
      <c r="C9" s="77">
        <v>5</v>
      </c>
      <c r="D9" s="77">
        <v>12</v>
      </c>
      <c r="E9" s="77">
        <v>16</v>
      </c>
      <c r="F9" s="77">
        <v>4</v>
      </c>
      <c r="G9" s="77">
        <v>1</v>
      </c>
      <c r="H9" s="77"/>
      <c r="I9" s="77"/>
      <c r="J9" s="77"/>
      <c r="K9" s="77"/>
      <c r="L9" s="77"/>
    </row>
    <row r="10" spans="1:12" ht="22.5" customHeight="1">
      <c r="A10" s="507">
        <v>6</v>
      </c>
      <c r="B10" s="57" t="s">
        <v>19</v>
      </c>
      <c r="C10" s="77"/>
      <c r="D10" s="77"/>
      <c r="E10" s="77">
        <v>1</v>
      </c>
      <c r="F10" s="77"/>
      <c r="G10" s="77"/>
      <c r="H10" s="77"/>
      <c r="I10" s="77"/>
      <c r="J10" s="77"/>
      <c r="K10" s="77"/>
      <c r="L10" s="77"/>
    </row>
    <row r="11" spans="1:12" ht="22.5" customHeight="1">
      <c r="A11" s="507">
        <v>7</v>
      </c>
      <c r="B11" s="57" t="s">
        <v>20</v>
      </c>
      <c r="C11" s="77">
        <v>5</v>
      </c>
      <c r="D11" s="77">
        <v>8</v>
      </c>
      <c r="E11" s="77">
        <v>8</v>
      </c>
      <c r="F11" s="77">
        <v>3</v>
      </c>
      <c r="G11" s="77">
        <v>3</v>
      </c>
      <c r="H11" s="77"/>
      <c r="I11" s="77"/>
      <c r="J11" s="77"/>
      <c r="K11" s="77"/>
      <c r="L11" s="77"/>
    </row>
    <row r="12" spans="1:12" ht="22.5" customHeight="1">
      <c r="A12" s="507">
        <v>8</v>
      </c>
      <c r="B12" s="57" t="s">
        <v>23</v>
      </c>
      <c r="C12" s="77">
        <v>3</v>
      </c>
      <c r="D12" s="77">
        <v>4</v>
      </c>
      <c r="E12" s="77">
        <v>4</v>
      </c>
      <c r="F12" s="77"/>
      <c r="G12" s="77"/>
      <c r="H12" s="77"/>
      <c r="I12" s="77"/>
      <c r="J12" s="77"/>
      <c r="K12" s="77"/>
      <c r="L12" s="77"/>
    </row>
    <row r="13" spans="1:12" ht="22.5" customHeight="1">
      <c r="A13" s="507">
        <v>9</v>
      </c>
      <c r="B13" s="57" t="s">
        <v>24</v>
      </c>
      <c r="C13" s="77"/>
      <c r="D13" s="77"/>
      <c r="E13" s="77">
        <v>2</v>
      </c>
      <c r="F13" s="77"/>
      <c r="G13" s="77"/>
      <c r="H13" s="77"/>
      <c r="I13" s="77"/>
      <c r="J13" s="77"/>
      <c r="K13" s="77"/>
      <c r="L13" s="77"/>
    </row>
    <row r="14" spans="1:12" ht="22.5" customHeight="1">
      <c r="A14" s="507">
        <v>10</v>
      </c>
      <c r="B14" s="57" t="s">
        <v>25</v>
      </c>
      <c r="C14" s="77">
        <v>1</v>
      </c>
      <c r="D14" s="77">
        <v>4</v>
      </c>
      <c r="E14" s="77">
        <v>10</v>
      </c>
      <c r="F14" s="77">
        <v>9</v>
      </c>
      <c r="G14" s="77">
        <v>8</v>
      </c>
      <c r="H14" s="77">
        <v>1</v>
      </c>
      <c r="I14" s="77"/>
      <c r="J14" s="77"/>
      <c r="K14" s="77"/>
      <c r="L14" s="77"/>
    </row>
    <row r="15" spans="1:12" ht="22.5" customHeight="1">
      <c r="A15" s="507">
        <v>11</v>
      </c>
      <c r="B15" s="57" t="s">
        <v>26</v>
      </c>
      <c r="C15" s="77">
        <v>1</v>
      </c>
      <c r="D15" s="77">
        <v>1</v>
      </c>
      <c r="E15" s="77">
        <v>10</v>
      </c>
      <c r="F15" s="77">
        <v>10</v>
      </c>
      <c r="G15" s="77"/>
      <c r="H15" s="77"/>
      <c r="I15" s="77"/>
      <c r="J15" s="77"/>
      <c r="K15" s="77"/>
      <c r="L15" s="77"/>
    </row>
    <row r="16" spans="1:12" ht="22.5" customHeight="1">
      <c r="A16" s="507">
        <v>12</v>
      </c>
      <c r="B16" s="57" t="s">
        <v>27</v>
      </c>
      <c r="C16" s="77">
        <v>2</v>
      </c>
      <c r="D16" s="77">
        <v>3</v>
      </c>
      <c r="E16" s="77">
        <v>5</v>
      </c>
      <c r="F16" s="77">
        <v>2</v>
      </c>
      <c r="G16" s="77"/>
      <c r="H16" s="77"/>
      <c r="I16" s="77"/>
      <c r="J16" s="77"/>
      <c r="K16" s="77"/>
      <c r="L16" s="77"/>
    </row>
    <row r="17" spans="1:12" ht="22.5" customHeight="1">
      <c r="A17" s="507">
        <v>13</v>
      </c>
      <c r="B17" s="57" t="s">
        <v>57</v>
      </c>
      <c r="C17" s="77">
        <v>9</v>
      </c>
      <c r="D17" s="77">
        <v>6</v>
      </c>
      <c r="E17" s="77">
        <v>4</v>
      </c>
      <c r="F17" s="77">
        <v>1</v>
      </c>
      <c r="G17" s="77"/>
      <c r="H17" s="77"/>
      <c r="I17" s="77"/>
      <c r="J17" s="77"/>
      <c r="K17" s="77"/>
      <c r="L17" s="77"/>
    </row>
    <row r="18" spans="1:12" ht="22.5" customHeight="1">
      <c r="A18" s="507">
        <v>14</v>
      </c>
      <c r="B18" s="57" t="s">
        <v>29</v>
      </c>
      <c r="C18" s="77">
        <v>10</v>
      </c>
      <c r="D18" s="77">
        <v>9</v>
      </c>
      <c r="E18" s="77">
        <v>4</v>
      </c>
      <c r="F18" s="77">
        <v>1</v>
      </c>
      <c r="G18" s="77"/>
      <c r="H18" s="77"/>
      <c r="I18" s="77"/>
      <c r="J18" s="77"/>
      <c r="K18" s="77"/>
      <c r="L18" s="77"/>
    </row>
    <row r="19" spans="1:12" ht="22.5" customHeight="1">
      <c r="A19" s="507">
        <v>15</v>
      </c>
      <c r="B19" s="57" t="s">
        <v>30</v>
      </c>
      <c r="C19" s="77">
        <v>1</v>
      </c>
      <c r="D19" s="77"/>
      <c r="E19" s="77">
        <v>4</v>
      </c>
      <c r="F19" s="77">
        <v>12</v>
      </c>
      <c r="G19" s="77">
        <v>10</v>
      </c>
      <c r="H19" s="77">
        <v>2</v>
      </c>
      <c r="I19" s="77">
        <v>1</v>
      </c>
      <c r="J19" s="77"/>
      <c r="K19" s="77"/>
      <c r="L19" s="77">
        <v>1</v>
      </c>
    </row>
    <row r="20" spans="1:12" ht="22.5" customHeight="1">
      <c r="A20" s="507">
        <v>16</v>
      </c>
      <c r="B20" s="57" t="s">
        <v>31</v>
      </c>
      <c r="C20" s="77"/>
      <c r="D20" s="77"/>
      <c r="E20" s="77">
        <v>1</v>
      </c>
      <c r="F20" s="77">
        <v>6</v>
      </c>
      <c r="G20" s="77">
        <v>7</v>
      </c>
      <c r="H20" s="77"/>
      <c r="I20" s="77"/>
      <c r="J20" s="77"/>
      <c r="K20" s="77"/>
      <c r="L20" s="77"/>
    </row>
    <row r="21" spans="1:12" ht="22.5" customHeight="1">
      <c r="A21" s="507">
        <v>17</v>
      </c>
      <c r="B21" s="57" t="s">
        <v>154</v>
      </c>
      <c r="C21" s="77">
        <v>2</v>
      </c>
      <c r="D21" s="77"/>
      <c r="E21" s="77"/>
      <c r="F21" s="77"/>
      <c r="G21" s="77"/>
      <c r="H21" s="77"/>
      <c r="I21" s="77"/>
      <c r="J21" s="77"/>
      <c r="K21" s="77"/>
      <c r="L21" s="77"/>
    </row>
    <row r="22" spans="1:12" ht="22.5" customHeight="1">
      <c r="A22" s="507">
        <v>18</v>
      </c>
      <c r="B22" s="57" t="s">
        <v>32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</row>
    <row r="23" spans="1:12" ht="22.5" customHeight="1">
      <c r="A23" s="507">
        <v>19</v>
      </c>
      <c r="B23" s="57" t="s">
        <v>33</v>
      </c>
      <c r="C23" s="77">
        <v>4</v>
      </c>
      <c r="D23" s="77">
        <v>6</v>
      </c>
      <c r="E23" s="77">
        <v>29</v>
      </c>
      <c r="F23" s="77">
        <v>8</v>
      </c>
      <c r="G23" s="77">
        <v>2</v>
      </c>
      <c r="H23" s="77">
        <v>2</v>
      </c>
      <c r="I23" s="77">
        <v>1</v>
      </c>
      <c r="J23" s="77"/>
      <c r="K23" s="77"/>
      <c r="L23" s="77"/>
    </row>
    <row r="24" spans="1:12" ht="22.5" customHeight="1">
      <c r="A24" s="507">
        <v>20</v>
      </c>
      <c r="B24" s="57" t="s">
        <v>34</v>
      </c>
      <c r="C24" s="77"/>
      <c r="D24" s="77"/>
      <c r="E24" s="77">
        <v>3</v>
      </c>
      <c r="F24" s="77">
        <v>12</v>
      </c>
      <c r="G24" s="77">
        <v>14</v>
      </c>
      <c r="H24" s="77">
        <v>5</v>
      </c>
      <c r="I24" s="77">
        <v>1</v>
      </c>
      <c r="J24" s="77">
        <v>1</v>
      </c>
      <c r="K24" s="77"/>
      <c r="L24" s="77"/>
    </row>
    <row r="25" spans="1:12" ht="22.5" customHeight="1">
      <c r="A25" s="507">
        <v>21</v>
      </c>
      <c r="B25" s="57" t="s">
        <v>35</v>
      </c>
      <c r="C25" s="77">
        <v>7</v>
      </c>
      <c r="D25" s="77">
        <v>3</v>
      </c>
      <c r="E25" s="77">
        <v>2</v>
      </c>
      <c r="F25" s="77"/>
      <c r="G25" s="77"/>
      <c r="H25" s="77"/>
      <c r="I25" s="77"/>
      <c r="J25" s="77"/>
      <c r="K25" s="77"/>
      <c r="L25" s="77"/>
    </row>
    <row r="26" spans="1:12" ht="22.5" customHeight="1">
      <c r="A26" s="507">
        <v>22</v>
      </c>
      <c r="B26" s="57" t="s">
        <v>36</v>
      </c>
      <c r="C26" s="77">
        <v>7</v>
      </c>
      <c r="D26" s="77">
        <v>1</v>
      </c>
      <c r="E26" s="77">
        <v>1</v>
      </c>
      <c r="F26" s="77"/>
      <c r="G26" s="77"/>
      <c r="H26" s="77"/>
      <c r="I26" s="77"/>
      <c r="J26" s="77"/>
      <c r="K26" s="77"/>
      <c r="L26" s="77"/>
    </row>
    <row r="27" spans="1:12" ht="22.5" customHeight="1">
      <c r="A27" s="507">
        <v>23</v>
      </c>
      <c r="B27" s="57" t="s">
        <v>37</v>
      </c>
      <c r="C27" s="77">
        <v>7</v>
      </c>
      <c r="D27" s="77"/>
      <c r="E27" s="77">
        <v>1</v>
      </c>
      <c r="F27" s="77"/>
      <c r="G27" s="77"/>
      <c r="H27" s="77"/>
      <c r="I27" s="77"/>
      <c r="J27" s="77"/>
      <c r="K27" s="77"/>
      <c r="L27" s="77"/>
    </row>
    <row r="28" spans="1:12" ht="22.5" customHeight="1">
      <c r="A28" s="507">
        <v>24</v>
      </c>
      <c r="B28" s="57" t="s">
        <v>38</v>
      </c>
      <c r="C28" s="77">
        <v>9</v>
      </c>
      <c r="D28" s="77"/>
      <c r="E28" s="77">
        <v>2</v>
      </c>
      <c r="F28" s="77"/>
      <c r="G28" s="77"/>
      <c r="H28" s="77"/>
      <c r="I28" s="77"/>
      <c r="J28" s="77"/>
      <c r="K28" s="77"/>
      <c r="L28" s="77"/>
    </row>
    <row r="29" spans="1:12" ht="22.5" customHeight="1">
      <c r="A29" s="507">
        <v>25</v>
      </c>
      <c r="B29" s="57" t="s">
        <v>39</v>
      </c>
      <c r="C29" s="77">
        <v>2</v>
      </c>
      <c r="D29" s="77">
        <v>5</v>
      </c>
      <c r="E29" s="77">
        <v>16</v>
      </c>
      <c r="F29" s="77">
        <v>4</v>
      </c>
      <c r="G29" s="77">
        <v>2</v>
      </c>
      <c r="H29" s="77">
        <v>1</v>
      </c>
      <c r="I29" s="77"/>
      <c r="J29" s="77"/>
      <c r="K29" s="77"/>
      <c r="L29" s="77"/>
    </row>
    <row r="30" spans="1:12" ht="22.5" customHeight="1">
      <c r="A30" s="507">
        <v>26</v>
      </c>
      <c r="B30" s="57" t="s">
        <v>40</v>
      </c>
      <c r="C30" s="77">
        <v>2</v>
      </c>
      <c r="D30" s="77">
        <v>1</v>
      </c>
      <c r="E30" s="77"/>
      <c r="F30" s="77">
        <v>1</v>
      </c>
      <c r="G30" s="77"/>
      <c r="H30" s="77"/>
      <c r="I30" s="77"/>
      <c r="J30" s="77"/>
      <c r="K30" s="77"/>
      <c r="L30" s="77"/>
    </row>
    <row r="31" spans="1:12" ht="22.5" customHeight="1">
      <c r="A31" s="507">
        <v>27</v>
      </c>
      <c r="B31" s="57" t="s">
        <v>41</v>
      </c>
      <c r="C31" s="77"/>
      <c r="D31" s="77">
        <v>3</v>
      </c>
      <c r="E31" s="77">
        <v>10</v>
      </c>
      <c r="F31" s="77">
        <v>8</v>
      </c>
      <c r="G31" s="77">
        <v>1</v>
      </c>
      <c r="H31" s="77"/>
      <c r="I31" s="77"/>
      <c r="J31" s="77"/>
      <c r="K31" s="77"/>
      <c r="L31" s="77"/>
    </row>
    <row r="32" spans="1:12" ht="22.5" customHeight="1">
      <c r="A32" s="507">
        <v>28</v>
      </c>
      <c r="B32" s="56" t="s">
        <v>42</v>
      </c>
      <c r="C32" s="77"/>
      <c r="D32" s="77">
        <v>2</v>
      </c>
      <c r="E32" s="77">
        <v>7</v>
      </c>
      <c r="F32" s="77">
        <v>10</v>
      </c>
      <c r="G32" s="77">
        <v>10</v>
      </c>
      <c r="H32" s="77">
        <v>2</v>
      </c>
      <c r="I32" s="77">
        <v>1</v>
      </c>
      <c r="J32" s="77"/>
      <c r="K32" s="77">
        <v>1</v>
      </c>
      <c r="L32" s="77"/>
    </row>
    <row r="33" spans="1:12" ht="22.5" customHeight="1">
      <c r="A33" s="507">
        <v>29</v>
      </c>
      <c r="B33" s="58" t="s">
        <v>43</v>
      </c>
      <c r="C33" s="77">
        <v>3</v>
      </c>
      <c r="D33" s="77">
        <v>1</v>
      </c>
      <c r="E33" s="77"/>
      <c r="F33" s="77"/>
      <c r="G33" s="77"/>
      <c r="H33" s="77"/>
      <c r="I33" s="77"/>
      <c r="J33" s="77"/>
      <c r="K33" s="77"/>
      <c r="L33" s="77"/>
    </row>
    <row r="34" spans="1:12" ht="22.5" customHeight="1">
      <c r="A34" s="507">
        <v>30</v>
      </c>
      <c r="B34" s="56" t="s">
        <v>44</v>
      </c>
      <c r="C34" s="77">
        <v>1</v>
      </c>
      <c r="D34" s="77">
        <v>4</v>
      </c>
      <c r="E34" s="77">
        <v>10</v>
      </c>
      <c r="F34" s="77">
        <v>14</v>
      </c>
      <c r="G34" s="77">
        <v>7</v>
      </c>
      <c r="H34" s="77">
        <v>2</v>
      </c>
      <c r="I34" s="77"/>
      <c r="J34" s="77"/>
      <c r="K34" s="77"/>
      <c r="L34" s="77"/>
    </row>
    <row r="35" spans="1:12" ht="22.5" customHeight="1">
      <c r="A35" s="507">
        <v>31</v>
      </c>
      <c r="B35" s="56" t="s">
        <v>131</v>
      </c>
      <c r="C35" s="77">
        <v>16</v>
      </c>
      <c r="D35" s="77">
        <v>3</v>
      </c>
      <c r="E35" s="77">
        <v>3</v>
      </c>
      <c r="F35" s="77">
        <v>2</v>
      </c>
      <c r="G35" s="77">
        <v>6</v>
      </c>
      <c r="H35" s="77"/>
      <c r="I35" s="77">
        <v>1</v>
      </c>
      <c r="J35" s="77">
        <v>1</v>
      </c>
      <c r="K35" s="77"/>
      <c r="L35" s="77"/>
    </row>
    <row r="36" spans="1:12" ht="28.5">
      <c r="A36" s="507">
        <v>32</v>
      </c>
      <c r="B36" s="56" t="s">
        <v>1062</v>
      </c>
      <c r="C36" s="77">
        <v>3</v>
      </c>
      <c r="D36" s="77"/>
      <c r="E36" s="77"/>
      <c r="F36" s="77"/>
      <c r="G36" s="77"/>
      <c r="H36" s="77"/>
      <c r="I36" s="77"/>
      <c r="J36" s="77"/>
      <c r="K36" s="77"/>
      <c r="L36" s="77"/>
    </row>
    <row r="37" spans="1:12" ht="23.25" customHeight="1">
      <c r="A37" s="507">
        <v>33</v>
      </c>
      <c r="B37" s="56" t="s">
        <v>45</v>
      </c>
      <c r="C37" s="77">
        <v>6</v>
      </c>
      <c r="D37" s="77"/>
      <c r="E37" s="77">
        <v>1</v>
      </c>
      <c r="F37" s="77"/>
      <c r="G37" s="77"/>
      <c r="H37" s="77"/>
      <c r="I37" s="77"/>
      <c r="J37" s="77"/>
      <c r="K37" s="77"/>
      <c r="L37" s="77"/>
    </row>
    <row r="38" spans="1:12" ht="23.25" customHeight="1">
      <c r="A38" s="507">
        <v>34</v>
      </c>
      <c r="B38" s="57" t="s">
        <v>47</v>
      </c>
      <c r="C38" s="77"/>
      <c r="D38" s="77">
        <v>3</v>
      </c>
      <c r="E38" s="77">
        <v>14</v>
      </c>
      <c r="F38" s="77">
        <v>26</v>
      </c>
      <c r="G38" s="77">
        <v>22</v>
      </c>
      <c r="H38" s="77">
        <v>8</v>
      </c>
      <c r="I38" s="77">
        <v>2</v>
      </c>
      <c r="J38" s="77"/>
      <c r="K38" s="77"/>
      <c r="L38" s="77"/>
    </row>
    <row r="39" spans="1:12" ht="23.25" customHeight="1">
      <c r="A39" s="507">
        <v>35</v>
      </c>
      <c r="B39" s="57" t="s">
        <v>46</v>
      </c>
      <c r="C39" s="77">
        <v>2</v>
      </c>
      <c r="D39" s="77">
        <v>5</v>
      </c>
      <c r="E39" s="77">
        <v>3</v>
      </c>
      <c r="F39" s="77">
        <v>1</v>
      </c>
      <c r="G39" s="77">
        <v>2</v>
      </c>
      <c r="H39" s="77"/>
      <c r="I39" s="77"/>
      <c r="J39" s="77"/>
      <c r="K39" s="77"/>
      <c r="L39" s="77"/>
    </row>
    <row r="40" spans="1:12" ht="23.25" customHeight="1">
      <c r="A40" s="507">
        <v>36</v>
      </c>
      <c r="B40" s="57" t="s">
        <v>48</v>
      </c>
      <c r="C40" s="77">
        <v>2</v>
      </c>
      <c r="D40" s="77"/>
      <c r="E40" s="77">
        <v>7</v>
      </c>
      <c r="F40" s="77">
        <v>8</v>
      </c>
      <c r="G40" s="77">
        <v>5</v>
      </c>
      <c r="H40" s="77"/>
      <c r="I40" s="77"/>
      <c r="J40" s="77"/>
      <c r="K40" s="77"/>
      <c r="L40" s="77"/>
    </row>
    <row r="41" spans="1:12" ht="23.25" customHeight="1">
      <c r="A41" s="952" t="s">
        <v>49</v>
      </c>
      <c r="B41" s="953"/>
      <c r="C41" s="78">
        <v>139</v>
      </c>
      <c r="D41" s="78">
        <v>97</v>
      </c>
      <c r="E41" s="78">
        <v>189</v>
      </c>
      <c r="F41" s="78">
        <v>142</v>
      </c>
      <c r="G41" s="78">
        <v>108</v>
      </c>
      <c r="H41" s="78">
        <v>29</v>
      </c>
      <c r="I41" s="78">
        <v>7</v>
      </c>
      <c r="J41" s="78">
        <v>2</v>
      </c>
      <c r="K41" s="78">
        <v>1</v>
      </c>
      <c r="L41" s="78">
        <v>1</v>
      </c>
    </row>
  </sheetData>
  <mergeCells count="5">
    <mergeCell ref="B2:B3"/>
    <mergeCell ref="C2:L2"/>
    <mergeCell ref="B1:L1"/>
    <mergeCell ref="A2:A3"/>
    <mergeCell ref="A41:B41"/>
  </mergeCells>
  <pageMargins left="0.6" right="0.35" top="0.74803149606299213" bottom="0.74803149606299213" header="0.31496062992125984" footer="0.31496062992125984"/>
  <pageSetup paperSize="9" scale="75" orientation="portrait" r:id="rId1"/>
  <headerFooter>
    <oddFooter>&amp;LAISHE 2021-22&amp;CT-3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7D66-7B6A-4D57-AAFA-9B63AE41CA4F}">
  <sheetPr>
    <tabColor rgb="FF00B050"/>
  </sheetPr>
  <dimension ref="A1:E43"/>
  <sheetViews>
    <sheetView view="pageBreakPreview" topLeftCell="A19" zoomScaleNormal="100" zoomScaleSheetLayoutView="100" workbookViewId="0">
      <selection activeCell="F15" sqref="F15"/>
    </sheetView>
  </sheetViews>
  <sheetFormatPr defaultColWidth="9.28515625" defaultRowHeight="12.75"/>
  <cols>
    <col min="1" max="1" width="7.7109375" style="112" customWidth="1"/>
    <col min="2" max="2" width="32" style="112" customWidth="1"/>
    <col min="3" max="5" width="27.140625" style="511" customWidth="1"/>
    <col min="6" max="16384" width="9.28515625" style="112"/>
  </cols>
  <sheetData>
    <row r="1" spans="1:5" ht="33" customHeight="1">
      <c r="A1" s="959" t="s">
        <v>1098</v>
      </c>
      <c r="B1" s="959"/>
      <c r="C1" s="959"/>
      <c r="D1" s="959"/>
      <c r="E1" s="959"/>
    </row>
    <row r="2" spans="1:5" ht="21.6" customHeight="1">
      <c r="A2" s="960" t="s">
        <v>988</v>
      </c>
      <c r="B2" s="948" t="s">
        <v>137</v>
      </c>
      <c r="C2" s="960" t="s">
        <v>1082</v>
      </c>
      <c r="D2" s="960" t="s">
        <v>878</v>
      </c>
      <c r="E2" s="955" t="s">
        <v>1081</v>
      </c>
    </row>
    <row r="3" spans="1:5" ht="45.6" customHeight="1">
      <c r="A3" s="960"/>
      <c r="B3" s="948"/>
      <c r="C3" s="960"/>
      <c r="D3" s="960"/>
      <c r="E3" s="956"/>
    </row>
    <row r="4" spans="1:5" s="510" customFormat="1">
      <c r="A4" s="508">
        <v>1</v>
      </c>
      <c r="B4" s="509">
        <v>2</v>
      </c>
      <c r="C4" s="508">
        <v>3</v>
      </c>
      <c r="D4" s="509">
        <v>4</v>
      </c>
      <c r="E4" s="508">
        <v>5</v>
      </c>
    </row>
    <row r="5" spans="1:5" ht="23.25" customHeight="1">
      <c r="A5" s="435">
        <v>1</v>
      </c>
      <c r="B5" s="512" t="s">
        <v>1061</v>
      </c>
      <c r="C5" s="113">
        <v>9</v>
      </c>
      <c r="D5" s="114">
        <v>17.813795327053992</v>
      </c>
      <c r="E5" s="114">
        <f>VLOOKUP($B5,'[1]8CollegeAct'!$B$5:$AF$40,31,0)</f>
        <v>808</v>
      </c>
    </row>
    <row r="6" spans="1:5" ht="23.25" customHeight="1">
      <c r="A6" s="435">
        <v>2</v>
      </c>
      <c r="B6" s="512" t="s">
        <v>15</v>
      </c>
      <c r="C6" s="113">
        <v>2602</v>
      </c>
      <c r="D6" s="114">
        <v>49.233680227057711</v>
      </c>
      <c r="E6" s="114">
        <f>VLOOKUP($B6,'[1]8CollegeAct'!$B$5:$AF$40,31,0)</f>
        <v>554</v>
      </c>
    </row>
    <row r="7" spans="1:5" ht="23.25" customHeight="1">
      <c r="A7" s="435">
        <v>3</v>
      </c>
      <c r="B7" s="512" t="s">
        <v>16</v>
      </c>
      <c r="C7" s="113">
        <v>44</v>
      </c>
      <c r="D7" s="114">
        <v>24.763619990995046</v>
      </c>
      <c r="E7" s="114">
        <f>VLOOKUP($B7,'[1]8CollegeAct'!$B$5:$AF$40,31,0)</f>
        <v>666</v>
      </c>
    </row>
    <row r="8" spans="1:5" ht="23.25" customHeight="1">
      <c r="A8" s="435">
        <v>4</v>
      </c>
      <c r="B8" s="512" t="s">
        <v>17</v>
      </c>
      <c r="C8" s="113">
        <v>607</v>
      </c>
      <c r="D8" s="114">
        <v>15.103259517292859</v>
      </c>
      <c r="E8" s="114">
        <f>VLOOKUP($B8,'[1]8CollegeAct'!$B$5:$AF$40,31,0)</f>
        <v>906</v>
      </c>
    </row>
    <row r="9" spans="1:5" ht="23.25" customHeight="1">
      <c r="A9" s="435">
        <v>5</v>
      </c>
      <c r="B9" s="512" t="s">
        <v>18</v>
      </c>
      <c r="C9" s="113">
        <v>1092</v>
      </c>
      <c r="D9" s="114">
        <v>7.1029010016911673</v>
      </c>
      <c r="E9" s="114">
        <f>VLOOKUP($B9,'[1]8CollegeAct'!$B$5:$AF$40,31,0)</f>
        <v>2088</v>
      </c>
    </row>
    <row r="10" spans="1:5" ht="23.25" customHeight="1">
      <c r="A10" s="435">
        <v>6</v>
      </c>
      <c r="B10" s="512" t="s">
        <v>19</v>
      </c>
      <c r="C10" s="113">
        <v>26</v>
      </c>
      <c r="D10" s="114">
        <v>15.184311681101704</v>
      </c>
      <c r="E10" s="114">
        <f>VLOOKUP($B10,'[1]8CollegeAct'!$B$5:$AF$40,31,0)</f>
        <v>1888</v>
      </c>
    </row>
    <row r="11" spans="1:5" ht="23.25" customHeight="1">
      <c r="A11" s="435">
        <v>7</v>
      </c>
      <c r="B11" s="512" t="s">
        <v>20</v>
      </c>
      <c r="C11" s="113">
        <v>917</v>
      </c>
      <c r="D11" s="114">
        <v>27.356801909307876</v>
      </c>
      <c r="E11" s="114">
        <f>VLOOKUP($B11,'[1]8CollegeAct'!$B$5:$AF$40,31,0)</f>
        <v>606</v>
      </c>
    </row>
    <row r="12" spans="1:5" ht="23.25" customHeight="1">
      <c r="A12" s="435">
        <v>8</v>
      </c>
      <c r="B12" s="512" t="s">
        <v>23</v>
      </c>
      <c r="C12" s="113">
        <v>188</v>
      </c>
      <c r="D12" s="114">
        <v>8.0376229157759731</v>
      </c>
      <c r="E12" s="114">
        <f>VLOOKUP($B12,'[1]8CollegeAct'!$B$5:$AF$40,31,0)</f>
        <v>1752</v>
      </c>
    </row>
    <row r="13" spans="1:5" ht="23.25" customHeight="1">
      <c r="A13" s="435">
        <v>9</v>
      </c>
      <c r="B13" s="512" t="s">
        <v>24</v>
      </c>
      <c r="C13" s="113">
        <v>62</v>
      </c>
      <c r="D13" s="114">
        <v>33.929788301799661</v>
      </c>
      <c r="E13" s="114">
        <f>VLOOKUP($B13,'[1]8CollegeAct'!$B$5:$AF$40,31,0)</f>
        <v>680</v>
      </c>
    </row>
    <row r="14" spans="1:5" ht="23.25" customHeight="1">
      <c r="A14" s="435">
        <v>10</v>
      </c>
      <c r="B14" s="512" t="s">
        <v>25</v>
      </c>
      <c r="C14" s="113">
        <v>2395</v>
      </c>
      <c r="D14" s="114">
        <v>32.031563461281266</v>
      </c>
      <c r="E14" s="114">
        <f>VLOOKUP($B14,'[1]8CollegeAct'!$B$5:$AF$40,31,0)</f>
        <v>537</v>
      </c>
    </row>
    <row r="15" spans="1:5" ht="23.25" customHeight="1">
      <c r="A15" s="435">
        <v>11</v>
      </c>
      <c r="B15" s="512" t="s">
        <v>26</v>
      </c>
      <c r="C15" s="113">
        <v>1090</v>
      </c>
      <c r="D15" s="114">
        <v>32.910628019323674</v>
      </c>
      <c r="E15" s="114">
        <f>VLOOKUP($B15,'[1]8CollegeAct'!$B$5:$AF$40,31,0)</f>
        <v>614</v>
      </c>
    </row>
    <row r="16" spans="1:5" ht="23.25" customHeight="1">
      <c r="A16" s="435">
        <v>12</v>
      </c>
      <c r="B16" s="512" t="s">
        <v>27</v>
      </c>
      <c r="C16" s="113">
        <v>349</v>
      </c>
      <c r="D16" s="114">
        <v>47.035040431266843</v>
      </c>
      <c r="E16" s="114">
        <f>VLOOKUP($B16,'[1]8CollegeAct'!$B$5:$AF$40,31,0)</f>
        <v>577</v>
      </c>
    </row>
    <row r="17" spans="1:5" ht="23.25" customHeight="1">
      <c r="A17" s="435">
        <v>13</v>
      </c>
      <c r="B17" s="512" t="s">
        <v>57</v>
      </c>
      <c r="C17" s="113">
        <v>341</v>
      </c>
      <c r="D17" s="114">
        <v>21.114551083591333</v>
      </c>
      <c r="E17" s="114">
        <f>VLOOKUP($B17,'[1]8CollegeAct'!$B$5:$AF$40,31,0)</f>
        <v>633</v>
      </c>
    </row>
    <row r="18" spans="1:5" ht="23.25" customHeight="1">
      <c r="A18" s="435">
        <v>14</v>
      </c>
      <c r="B18" s="512" t="s">
        <v>29</v>
      </c>
      <c r="C18" s="113">
        <v>366</v>
      </c>
      <c r="D18" s="114">
        <v>7.7476714648602885</v>
      </c>
      <c r="E18" s="114">
        <f>VLOOKUP($B18,'[1]8CollegeAct'!$B$5:$AF$40,31,0)</f>
        <v>1848</v>
      </c>
    </row>
    <row r="19" spans="1:5" ht="23.25" customHeight="1">
      <c r="A19" s="435">
        <v>15</v>
      </c>
      <c r="B19" s="512" t="s">
        <v>30</v>
      </c>
      <c r="C19" s="113">
        <v>4430</v>
      </c>
      <c r="D19" s="114">
        <v>65.844233055885852</v>
      </c>
      <c r="E19" s="114">
        <f>VLOOKUP($B19,'[1]8CollegeAct'!$B$5:$AF$40,31,0)</f>
        <v>413</v>
      </c>
    </row>
    <row r="20" spans="1:5" ht="23.25" customHeight="1">
      <c r="A20" s="435">
        <v>16</v>
      </c>
      <c r="B20" s="512" t="s">
        <v>31</v>
      </c>
      <c r="C20" s="113">
        <v>1463</v>
      </c>
      <c r="D20" s="114">
        <v>46.370839936608562</v>
      </c>
      <c r="E20" s="114">
        <f>VLOOKUP($B20,'[1]8CollegeAct'!$B$5:$AF$40,31,0)</f>
        <v>594</v>
      </c>
    </row>
    <row r="21" spans="1:5" ht="23.25" customHeight="1">
      <c r="A21" s="435">
        <v>17</v>
      </c>
      <c r="B21" s="89" t="s">
        <v>154</v>
      </c>
      <c r="C21" s="113">
        <v>6</v>
      </c>
      <c r="D21" s="114">
        <v>15.585733858783277</v>
      </c>
      <c r="E21" s="114">
        <f>VLOOKUP($B21,'[1]8CollegeAct'!$B$5:$AF$40,31,0)</f>
        <v>514</v>
      </c>
    </row>
    <row r="22" spans="1:5" ht="23.25" customHeight="1">
      <c r="A22" s="435">
        <v>18</v>
      </c>
      <c r="B22" s="512" t="s">
        <v>32</v>
      </c>
      <c r="C22" s="113"/>
      <c r="D22" s="114"/>
      <c r="E22" s="114"/>
    </row>
    <row r="23" spans="1:5" ht="23.25" customHeight="1">
      <c r="A23" s="435">
        <v>19</v>
      </c>
      <c r="B23" s="512" t="s">
        <v>33</v>
      </c>
      <c r="C23" s="113">
        <v>2742</v>
      </c>
      <c r="D23" s="114">
        <v>28.297213622291022</v>
      </c>
      <c r="E23" s="114">
        <f>VLOOKUP($B23,'[1]8CollegeAct'!$B$5:$AF$40,31,0)</f>
        <v>808</v>
      </c>
    </row>
    <row r="24" spans="1:5" ht="23.25" customHeight="1">
      <c r="A24" s="435">
        <v>20</v>
      </c>
      <c r="B24" s="512" t="s">
        <v>34</v>
      </c>
      <c r="C24" s="113">
        <v>4692</v>
      </c>
      <c r="D24" s="114">
        <v>36.189741612032392</v>
      </c>
      <c r="E24" s="114">
        <f>VLOOKUP($B24,'[1]8CollegeAct'!$B$5:$AF$40,31,0)</f>
        <v>685</v>
      </c>
    </row>
    <row r="25" spans="1:5" ht="23.25" customHeight="1">
      <c r="A25" s="435">
        <v>21</v>
      </c>
      <c r="B25" s="512" t="s">
        <v>35</v>
      </c>
      <c r="C25" s="113">
        <v>108</v>
      </c>
      <c r="D25" s="114">
        <v>29.322256760341318</v>
      </c>
      <c r="E25" s="114">
        <f>VLOOKUP($B25,'[1]8CollegeAct'!$B$5:$AF$40,31,0)</f>
        <v>1013</v>
      </c>
    </row>
    <row r="26" spans="1:5" ht="23.25" customHeight="1">
      <c r="A26" s="435">
        <v>22</v>
      </c>
      <c r="B26" s="512" t="s">
        <v>36</v>
      </c>
      <c r="C26" s="113">
        <v>77</v>
      </c>
      <c r="D26" s="114">
        <v>20.248813209168663</v>
      </c>
      <c r="E26" s="114">
        <f>VLOOKUP($B26,'[1]8CollegeAct'!$B$5:$AF$40,31,0)</f>
        <v>909</v>
      </c>
    </row>
    <row r="27" spans="1:5" ht="23.25" customHeight="1">
      <c r="A27" s="435">
        <v>23</v>
      </c>
      <c r="B27" s="512" t="s">
        <v>37</v>
      </c>
      <c r="C27" s="113">
        <v>40</v>
      </c>
      <c r="D27" s="114">
        <v>27.601092451239218</v>
      </c>
      <c r="E27" s="114">
        <f>VLOOKUP($B27,'[1]8CollegeAct'!$B$5:$AF$40,31,0)</f>
        <v>669</v>
      </c>
    </row>
    <row r="28" spans="1:5" ht="23.25" customHeight="1">
      <c r="A28" s="435">
        <v>24</v>
      </c>
      <c r="B28" s="512" t="s">
        <v>38</v>
      </c>
      <c r="C28" s="113">
        <v>69</v>
      </c>
      <c r="D28" s="114">
        <v>25.267580010341394</v>
      </c>
      <c r="E28" s="114">
        <f>VLOOKUP($B28,'[1]8CollegeAct'!$B$5:$AF$40,31,0)</f>
        <v>533</v>
      </c>
    </row>
    <row r="29" spans="1:5" ht="23.25" customHeight="1">
      <c r="A29" s="435">
        <v>25</v>
      </c>
      <c r="B29" s="512" t="s">
        <v>39</v>
      </c>
      <c r="C29" s="113">
        <v>1300</v>
      </c>
      <c r="D29" s="114">
        <v>26.710499280871176</v>
      </c>
      <c r="E29" s="114">
        <f>VLOOKUP($B29,'[1]8CollegeAct'!$B$5:$AF$40,31,0)</f>
        <v>576</v>
      </c>
    </row>
    <row r="30" spans="1:5" ht="23.25" customHeight="1">
      <c r="A30" s="435">
        <v>26</v>
      </c>
      <c r="B30" s="512" t="s">
        <v>40</v>
      </c>
      <c r="C30" s="113">
        <v>82</v>
      </c>
      <c r="D30" s="114">
        <v>53.322446743099206</v>
      </c>
      <c r="E30" s="114">
        <f>VLOOKUP($B30,'[1]8CollegeAct'!$B$5:$AF$40,31,0)</f>
        <v>760</v>
      </c>
    </row>
    <row r="31" spans="1:5" ht="23.25" customHeight="1">
      <c r="A31" s="435">
        <v>27</v>
      </c>
      <c r="B31" s="512" t="s">
        <v>41</v>
      </c>
      <c r="C31" s="113">
        <v>1044</v>
      </c>
      <c r="D31" s="114">
        <v>33.301435406698566</v>
      </c>
      <c r="E31" s="114">
        <f>VLOOKUP($B31,'[1]8CollegeAct'!$B$5:$AF$40,31,0)</f>
        <v>494</v>
      </c>
    </row>
    <row r="32" spans="1:5" ht="23.25" customHeight="1">
      <c r="A32" s="435">
        <v>28</v>
      </c>
      <c r="B32" s="512" t="s">
        <v>42</v>
      </c>
      <c r="C32" s="113">
        <v>3934</v>
      </c>
      <c r="D32" s="114">
        <v>41.784386617100374</v>
      </c>
      <c r="E32" s="114">
        <f>VLOOKUP($B32,'[1]8CollegeAct'!$B$5:$AF$40,31,0)</f>
        <v>513</v>
      </c>
    </row>
    <row r="33" spans="1:5" ht="23.25" customHeight="1">
      <c r="A33" s="435">
        <v>29</v>
      </c>
      <c r="B33" s="512" t="s">
        <v>43</v>
      </c>
      <c r="C33" s="113">
        <v>24</v>
      </c>
      <c r="D33" s="114">
        <v>27.434246398397839</v>
      </c>
      <c r="E33" s="114">
        <f>VLOOKUP($B33,'[1]8CollegeAct'!$B$5:$AF$40,31,0)</f>
        <v>712</v>
      </c>
    </row>
    <row r="34" spans="1:5" ht="23.25" customHeight="1">
      <c r="A34" s="435">
        <v>30</v>
      </c>
      <c r="B34" s="512" t="s">
        <v>44</v>
      </c>
      <c r="C34" s="113">
        <v>2829</v>
      </c>
      <c r="D34" s="114">
        <v>40.2189365936878</v>
      </c>
      <c r="E34" s="114">
        <f>VLOOKUP($B34,'[1]8CollegeAct'!$B$5:$AF$40,31,0)</f>
        <v>808</v>
      </c>
    </row>
    <row r="35" spans="1:5" ht="23.25" customHeight="1">
      <c r="A35" s="435">
        <v>31</v>
      </c>
      <c r="B35" s="512" t="s">
        <v>131</v>
      </c>
      <c r="C35" s="113">
        <v>2083</v>
      </c>
      <c r="D35" s="114">
        <v>52.166291009266217</v>
      </c>
      <c r="E35" s="114">
        <f>VLOOKUP($B35,'[1]8CollegeAct'!$B$5:$AF$40,31,0)</f>
        <v>611</v>
      </c>
    </row>
    <row r="36" spans="1:5" ht="36" customHeight="1">
      <c r="A36" s="435">
        <v>32</v>
      </c>
      <c r="B36" s="512" t="s">
        <v>1062</v>
      </c>
      <c r="C36" s="113">
        <v>19</v>
      </c>
      <c r="D36" s="114">
        <v>16.631378255536365</v>
      </c>
      <c r="E36" s="114">
        <f>VLOOKUP($B36,'[1]8CollegeAct'!$B$5:$AF$40,31,0)</f>
        <v>654</v>
      </c>
    </row>
    <row r="37" spans="1:5" ht="23.25" customHeight="1">
      <c r="A37" s="435">
        <v>33</v>
      </c>
      <c r="B37" s="512" t="s">
        <v>45</v>
      </c>
      <c r="C37" s="113">
        <v>54</v>
      </c>
      <c r="D37" s="114">
        <v>11.127931231033575</v>
      </c>
      <c r="E37" s="114">
        <f>VLOOKUP($B37,'[1]8CollegeAct'!$B$5:$AF$40,31,0)</f>
        <v>1387</v>
      </c>
    </row>
    <row r="38" spans="1:5" ht="23.25" customHeight="1">
      <c r="A38" s="435">
        <v>34</v>
      </c>
      <c r="B38" s="512" t="s">
        <v>47</v>
      </c>
      <c r="C38" s="113">
        <v>8375</v>
      </c>
      <c r="D38" s="114">
        <v>28.978236047195598</v>
      </c>
      <c r="E38" s="114">
        <f>VLOOKUP($B38,'[1]8CollegeAct'!$B$5:$AF$40,31,0)</f>
        <v>761</v>
      </c>
    </row>
    <row r="39" spans="1:5" ht="23.25" customHeight="1">
      <c r="A39" s="435">
        <v>35</v>
      </c>
      <c r="B39" s="512" t="s">
        <v>46</v>
      </c>
      <c r="C39" s="113">
        <v>500</v>
      </c>
      <c r="D39" s="114">
        <v>36.845983787767132</v>
      </c>
      <c r="E39" s="114">
        <f>VLOOKUP($B39,'[1]8CollegeAct'!$B$5:$AF$40,31,0)</f>
        <v>646</v>
      </c>
    </row>
    <row r="40" spans="1:5" ht="23.25" customHeight="1">
      <c r="A40" s="435">
        <v>36</v>
      </c>
      <c r="B40" s="512" t="s">
        <v>48</v>
      </c>
      <c r="C40" s="113">
        <v>1514</v>
      </c>
      <c r="D40" s="114">
        <v>14.646415787946212</v>
      </c>
      <c r="E40" s="114">
        <f>VLOOKUP($B40,'[1]8CollegeAct'!$B$5:$AF$40,31,0)</f>
        <v>1189</v>
      </c>
    </row>
    <row r="41" spans="1:5" ht="23.25" customHeight="1">
      <c r="A41" s="957" t="s">
        <v>49</v>
      </c>
      <c r="B41" s="958"/>
      <c r="C41" s="115">
        <v>45473</v>
      </c>
      <c r="D41" s="116">
        <v>29.827745853284753</v>
      </c>
      <c r="E41" s="526">
        <v>709</v>
      </c>
    </row>
    <row r="42" spans="1:5">
      <c r="B42" s="954" t="s">
        <v>1097</v>
      </c>
      <c r="C42" s="954"/>
      <c r="D42" s="954"/>
      <c r="E42" s="954"/>
    </row>
    <row r="43" spans="1:5">
      <c r="D43" s="117"/>
    </row>
  </sheetData>
  <mergeCells count="8">
    <mergeCell ref="B42:E42"/>
    <mergeCell ref="E2:E3"/>
    <mergeCell ref="A41:B41"/>
    <mergeCell ref="A1:E1"/>
    <mergeCell ref="A2:A3"/>
    <mergeCell ref="B2:B3"/>
    <mergeCell ref="C2:C3"/>
    <mergeCell ref="D2:D3"/>
  </mergeCells>
  <pageMargins left="0.70866141732283472" right="0.15748031496062992" top="0.6692913385826772" bottom="0.74803149606299213" header="0.31496062992125984" footer="0.31496062992125984"/>
  <pageSetup paperSize="9" scale="75" firstPageNumber="2" orientation="portrait" useFirstPageNumber="1" r:id="rId1"/>
  <headerFooter>
    <oddFooter>&amp;L&amp;"Arial,Italic"&amp;9AISHE 2021-22&amp;CT-4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5171-B5E9-4718-A0C6-CAC8D2B41712}">
  <dimension ref="A1:AG39"/>
  <sheetViews>
    <sheetView workbookViewId="0">
      <selection activeCell="C3" sqref="C3"/>
    </sheetView>
  </sheetViews>
  <sheetFormatPr defaultRowHeight="15"/>
  <cols>
    <col min="1" max="1" width="7.28515625" style="927" customWidth="1"/>
    <col min="2" max="2" width="33" style="927" customWidth="1"/>
    <col min="3" max="32" width="9.140625" style="927"/>
    <col min="33" max="33" width="14.85546875" style="927" customWidth="1"/>
    <col min="34" max="16384" width="9.140625" style="927"/>
  </cols>
  <sheetData>
    <row r="1" spans="1:33" ht="18.75">
      <c r="A1" s="961" t="s">
        <v>879</v>
      </c>
      <c r="B1" s="961"/>
      <c r="C1" s="962" t="s">
        <v>892</v>
      </c>
      <c r="D1" s="962"/>
      <c r="E1" s="962"/>
      <c r="F1" s="962"/>
      <c r="G1" s="962"/>
      <c r="H1" s="962"/>
      <c r="I1" s="962"/>
      <c r="J1" s="962"/>
      <c r="K1" s="962"/>
      <c r="L1" s="963" t="s">
        <v>892</v>
      </c>
      <c r="M1" s="963"/>
      <c r="N1" s="963"/>
      <c r="O1" s="963"/>
      <c r="P1" s="963"/>
      <c r="Q1" s="963"/>
      <c r="R1" s="963"/>
      <c r="S1" s="963"/>
      <c r="T1" s="963"/>
      <c r="U1" s="963"/>
      <c r="V1" s="963" t="s">
        <v>892</v>
      </c>
      <c r="W1" s="963"/>
      <c r="X1" s="963"/>
      <c r="Y1" s="963"/>
      <c r="Z1" s="963"/>
      <c r="AA1" s="963"/>
      <c r="AB1" s="963"/>
      <c r="AC1" s="963"/>
      <c r="AD1" s="963"/>
      <c r="AE1" s="963"/>
      <c r="AF1" s="926"/>
      <c r="AG1" s="926"/>
    </row>
    <row r="2" spans="1:33" ht="129.75">
      <c r="A2" s="928" t="s">
        <v>1105</v>
      </c>
      <c r="B2" s="928" t="s">
        <v>168</v>
      </c>
      <c r="C2" s="929" t="s">
        <v>5</v>
      </c>
      <c r="D2" s="929" t="s">
        <v>6</v>
      </c>
      <c r="E2" s="929" t="s">
        <v>187</v>
      </c>
      <c r="F2" s="929" t="s">
        <v>188</v>
      </c>
      <c r="G2" s="929" t="s">
        <v>189</v>
      </c>
      <c r="H2" s="929" t="s">
        <v>191</v>
      </c>
      <c r="I2" s="929" t="s">
        <v>192</v>
      </c>
      <c r="J2" s="929" t="s">
        <v>178</v>
      </c>
      <c r="K2" s="929" t="s">
        <v>179</v>
      </c>
      <c r="L2" s="929" t="s">
        <v>210</v>
      </c>
      <c r="M2" s="929" t="s">
        <v>193</v>
      </c>
      <c r="N2" s="929" t="s">
        <v>180</v>
      </c>
      <c r="O2" s="929" t="s">
        <v>8</v>
      </c>
      <c r="P2" s="929" t="s">
        <v>182</v>
      </c>
      <c r="Q2" s="929" t="s">
        <v>194</v>
      </c>
      <c r="R2" s="929" t="s">
        <v>195</v>
      </c>
      <c r="S2" s="929" t="s">
        <v>196</v>
      </c>
      <c r="T2" s="929" t="s">
        <v>197</v>
      </c>
      <c r="U2" s="929" t="s">
        <v>198</v>
      </c>
      <c r="V2" s="929" t="s">
        <v>76</v>
      </c>
      <c r="W2" s="929" t="s">
        <v>183</v>
      </c>
      <c r="X2" s="929" t="s">
        <v>11</v>
      </c>
      <c r="Y2" s="929" t="s">
        <v>199</v>
      </c>
      <c r="Z2" s="929" t="s">
        <v>200</v>
      </c>
      <c r="AA2" s="929" t="s">
        <v>201</v>
      </c>
      <c r="AB2" s="929" t="s">
        <v>185</v>
      </c>
      <c r="AC2" s="929" t="s">
        <v>186</v>
      </c>
      <c r="AD2" s="929" t="s">
        <v>202</v>
      </c>
      <c r="AE2" s="929" t="s">
        <v>203</v>
      </c>
      <c r="AF2" s="929" t="s">
        <v>10</v>
      </c>
      <c r="AG2" s="929" t="s">
        <v>60</v>
      </c>
    </row>
    <row r="3" spans="1:33" ht="18.75">
      <c r="A3" s="930">
        <v>1</v>
      </c>
      <c r="B3" s="930">
        <v>2</v>
      </c>
      <c r="C3" s="930">
        <v>3</v>
      </c>
      <c r="D3" s="930">
        <v>4</v>
      </c>
      <c r="E3" s="930">
        <v>5</v>
      </c>
      <c r="F3" s="930">
        <v>6</v>
      </c>
      <c r="G3" s="930">
        <v>7</v>
      </c>
      <c r="H3" s="930">
        <v>8</v>
      </c>
      <c r="I3" s="930">
        <v>9</v>
      </c>
      <c r="J3" s="930">
        <v>10</v>
      </c>
      <c r="K3" s="930">
        <v>11</v>
      </c>
      <c r="L3" s="930">
        <v>12</v>
      </c>
      <c r="M3" s="930">
        <v>13</v>
      </c>
      <c r="N3" s="930">
        <v>14</v>
      </c>
      <c r="O3" s="930">
        <v>15</v>
      </c>
      <c r="P3" s="930">
        <v>16</v>
      </c>
      <c r="Q3" s="930">
        <v>17</v>
      </c>
      <c r="R3" s="930">
        <v>18</v>
      </c>
      <c r="S3" s="930">
        <v>19</v>
      </c>
      <c r="T3" s="930">
        <v>20</v>
      </c>
      <c r="U3" s="930">
        <v>21</v>
      </c>
      <c r="V3" s="930">
        <v>22</v>
      </c>
      <c r="W3" s="930">
        <v>23</v>
      </c>
      <c r="X3" s="930">
        <v>24</v>
      </c>
      <c r="Y3" s="930">
        <v>25</v>
      </c>
      <c r="Z3" s="930">
        <v>26</v>
      </c>
      <c r="AA3" s="930">
        <v>27</v>
      </c>
      <c r="AB3" s="930">
        <v>28</v>
      </c>
      <c r="AC3" s="930">
        <v>29</v>
      </c>
      <c r="AD3" s="930">
        <v>30</v>
      </c>
      <c r="AE3" s="930">
        <v>31</v>
      </c>
      <c r="AF3" s="930">
        <v>32</v>
      </c>
      <c r="AG3" s="930">
        <v>33</v>
      </c>
    </row>
    <row r="4" spans="1:33" ht="18.75">
      <c r="A4" s="931">
        <v>1</v>
      </c>
      <c r="B4" s="932" t="s">
        <v>1103</v>
      </c>
      <c r="C4" s="933">
        <v>3</v>
      </c>
      <c r="D4" s="933">
        <v>0</v>
      </c>
      <c r="E4" s="933"/>
      <c r="F4" s="933">
        <v>0</v>
      </c>
      <c r="G4" s="933">
        <v>0</v>
      </c>
      <c r="H4" s="933">
        <v>1</v>
      </c>
      <c r="I4" s="933">
        <v>1</v>
      </c>
      <c r="J4" s="933">
        <v>0</v>
      </c>
      <c r="K4" s="933">
        <v>0</v>
      </c>
      <c r="L4" s="933">
        <v>0</v>
      </c>
      <c r="M4" s="933">
        <v>0</v>
      </c>
      <c r="N4" s="933">
        <v>0</v>
      </c>
      <c r="O4" s="933">
        <v>1</v>
      </c>
      <c r="P4" s="933">
        <v>0</v>
      </c>
      <c r="Q4" s="933">
        <v>0</v>
      </c>
      <c r="R4" s="933">
        <v>0</v>
      </c>
      <c r="S4" s="933">
        <v>0</v>
      </c>
      <c r="T4" s="933">
        <v>0</v>
      </c>
      <c r="U4" s="933">
        <v>2</v>
      </c>
      <c r="V4" s="933">
        <v>0</v>
      </c>
      <c r="W4" s="933">
        <v>0</v>
      </c>
      <c r="X4" s="933">
        <v>0</v>
      </c>
      <c r="Y4" s="933">
        <v>0</v>
      </c>
      <c r="Z4" s="933">
        <v>0</v>
      </c>
      <c r="AA4" s="933">
        <v>0</v>
      </c>
      <c r="AB4" s="933">
        <v>0</v>
      </c>
      <c r="AC4" s="933">
        <v>1</v>
      </c>
      <c r="AD4" s="933">
        <v>0</v>
      </c>
      <c r="AE4" s="933">
        <v>0</v>
      </c>
      <c r="AF4" s="931">
        <v>0</v>
      </c>
      <c r="AG4" s="934">
        <v>9</v>
      </c>
    </row>
    <row r="5" spans="1:33" ht="18.75">
      <c r="A5" s="931">
        <v>2</v>
      </c>
      <c r="B5" s="935" t="s">
        <v>15</v>
      </c>
      <c r="C5" s="933">
        <v>1756</v>
      </c>
      <c r="D5" s="933">
        <v>36</v>
      </c>
      <c r="E5" s="933">
        <v>7</v>
      </c>
      <c r="F5" s="933">
        <v>8</v>
      </c>
      <c r="G5" s="933">
        <v>3</v>
      </c>
      <c r="H5" s="933">
        <v>119</v>
      </c>
      <c r="I5" s="933">
        <v>278</v>
      </c>
      <c r="J5" s="933">
        <v>1</v>
      </c>
      <c r="K5" s="933">
        <v>0</v>
      </c>
      <c r="L5" s="933">
        <v>1</v>
      </c>
      <c r="M5" s="933">
        <v>7</v>
      </c>
      <c r="N5" s="933">
        <v>0</v>
      </c>
      <c r="O5" s="933">
        <v>15</v>
      </c>
      <c r="P5" s="933">
        <v>39</v>
      </c>
      <c r="Q5" s="933">
        <v>17</v>
      </c>
      <c r="R5" s="933">
        <v>2</v>
      </c>
      <c r="S5" s="933">
        <v>13</v>
      </c>
      <c r="T5" s="933">
        <v>7</v>
      </c>
      <c r="U5" s="933">
        <v>18</v>
      </c>
      <c r="V5" s="933">
        <v>116</v>
      </c>
      <c r="W5" s="933">
        <v>3</v>
      </c>
      <c r="X5" s="933">
        <v>8</v>
      </c>
      <c r="Y5" s="933">
        <v>11</v>
      </c>
      <c r="Z5" s="933">
        <v>73</v>
      </c>
      <c r="AA5" s="933">
        <v>24</v>
      </c>
      <c r="AB5" s="933">
        <v>1</v>
      </c>
      <c r="AC5" s="933">
        <v>6</v>
      </c>
      <c r="AD5" s="933">
        <v>0</v>
      </c>
      <c r="AE5" s="933">
        <v>9</v>
      </c>
      <c r="AF5" s="931">
        <v>4</v>
      </c>
      <c r="AG5" s="934">
        <v>2582</v>
      </c>
    </row>
    <row r="6" spans="1:33" ht="18.75">
      <c r="A6" s="931">
        <v>3</v>
      </c>
      <c r="B6" s="935" t="s">
        <v>16</v>
      </c>
      <c r="C6" s="933">
        <v>27</v>
      </c>
      <c r="D6" s="933">
        <v>1</v>
      </c>
      <c r="E6" s="933"/>
      <c r="F6" s="933">
        <v>2</v>
      </c>
      <c r="G6" s="933">
        <v>0</v>
      </c>
      <c r="H6" s="933">
        <v>6</v>
      </c>
      <c r="I6" s="933">
        <v>0</v>
      </c>
      <c r="J6" s="933">
        <v>0</v>
      </c>
      <c r="K6" s="933">
        <v>0</v>
      </c>
      <c r="L6" s="933">
        <v>0</v>
      </c>
      <c r="M6" s="933">
        <v>0</v>
      </c>
      <c r="N6" s="933">
        <v>0</v>
      </c>
      <c r="O6" s="933">
        <v>2</v>
      </c>
      <c r="P6" s="933">
        <v>0</v>
      </c>
      <c r="Q6" s="933">
        <v>1</v>
      </c>
      <c r="R6" s="933">
        <v>0</v>
      </c>
      <c r="S6" s="933">
        <v>0</v>
      </c>
      <c r="T6" s="933">
        <v>1</v>
      </c>
      <c r="U6" s="933">
        <v>0</v>
      </c>
      <c r="V6" s="933">
        <v>3</v>
      </c>
      <c r="W6" s="933">
        <v>0</v>
      </c>
      <c r="X6" s="933">
        <v>0</v>
      </c>
      <c r="Y6" s="933">
        <v>0</v>
      </c>
      <c r="Z6" s="933">
        <v>0</v>
      </c>
      <c r="AA6" s="933">
        <v>0</v>
      </c>
      <c r="AB6" s="933">
        <v>0</v>
      </c>
      <c r="AC6" s="933">
        <v>0</v>
      </c>
      <c r="AD6" s="933">
        <v>0</v>
      </c>
      <c r="AE6" s="933">
        <v>0</v>
      </c>
      <c r="AF6" s="931">
        <v>0</v>
      </c>
      <c r="AG6" s="934">
        <v>43</v>
      </c>
    </row>
    <row r="7" spans="1:33" ht="18.75">
      <c r="A7" s="931">
        <v>4</v>
      </c>
      <c r="B7" s="935" t="s">
        <v>17</v>
      </c>
      <c r="C7" s="933">
        <v>368</v>
      </c>
      <c r="D7" s="933">
        <v>3</v>
      </c>
      <c r="E7" s="933">
        <v>2</v>
      </c>
      <c r="F7" s="933">
        <v>40</v>
      </c>
      <c r="G7" s="933">
        <v>11</v>
      </c>
      <c r="H7" s="933">
        <v>42</v>
      </c>
      <c r="I7" s="933">
        <v>11</v>
      </c>
      <c r="J7" s="933">
        <v>1</v>
      </c>
      <c r="K7" s="933">
        <v>1</v>
      </c>
      <c r="L7" s="933">
        <v>0</v>
      </c>
      <c r="M7" s="933">
        <v>0</v>
      </c>
      <c r="N7" s="933">
        <v>0</v>
      </c>
      <c r="O7" s="933">
        <v>18</v>
      </c>
      <c r="P7" s="933">
        <v>5</v>
      </c>
      <c r="Q7" s="933">
        <v>3</v>
      </c>
      <c r="R7" s="933">
        <v>1</v>
      </c>
      <c r="S7" s="933">
        <v>0</v>
      </c>
      <c r="T7" s="933">
        <v>2</v>
      </c>
      <c r="U7" s="933">
        <v>3</v>
      </c>
      <c r="V7" s="933">
        <v>10</v>
      </c>
      <c r="W7" s="933">
        <v>0</v>
      </c>
      <c r="X7" s="933">
        <v>3</v>
      </c>
      <c r="Y7" s="933">
        <v>5</v>
      </c>
      <c r="Z7" s="933">
        <v>12</v>
      </c>
      <c r="AA7" s="933">
        <v>1</v>
      </c>
      <c r="AB7" s="933">
        <v>1</v>
      </c>
      <c r="AC7" s="933">
        <v>7</v>
      </c>
      <c r="AD7" s="933">
        <v>1</v>
      </c>
      <c r="AE7" s="933">
        <v>0</v>
      </c>
      <c r="AF7" s="931">
        <v>2</v>
      </c>
      <c r="AG7" s="934">
        <v>553</v>
      </c>
    </row>
    <row r="8" spans="1:33" ht="18.75">
      <c r="A8" s="931">
        <v>5</v>
      </c>
      <c r="B8" s="935" t="s">
        <v>18</v>
      </c>
      <c r="C8" s="933">
        <v>594</v>
      </c>
      <c r="D8" s="933">
        <v>6</v>
      </c>
      <c r="E8" s="933"/>
      <c r="F8" s="933">
        <v>18</v>
      </c>
      <c r="G8" s="933">
        <v>1</v>
      </c>
      <c r="H8" s="933">
        <v>224</v>
      </c>
      <c r="I8" s="933">
        <v>61</v>
      </c>
      <c r="J8" s="933">
        <v>1</v>
      </c>
      <c r="K8" s="933">
        <v>0</v>
      </c>
      <c r="L8" s="933">
        <v>0</v>
      </c>
      <c r="M8" s="933">
        <v>0</v>
      </c>
      <c r="N8" s="933">
        <v>0</v>
      </c>
      <c r="O8" s="933">
        <v>17</v>
      </c>
      <c r="P8" s="933">
        <v>5</v>
      </c>
      <c r="Q8" s="933">
        <v>11</v>
      </c>
      <c r="R8" s="933">
        <v>3</v>
      </c>
      <c r="S8" s="933">
        <v>2</v>
      </c>
      <c r="T8" s="933">
        <v>6</v>
      </c>
      <c r="U8" s="933">
        <v>10</v>
      </c>
      <c r="V8" s="933">
        <v>26</v>
      </c>
      <c r="W8" s="933">
        <v>0</v>
      </c>
      <c r="X8" s="933">
        <v>4</v>
      </c>
      <c r="Y8" s="933">
        <v>8</v>
      </c>
      <c r="Z8" s="933">
        <v>19</v>
      </c>
      <c r="AA8" s="933">
        <v>0</v>
      </c>
      <c r="AB8" s="933">
        <v>55</v>
      </c>
      <c r="AC8" s="933">
        <v>0</v>
      </c>
      <c r="AD8" s="933">
        <v>0</v>
      </c>
      <c r="AE8" s="933">
        <v>0</v>
      </c>
      <c r="AF8" s="931">
        <v>1</v>
      </c>
      <c r="AG8" s="934">
        <v>1072</v>
      </c>
    </row>
    <row r="9" spans="1:33" ht="18.75">
      <c r="A9" s="931">
        <v>6</v>
      </c>
      <c r="B9" s="935" t="s">
        <v>19</v>
      </c>
      <c r="C9" s="933">
        <v>9</v>
      </c>
      <c r="D9" s="933">
        <v>0</v>
      </c>
      <c r="E9" s="933">
        <v>1</v>
      </c>
      <c r="F9" s="933">
        <v>0</v>
      </c>
      <c r="G9" s="933">
        <v>1</v>
      </c>
      <c r="H9" s="933">
        <v>4</v>
      </c>
      <c r="I9" s="933">
        <v>2</v>
      </c>
      <c r="J9" s="933">
        <v>1</v>
      </c>
      <c r="K9" s="933">
        <v>0</v>
      </c>
      <c r="L9" s="933">
        <v>1</v>
      </c>
      <c r="M9" s="933">
        <v>0</v>
      </c>
      <c r="N9" s="933">
        <v>0</v>
      </c>
      <c r="O9" s="933">
        <v>0</v>
      </c>
      <c r="P9" s="933">
        <v>1</v>
      </c>
      <c r="Q9" s="933">
        <v>0</v>
      </c>
      <c r="R9" s="933">
        <v>1</v>
      </c>
      <c r="S9" s="933">
        <v>0</v>
      </c>
      <c r="T9" s="933">
        <v>1</v>
      </c>
      <c r="U9" s="933">
        <v>1</v>
      </c>
      <c r="V9" s="933">
        <v>0</v>
      </c>
      <c r="W9" s="933">
        <v>0</v>
      </c>
      <c r="X9" s="933">
        <v>0</v>
      </c>
      <c r="Y9" s="933">
        <v>0</v>
      </c>
      <c r="Z9" s="933">
        <v>0</v>
      </c>
      <c r="AA9" s="933">
        <v>0</v>
      </c>
      <c r="AB9" s="933">
        <v>0</v>
      </c>
      <c r="AC9" s="933">
        <v>0</v>
      </c>
      <c r="AD9" s="933">
        <v>0</v>
      </c>
      <c r="AE9" s="933">
        <v>2</v>
      </c>
      <c r="AF9" s="931">
        <v>1</v>
      </c>
      <c r="AG9" s="934">
        <v>26</v>
      </c>
    </row>
    <row r="10" spans="1:33" ht="18.75">
      <c r="A10" s="931">
        <v>7</v>
      </c>
      <c r="B10" s="935" t="s">
        <v>20</v>
      </c>
      <c r="C10" s="933">
        <v>542</v>
      </c>
      <c r="D10" s="933">
        <v>27</v>
      </c>
      <c r="E10" s="933">
        <v>1</v>
      </c>
      <c r="F10" s="933">
        <v>8</v>
      </c>
      <c r="G10" s="933">
        <v>2</v>
      </c>
      <c r="H10" s="933">
        <v>61</v>
      </c>
      <c r="I10" s="933">
        <v>70</v>
      </c>
      <c r="J10" s="933">
        <v>3</v>
      </c>
      <c r="K10" s="933">
        <v>1</v>
      </c>
      <c r="L10" s="933">
        <v>0</v>
      </c>
      <c r="M10" s="933">
        <v>0</v>
      </c>
      <c r="N10" s="933">
        <v>1</v>
      </c>
      <c r="O10" s="933">
        <v>10</v>
      </c>
      <c r="P10" s="933">
        <v>4</v>
      </c>
      <c r="Q10" s="933">
        <v>6</v>
      </c>
      <c r="R10" s="933">
        <v>5</v>
      </c>
      <c r="S10" s="933">
        <v>6</v>
      </c>
      <c r="T10" s="933">
        <v>3</v>
      </c>
      <c r="U10" s="933">
        <v>7</v>
      </c>
      <c r="V10" s="933">
        <v>90</v>
      </c>
      <c r="W10" s="933">
        <v>0</v>
      </c>
      <c r="X10" s="933">
        <v>1</v>
      </c>
      <c r="Y10" s="933">
        <v>0</v>
      </c>
      <c r="Z10" s="933">
        <v>25</v>
      </c>
      <c r="AA10" s="933">
        <v>2</v>
      </c>
      <c r="AB10" s="933">
        <v>4</v>
      </c>
      <c r="AC10" s="933">
        <v>7</v>
      </c>
      <c r="AD10" s="933">
        <v>0</v>
      </c>
      <c r="AE10" s="933">
        <v>3</v>
      </c>
      <c r="AF10" s="931">
        <v>6</v>
      </c>
      <c r="AG10" s="934">
        <v>895</v>
      </c>
    </row>
    <row r="11" spans="1:33" ht="18.75">
      <c r="A11" s="931">
        <v>8</v>
      </c>
      <c r="B11" s="935" t="s">
        <v>23</v>
      </c>
      <c r="C11" s="933">
        <v>91</v>
      </c>
      <c r="D11" s="933">
        <v>0</v>
      </c>
      <c r="E11" s="933">
        <v>2</v>
      </c>
      <c r="F11" s="933">
        <v>0</v>
      </c>
      <c r="G11" s="933">
        <v>1</v>
      </c>
      <c r="H11" s="933">
        <v>12</v>
      </c>
      <c r="I11" s="933">
        <v>15</v>
      </c>
      <c r="J11" s="933">
        <v>2</v>
      </c>
      <c r="K11" s="933">
        <v>0</v>
      </c>
      <c r="L11" s="933">
        <v>1</v>
      </c>
      <c r="M11" s="933">
        <v>1</v>
      </c>
      <c r="N11" s="933">
        <v>1</v>
      </c>
      <c r="O11" s="933">
        <v>1</v>
      </c>
      <c r="P11" s="933">
        <v>10</v>
      </c>
      <c r="Q11" s="933">
        <v>9</v>
      </c>
      <c r="R11" s="933">
        <v>2</v>
      </c>
      <c r="S11" s="933">
        <v>2</v>
      </c>
      <c r="T11" s="933">
        <v>2</v>
      </c>
      <c r="U11" s="933">
        <v>5</v>
      </c>
      <c r="V11" s="933">
        <v>6</v>
      </c>
      <c r="W11" s="933">
        <v>0</v>
      </c>
      <c r="X11" s="933">
        <v>4</v>
      </c>
      <c r="Y11" s="933">
        <v>1</v>
      </c>
      <c r="Z11" s="933">
        <v>1</v>
      </c>
      <c r="AA11" s="933">
        <v>0</v>
      </c>
      <c r="AB11" s="933">
        <v>0</v>
      </c>
      <c r="AC11" s="933">
        <v>0</v>
      </c>
      <c r="AD11" s="933">
        <v>0</v>
      </c>
      <c r="AE11" s="933">
        <v>2</v>
      </c>
      <c r="AF11" s="931">
        <v>0</v>
      </c>
      <c r="AG11" s="934">
        <v>171</v>
      </c>
    </row>
    <row r="12" spans="1:33" ht="18.75">
      <c r="A12" s="931">
        <v>9</v>
      </c>
      <c r="B12" s="935" t="s">
        <v>24</v>
      </c>
      <c r="C12" s="933">
        <v>29</v>
      </c>
      <c r="D12" s="933">
        <v>2</v>
      </c>
      <c r="E12" s="933">
        <v>1</v>
      </c>
      <c r="F12" s="933">
        <v>0</v>
      </c>
      <c r="G12" s="933">
        <v>1</v>
      </c>
      <c r="H12" s="933">
        <v>4</v>
      </c>
      <c r="I12" s="933">
        <v>6</v>
      </c>
      <c r="J12" s="933">
        <v>2</v>
      </c>
      <c r="K12" s="933">
        <v>0</v>
      </c>
      <c r="L12" s="933">
        <v>1</v>
      </c>
      <c r="M12" s="933">
        <v>3</v>
      </c>
      <c r="N12" s="933">
        <v>0</v>
      </c>
      <c r="O12" s="933">
        <v>2</v>
      </c>
      <c r="P12" s="933">
        <v>0</v>
      </c>
      <c r="Q12" s="933">
        <v>2</v>
      </c>
      <c r="R12" s="933">
        <v>1</v>
      </c>
      <c r="S12" s="933">
        <v>1</v>
      </c>
      <c r="T12" s="933">
        <v>1</v>
      </c>
      <c r="U12" s="933">
        <v>0</v>
      </c>
      <c r="V12" s="933">
        <v>2</v>
      </c>
      <c r="W12" s="933">
        <v>0</v>
      </c>
      <c r="X12" s="933">
        <v>3</v>
      </c>
      <c r="Y12" s="933">
        <v>0</v>
      </c>
      <c r="Z12" s="933">
        <v>1</v>
      </c>
      <c r="AA12" s="933">
        <v>0</v>
      </c>
      <c r="AB12" s="933">
        <v>0</v>
      </c>
      <c r="AC12" s="933">
        <v>0</v>
      </c>
      <c r="AD12" s="933">
        <v>0</v>
      </c>
      <c r="AE12" s="933">
        <v>0</v>
      </c>
      <c r="AF12" s="931">
        <v>0</v>
      </c>
      <c r="AG12" s="934">
        <v>62</v>
      </c>
    </row>
    <row r="13" spans="1:33" ht="18.75">
      <c r="A13" s="931">
        <v>10</v>
      </c>
      <c r="B13" s="935" t="s">
        <v>25</v>
      </c>
      <c r="C13" s="933">
        <v>914</v>
      </c>
      <c r="D13" s="933">
        <v>33</v>
      </c>
      <c r="E13" s="933">
        <v>28</v>
      </c>
      <c r="F13" s="933">
        <v>115</v>
      </c>
      <c r="G13" s="933">
        <v>86</v>
      </c>
      <c r="H13" s="933">
        <v>221</v>
      </c>
      <c r="I13" s="933">
        <v>239</v>
      </c>
      <c r="J13" s="933">
        <v>3</v>
      </c>
      <c r="K13" s="933">
        <v>3</v>
      </c>
      <c r="L13" s="933">
        <v>3</v>
      </c>
      <c r="M13" s="933">
        <v>6</v>
      </c>
      <c r="N13" s="933">
        <v>1</v>
      </c>
      <c r="O13" s="933">
        <v>59</v>
      </c>
      <c r="P13" s="933">
        <v>69</v>
      </c>
      <c r="Q13" s="933">
        <v>21</v>
      </c>
      <c r="R13" s="933">
        <v>24</v>
      </c>
      <c r="S13" s="933">
        <v>9</v>
      </c>
      <c r="T13" s="933">
        <v>30</v>
      </c>
      <c r="U13" s="933">
        <v>59</v>
      </c>
      <c r="V13" s="933">
        <v>131</v>
      </c>
      <c r="W13" s="933">
        <v>1</v>
      </c>
      <c r="X13" s="933">
        <v>51</v>
      </c>
      <c r="Y13" s="933">
        <v>23</v>
      </c>
      <c r="Z13" s="933">
        <v>46</v>
      </c>
      <c r="AA13" s="933">
        <v>41</v>
      </c>
      <c r="AB13" s="933">
        <v>21</v>
      </c>
      <c r="AC13" s="933">
        <v>108</v>
      </c>
      <c r="AD13" s="933">
        <v>17</v>
      </c>
      <c r="AE13" s="933">
        <v>5</v>
      </c>
      <c r="AF13" s="931">
        <v>7</v>
      </c>
      <c r="AG13" s="934">
        <v>2374</v>
      </c>
    </row>
    <row r="14" spans="1:33" ht="18.75">
      <c r="A14" s="931">
        <v>11</v>
      </c>
      <c r="B14" s="935" t="s">
        <v>26</v>
      </c>
      <c r="C14" s="933">
        <v>539</v>
      </c>
      <c r="D14" s="933">
        <v>4</v>
      </c>
      <c r="E14" s="933">
        <v>5</v>
      </c>
      <c r="F14" s="933">
        <v>4</v>
      </c>
      <c r="G14" s="933">
        <v>0</v>
      </c>
      <c r="H14" s="933">
        <v>285</v>
      </c>
      <c r="I14" s="933">
        <v>83</v>
      </c>
      <c r="J14" s="933">
        <v>0</v>
      </c>
      <c r="K14" s="933">
        <v>1</v>
      </c>
      <c r="L14" s="933">
        <v>0</v>
      </c>
      <c r="M14" s="933">
        <v>2</v>
      </c>
      <c r="N14" s="933">
        <v>0</v>
      </c>
      <c r="O14" s="933">
        <v>18</v>
      </c>
      <c r="P14" s="933">
        <v>22</v>
      </c>
      <c r="Q14" s="933">
        <v>4</v>
      </c>
      <c r="R14" s="933">
        <v>5</v>
      </c>
      <c r="S14" s="933">
        <v>6</v>
      </c>
      <c r="T14" s="933">
        <v>1</v>
      </c>
      <c r="U14" s="933">
        <v>7</v>
      </c>
      <c r="V14" s="933">
        <v>34</v>
      </c>
      <c r="W14" s="933">
        <v>1</v>
      </c>
      <c r="X14" s="933">
        <v>6</v>
      </c>
      <c r="Y14" s="933">
        <v>0</v>
      </c>
      <c r="Z14" s="933">
        <v>35</v>
      </c>
      <c r="AA14" s="933">
        <v>5</v>
      </c>
      <c r="AB14" s="933">
        <v>5</v>
      </c>
      <c r="AC14" s="933">
        <v>2</v>
      </c>
      <c r="AD14" s="933">
        <v>0</v>
      </c>
      <c r="AE14" s="933">
        <v>0</v>
      </c>
      <c r="AF14" s="931">
        <v>15</v>
      </c>
      <c r="AG14" s="934">
        <v>1089</v>
      </c>
    </row>
    <row r="15" spans="1:33" ht="18.75">
      <c r="A15" s="931">
        <v>12</v>
      </c>
      <c r="B15" s="935" t="s">
        <v>27</v>
      </c>
      <c r="C15" s="933">
        <v>196</v>
      </c>
      <c r="D15" s="933">
        <v>0</v>
      </c>
      <c r="E15" s="933">
        <v>1</v>
      </c>
      <c r="F15" s="933">
        <v>2</v>
      </c>
      <c r="G15" s="933">
        <v>0</v>
      </c>
      <c r="H15" s="933">
        <v>41</v>
      </c>
      <c r="I15" s="933">
        <v>15</v>
      </c>
      <c r="J15" s="933">
        <v>1</v>
      </c>
      <c r="K15" s="933">
        <v>0</v>
      </c>
      <c r="L15" s="933">
        <v>0</v>
      </c>
      <c r="M15" s="933">
        <v>5</v>
      </c>
      <c r="N15" s="933">
        <v>0</v>
      </c>
      <c r="O15" s="933">
        <v>6</v>
      </c>
      <c r="P15" s="933">
        <v>4</v>
      </c>
      <c r="Q15" s="933">
        <v>1</v>
      </c>
      <c r="R15" s="933">
        <v>2</v>
      </c>
      <c r="S15" s="933">
        <v>5</v>
      </c>
      <c r="T15" s="933">
        <v>1</v>
      </c>
      <c r="U15" s="933">
        <v>7</v>
      </c>
      <c r="V15" s="933">
        <v>22</v>
      </c>
      <c r="W15" s="933">
        <v>1</v>
      </c>
      <c r="X15" s="933">
        <v>1</v>
      </c>
      <c r="Y15" s="933">
        <v>0</v>
      </c>
      <c r="Z15" s="933">
        <v>16</v>
      </c>
      <c r="AA15" s="933">
        <v>0</v>
      </c>
      <c r="AB15" s="933">
        <v>17</v>
      </c>
      <c r="AC15" s="933">
        <v>1</v>
      </c>
      <c r="AD15" s="933">
        <v>0</v>
      </c>
      <c r="AE15" s="933">
        <v>1</v>
      </c>
      <c r="AF15" s="931">
        <v>2</v>
      </c>
      <c r="AG15" s="934">
        <v>348</v>
      </c>
    </row>
    <row r="16" spans="1:33" ht="18.75">
      <c r="A16" s="931">
        <v>13</v>
      </c>
      <c r="B16" s="935" t="s">
        <v>57</v>
      </c>
      <c r="C16" s="933">
        <v>202</v>
      </c>
      <c r="D16" s="933">
        <v>4</v>
      </c>
      <c r="E16" s="933">
        <v>2</v>
      </c>
      <c r="F16" s="933">
        <v>2</v>
      </c>
      <c r="G16" s="933">
        <v>1</v>
      </c>
      <c r="H16" s="933">
        <v>68</v>
      </c>
      <c r="I16" s="933">
        <v>11</v>
      </c>
      <c r="J16" s="933">
        <v>0</v>
      </c>
      <c r="K16" s="933">
        <v>1</v>
      </c>
      <c r="L16" s="933">
        <v>0</v>
      </c>
      <c r="M16" s="933">
        <v>0</v>
      </c>
      <c r="N16" s="933">
        <v>0</v>
      </c>
      <c r="O16" s="933">
        <v>7</v>
      </c>
      <c r="P16" s="933">
        <v>1</v>
      </c>
      <c r="Q16" s="933">
        <v>6</v>
      </c>
      <c r="R16" s="933">
        <v>2</v>
      </c>
      <c r="S16" s="933">
        <v>3</v>
      </c>
      <c r="T16" s="933">
        <v>0</v>
      </c>
      <c r="U16" s="933">
        <v>7</v>
      </c>
      <c r="V16" s="933">
        <v>10</v>
      </c>
      <c r="W16" s="933">
        <v>3</v>
      </c>
      <c r="X16" s="933">
        <v>1</v>
      </c>
      <c r="Y16" s="933">
        <v>1</v>
      </c>
      <c r="Z16" s="933">
        <v>1</v>
      </c>
      <c r="AA16" s="933">
        <v>1</v>
      </c>
      <c r="AB16" s="933">
        <v>0</v>
      </c>
      <c r="AC16" s="933">
        <v>0</v>
      </c>
      <c r="AD16" s="933">
        <v>0</v>
      </c>
      <c r="AE16" s="933">
        <v>2</v>
      </c>
      <c r="AF16" s="931">
        <v>1</v>
      </c>
      <c r="AG16" s="934">
        <v>337</v>
      </c>
    </row>
    <row r="17" spans="1:33" ht="18.75">
      <c r="A17" s="931">
        <v>14</v>
      </c>
      <c r="B17" s="935" t="s">
        <v>29</v>
      </c>
      <c r="C17" s="933">
        <v>199</v>
      </c>
      <c r="D17" s="933">
        <v>4</v>
      </c>
      <c r="E17" s="933">
        <v>2</v>
      </c>
      <c r="F17" s="933">
        <v>8</v>
      </c>
      <c r="G17" s="933">
        <v>1</v>
      </c>
      <c r="H17" s="933">
        <v>79</v>
      </c>
      <c r="I17" s="933">
        <v>31</v>
      </c>
      <c r="J17" s="933">
        <v>0</v>
      </c>
      <c r="K17" s="933">
        <v>0</v>
      </c>
      <c r="L17" s="933">
        <v>0</v>
      </c>
      <c r="M17" s="933">
        <v>1</v>
      </c>
      <c r="N17" s="933">
        <v>0</v>
      </c>
      <c r="O17" s="933">
        <v>6</v>
      </c>
      <c r="P17" s="933">
        <v>0</v>
      </c>
      <c r="Q17" s="933">
        <v>4</v>
      </c>
      <c r="R17" s="933">
        <v>0</v>
      </c>
      <c r="S17" s="933">
        <v>3</v>
      </c>
      <c r="T17" s="933">
        <v>3</v>
      </c>
      <c r="U17" s="933">
        <v>5</v>
      </c>
      <c r="V17" s="933">
        <v>13</v>
      </c>
      <c r="W17" s="933">
        <v>0</v>
      </c>
      <c r="X17" s="933">
        <v>1</v>
      </c>
      <c r="Y17" s="933">
        <v>0</v>
      </c>
      <c r="Z17" s="933">
        <v>1</v>
      </c>
      <c r="AA17" s="933">
        <v>0</v>
      </c>
      <c r="AB17" s="933">
        <v>4</v>
      </c>
      <c r="AC17" s="933">
        <v>0</v>
      </c>
      <c r="AD17" s="933">
        <v>0</v>
      </c>
      <c r="AE17" s="933">
        <v>0</v>
      </c>
      <c r="AF17" s="931">
        <v>0</v>
      </c>
      <c r="AG17" s="934">
        <v>365</v>
      </c>
    </row>
    <row r="18" spans="1:33" ht="18.75">
      <c r="A18" s="931">
        <v>15</v>
      </c>
      <c r="B18" s="935" t="s">
        <v>30</v>
      </c>
      <c r="C18" s="933">
        <v>2493</v>
      </c>
      <c r="D18" s="933">
        <v>21</v>
      </c>
      <c r="E18" s="933">
        <v>31</v>
      </c>
      <c r="F18" s="933">
        <v>129</v>
      </c>
      <c r="G18" s="933">
        <v>119</v>
      </c>
      <c r="H18" s="933">
        <v>157</v>
      </c>
      <c r="I18" s="933">
        <v>206</v>
      </c>
      <c r="J18" s="933">
        <v>13</v>
      </c>
      <c r="K18" s="933">
        <v>1</v>
      </c>
      <c r="L18" s="933">
        <v>2</v>
      </c>
      <c r="M18" s="933">
        <v>9</v>
      </c>
      <c r="N18" s="933">
        <v>2</v>
      </c>
      <c r="O18" s="933">
        <v>77</v>
      </c>
      <c r="P18" s="933">
        <v>95</v>
      </c>
      <c r="Q18" s="933">
        <v>42</v>
      </c>
      <c r="R18" s="933">
        <v>78</v>
      </c>
      <c r="S18" s="933">
        <v>37</v>
      </c>
      <c r="T18" s="933">
        <v>16</v>
      </c>
      <c r="U18" s="933">
        <v>78</v>
      </c>
      <c r="V18" s="933">
        <v>388</v>
      </c>
      <c r="W18" s="933">
        <v>3</v>
      </c>
      <c r="X18" s="933">
        <v>52</v>
      </c>
      <c r="Y18" s="933">
        <v>36</v>
      </c>
      <c r="Z18" s="933">
        <v>76</v>
      </c>
      <c r="AA18" s="933">
        <v>48</v>
      </c>
      <c r="AB18" s="933">
        <v>23</v>
      </c>
      <c r="AC18" s="933">
        <v>20</v>
      </c>
      <c r="AD18" s="933">
        <v>12</v>
      </c>
      <c r="AE18" s="933">
        <v>13</v>
      </c>
      <c r="AF18" s="931">
        <v>6</v>
      </c>
      <c r="AG18" s="934">
        <v>4283</v>
      </c>
    </row>
    <row r="19" spans="1:33" ht="18.75">
      <c r="A19" s="931">
        <v>16</v>
      </c>
      <c r="B19" s="935" t="s">
        <v>31</v>
      </c>
      <c r="C19" s="933">
        <v>643</v>
      </c>
      <c r="D19" s="933">
        <v>6</v>
      </c>
      <c r="E19" s="933">
        <v>27</v>
      </c>
      <c r="F19" s="933">
        <v>50</v>
      </c>
      <c r="G19" s="933">
        <v>2</v>
      </c>
      <c r="H19" s="933">
        <v>120</v>
      </c>
      <c r="I19" s="933">
        <v>141</v>
      </c>
      <c r="J19" s="933">
        <v>7</v>
      </c>
      <c r="K19" s="933">
        <v>0</v>
      </c>
      <c r="L19" s="933">
        <v>1</v>
      </c>
      <c r="M19" s="933">
        <v>3</v>
      </c>
      <c r="N19" s="933">
        <v>0</v>
      </c>
      <c r="O19" s="933">
        <v>14</v>
      </c>
      <c r="P19" s="933">
        <v>36</v>
      </c>
      <c r="Q19" s="933">
        <v>16</v>
      </c>
      <c r="R19" s="933">
        <v>14</v>
      </c>
      <c r="S19" s="933">
        <v>21</v>
      </c>
      <c r="T19" s="933">
        <v>6</v>
      </c>
      <c r="U19" s="933">
        <v>22</v>
      </c>
      <c r="V19" s="933">
        <v>104</v>
      </c>
      <c r="W19" s="933">
        <v>7</v>
      </c>
      <c r="X19" s="933">
        <v>11</v>
      </c>
      <c r="Y19" s="933">
        <v>27</v>
      </c>
      <c r="Z19" s="933">
        <v>40</v>
      </c>
      <c r="AA19" s="933">
        <v>2</v>
      </c>
      <c r="AB19" s="933">
        <v>3</v>
      </c>
      <c r="AC19" s="933">
        <v>5</v>
      </c>
      <c r="AD19" s="933">
        <v>0</v>
      </c>
      <c r="AE19" s="933">
        <v>1</v>
      </c>
      <c r="AF19" s="931">
        <v>3</v>
      </c>
      <c r="AG19" s="934">
        <v>1332</v>
      </c>
    </row>
    <row r="20" spans="1:33" ht="18.75">
      <c r="A20" s="931">
        <v>17</v>
      </c>
      <c r="B20" s="935" t="s">
        <v>154</v>
      </c>
      <c r="C20" s="933">
        <v>5</v>
      </c>
      <c r="D20" s="933">
        <v>0</v>
      </c>
      <c r="E20" s="933"/>
      <c r="F20" s="933">
        <v>1</v>
      </c>
      <c r="G20" s="933">
        <v>0</v>
      </c>
      <c r="H20" s="933">
        <v>0</v>
      </c>
      <c r="I20" s="933">
        <v>0</v>
      </c>
      <c r="J20" s="933">
        <v>0</v>
      </c>
      <c r="K20" s="933">
        <v>0</v>
      </c>
      <c r="L20" s="933">
        <v>0</v>
      </c>
      <c r="M20" s="933">
        <v>0</v>
      </c>
      <c r="N20" s="933">
        <v>0</v>
      </c>
      <c r="O20" s="933">
        <v>0</v>
      </c>
      <c r="P20" s="933">
        <v>0</v>
      </c>
      <c r="Q20" s="933">
        <v>0</v>
      </c>
      <c r="R20" s="933">
        <v>0</v>
      </c>
      <c r="S20" s="933">
        <v>0</v>
      </c>
      <c r="T20" s="933">
        <v>0</v>
      </c>
      <c r="U20" s="933">
        <v>0</v>
      </c>
      <c r="V20" s="933">
        <v>0</v>
      </c>
      <c r="W20" s="933">
        <v>0</v>
      </c>
      <c r="X20" s="933">
        <v>0</v>
      </c>
      <c r="Y20" s="933">
        <v>0</v>
      </c>
      <c r="Z20" s="933">
        <v>0</v>
      </c>
      <c r="AA20" s="933">
        <v>0</v>
      </c>
      <c r="AB20" s="933">
        <v>0</v>
      </c>
      <c r="AC20" s="933">
        <v>0</v>
      </c>
      <c r="AD20" s="933">
        <v>0</v>
      </c>
      <c r="AE20" s="933">
        <v>0</v>
      </c>
      <c r="AF20" s="931">
        <v>0</v>
      </c>
      <c r="AG20" s="934">
        <v>6</v>
      </c>
    </row>
    <row r="21" spans="1:33" ht="18.75">
      <c r="A21" s="931">
        <v>18</v>
      </c>
      <c r="B21" s="935" t="s">
        <v>33</v>
      </c>
      <c r="C21" s="933">
        <v>1426</v>
      </c>
      <c r="D21" s="933">
        <v>16</v>
      </c>
      <c r="E21" s="933">
        <v>4</v>
      </c>
      <c r="F21" s="933">
        <v>41</v>
      </c>
      <c r="G21" s="933">
        <v>6</v>
      </c>
      <c r="H21" s="933">
        <v>274</v>
      </c>
      <c r="I21" s="933">
        <v>175</v>
      </c>
      <c r="J21" s="933">
        <v>20</v>
      </c>
      <c r="K21" s="933">
        <v>1</v>
      </c>
      <c r="L21" s="933">
        <v>1</v>
      </c>
      <c r="M21" s="933">
        <v>1</v>
      </c>
      <c r="N21" s="933">
        <v>0</v>
      </c>
      <c r="O21" s="933">
        <v>52</v>
      </c>
      <c r="P21" s="933">
        <v>83</v>
      </c>
      <c r="Q21" s="933">
        <v>7</v>
      </c>
      <c r="R21" s="933">
        <v>24</v>
      </c>
      <c r="S21" s="933">
        <v>6</v>
      </c>
      <c r="T21" s="933">
        <v>11</v>
      </c>
      <c r="U21" s="933">
        <v>13</v>
      </c>
      <c r="V21" s="933">
        <v>132</v>
      </c>
      <c r="W21" s="933">
        <v>3</v>
      </c>
      <c r="X21" s="933">
        <v>10</v>
      </c>
      <c r="Y21" s="933">
        <v>36</v>
      </c>
      <c r="Z21" s="933">
        <v>91</v>
      </c>
      <c r="AA21" s="933">
        <v>0</v>
      </c>
      <c r="AB21" s="933">
        <v>8</v>
      </c>
      <c r="AC21" s="933">
        <v>15</v>
      </c>
      <c r="AD21" s="933">
        <v>1</v>
      </c>
      <c r="AE21" s="933">
        <v>2</v>
      </c>
      <c r="AF21" s="931">
        <v>5</v>
      </c>
      <c r="AG21" s="934">
        <v>2464</v>
      </c>
    </row>
    <row r="22" spans="1:33" ht="18.75">
      <c r="A22" s="931">
        <v>19</v>
      </c>
      <c r="B22" s="935" t="s">
        <v>34</v>
      </c>
      <c r="C22" s="933">
        <v>2756</v>
      </c>
      <c r="D22" s="933">
        <v>107</v>
      </c>
      <c r="E22" s="933">
        <v>85</v>
      </c>
      <c r="F22" s="933">
        <v>147</v>
      </c>
      <c r="G22" s="933">
        <v>69</v>
      </c>
      <c r="H22" s="933">
        <v>177</v>
      </c>
      <c r="I22" s="933">
        <v>398</v>
      </c>
      <c r="J22" s="933">
        <v>22</v>
      </c>
      <c r="K22" s="933">
        <v>4</v>
      </c>
      <c r="L22" s="933">
        <v>11</v>
      </c>
      <c r="M22" s="933">
        <v>22</v>
      </c>
      <c r="N22" s="933">
        <v>6</v>
      </c>
      <c r="O22" s="933">
        <v>96</v>
      </c>
      <c r="P22" s="933">
        <v>97</v>
      </c>
      <c r="Q22" s="933">
        <v>38</v>
      </c>
      <c r="R22" s="933">
        <v>59</v>
      </c>
      <c r="S22" s="933">
        <v>23</v>
      </c>
      <c r="T22" s="933">
        <v>40</v>
      </c>
      <c r="U22" s="933">
        <v>34</v>
      </c>
      <c r="V22" s="933">
        <v>104</v>
      </c>
      <c r="W22" s="933">
        <v>0</v>
      </c>
      <c r="X22" s="933">
        <v>53</v>
      </c>
      <c r="Y22" s="933">
        <v>3</v>
      </c>
      <c r="Z22" s="933">
        <v>164</v>
      </c>
      <c r="AA22" s="933">
        <v>47</v>
      </c>
      <c r="AB22" s="933">
        <v>6</v>
      </c>
      <c r="AC22" s="933">
        <v>53</v>
      </c>
      <c r="AD22" s="933">
        <v>39</v>
      </c>
      <c r="AE22" s="933">
        <v>19</v>
      </c>
      <c r="AF22" s="931">
        <v>6</v>
      </c>
      <c r="AG22" s="934">
        <v>4685</v>
      </c>
    </row>
    <row r="23" spans="1:33" ht="18.75">
      <c r="A23" s="931">
        <v>20</v>
      </c>
      <c r="B23" s="935" t="s">
        <v>35</v>
      </c>
      <c r="C23" s="933">
        <v>66</v>
      </c>
      <c r="D23" s="933">
        <v>4</v>
      </c>
      <c r="E23" s="933"/>
      <c r="F23" s="933">
        <v>0</v>
      </c>
      <c r="G23" s="933">
        <v>0</v>
      </c>
      <c r="H23" s="933">
        <v>9</v>
      </c>
      <c r="I23" s="933">
        <v>7</v>
      </c>
      <c r="J23" s="933">
        <v>1</v>
      </c>
      <c r="K23" s="933">
        <v>0</v>
      </c>
      <c r="L23" s="933">
        <v>0</v>
      </c>
      <c r="M23" s="933">
        <v>0</v>
      </c>
      <c r="N23" s="933">
        <v>0</v>
      </c>
      <c r="O23" s="933">
        <v>1</v>
      </c>
      <c r="P23" s="933">
        <v>2</v>
      </c>
      <c r="Q23" s="933">
        <v>0</v>
      </c>
      <c r="R23" s="933">
        <v>0</v>
      </c>
      <c r="S23" s="933">
        <v>1</v>
      </c>
      <c r="T23" s="933">
        <v>0</v>
      </c>
      <c r="U23" s="933">
        <v>2</v>
      </c>
      <c r="V23" s="933">
        <v>6</v>
      </c>
      <c r="W23" s="933">
        <v>0</v>
      </c>
      <c r="X23" s="933">
        <v>0</v>
      </c>
      <c r="Y23" s="933">
        <v>0</v>
      </c>
      <c r="Z23" s="933">
        <v>0</v>
      </c>
      <c r="AA23" s="933">
        <v>0</v>
      </c>
      <c r="AB23" s="933">
        <v>0</v>
      </c>
      <c r="AC23" s="933">
        <v>1</v>
      </c>
      <c r="AD23" s="933">
        <v>3</v>
      </c>
      <c r="AE23" s="933">
        <v>0</v>
      </c>
      <c r="AF23" s="931">
        <v>0</v>
      </c>
      <c r="AG23" s="934">
        <v>103</v>
      </c>
    </row>
    <row r="24" spans="1:33" ht="18.75">
      <c r="A24" s="931">
        <v>21</v>
      </c>
      <c r="B24" s="935" t="s">
        <v>36</v>
      </c>
      <c r="C24" s="933">
        <v>48</v>
      </c>
      <c r="D24" s="933">
        <v>1</v>
      </c>
      <c r="E24" s="933"/>
      <c r="F24" s="933">
        <v>9</v>
      </c>
      <c r="G24" s="933">
        <v>1</v>
      </c>
      <c r="H24" s="933">
        <v>4</v>
      </c>
      <c r="I24" s="933">
        <v>1</v>
      </c>
      <c r="J24" s="933">
        <v>0</v>
      </c>
      <c r="K24" s="933">
        <v>0</v>
      </c>
      <c r="L24" s="933">
        <v>0</v>
      </c>
      <c r="M24" s="933">
        <v>0</v>
      </c>
      <c r="N24" s="933">
        <v>0</v>
      </c>
      <c r="O24" s="933">
        <v>2</v>
      </c>
      <c r="P24" s="933">
        <v>0</v>
      </c>
      <c r="Q24" s="933">
        <v>0</v>
      </c>
      <c r="R24" s="933">
        <v>0</v>
      </c>
      <c r="S24" s="933">
        <v>0</v>
      </c>
      <c r="T24" s="933">
        <v>0</v>
      </c>
      <c r="U24" s="933">
        <v>0</v>
      </c>
      <c r="V24" s="933">
        <v>1</v>
      </c>
      <c r="W24" s="933">
        <v>0</v>
      </c>
      <c r="X24" s="933">
        <v>1</v>
      </c>
      <c r="Y24" s="933">
        <v>0</v>
      </c>
      <c r="Z24" s="933">
        <v>0</v>
      </c>
      <c r="AA24" s="933">
        <v>0</v>
      </c>
      <c r="AB24" s="933">
        <v>0</v>
      </c>
      <c r="AC24" s="933">
        <v>1</v>
      </c>
      <c r="AD24" s="933">
        <v>0</v>
      </c>
      <c r="AE24" s="933">
        <v>0</v>
      </c>
      <c r="AF24" s="931">
        <v>0</v>
      </c>
      <c r="AG24" s="934">
        <v>69</v>
      </c>
    </row>
    <row r="25" spans="1:33" ht="18.75">
      <c r="A25" s="931">
        <v>22</v>
      </c>
      <c r="B25" s="935" t="s">
        <v>37</v>
      </c>
      <c r="C25" s="933">
        <v>29</v>
      </c>
      <c r="D25" s="933">
        <v>1</v>
      </c>
      <c r="E25" s="933"/>
      <c r="F25" s="933">
        <v>0</v>
      </c>
      <c r="G25" s="933">
        <v>0</v>
      </c>
      <c r="H25" s="933">
        <v>1</v>
      </c>
      <c r="I25" s="933">
        <v>1</v>
      </c>
      <c r="J25" s="933">
        <v>0</v>
      </c>
      <c r="K25" s="933">
        <v>0</v>
      </c>
      <c r="L25" s="933">
        <v>0</v>
      </c>
      <c r="M25" s="933">
        <v>0</v>
      </c>
      <c r="N25" s="933">
        <v>0</v>
      </c>
      <c r="O25" s="933">
        <v>1</v>
      </c>
      <c r="P25" s="933">
        <v>0</v>
      </c>
      <c r="Q25" s="933">
        <v>1</v>
      </c>
      <c r="R25" s="933">
        <v>0</v>
      </c>
      <c r="S25" s="933">
        <v>0</v>
      </c>
      <c r="T25" s="933">
        <v>0</v>
      </c>
      <c r="U25" s="933">
        <v>0</v>
      </c>
      <c r="V25" s="933">
        <v>3</v>
      </c>
      <c r="W25" s="933">
        <v>0</v>
      </c>
      <c r="X25" s="933">
        <v>0</v>
      </c>
      <c r="Y25" s="933">
        <v>1</v>
      </c>
      <c r="Z25" s="933">
        <v>0</v>
      </c>
      <c r="AA25" s="933">
        <v>0</v>
      </c>
      <c r="AB25" s="933">
        <v>0</v>
      </c>
      <c r="AC25" s="933">
        <v>0</v>
      </c>
      <c r="AD25" s="933">
        <v>1</v>
      </c>
      <c r="AE25" s="933">
        <v>0</v>
      </c>
      <c r="AF25" s="931">
        <v>1</v>
      </c>
      <c r="AG25" s="934">
        <v>40</v>
      </c>
    </row>
    <row r="26" spans="1:33" ht="18.75">
      <c r="A26" s="931">
        <v>23</v>
      </c>
      <c r="B26" s="935" t="s">
        <v>38</v>
      </c>
      <c r="C26" s="933">
        <v>56</v>
      </c>
      <c r="D26" s="933">
        <v>0</v>
      </c>
      <c r="E26" s="933"/>
      <c r="F26" s="933">
        <v>2</v>
      </c>
      <c r="G26" s="933">
        <v>0</v>
      </c>
      <c r="H26" s="933">
        <v>5</v>
      </c>
      <c r="I26" s="933">
        <v>0</v>
      </c>
      <c r="J26" s="933">
        <v>1</v>
      </c>
      <c r="K26" s="933">
        <v>0</v>
      </c>
      <c r="L26" s="933">
        <v>0</v>
      </c>
      <c r="M26" s="933">
        <v>0</v>
      </c>
      <c r="N26" s="933">
        <v>0</v>
      </c>
      <c r="O26" s="933">
        <v>3</v>
      </c>
      <c r="P26" s="933">
        <v>0</v>
      </c>
      <c r="Q26" s="933">
        <v>0</v>
      </c>
      <c r="R26" s="933">
        <v>0</v>
      </c>
      <c r="S26" s="933">
        <v>0</v>
      </c>
      <c r="T26" s="933">
        <v>0</v>
      </c>
      <c r="U26" s="933">
        <v>0</v>
      </c>
      <c r="V26" s="933">
        <v>1</v>
      </c>
      <c r="W26" s="933">
        <v>0</v>
      </c>
      <c r="X26" s="933">
        <v>0</v>
      </c>
      <c r="Y26" s="933">
        <v>0</v>
      </c>
      <c r="Z26" s="933">
        <v>0</v>
      </c>
      <c r="AA26" s="933">
        <v>0</v>
      </c>
      <c r="AB26" s="933">
        <v>0</v>
      </c>
      <c r="AC26" s="933">
        <v>0</v>
      </c>
      <c r="AD26" s="933">
        <v>0</v>
      </c>
      <c r="AE26" s="933">
        <v>0</v>
      </c>
      <c r="AF26" s="931">
        <v>0</v>
      </c>
      <c r="AG26" s="934">
        <v>68</v>
      </c>
    </row>
    <row r="27" spans="1:33" ht="18.75">
      <c r="A27" s="931">
        <v>24</v>
      </c>
      <c r="B27" s="935" t="s">
        <v>39</v>
      </c>
      <c r="C27" s="933">
        <v>772</v>
      </c>
      <c r="D27" s="933">
        <v>0</v>
      </c>
      <c r="E27" s="933">
        <v>4</v>
      </c>
      <c r="F27" s="933">
        <v>65</v>
      </c>
      <c r="G27" s="933">
        <v>2</v>
      </c>
      <c r="H27" s="933">
        <v>22</v>
      </c>
      <c r="I27" s="933">
        <v>86</v>
      </c>
      <c r="J27" s="933">
        <v>10</v>
      </c>
      <c r="K27" s="933">
        <v>0</v>
      </c>
      <c r="L27" s="933">
        <v>0</v>
      </c>
      <c r="M27" s="933">
        <v>22</v>
      </c>
      <c r="N27" s="933">
        <v>1</v>
      </c>
      <c r="O27" s="933">
        <v>19</v>
      </c>
      <c r="P27" s="933">
        <v>56</v>
      </c>
      <c r="Q27" s="933">
        <v>5</v>
      </c>
      <c r="R27" s="933">
        <v>4</v>
      </c>
      <c r="S27" s="933">
        <v>2</v>
      </c>
      <c r="T27" s="933">
        <v>4</v>
      </c>
      <c r="U27" s="933">
        <v>12</v>
      </c>
      <c r="V27" s="933">
        <v>52</v>
      </c>
      <c r="W27" s="933">
        <v>8</v>
      </c>
      <c r="X27" s="933">
        <v>17</v>
      </c>
      <c r="Y27" s="933">
        <v>2</v>
      </c>
      <c r="Z27" s="933">
        <v>19</v>
      </c>
      <c r="AA27" s="933">
        <v>4</v>
      </c>
      <c r="AB27" s="933">
        <v>67</v>
      </c>
      <c r="AC27" s="933">
        <v>26</v>
      </c>
      <c r="AD27" s="933">
        <v>2</v>
      </c>
      <c r="AE27" s="933">
        <v>6</v>
      </c>
      <c r="AF27" s="931">
        <v>0</v>
      </c>
      <c r="AG27" s="934">
        <v>1289</v>
      </c>
    </row>
    <row r="28" spans="1:33" ht="18.75">
      <c r="A28" s="931">
        <v>25</v>
      </c>
      <c r="B28" s="935" t="s">
        <v>40</v>
      </c>
      <c r="C28" s="933">
        <v>17</v>
      </c>
      <c r="D28" s="933">
        <v>1</v>
      </c>
      <c r="E28" s="933">
        <v>1</v>
      </c>
      <c r="F28" s="933">
        <v>1</v>
      </c>
      <c r="G28" s="933">
        <v>0</v>
      </c>
      <c r="H28" s="933">
        <v>14</v>
      </c>
      <c r="I28" s="933">
        <v>14</v>
      </c>
      <c r="J28" s="933">
        <v>1</v>
      </c>
      <c r="K28" s="933">
        <v>0</v>
      </c>
      <c r="L28" s="933">
        <v>0</v>
      </c>
      <c r="M28" s="933">
        <v>0</v>
      </c>
      <c r="N28" s="933">
        <v>0</v>
      </c>
      <c r="O28" s="933">
        <v>1</v>
      </c>
      <c r="P28" s="933">
        <v>0</v>
      </c>
      <c r="Q28" s="933">
        <v>4</v>
      </c>
      <c r="R28" s="933">
        <v>0</v>
      </c>
      <c r="S28" s="933">
        <v>2</v>
      </c>
      <c r="T28" s="933">
        <v>0</v>
      </c>
      <c r="U28" s="933">
        <v>0</v>
      </c>
      <c r="V28" s="933">
        <v>6</v>
      </c>
      <c r="W28" s="933">
        <v>0</v>
      </c>
      <c r="X28" s="933">
        <v>1</v>
      </c>
      <c r="Y28" s="933">
        <v>3</v>
      </c>
      <c r="Z28" s="933">
        <v>1</v>
      </c>
      <c r="AA28" s="933">
        <v>0</v>
      </c>
      <c r="AB28" s="933">
        <v>0</v>
      </c>
      <c r="AC28" s="933">
        <v>0</v>
      </c>
      <c r="AD28" s="933">
        <v>0</v>
      </c>
      <c r="AE28" s="933">
        <v>0</v>
      </c>
      <c r="AF28" s="931">
        <v>1</v>
      </c>
      <c r="AG28" s="934">
        <v>68</v>
      </c>
    </row>
    <row r="29" spans="1:33" ht="18.75">
      <c r="A29" s="931">
        <v>26</v>
      </c>
      <c r="B29" s="935" t="s">
        <v>41</v>
      </c>
      <c r="C29" s="933">
        <v>483</v>
      </c>
      <c r="D29" s="933">
        <v>0</v>
      </c>
      <c r="E29" s="933">
        <v>6</v>
      </c>
      <c r="F29" s="933">
        <v>22</v>
      </c>
      <c r="G29" s="933">
        <v>6</v>
      </c>
      <c r="H29" s="933">
        <v>167</v>
      </c>
      <c r="I29" s="933">
        <v>83</v>
      </c>
      <c r="J29" s="933">
        <v>1</v>
      </c>
      <c r="K29" s="933">
        <v>0</v>
      </c>
      <c r="L29" s="933">
        <v>0</v>
      </c>
      <c r="M29" s="933">
        <v>5</v>
      </c>
      <c r="N29" s="933">
        <v>0</v>
      </c>
      <c r="O29" s="933">
        <v>19</v>
      </c>
      <c r="P29" s="933">
        <v>44</v>
      </c>
      <c r="Q29" s="933">
        <v>9</v>
      </c>
      <c r="R29" s="933">
        <v>16</v>
      </c>
      <c r="S29" s="933">
        <v>13</v>
      </c>
      <c r="T29" s="933">
        <v>3</v>
      </c>
      <c r="U29" s="933">
        <v>2</v>
      </c>
      <c r="V29" s="933">
        <v>93</v>
      </c>
      <c r="W29" s="933">
        <v>0</v>
      </c>
      <c r="X29" s="933">
        <v>12</v>
      </c>
      <c r="Y29" s="933">
        <v>4</v>
      </c>
      <c r="Z29" s="933">
        <v>31</v>
      </c>
      <c r="AA29" s="933">
        <v>7</v>
      </c>
      <c r="AB29" s="933">
        <v>0</v>
      </c>
      <c r="AC29" s="933">
        <v>3</v>
      </c>
      <c r="AD29" s="933">
        <v>0</v>
      </c>
      <c r="AE29" s="933">
        <v>7</v>
      </c>
      <c r="AF29" s="931">
        <v>1</v>
      </c>
      <c r="AG29" s="934">
        <v>1037</v>
      </c>
    </row>
    <row r="30" spans="1:33" ht="18.75">
      <c r="A30" s="931">
        <v>27</v>
      </c>
      <c r="B30" s="935" t="s">
        <v>42</v>
      </c>
      <c r="C30" s="933">
        <v>2347</v>
      </c>
      <c r="D30" s="933">
        <v>22</v>
      </c>
      <c r="E30" s="933">
        <v>3</v>
      </c>
      <c r="F30" s="933">
        <v>169</v>
      </c>
      <c r="G30" s="933">
        <v>5</v>
      </c>
      <c r="H30" s="933">
        <v>438</v>
      </c>
      <c r="I30" s="933">
        <v>89</v>
      </c>
      <c r="J30" s="933">
        <v>2</v>
      </c>
      <c r="K30" s="933">
        <v>0</v>
      </c>
      <c r="L30" s="933">
        <v>2</v>
      </c>
      <c r="M30" s="933">
        <v>4</v>
      </c>
      <c r="N30" s="933">
        <v>0</v>
      </c>
      <c r="O30" s="933">
        <v>61</v>
      </c>
      <c r="P30" s="933">
        <v>15</v>
      </c>
      <c r="Q30" s="933">
        <v>5</v>
      </c>
      <c r="R30" s="933">
        <v>14</v>
      </c>
      <c r="S30" s="933">
        <v>8</v>
      </c>
      <c r="T30" s="933">
        <v>5</v>
      </c>
      <c r="U30" s="933">
        <v>16</v>
      </c>
      <c r="V30" s="933">
        <v>127</v>
      </c>
      <c r="W30" s="933">
        <v>0</v>
      </c>
      <c r="X30" s="933">
        <v>13</v>
      </c>
      <c r="Y30" s="933">
        <v>0</v>
      </c>
      <c r="Z30" s="933">
        <v>74</v>
      </c>
      <c r="AA30" s="933">
        <v>7</v>
      </c>
      <c r="AB30" s="933">
        <v>45</v>
      </c>
      <c r="AC30" s="933">
        <v>16</v>
      </c>
      <c r="AD30" s="933">
        <v>0</v>
      </c>
      <c r="AE30" s="933">
        <v>21</v>
      </c>
      <c r="AF30" s="931">
        <v>13</v>
      </c>
      <c r="AG30" s="934">
        <v>3521</v>
      </c>
    </row>
    <row r="31" spans="1:33" ht="18.75">
      <c r="A31" s="931">
        <v>28</v>
      </c>
      <c r="B31" s="935" t="s">
        <v>43</v>
      </c>
      <c r="C31" s="933">
        <v>8</v>
      </c>
      <c r="D31" s="933">
        <v>0</v>
      </c>
      <c r="E31" s="933"/>
      <c r="F31" s="933">
        <v>0</v>
      </c>
      <c r="G31" s="933">
        <v>0</v>
      </c>
      <c r="H31" s="933">
        <v>3</v>
      </c>
      <c r="I31" s="933">
        <v>3</v>
      </c>
      <c r="J31" s="933">
        <v>0</v>
      </c>
      <c r="K31" s="933">
        <v>0</v>
      </c>
      <c r="L31" s="933">
        <v>0</v>
      </c>
      <c r="M31" s="933">
        <v>0</v>
      </c>
      <c r="N31" s="933">
        <v>0</v>
      </c>
      <c r="O31" s="933">
        <v>0</v>
      </c>
      <c r="P31" s="933">
        <v>0</v>
      </c>
      <c r="Q31" s="933">
        <v>0</v>
      </c>
      <c r="R31" s="933">
        <v>0</v>
      </c>
      <c r="S31" s="933">
        <v>0</v>
      </c>
      <c r="T31" s="933">
        <v>0</v>
      </c>
      <c r="U31" s="933">
        <v>0</v>
      </c>
      <c r="V31" s="933">
        <v>1</v>
      </c>
      <c r="W31" s="933">
        <v>0</v>
      </c>
      <c r="X31" s="933">
        <v>1</v>
      </c>
      <c r="Y31" s="933">
        <v>0</v>
      </c>
      <c r="Z31" s="933">
        <v>2</v>
      </c>
      <c r="AA31" s="933">
        <v>0</v>
      </c>
      <c r="AB31" s="933">
        <v>1</v>
      </c>
      <c r="AC31" s="933">
        <v>1</v>
      </c>
      <c r="AD31" s="933">
        <v>0</v>
      </c>
      <c r="AE31" s="933">
        <v>0</v>
      </c>
      <c r="AF31" s="931">
        <v>0</v>
      </c>
      <c r="AG31" s="934">
        <v>20</v>
      </c>
    </row>
    <row r="32" spans="1:33" ht="18.75">
      <c r="A32" s="931">
        <v>29</v>
      </c>
      <c r="B32" s="935" t="s">
        <v>44</v>
      </c>
      <c r="C32" s="933">
        <v>1280</v>
      </c>
      <c r="D32" s="933">
        <v>45</v>
      </c>
      <c r="E32" s="933">
        <v>47</v>
      </c>
      <c r="F32" s="933">
        <v>79</v>
      </c>
      <c r="G32" s="933">
        <v>1</v>
      </c>
      <c r="H32" s="933">
        <v>263</v>
      </c>
      <c r="I32" s="933">
        <v>462</v>
      </c>
      <c r="J32" s="933">
        <v>7</v>
      </c>
      <c r="K32" s="933">
        <v>7</v>
      </c>
      <c r="L32" s="933">
        <v>1</v>
      </c>
      <c r="M32" s="933">
        <v>0</v>
      </c>
      <c r="N32" s="933">
        <v>0</v>
      </c>
      <c r="O32" s="933">
        <v>15</v>
      </c>
      <c r="P32" s="933">
        <v>41</v>
      </c>
      <c r="Q32" s="933">
        <v>51</v>
      </c>
      <c r="R32" s="933">
        <v>9</v>
      </c>
      <c r="S32" s="933">
        <v>18</v>
      </c>
      <c r="T32" s="933">
        <v>12</v>
      </c>
      <c r="U32" s="933">
        <v>94</v>
      </c>
      <c r="V32" s="933">
        <v>163</v>
      </c>
      <c r="W32" s="933">
        <v>2</v>
      </c>
      <c r="X32" s="933">
        <v>35</v>
      </c>
      <c r="Y32" s="933">
        <v>37</v>
      </c>
      <c r="Z32" s="933">
        <v>56</v>
      </c>
      <c r="AA32" s="933">
        <v>34</v>
      </c>
      <c r="AB32" s="933">
        <v>1</v>
      </c>
      <c r="AC32" s="933">
        <v>13</v>
      </c>
      <c r="AD32" s="933">
        <v>1</v>
      </c>
      <c r="AE32" s="933">
        <v>26</v>
      </c>
      <c r="AF32" s="931">
        <v>7</v>
      </c>
      <c r="AG32" s="934">
        <v>2807</v>
      </c>
    </row>
    <row r="33" spans="1:33" ht="18.75">
      <c r="A33" s="931">
        <v>30</v>
      </c>
      <c r="B33" s="935" t="s">
        <v>131</v>
      </c>
      <c r="C33" s="933">
        <v>1267</v>
      </c>
      <c r="D33" s="933">
        <v>0</v>
      </c>
      <c r="E33" s="933">
        <v>10</v>
      </c>
      <c r="F33" s="933">
        <v>6</v>
      </c>
      <c r="G33" s="933">
        <v>15</v>
      </c>
      <c r="H33" s="933">
        <v>97</v>
      </c>
      <c r="I33" s="933">
        <v>186</v>
      </c>
      <c r="J33" s="933">
        <v>1</v>
      </c>
      <c r="K33" s="933">
        <v>0</v>
      </c>
      <c r="L33" s="933">
        <v>0</v>
      </c>
      <c r="M33" s="933">
        <v>29</v>
      </c>
      <c r="N33" s="933">
        <v>1</v>
      </c>
      <c r="O33" s="933">
        <v>16</v>
      </c>
      <c r="P33" s="933">
        <v>66</v>
      </c>
      <c r="Q33" s="933">
        <v>17</v>
      </c>
      <c r="R33" s="933">
        <v>2</v>
      </c>
      <c r="S33" s="933">
        <v>11</v>
      </c>
      <c r="T33" s="933">
        <v>5</v>
      </c>
      <c r="U33" s="933">
        <v>23</v>
      </c>
      <c r="V33" s="933">
        <v>56</v>
      </c>
      <c r="W33" s="933">
        <v>9</v>
      </c>
      <c r="X33" s="933">
        <v>5</v>
      </c>
      <c r="Y33" s="933">
        <v>9</v>
      </c>
      <c r="Z33" s="933">
        <v>84</v>
      </c>
      <c r="AA33" s="933">
        <v>19</v>
      </c>
      <c r="AB33" s="933">
        <v>0</v>
      </c>
      <c r="AC33" s="933">
        <v>4</v>
      </c>
      <c r="AD33" s="933">
        <v>1</v>
      </c>
      <c r="AE33" s="933">
        <v>1</v>
      </c>
      <c r="AF33" s="931">
        <v>0</v>
      </c>
      <c r="AG33" s="934">
        <v>1940</v>
      </c>
    </row>
    <row r="34" spans="1:33" ht="37.5">
      <c r="A34" s="931">
        <v>31</v>
      </c>
      <c r="B34" s="936" t="s">
        <v>1104</v>
      </c>
      <c r="C34" s="933">
        <v>6</v>
      </c>
      <c r="D34" s="933">
        <v>0</v>
      </c>
      <c r="E34" s="933"/>
      <c r="F34" s="933">
        <v>0</v>
      </c>
      <c r="G34" s="933">
        <v>0</v>
      </c>
      <c r="H34" s="933">
        <v>2</v>
      </c>
      <c r="I34" s="933">
        <v>5</v>
      </c>
      <c r="J34" s="933">
        <v>0</v>
      </c>
      <c r="K34" s="933">
        <v>0</v>
      </c>
      <c r="L34" s="933">
        <v>0</v>
      </c>
      <c r="M34" s="933">
        <v>0</v>
      </c>
      <c r="N34" s="933">
        <v>0</v>
      </c>
      <c r="O34" s="933">
        <v>0</v>
      </c>
      <c r="P34" s="933">
        <v>0</v>
      </c>
      <c r="Q34" s="933">
        <v>0</v>
      </c>
      <c r="R34" s="933">
        <v>0</v>
      </c>
      <c r="S34" s="933">
        <v>1</v>
      </c>
      <c r="T34" s="933">
        <v>0</v>
      </c>
      <c r="U34" s="933">
        <v>1</v>
      </c>
      <c r="V34" s="933">
        <v>2</v>
      </c>
      <c r="W34" s="933">
        <v>0</v>
      </c>
      <c r="X34" s="933">
        <v>1</v>
      </c>
      <c r="Y34" s="933">
        <v>0</v>
      </c>
      <c r="Z34" s="933">
        <v>1</v>
      </c>
      <c r="AA34" s="933">
        <v>0</v>
      </c>
      <c r="AB34" s="933">
        <v>0</v>
      </c>
      <c r="AC34" s="933">
        <v>0</v>
      </c>
      <c r="AD34" s="933">
        <v>0</v>
      </c>
      <c r="AE34" s="933">
        <v>0</v>
      </c>
      <c r="AF34" s="931">
        <v>0</v>
      </c>
      <c r="AG34" s="934">
        <v>19</v>
      </c>
    </row>
    <row r="35" spans="1:33" ht="18.75">
      <c r="A35" s="931">
        <v>32</v>
      </c>
      <c r="B35" s="935" t="s">
        <v>45</v>
      </c>
      <c r="C35" s="933">
        <v>28</v>
      </c>
      <c r="D35" s="933">
        <v>1</v>
      </c>
      <c r="E35" s="933">
        <v>1</v>
      </c>
      <c r="F35" s="933">
        <v>0</v>
      </c>
      <c r="G35" s="933">
        <v>0</v>
      </c>
      <c r="H35" s="933">
        <v>2</v>
      </c>
      <c r="I35" s="933">
        <v>7</v>
      </c>
      <c r="J35" s="933">
        <v>1</v>
      </c>
      <c r="K35" s="933">
        <v>1</v>
      </c>
      <c r="L35" s="933">
        <v>0</v>
      </c>
      <c r="M35" s="933">
        <v>0</v>
      </c>
      <c r="N35" s="933">
        <v>0</v>
      </c>
      <c r="O35" s="933">
        <v>1</v>
      </c>
      <c r="P35" s="933">
        <v>0</v>
      </c>
      <c r="Q35" s="933">
        <v>2</v>
      </c>
      <c r="R35" s="933">
        <v>0</v>
      </c>
      <c r="S35" s="933">
        <v>0</v>
      </c>
      <c r="T35" s="933">
        <v>0</v>
      </c>
      <c r="U35" s="933">
        <v>0</v>
      </c>
      <c r="V35" s="933">
        <v>3</v>
      </c>
      <c r="W35" s="933">
        <v>0</v>
      </c>
      <c r="X35" s="933">
        <v>2</v>
      </c>
      <c r="Y35" s="933">
        <v>1</v>
      </c>
      <c r="Z35" s="933">
        <v>2</v>
      </c>
      <c r="AA35" s="933">
        <v>0</v>
      </c>
      <c r="AB35" s="933">
        <v>0</v>
      </c>
      <c r="AC35" s="933">
        <v>0</v>
      </c>
      <c r="AD35" s="933">
        <v>0</v>
      </c>
      <c r="AE35" s="933">
        <v>1</v>
      </c>
      <c r="AF35" s="931">
        <v>1</v>
      </c>
      <c r="AG35" s="934">
        <v>54</v>
      </c>
    </row>
    <row r="36" spans="1:33" ht="18.75">
      <c r="A36" s="931">
        <v>33</v>
      </c>
      <c r="B36" s="935" t="s">
        <v>47</v>
      </c>
      <c r="C36" s="933">
        <v>5290</v>
      </c>
      <c r="D36" s="933">
        <v>13</v>
      </c>
      <c r="E36" s="933">
        <v>18</v>
      </c>
      <c r="F36" s="933">
        <v>227</v>
      </c>
      <c r="G36" s="933">
        <v>6</v>
      </c>
      <c r="H36" s="933">
        <v>381</v>
      </c>
      <c r="I36" s="933">
        <v>198</v>
      </c>
      <c r="J36" s="933">
        <v>5</v>
      </c>
      <c r="K36" s="933">
        <v>0</v>
      </c>
      <c r="L36" s="933">
        <v>2</v>
      </c>
      <c r="M36" s="933">
        <v>5</v>
      </c>
      <c r="N36" s="933">
        <v>1</v>
      </c>
      <c r="O36" s="933">
        <v>243</v>
      </c>
      <c r="P36" s="933">
        <v>135</v>
      </c>
      <c r="Q36" s="933">
        <v>16</v>
      </c>
      <c r="R36" s="933">
        <v>26</v>
      </c>
      <c r="S36" s="933">
        <v>17</v>
      </c>
      <c r="T36" s="933">
        <v>8</v>
      </c>
      <c r="U36" s="933">
        <v>24</v>
      </c>
      <c r="V36" s="933">
        <v>26</v>
      </c>
      <c r="W36" s="933">
        <v>11</v>
      </c>
      <c r="X36" s="933">
        <v>14</v>
      </c>
      <c r="Y36" s="933">
        <v>10</v>
      </c>
      <c r="Z36" s="933">
        <v>143</v>
      </c>
      <c r="AA36" s="933">
        <v>1</v>
      </c>
      <c r="AB36" s="933">
        <v>331</v>
      </c>
      <c r="AC36" s="933">
        <v>27</v>
      </c>
      <c r="AD36" s="933">
        <v>0</v>
      </c>
      <c r="AE36" s="933">
        <v>4</v>
      </c>
      <c r="AF36" s="931">
        <v>0</v>
      </c>
      <c r="AG36" s="934">
        <v>7182</v>
      </c>
    </row>
    <row r="37" spans="1:33" ht="18.75">
      <c r="A37" s="931">
        <v>34</v>
      </c>
      <c r="B37" s="935" t="s">
        <v>46</v>
      </c>
      <c r="C37" s="933">
        <v>218</v>
      </c>
      <c r="D37" s="933">
        <v>6</v>
      </c>
      <c r="E37" s="933">
        <v>1</v>
      </c>
      <c r="F37" s="933">
        <v>6</v>
      </c>
      <c r="G37" s="933">
        <v>0</v>
      </c>
      <c r="H37" s="933">
        <v>27</v>
      </c>
      <c r="I37" s="933">
        <v>31</v>
      </c>
      <c r="J37" s="933">
        <v>0</v>
      </c>
      <c r="K37" s="933">
        <v>1</v>
      </c>
      <c r="L37" s="933">
        <v>1</v>
      </c>
      <c r="M37" s="933">
        <v>3</v>
      </c>
      <c r="N37" s="933">
        <v>0</v>
      </c>
      <c r="O37" s="933">
        <v>10</v>
      </c>
      <c r="P37" s="933">
        <v>17</v>
      </c>
      <c r="Q37" s="933">
        <v>3</v>
      </c>
      <c r="R37" s="933">
        <v>11</v>
      </c>
      <c r="S37" s="933">
        <v>2</v>
      </c>
      <c r="T37" s="933">
        <v>0</v>
      </c>
      <c r="U37" s="933">
        <v>5</v>
      </c>
      <c r="V37" s="933">
        <v>17</v>
      </c>
      <c r="W37" s="933">
        <v>1</v>
      </c>
      <c r="X37" s="933">
        <v>0</v>
      </c>
      <c r="Y37" s="933">
        <v>7</v>
      </c>
      <c r="Z37" s="933">
        <v>13</v>
      </c>
      <c r="AA37" s="933">
        <v>0</v>
      </c>
      <c r="AB37" s="933">
        <v>16</v>
      </c>
      <c r="AC37" s="933">
        <v>2</v>
      </c>
      <c r="AD37" s="933">
        <v>0</v>
      </c>
      <c r="AE37" s="933">
        <v>3</v>
      </c>
      <c r="AF37" s="931">
        <v>1</v>
      </c>
      <c r="AG37" s="934">
        <v>402</v>
      </c>
    </row>
    <row r="38" spans="1:33" ht="18.75">
      <c r="A38" s="931">
        <v>35</v>
      </c>
      <c r="B38" s="935" t="s">
        <v>48</v>
      </c>
      <c r="C38" s="933">
        <v>774</v>
      </c>
      <c r="D38" s="933">
        <v>0</v>
      </c>
      <c r="E38" s="933">
        <v>2</v>
      </c>
      <c r="F38" s="933">
        <v>10</v>
      </c>
      <c r="G38" s="933">
        <v>2</v>
      </c>
      <c r="H38" s="933">
        <v>383</v>
      </c>
      <c r="I38" s="933">
        <v>78</v>
      </c>
      <c r="J38" s="933">
        <v>7</v>
      </c>
      <c r="K38" s="933">
        <v>1</v>
      </c>
      <c r="L38" s="933">
        <v>0</v>
      </c>
      <c r="M38" s="933">
        <v>5</v>
      </c>
      <c r="N38" s="933">
        <v>0</v>
      </c>
      <c r="O38" s="933">
        <v>29</v>
      </c>
      <c r="P38" s="933">
        <v>34</v>
      </c>
      <c r="Q38" s="933">
        <v>27</v>
      </c>
      <c r="R38" s="933">
        <v>4</v>
      </c>
      <c r="S38" s="933">
        <v>5</v>
      </c>
      <c r="T38" s="933">
        <v>11</v>
      </c>
      <c r="U38" s="933">
        <v>17</v>
      </c>
      <c r="V38" s="933">
        <v>73</v>
      </c>
      <c r="W38" s="933">
        <v>0</v>
      </c>
      <c r="X38" s="933">
        <v>13</v>
      </c>
      <c r="Y38" s="933">
        <v>9</v>
      </c>
      <c r="Z38" s="933">
        <v>15</v>
      </c>
      <c r="AA38" s="933">
        <v>4</v>
      </c>
      <c r="AB38" s="933">
        <v>3</v>
      </c>
      <c r="AC38" s="933">
        <v>2</v>
      </c>
      <c r="AD38" s="933">
        <v>0</v>
      </c>
      <c r="AE38" s="933">
        <v>2</v>
      </c>
      <c r="AF38" s="931">
        <v>0</v>
      </c>
      <c r="AG38" s="934">
        <v>1510</v>
      </c>
    </row>
    <row r="39" spans="1:33" ht="18.75">
      <c r="A39" s="964" t="s">
        <v>49</v>
      </c>
      <c r="B39" s="964"/>
      <c r="C39" s="934">
        <v>25481</v>
      </c>
      <c r="D39" s="934">
        <v>364</v>
      </c>
      <c r="E39" s="934">
        <v>292</v>
      </c>
      <c r="F39" s="934">
        <v>1171</v>
      </c>
      <c r="G39" s="934">
        <v>342</v>
      </c>
      <c r="H39" s="934">
        <v>3713</v>
      </c>
      <c r="I39" s="934">
        <v>2994</v>
      </c>
      <c r="J39" s="934">
        <v>114</v>
      </c>
      <c r="K39" s="934">
        <v>23</v>
      </c>
      <c r="L39" s="934">
        <v>28</v>
      </c>
      <c r="M39" s="934">
        <v>133</v>
      </c>
      <c r="N39" s="934">
        <v>14</v>
      </c>
      <c r="O39" s="934">
        <v>822</v>
      </c>
      <c r="P39" s="934">
        <v>881</v>
      </c>
      <c r="Q39" s="934">
        <v>328</v>
      </c>
      <c r="R39" s="934">
        <v>309</v>
      </c>
      <c r="S39" s="934">
        <v>217</v>
      </c>
      <c r="T39" s="934">
        <v>179</v>
      </c>
      <c r="U39" s="934">
        <v>474</v>
      </c>
      <c r="V39" s="934">
        <v>1821</v>
      </c>
      <c r="W39" s="934">
        <v>53</v>
      </c>
      <c r="X39" s="934">
        <v>324</v>
      </c>
      <c r="Y39" s="934">
        <v>234</v>
      </c>
      <c r="Z39" s="934">
        <v>1042</v>
      </c>
      <c r="AA39" s="934">
        <v>247</v>
      </c>
      <c r="AB39" s="934">
        <v>612</v>
      </c>
      <c r="AC39" s="934">
        <v>321</v>
      </c>
      <c r="AD39" s="934">
        <v>78</v>
      </c>
      <c r="AE39" s="934">
        <v>130</v>
      </c>
      <c r="AF39" s="934">
        <v>84</v>
      </c>
      <c r="AG39" s="934">
        <v>42825</v>
      </c>
    </row>
  </sheetData>
  <mergeCells count="5">
    <mergeCell ref="A1:B1"/>
    <mergeCell ref="C1:K1"/>
    <mergeCell ref="L1:U1"/>
    <mergeCell ref="V1:AE1"/>
    <mergeCell ref="A39:B39"/>
  </mergeCells>
  <pageMargins left="0.42" right="0.19685039370078741" top="0.51181102362204722" bottom="0.47244094488188981" header="0.23622047244094491" footer="0.31496062992125984"/>
  <pageSetup paperSize="9" scale="85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T40"/>
  <sheetViews>
    <sheetView showZeros="0" view="pageBreakPreview" zoomScaleSheetLayoutView="100" workbookViewId="0">
      <pane xSplit="2" ySplit="4" topLeftCell="F29" activePane="bottomRight" state="frozen"/>
      <selection activeCell="F15" sqref="F15"/>
      <selection pane="topRight" activeCell="F15" sqref="F15"/>
      <selection pane="bottomLeft" activeCell="F15" sqref="F15"/>
      <selection pane="bottomRight" activeCell="G44" sqref="G44"/>
    </sheetView>
  </sheetViews>
  <sheetFormatPr defaultColWidth="9.28515625" defaultRowHeight="15"/>
  <cols>
    <col min="1" max="1" width="6.42578125" style="513" bestFit="1" customWidth="1"/>
    <col min="2" max="2" width="26.42578125" style="128" customWidth="1"/>
    <col min="3" max="12" width="15" style="128" customWidth="1"/>
    <col min="13" max="20" width="9.28515625" style="128" customWidth="1"/>
    <col min="21" max="16384" width="9.28515625" style="128"/>
  </cols>
  <sheetData>
    <row r="1" spans="1:20" s="99" customFormat="1" ht="45.75" customHeight="1">
      <c r="A1" s="965" t="s">
        <v>53</v>
      </c>
      <c r="B1" s="965"/>
      <c r="C1" s="966" t="s">
        <v>890</v>
      </c>
      <c r="D1" s="966"/>
      <c r="E1" s="966"/>
      <c r="F1" s="966"/>
      <c r="G1" s="966"/>
      <c r="H1" s="966" t="s">
        <v>891</v>
      </c>
      <c r="I1" s="966"/>
      <c r="J1" s="966"/>
      <c r="K1" s="966"/>
      <c r="L1" s="966"/>
      <c r="M1" s="966" t="s">
        <v>926</v>
      </c>
      <c r="N1" s="966"/>
      <c r="O1" s="966"/>
      <c r="P1" s="966"/>
      <c r="Q1" s="966"/>
      <c r="R1" s="966"/>
      <c r="S1" s="966"/>
      <c r="T1" s="966"/>
    </row>
    <row r="2" spans="1:20" s="119" customFormat="1" ht="31.5" customHeight="1">
      <c r="A2" s="967" t="s">
        <v>988</v>
      </c>
      <c r="B2" s="968" t="s">
        <v>168</v>
      </c>
      <c r="C2" s="969" t="s">
        <v>910</v>
      </c>
      <c r="D2" s="969" t="s">
        <v>911</v>
      </c>
      <c r="E2" s="969" t="s">
        <v>204</v>
      </c>
      <c r="F2" s="969" t="s">
        <v>64</v>
      </c>
      <c r="G2" s="969" t="s">
        <v>12</v>
      </c>
      <c r="H2" s="969" t="str">
        <f>C2</f>
        <v>Private 
(Un-Aided)</v>
      </c>
      <c r="I2" s="969" t="str">
        <f>D2</f>
        <v>Private (Aided)</v>
      </c>
      <c r="J2" s="969" t="s">
        <v>204</v>
      </c>
      <c r="K2" s="969" t="s">
        <v>64</v>
      </c>
      <c r="L2" s="969" t="s">
        <v>12</v>
      </c>
      <c r="M2" s="971" t="str">
        <f>H2</f>
        <v>Private 
(Un-Aided)</v>
      </c>
      <c r="N2" s="972"/>
      <c r="O2" s="971" t="str">
        <f>I2</f>
        <v>Private (Aided)</v>
      </c>
      <c r="P2" s="972"/>
      <c r="Q2" s="971" t="s">
        <v>64</v>
      </c>
      <c r="R2" s="972"/>
      <c r="S2" s="971" t="s">
        <v>12</v>
      </c>
      <c r="T2" s="972"/>
    </row>
    <row r="3" spans="1:20" s="119" customFormat="1" ht="24.75" customHeight="1">
      <c r="A3" s="967"/>
      <c r="B3" s="968"/>
      <c r="C3" s="970"/>
      <c r="D3" s="970"/>
      <c r="E3" s="970"/>
      <c r="F3" s="970"/>
      <c r="G3" s="970"/>
      <c r="H3" s="970"/>
      <c r="I3" s="970"/>
      <c r="J3" s="970"/>
      <c r="K3" s="970"/>
      <c r="L3" s="970"/>
      <c r="M3" s="120" t="s">
        <v>205</v>
      </c>
      <c r="N3" s="120" t="s">
        <v>103</v>
      </c>
      <c r="O3" s="120" t="s">
        <v>205</v>
      </c>
      <c r="P3" s="120" t="s">
        <v>103</v>
      </c>
      <c r="Q3" s="120" t="s">
        <v>205</v>
      </c>
      <c r="R3" s="120" t="s">
        <v>103</v>
      </c>
      <c r="S3" s="120" t="s">
        <v>205</v>
      </c>
      <c r="T3" s="120" t="s">
        <v>103</v>
      </c>
    </row>
    <row r="4" spans="1:20" s="432" customFormat="1" ht="14.25">
      <c r="A4" s="440">
        <v>1</v>
      </c>
      <c r="B4" s="440">
        <v>2</v>
      </c>
      <c r="C4" s="440">
        <v>3</v>
      </c>
      <c r="D4" s="440">
        <v>4</v>
      </c>
      <c r="E4" s="440">
        <v>5</v>
      </c>
      <c r="F4" s="440">
        <v>6</v>
      </c>
      <c r="G4" s="440">
        <v>7</v>
      </c>
      <c r="H4" s="440">
        <v>8</v>
      </c>
      <c r="I4" s="440">
        <v>9</v>
      </c>
      <c r="J4" s="440">
        <v>10</v>
      </c>
      <c r="K4" s="440">
        <v>11</v>
      </c>
      <c r="L4" s="440">
        <v>12</v>
      </c>
      <c r="M4" s="440">
        <v>13</v>
      </c>
      <c r="N4" s="440">
        <v>14</v>
      </c>
      <c r="O4" s="440">
        <v>15</v>
      </c>
      <c r="P4" s="440">
        <v>16</v>
      </c>
      <c r="Q4" s="440">
        <v>17</v>
      </c>
      <c r="R4" s="440">
        <v>18</v>
      </c>
      <c r="S4" s="440">
        <v>19</v>
      </c>
      <c r="T4" s="440">
        <v>20</v>
      </c>
    </row>
    <row r="5" spans="1:20" s="124" customFormat="1" ht="21.75" customHeight="1">
      <c r="A5" s="125">
        <v>1</v>
      </c>
      <c r="B5" s="121" t="s">
        <v>1061</v>
      </c>
      <c r="C5" s="100"/>
      <c r="D5" s="100"/>
      <c r="E5" s="122"/>
      <c r="F5" s="100">
        <v>9</v>
      </c>
      <c r="G5" s="100">
        <v>9</v>
      </c>
      <c r="H5" s="122"/>
      <c r="I5" s="122"/>
      <c r="J5" s="122"/>
      <c r="K5" s="122">
        <v>7272</v>
      </c>
      <c r="L5" s="100">
        <v>7272</v>
      </c>
      <c r="M5" s="123"/>
      <c r="N5" s="123"/>
      <c r="O5" s="123"/>
      <c r="P5" s="123"/>
      <c r="Q5" s="123"/>
      <c r="R5" s="123"/>
      <c r="S5" s="123">
        <f>Q5+O5+M5</f>
        <v>0</v>
      </c>
      <c r="T5" s="123">
        <f>R5+P5+N5</f>
        <v>0</v>
      </c>
    </row>
    <row r="6" spans="1:20" s="124" customFormat="1" ht="21.75" customHeight="1">
      <c r="A6" s="125">
        <v>2</v>
      </c>
      <c r="B6" s="121" t="s">
        <v>15</v>
      </c>
      <c r="C6" s="100">
        <v>2130</v>
      </c>
      <c r="D6" s="100">
        <v>136</v>
      </c>
      <c r="E6" s="122">
        <v>2266</v>
      </c>
      <c r="F6" s="100">
        <v>316</v>
      </c>
      <c r="G6" s="100">
        <v>2582</v>
      </c>
      <c r="H6" s="122">
        <v>1136739</v>
      </c>
      <c r="I6" s="122">
        <v>98490</v>
      </c>
      <c r="J6" s="122">
        <v>1235229</v>
      </c>
      <c r="K6" s="122">
        <v>195090</v>
      </c>
      <c r="L6" s="100">
        <v>1430319</v>
      </c>
      <c r="M6" s="123">
        <f>VLOOKUP($B6,[2]Sheet1!$A$3:$I$27,2,0)</f>
        <v>2</v>
      </c>
      <c r="N6" s="123">
        <f>VLOOKUP($B6,[2]Sheet1!$A$3:$I$27,3,0)</f>
        <v>102</v>
      </c>
      <c r="O6" s="123">
        <f>VLOOKUP($B6,[2]Sheet1!$A$3:$I$27,4,0)</f>
        <v>0</v>
      </c>
      <c r="P6" s="123">
        <f>VLOOKUP($B6,[2]Sheet1!$A$3:$I$27,5,0)</f>
        <v>0</v>
      </c>
      <c r="Q6" s="123">
        <f>VLOOKUP($B6,[2]Sheet1!$A$3:$I$27,6,0)</f>
        <v>6</v>
      </c>
      <c r="R6" s="123">
        <f>VLOOKUP($B6,[2]Sheet1!$A$3:$I$27,7,0)</f>
        <v>365</v>
      </c>
      <c r="S6" s="123">
        <f>Q6+O6+M6</f>
        <v>8</v>
      </c>
      <c r="T6" s="123">
        <f>R6+P6+N6</f>
        <v>467</v>
      </c>
    </row>
    <row r="7" spans="1:20" s="124" customFormat="1" ht="21.75" customHeight="1">
      <c r="A7" s="125">
        <v>3</v>
      </c>
      <c r="B7" s="121" t="s">
        <v>16</v>
      </c>
      <c r="C7" s="100">
        <v>15</v>
      </c>
      <c r="D7" s="100">
        <v>4</v>
      </c>
      <c r="E7" s="122">
        <v>19</v>
      </c>
      <c r="F7" s="100">
        <v>24</v>
      </c>
      <c r="G7" s="100">
        <v>43</v>
      </c>
      <c r="H7" s="122">
        <v>6042</v>
      </c>
      <c r="I7" s="122">
        <v>1340</v>
      </c>
      <c r="J7" s="122">
        <v>7382</v>
      </c>
      <c r="K7" s="122">
        <v>21238</v>
      </c>
      <c r="L7" s="100">
        <v>28620</v>
      </c>
      <c r="M7" s="123"/>
      <c r="N7" s="123"/>
      <c r="O7" s="123"/>
      <c r="P7" s="123"/>
      <c r="Q7" s="123"/>
      <c r="R7" s="123"/>
      <c r="S7" s="123">
        <f t="shared" ref="S7:S39" si="0">Q7+O7+M7</f>
        <v>0</v>
      </c>
      <c r="T7" s="123">
        <f t="shared" ref="T7:T39" si="1">R7+P7+N7</f>
        <v>0</v>
      </c>
    </row>
    <row r="8" spans="1:20" s="124" customFormat="1" ht="21.75" customHeight="1">
      <c r="A8" s="125">
        <v>4</v>
      </c>
      <c r="B8" s="121" t="s">
        <v>17</v>
      </c>
      <c r="C8" s="100">
        <v>84</v>
      </c>
      <c r="D8" s="100">
        <v>25</v>
      </c>
      <c r="E8" s="122">
        <v>109</v>
      </c>
      <c r="F8" s="100">
        <v>444</v>
      </c>
      <c r="G8" s="100">
        <v>553</v>
      </c>
      <c r="H8" s="122">
        <v>26792</v>
      </c>
      <c r="I8" s="122">
        <v>5644</v>
      </c>
      <c r="J8" s="122">
        <v>32436</v>
      </c>
      <c r="K8" s="122">
        <v>468438</v>
      </c>
      <c r="L8" s="100">
        <v>500874</v>
      </c>
      <c r="M8" s="123">
        <f>VLOOKUP($B8,[2]Sheet1!$A$3:$I$27,2,0)</f>
        <v>3</v>
      </c>
      <c r="N8" s="123">
        <f>VLOOKUP($B8,[2]Sheet1!$A$3:$I$27,3,0)</f>
        <v>128</v>
      </c>
      <c r="O8" s="123">
        <f>VLOOKUP($B8,[2]Sheet1!$A$3:$I$27,4,0)</f>
        <v>2</v>
      </c>
      <c r="P8" s="123">
        <f>VLOOKUP($B8,[2]Sheet1!$A$3:$I$27,5,0)</f>
        <v>60</v>
      </c>
      <c r="Q8" s="123">
        <f>VLOOKUP($B8,[2]Sheet1!$A$3:$I$27,6,0)</f>
        <v>0</v>
      </c>
      <c r="R8" s="123">
        <f>VLOOKUP($B8,[2]Sheet1!$A$3:$I$27,7,0)</f>
        <v>0</v>
      </c>
      <c r="S8" s="123">
        <f t="shared" si="0"/>
        <v>5</v>
      </c>
      <c r="T8" s="123">
        <f t="shared" si="1"/>
        <v>188</v>
      </c>
    </row>
    <row r="9" spans="1:20" s="124" customFormat="1" ht="21.75" customHeight="1">
      <c r="A9" s="125">
        <v>5</v>
      </c>
      <c r="B9" s="121" t="s">
        <v>18</v>
      </c>
      <c r="C9" s="100">
        <v>362</v>
      </c>
      <c r="D9" s="100">
        <v>170</v>
      </c>
      <c r="E9" s="122">
        <v>532</v>
      </c>
      <c r="F9" s="100">
        <v>540</v>
      </c>
      <c r="G9" s="100">
        <v>1072</v>
      </c>
      <c r="H9" s="122">
        <v>189493</v>
      </c>
      <c r="I9" s="122">
        <v>359509</v>
      </c>
      <c r="J9" s="122">
        <v>549002</v>
      </c>
      <c r="K9" s="122">
        <v>1689577</v>
      </c>
      <c r="L9" s="100">
        <v>2238579</v>
      </c>
      <c r="M9" s="123">
        <f>VLOOKUP($B9,[2]Sheet1!$A$3:$I$27,2,0)</f>
        <v>13</v>
      </c>
      <c r="N9" s="123">
        <f>VLOOKUP($B9,[2]Sheet1!$A$3:$I$27,3,0)</f>
        <v>4242</v>
      </c>
      <c r="O9" s="123">
        <f>VLOOKUP($B9,[2]Sheet1!$A$3:$I$27,4,0)</f>
        <v>1</v>
      </c>
      <c r="P9" s="123">
        <f>VLOOKUP($B9,[2]Sheet1!$A$3:$I$27,5,0)</f>
        <v>0</v>
      </c>
      <c r="Q9" s="123">
        <f>VLOOKUP($B9,[2]Sheet1!$A$3:$I$27,6,0)</f>
        <v>2</v>
      </c>
      <c r="R9" s="123">
        <f>VLOOKUP($B9,[2]Sheet1!$A$3:$I$27,7,0)</f>
        <v>156</v>
      </c>
      <c r="S9" s="123">
        <f t="shared" si="0"/>
        <v>16</v>
      </c>
      <c r="T9" s="123">
        <f t="shared" si="1"/>
        <v>4398</v>
      </c>
    </row>
    <row r="10" spans="1:20" s="124" customFormat="1" ht="21.75" customHeight="1">
      <c r="A10" s="125">
        <v>6</v>
      </c>
      <c r="B10" s="121" t="s">
        <v>19</v>
      </c>
      <c r="C10" s="100">
        <v>4</v>
      </c>
      <c r="D10" s="100">
        <v>7</v>
      </c>
      <c r="E10" s="122">
        <v>11</v>
      </c>
      <c r="F10" s="100">
        <v>15</v>
      </c>
      <c r="G10" s="100">
        <v>26</v>
      </c>
      <c r="H10" s="122">
        <v>633</v>
      </c>
      <c r="I10" s="122">
        <v>29354</v>
      </c>
      <c r="J10" s="122">
        <v>29987</v>
      </c>
      <c r="K10" s="122">
        <v>19089</v>
      </c>
      <c r="L10" s="100">
        <v>49076</v>
      </c>
      <c r="M10" s="123"/>
      <c r="N10" s="123"/>
      <c r="O10" s="123"/>
      <c r="P10" s="123"/>
      <c r="Q10" s="123"/>
      <c r="R10" s="123"/>
      <c r="S10" s="123">
        <f t="shared" si="0"/>
        <v>0</v>
      </c>
      <c r="T10" s="123">
        <f t="shared" si="1"/>
        <v>0</v>
      </c>
    </row>
    <row r="11" spans="1:20" s="124" customFormat="1" ht="21.75" customHeight="1">
      <c r="A11" s="125">
        <v>7</v>
      </c>
      <c r="B11" s="121" t="s">
        <v>20</v>
      </c>
      <c r="C11" s="100">
        <v>383</v>
      </c>
      <c r="D11" s="100">
        <v>90</v>
      </c>
      <c r="E11" s="122">
        <v>473</v>
      </c>
      <c r="F11" s="100">
        <v>422</v>
      </c>
      <c r="G11" s="100">
        <v>895</v>
      </c>
      <c r="H11" s="122">
        <v>134239</v>
      </c>
      <c r="I11" s="122">
        <v>40240</v>
      </c>
      <c r="J11" s="122">
        <v>174479</v>
      </c>
      <c r="K11" s="122">
        <v>367764</v>
      </c>
      <c r="L11" s="100">
        <v>542243</v>
      </c>
      <c r="M11" s="123">
        <f>VLOOKUP($B11,[2]Sheet1!$A$3:$I$27,2,0)</f>
        <v>6</v>
      </c>
      <c r="N11" s="123">
        <f>VLOOKUP($B11,[2]Sheet1!$A$3:$I$27,3,0)</f>
        <v>135</v>
      </c>
      <c r="O11" s="123">
        <f>VLOOKUP($B11,[2]Sheet1!$A$3:$I$27,4,0)</f>
        <v>2</v>
      </c>
      <c r="P11" s="123">
        <f>VLOOKUP($B11,[2]Sheet1!$A$3:$I$27,5,0)</f>
        <v>267</v>
      </c>
      <c r="Q11" s="123">
        <f>VLOOKUP($B11,[2]Sheet1!$A$3:$I$27,6,0)</f>
        <v>26</v>
      </c>
      <c r="R11" s="123">
        <f>VLOOKUP($B11,[2]Sheet1!$A$3:$I$27,7,0)</f>
        <v>2655</v>
      </c>
      <c r="S11" s="123">
        <f t="shared" si="0"/>
        <v>34</v>
      </c>
      <c r="T11" s="123">
        <f t="shared" si="1"/>
        <v>3057</v>
      </c>
    </row>
    <row r="12" spans="1:20" s="124" customFormat="1" ht="21.75" customHeight="1">
      <c r="A12" s="125">
        <v>8</v>
      </c>
      <c r="B12" s="121" t="s">
        <v>23</v>
      </c>
      <c r="C12" s="100">
        <v>64</v>
      </c>
      <c r="D12" s="100">
        <v>8</v>
      </c>
      <c r="E12" s="122">
        <v>72</v>
      </c>
      <c r="F12" s="100">
        <v>99</v>
      </c>
      <c r="G12" s="100">
        <v>171</v>
      </c>
      <c r="H12" s="122">
        <v>64258</v>
      </c>
      <c r="I12" s="122">
        <v>19057</v>
      </c>
      <c r="J12" s="122">
        <v>83315</v>
      </c>
      <c r="K12" s="122">
        <v>216282</v>
      </c>
      <c r="L12" s="100">
        <v>299597</v>
      </c>
      <c r="M12" s="123">
        <f>VLOOKUP($B12,[2]Sheet1!$A$3:$I$27,2,0)</f>
        <v>0</v>
      </c>
      <c r="N12" s="123">
        <f>VLOOKUP($B12,[2]Sheet1!$A$3:$I$27,3,0)</f>
        <v>0</v>
      </c>
      <c r="O12" s="123">
        <f>VLOOKUP($B12,[2]Sheet1!$A$3:$I$27,4,0)</f>
        <v>0</v>
      </c>
      <c r="P12" s="123">
        <f>VLOOKUP($B12,[2]Sheet1!$A$3:$I$27,5,0)</f>
        <v>0</v>
      </c>
      <c r="Q12" s="123">
        <f>VLOOKUP($B12,[2]Sheet1!$A$3:$I$27,6,0)</f>
        <v>1</v>
      </c>
      <c r="R12" s="123">
        <f>VLOOKUP($B12,[2]Sheet1!$A$3:$I$27,7,0)</f>
        <v>165</v>
      </c>
      <c r="S12" s="123">
        <f t="shared" si="0"/>
        <v>1</v>
      </c>
      <c r="T12" s="123">
        <f t="shared" si="1"/>
        <v>165</v>
      </c>
    </row>
    <row r="13" spans="1:20" s="124" customFormat="1" ht="21.75" customHeight="1">
      <c r="A13" s="125">
        <v>9</v>
      </c>
      <c r="B13" s="121" t="s">
        <v>24</v>
      </c>
      <c r="C13" s="100">
        <v>15</v>
      </c>
      <c r="D13" s="100">
        <v>26</v>
      </c>
      <c r="E13" s="122">
        <v>41</v>
      </c>
      <c r="F13" s="100">
        <v>21</v>
      </c>
      <c r="G13" s="100">
        <v>62</v>
      </c>
      <c r="H13" s="122">
        <v>5262</v>
      </c>
      <c r="I13" s="122">
        <v>22053</v>
      </c>
      <c r="J13" s="122">
        <v>27315</v>
      </c>
      <c r="K13" s="122">
        <v>14820</v>
      </c>
      <c r="L13" s="100">
        <v>42135</v>
      </c>
      <c r="M13" s="123"/>
      <c r="N13" s="123"/>
      <c r="O13" s="123"/>
      <c r="P13" s="123"/>
      <c r="Q13" s="123"/>
      <c r="R13" s="123"/>
      <c r="S13" s="123">
        <f t="shared" si="0"/>
        <v>0</v>
      </c>
      <c r="T13" s="123">
        <f t="shared" si="1"/>
        <v>0</v>
      </c>
    </row>
    <row r="14" spans="1:20" s="124" customFormat="1" ht="21.75" customHeight="1">
      <c r="A14" s="125">
        <v>10</v>
      </c>
      <c r="B14" s="121" t="s">
        <v>25</v>
      </c>
      <c r="C14" s="100">
        <v>1479</v>
      </c>
      <c r="D14" s="100">
        <v>475</v>
      </c>
      <c r="E14" s="122">
        <v>1954</v>
      </c>
      <c r="F14" s="100">
        <v>420</v>
      </c>
      <c r="G14" s="100">
        <v>2374</v>
      </c>
      <c r="H14" s="122">
        <v>512494</v>
      </c>
      <c r="I14" s="122">
        <v>448121</v>
      </c>
      <c r="J14" s="122">
        <v>960615</v>
      </c>
      <c r="K14" s="122">
        <v>313906</v>
      </c>
      <c r="L14" s="100">
        <v>1274521</v>
      </c>
      <c r="M14" s="123">
        <f>VLOOKUP($B14,[2]Sheet1!$A$3:$I$27,2,0)</f>
        <v>147</v>
      </c>
      <c r="N14" s="123">
        <f>VLOOKUP($B14,[2]Sheet1!$A$3:$I$27,3,0)</f>
        <v>13457</v>
      </c>
      <c r="O14" s="123">
        <f>VLOOKUP($B14,[2]Sheet1!$A$3:$I$27,4,0)</f>
        <v>11</v>
      </c>
      <c r="P14" s="123">
        <f>VLOOKUP($B14,[2]Sheet1!$A$3:$I$27,5,0)</f>
        <v>1947</v>
      </c>
      <c r="Q14" s="123">
        <f>VLOOKUP($B14,[2]Sheet1!$A$3:$I$27,6,0)</f>
        <v>4</v>
      </c>
      <c r="R14" s="123">
        <f>VLOOKUP($B14,[2]Sheet1!$A$3:$I$27,7,0)</f>
        <v>513</v>
      </c>
      <c r="S14" s="123">
        <f t="shared" si="0"/>
        <v>162</v>
      </c>
      <c r="T14" s="123">
        <f t="shared" si="1"/>
        <v>15917</v>
      </c>
    </row>
    <row r="15" spans="1:20" s="124" customFormat="1" ht="21.75" customHeight="1">
      <c r="A15" s="125">
        <v>11</v>
      </c>
      <c r="B15" s="121" t="s">
        <v>26</v>
      </c>
      <c r="C15" s="100">
        <v>703</v>
      </c>
      <c r="D15" s="100">
        <v>133</v>
      </c>
      <c r="E15" s="122">
        <v>836</v>
      </c>
      <c r="F15" s="100">
        <v>253</v>
      </c>
      <c r="G15" s="100">
        <v>1089</v>
      </c>
      <c r="H15" s="122">
        <v>239968</v>
      </c>
      <c r="I15" s="122">
        <v>164011</v>
      </c>
      <c r="J15" s="122">
        <v>403979</v>
      </c>
      <c r="K15" s="122">
        <v>264695</v>
      </c>
      <c r="L15" s="100">
        <v>668674</v>
      </c>
      <c r="M15" s="123">
        <f>VLOOKUP($B15,[2]Sheet1!$A$3:$I$27,2,0)</f>
        <v>6</v>
      </c>
      <c r="N15" s="123">
        <f>VLOOKUP($B15,[2]Sheet1!$A$3:$I$27,3,0)</f>
        <v>722</v>
      </c>
      <c r="O15" s="123">
        <f>VLOOKUP($B15,[2]Sheet1!$A$3:$I$27,4,0)</f>
        <v>1</v>
      </c>
      <c r="P15" s="123">
        <f>VLOOKUP($B15,[2]Sheet1!$A$3:$I$27,5,0)</f>
        <v>100</v>
      </c>
      <c r="Q15" s="123">
        <f>VLOOKUP($B15,[2]Sheet1!$A$3:$I$27,6,0)</f>
        <v>3</v>
      </c>
      <c r="R15" s="123">
        <f>VLOOKUP($B15,[2]Sheet1!$A$3:$I$27,7,0)</f>
        <v>412</v>
      </c>
      <c r="S15" s="123">
        <f t="shared" si="0"/>
        <v>10</v>
      </c>
      <c r="T15" s="123">
        <f t="shared" si="1"/>
        <v>1234</v>
      </c>
    </row>
    <row r="16" spans="1:20" s="124" customFormat="1" ht="21.75" customHeight="1">
      <c r="A16" s="125">
        <v>12</v>
      </c>
      <c r="B16" s="121" t="s">
        <v>27</v>
      </c>
      <c r="C16" s="100">
        <v>168</v>
      </c>
      <c r="D16" s="100">
        <v>16</v>
      </c>
      <c r="E16" s="122">
        <v>184</v>
      </c>
      <c r="F16" s="100">
        <v>164</v>
      </c>
      <c r="G16" s="100">
        <v>348</v>
      </c>
      <c r="H16" s="122">
        <v>32988</v>
      </c>
      <c r="I16" s="122">
        <v>11780</v>
      </c>
      <c r="J16" s="122">
        <v>44768</v>
      </c>
      <c r="K16" s="122">
        <v>155889</v>
      </c>
      <c r="L16" s="100">
        <v>200657</v>
      </c>
      <c r="M16" s="123"/>
      <c r="N16" s="123"/>
      <c r="O16" s="123"/>
      <c r="P16" s="123"/>
      <c r="Q16" s="123"/>
      <c r="R16" s="123"/>
      <c r="S16" s="123">
        <f t="shared" si="0"/>
        <v>0</v>
      </c>
      <c r="T16" s="123">
        <f t="shared" si="1"/>
        <v>0</v>
      </c>
    </row>
    <row r="17" spans="1:20" s="124" customFormat="1" ht="21.75" customHeight="1">
      <c r="A17" s="125">
        <v>13</v>
      </c>
      <c r="B17" s="121" t="s">
        <v>57</v>
      </c>
      <c r="C17" s="100">
        <v>127</v>
      </c>
      <c r="D17" s="100">
        <v>21</v>
      </c>
      <c r="E17" s="122">
        <v>148</v>
      </c>
      <c r="F17" s="100">
        <v>189</v>
      </c>
      <c r="G17" s="100">
        <v>337</v>
      </c>
      <c r="H17" s="122">
        <v>23580</v>
      </c>
      <c r="I17" s="122">
        <v>4038</v>
      </c>
      <c r="J17" s="122">
        <v>27618</v>
      </c>
      <c r="K17" s="122">
        <v>185595</v>
      </c>
      <c r="L17" s="100">
        <v>213213</v>
      </c>
      <c r="M17" s="123">
        <f>VLOOKUP($B17,[2]Sheet1!$A$3:$I$27,2,0)</f>
        <v>1</v>
      </c>
      <c r="N17" s="123">
        <f>VLOOKUP($B17,[2]Sheet1!$A$3:$I$27,3,0)</f>
        <v>23</v>
      </c>
      <c r="O17" s="123">
        <f>VLOOKUP($B17,[2]Sheet1!$A$3:$I$27,4,0)</f>
        <v>0</v>
      </c>
      <c r="P17" s="123">
        <f>VLOOKUP($B17,[2]Sheet1!$A$3:$I$27,5,0)</f>
        <v>0</v>
      </c>
      <c r="Q17" s="123">
        <f>VLOOKUP($B17,[2]Sheet1!$A$3:$I$27,6,0)</f>
        <v>0</v>
      </c>
      <c r="R17" s="123">
        <f>VLOOKUP($B17,[2]Sheet1!$A$3:$I$27,7,0)</f>
        <v>0</v>
      </c>
      <c r="S17" s="123">
        <f t="shared" si="0"/>
        <v>1</v>
      </c>
      <c r="T17" s="123">
        <f t="shared" si="1"/>
        <v>23</v>
      </c>
    </row>
    <row r="18" spans="1:20" s="124" customFormat="1" ht="21.75" customHeight="1">
      <c r="A18" s="125">
        <v>14</v>
      </c>
      <c r="B18" s="121" t="s">
        <v>29</v>
      </c>
      <c r="C18" s="100">
        <v>160</v>
      </c>
      <c r="D18" s="100">
        <v>41</v>
      </c>
      <c r="E18" s="122">
        <v>201</v>
      </c>
      <c r="F18" s="100">
        <v>164</v>
      </c>
      <c r="G18" s="100">
        <v>365</v>
      </c>
      <c r="H18" s="122">
        <v>76012</v>
      </c>
      <c r="I18" s="122">
        <v>98436</v>
      </c>
      <c r="J18" s="122">
        <v>174448</v>
      </c>
      <c r="K18" s="122">
        <v>499915</v>
      </c>
      <c r="L18" s="100">
        <v>674363</v>
      </c>
      <c r="M18" s="123">
        <f>VLOOKUP($B18,[2]Sheet1!$A$3:$I$27,2,0)</f>
        <v>5</v>
      </c>
      <c r="N18" s="123">
        <f>VLOOKUP($B18,[2]Sheet1!$A$3:$I$27,3,0)</f>
        <v>1398</v>
      </c>
      <c r="O18" s="123">
        <f>VLOOKUP($B18,[2]Sheet1!$A$3:$I$27,4,0)</f>
        <v>1</v>
      </c>
      <c r="P18" s="123">
        <f>VLOOKUP($B18,[2]Sheet1!$A$3:$I$27,5,0)</f>
        <v>180</v>
      </c>
      <c r="Q18" s="123">
        <f>VLOOKUP($B18,[2]Sheet1!$A$3:$I$27,6,0)</f>
        <v>0</v>
      </c>
      <c r="R18" s="123">
        <f>VLOOKUP($B18,[2]Sheet1!$A$3:$I$27,7,0)</f>
        <v>0</v>
      </c>
      <c r="S18" s="123">
        <f t="shared" si="0"/>
        <v>6</v>
      </c>
      <c r="T18" s="123">
        <f t="shared" si="1"/>
        <v>1578</v>
      </c>
    </row>
    <row r="19" spans="1:20" s="124" customFormat="1" ht="21.75" customHeight="1">
      <c r="A19" s="125">
        <v>15</v>
      </c>
      <c r="B19" s="121" t="s">
        <v>30</v>
      </c>
      <c r="C19" s="100">
        <v>3087</v>
      </c>
      <c r="D19" s="100">
        <v>492</v>
      </c>
      <c r="E19" s="122">
        <v>3579</v>
      </c>
      <c r="F19" s="100">
        <v>704</v>
      </c>
      <c r="G19" s="100">
        <v>4283</v>
      </c>
      <c r="H19" s="122">
        <v>912471</v>
      </c>
      <c r="I19" s="122">
        <v>331794</v>
      </c>
      <c r="J19" s="122">
        <v>1244265</v>
      </c>
      <c r="K19" s="122">
        <v>524818</v>
      </c>
      <c r="L19" s="100">
        <v>1769083</v>
      </c>
      <c r="M19" s="123">
        <f>VLOOKUP($B19,[2]Sheet1!$A$3:$I$27,2,0)</f>
        <v>79</v>
      </c>
      <c r="N19" s="123">
        <f>VLOOKUP($B19,[2]Sheet1!$A$3:$I$27,3,0)</f>
        <v>2796</v>
      </c>
      <c r="O19" s="123">
        <f>VLOOKUP($B19,[2]Sheet1!$A$3:$I$27,4,0)</f>
        <v>1</v>
      </c>
      <c r="P19" s="123">
        <f>VLOOKUP($B19,[2]Sheet1!$A$3:$I$27,5,0)</f>
        <v>150</v>
      </c>
      <c r="Q19" s="123">
        <f>VLOOKUP($B19,[2]Sheet1!$A$3:$I$27,6,0)</f>
        <v>16</v>
      </c>
      <c r="R19" s="123">
        <f>VLOOKUP($B19,[2]Sheet1!$A$3:$I$27,7,0)</f>
        <v>914</v>
      </c>
      <c r="S19" s="123">
        <f t="shared" si="0"/>
        <v>96</v>
      </c>
      <c r="T19" s="123">
        <f t="shared" si="1"/>
        <v>3860</v>
      </c>
    </row>
    <row r="20" spans="1:20" s="124" customFormat="1" ht="21.75" customHeight="1">
      <c r="A20" s="125">
        <v>16</v>
      </c>
      <c r="B20" s="121" t="s">
        <v>31</v>
      </c>
      <c r="C20" s="100">
        <v>830</v>
      </c>
      <c r="D20" s="100">
        <v>222</v>
      </c>
      <c r="E20" s="122">
        <v>1052</v>
      </c>
      <c r="F20" s="100">
        <v>280</v>
      </c>
      <c r="G20" s="100">
        <v>1332</v>
      </c>
      <c r="H20" s="122">
        <v>366522</v>
      </c>
      <c r="I20" s="122">
        <v>281085</v>
      </c>
      <c r="J20" s="122">
        <v>647607</v>
      </c>
      <c r="K20" s="122">
        <v>143053</v>
      </c>
      <c r="L20" s="100">
        <v>790660</v>
      </c>
      <c r="M20" s="123">
        <f>VLOOKUP($B20,[2]Sheet1!$A$3:$I$27,2,0)</f>
        <v>2</v>
      </c>
      <c r="N20" s="123">
        <f>VLOOKUP($B20,[2]Sheet1!$A$3:$I$27,3,0)</f>
        <v>18</v>
      </c>
      <c r="O20" s="123">
        <f>VLOOKUP($B20,[2]Sheet1!$A$3:$I$27,4,0)</f>
        <v>0</v>
      </c>
      <c r="P20" s="123">
        <f>VLOOKUP($B20,[2]Sheet1!$A$3:$I$27,5,0)</f>
        <v>0</v>
      </c>
      <c r="Q20" s="123">
        <f>VLOOKUP($B20,[2]Sheet1!$A$3:$I$27,6,0)</f>
        <v>0</v>
      </c>
      <c r="R20" s="123">
        <f>VLOOKUP($B20,[2]Sheet1!$A$3:$I$27,7,0)</f>
        <v>0</v>
      </c>
      <c r="S20" s="123">
        <f t="shared" si="0"/>
        <v>2</v>
      </c>
      <c r="T20" s="123">
        <f t="shared" si="1"/>
        <v>18</v>
      </c>
    </row>
    <row r="21" spans="1:20" s="124" customFormat="1" ht="21.75" customHeight="1">
      <c r="A21" s="125">
        <v>17</v>
      </c>
      <c r="B21" s="121" t="s">
        <v>154</v>
      </c>
      <c r="C21" s="100"/>
      <c r="D21" s="100"/>
      <c r="E21" s="122"/>
      <c r="F21" s="100">
        <v>6</v>
      </c>
      <c r="G21" s="100">
        <v>6</v>
      </c>
      <c r="H21" s="122"/>
      <c r="I21" s="122"/>
      <c r="J21" s="122"/>
      <c r="K21" s="122">
        <v>3081</v>
      </c>
      <c r="L21" s="100">
        <v>3081</v>
      </c>
      <c r="M21" s="123"/>
      <c r="N21" s="123"/>
      <c r="O21" s="123"/>
      <c r="P21" s="123"/>
      <c r="Q21" s="123"/>
      <c r="R21" s="123"/>
      <c r="S21" s="123">
        <f t="shared" si="0"/>
        <v>0</v>
      </c>
      <c r="T21" s="123">
        <f t="shared" si="1"/>
        <v>0</v>
      </c>
    </row>
    <row r="22" spans="1:20" s="124" customFormat="1" ht="21.75" customHeight="1">
      <c r="A22" s="125">
        <v>18</v>
      </c>
      <c r="B22" s="121" t="s">
        <v>33</v>
      </c>
      <c r="C22" s="100">
        <v>1398</v>
      </c>
      <c r="D22" s="100">
        <v>293</v>
      </c>
      <c r="E22" s="122">
        <v>1691</v>
      </c>
      <c r="F22" s="100">
        <v>773</v>
      </c>
      <c r="G22" s="100">
        <v>2464</v>
      </c>
      <c r="H22" s="122">
        <v>640006</v>
      </c>
      <c r="I22" s="122">
        <v>168516</v>
      </c>
      <c r="J22" s="122">
        <v>808522</v>
      </c>
      <c r="K22" s="122">
        <v>1181770</v>
      </c>
      <c r="L22" s="100">
        <v>1990292</v>
      </c>
      <c r="M22" s="123">
        <f>VLOOKUP($B22,[2]Sheet1!$A$3:$I$27,2,0)</f>
        <v>40</v>
      </c>
      <c r="N22" s="123">
        <f>VLOOKUP($B22,[2]Sheet1!$A$3:$I$27,3,0)</f>
        <v>4996</v>
      </c>
      <c r="O22" s="123">
        <f>VLOOKUP($B22,[2]Sheet1!$A$3:$I$27,4,0)</f>
        <v>10</v>
      </c>
      <c r="P22" s="123">
        <f>VLOOKUP($B22,[2]Sheet1!$A$3:$I$27,5,0)</f>
        <v>1236</v>
      </c>
      <c r="Q22" s="123">
        <f>VLOOKUP($B22,[2]Sheet1!$A$3:$I$27,6,0)</f>
        <v>11</v>
      </c>
      <c r="R22" s="123">
        <f>VLOOKUP($B22,[2]Sheet1!$A$3:$I$27,7,0)</f>
        <v>951</v>
      </c>
      <c r="S22" s="123">
        <f t="shared" si="0"/>
        <v>61</v>
      </c>
      <c r="T22" s="123">
        <f t="shared" si="1"/>
        <v>7183</v>
      </c>
    </row>
    <row r="23" spans="1:20" s="124" customFormat="1" ht="21.75" customHeight="1">
      <c r="A23" s="125">
        <v>19</v>
      </c>
      <c r="B23" s="121" t="s">
        <v>34</v>
      </c>
      <c r="C23" s="100">
        <v>2976</v>
      </c>
      <c r="D23" s="100">
        <v>1167</v>
      </c>
      <c r="E23" s="122">
        <v>4143</v>
      </c>
      <c r="F23" s="100">
        <v>542</v>
      </c>
      <c r="G23" s="100">
        <v>4685</v>
      </c>
      <c r="H23" s="122">
        <v>1345493</v>
      </c>
      <c r="I23" s="122">
        <v>1539294</v>
      </c>
      <c r="J23" s="122">
        <v>2884787</v>
      </c>
      <c r="K23" s="122">
        <v>322132</v>
      </c>
      <c r="L23" s="100">
        <v>3206919</v>
      </c>
      <c r="M23" s="123">
        <f>VLOOKUP($B23,[2]Sheet1!$A$3:$I$27,2,0)</f>
        <v>138</v>
      </c>
      <c r="N23" s="123">
        <f>VLOOKUP($B23,[2]Sheet1!$A$3:$I$27,3,0)</f>
        <v>14028</v>
      </c>
      <c r="O23" s="123">
        <f>VLOOKUP($B23,[2]Sheet1!$A$3:$I$27,4,0)</f>
        <v>1</v>
      </c>
      <c r="P23" s="123">
        <f>VLOOKUP($B23,[2]Sheet1!$A$3:$I$27,5,0)</f>
        <v>0</v>
      </c>
      <c r="Q23" s="123">
        <f>VLOOKUP($B23,[2]Sheet1!$A$3:$I$27,6,0)</f>
        <v>5</v>
      </c>
      <c r="R23" s="123">
        <f>VLOOKUP($B23,[2]Sheet1!$A$3:$I$27,7,0)</f>
        <v>747</v>
      </c>
      <c r="S23" s="123">
        <f t="shared" si="0"/>
        <v>144</v>
      </c>
      <c r="T23" s="123">
        <f t="shared" si="1"/>
        <v>14775</v>
      </c>
    </row>
    <row r="24" spans="1:20" s="124" customFormat="1" ht="21.75" customHeight="1">
      <c r="A24" s="125">
        <v>20</v>
      </c>
      <c r="B24" s="121" t="s">
        <v>35</v>
      </c>
      <c r="C24" s="100">
        <v>26</v>
      </c>
      <c r="D24" s="100">
        <v>19</v>
      </c>
      <c r="E24" s="122">
        <v>45</v>
      </c>
      <c r="F24" s="100">
        <v>58</v>
      </c>
      <c r="G24" s="100">
        <v>103</v>
      </c>
      <c r="H24" s="122">
        <v>6160</v>
      </c>
      <c r="I24" s="122">
        <v>21242</v>
      </c>
      <c r="J24" s="122">
        <v>27402</v>
      </c>
      <c r="K24" s="122">
        <v>76906</v>
      </c>
      <c r="L24" s="100">
        <v>104308</v>
      </c>
      <c r="M24" s="123"/>
      <c r="N24" s="123"/>
      <c r="O24" s="123"/>
      <c r="P24" s="123"/>
      <c r="Q24" s="123"/>
      <c r="R24" s="123"/>
      <c r="S24" s="123">
        <f t="shared" si="0"/>
        <v>0</v>
      </c>
      <c r="T24" s="123">
        <f t="shared" si="1"/>
        <v>0</v>
      </c>
    </row>
    <row r="25" spans="1:20" s="124" customFormat="1" ht="21.75" customHeight="1">
      <c r="A25" s="125">
        <v>21</v>
      </c>
      <c r="B25" s="121" t="s">
        <v>36</v>
      </c>
      <c r="C25" s="100">
        <v>23</v>
      </c>
      <c r="D25" s="100">
        <v>17</v>
      </c>
      <c r="E25" s="122">
        <v>40</v>
      </c>
      <c r="F25" s="100">
        <v>29</v>
      </c>
      <c r="G25" s="100">
        <v>69</v>
      </c>
      <c r="H25" s="122">
        <v>9530</v>
      </c>
      <c r="I25" s="122">
        <v>19396</v>
      </c>
      <c r="J25" s="122">
        <v>28926</v>
      </c>
      <c r="K25" s="122">
        <v>33764</v>
      </c>
      <c r="L25" s="100">
        <v>62690</v>
      </c>
      <c r="M25" s="123">
        <f>VLOOKUP($B25,[2]Sheet1!$A$3:$I$27,2,0)</f>
        <v>3</v>
      </c>
      <c r="N25" s="123">
        <f>VLOOKUP($B25,[2]Sheet1!$A$3:$I$27,3,0)</f>
        <v>107</v>
      </c>
      <c r="O25" s="123">
        <f>VLOOKUP($B25,[2]Sheet1!$A$3:$I$27,4,0)</f>
        <v>0</v>
      </c>
      <c r="P25" s="123">
        <f>VLOOKUP($B25,[2]Sheet1!$A$3:$I$27,5,0)</f>
        <v>0</v>
      </c>
      <c r="Q25" s="123">
        <f>VLOOKUP($B25,[2]Sheet1!$A$3:$I$27,6,0)</f>
        <v>0</v>
      </c>
      <c r="R25" s="123">
        <f>VLOOKUP($B25,[2]Sheet1!$A$3:$I$27,7,0)</f>
        <v>0</v>
      </c>
      <c r="S25" s="123">
        <f t="shared" si="0"/>
        <v>3</v>
      </c>
      <c r="T25" s="123">
        <f t="shared" si="1"/>
        <v>107</v>
      </c>
    </row>
    <row r="26" spans="1:20" s="124" customFormat="1" ht="21.75" customHeight="1">
      <c r="A26" s="125">
        <v>22</v>
      </c>
      <c r="B26" s="121" t="s">
        <v>37</v>
      </c>
      <c r="C26" s="100">
        <v>8</v>
      </c>
      <c r="D26" s="100">
        <v>1</v>
      </c>
      <c r="E26" s="122">
        <v>9</v>
      </c>
      <c r="F26" s="100">
        <v>31</v>
      </c>
      <c r="G26" s="100">
        <v>40</v>
      </c>
      <c r="H26" s="122">
        <v>1599</v>
      </c>
      <c r="I26" s="122">
        <v>26</v>
      </c>
      <c r="J26" s="122">
        <v>1625</v>
      </c>
      <c r="K26" s="122">
        <v>25123</v>
      </c>
      <c r="L26" s="100">
        <v>26748</v>
      </c>
      <c r="M26" s="123"/>
      <c r="N26" s="123"/>
      <c r="O26" s="123"/>
      <c r="P26" s="123"/>
      <c r="Q26" s="123"/>
      <c r="R26" s="123"/>
      <c r="S26" s="123">
        <f t="shared" si="0"/>
        <v>0</v>
      </c>
      <c r="T26" s="123">
        <f t="shared" si="1"/>
        <v>0</v>
      </c>
    </row>
    <row r="27" spans="1:20" s="124" customFormat="1" ht="21.75" customHeight="1">
      <c r="A27" s="125">
        <v>23</v>
      </c>
      <c r="B27" s="121" t="s">
        <v>38</v>
      </c>
      <c r="C27" s="100">
        <v>15</v>
      </c>
      <c r="D27" s="100">
        <v>32</v>
      </c>
      <c r="E27" s="122">
        <v>47</v>
      </c>
      <c r="F27" s="100">
        <v>21</v>
      </c>
      <c r="G27" s="100">
        <v>68</v>
      </c>
      <c r="H27" s="122">
        <v>3825</v>
      </c>
      <c r="I27" s="122">
        <v>14818</v>
      </c>
      <c r="J27" s="122">
        <v>18643</v>
      </c>
      <c r="K27" s="122">
        <v>17608</v>
      </c>
      <c r="L27" s="100">
        <v>36251</v>
      </c>
      <c r="M27" s="123">
        <f>VLOOKUP($B27,[2]Sheet1!$A$3:$I$27,2,0)</f>
        <v>1</v>
      </c>
      <c r="N27" s="123">
        <f>VLOOKUP($B27,[2]Sheet1!$A$3:$I$27,3,0)</f>
        <v>45</v>
      </c>
      <c r="O27" s="123">
        <f>VLOOKUP($B27,[2]Sheet1!$A$3:$I$27,4,0)</f>
        <v>0</v>
      </c>
      <c r="P27" s="123">
        <f>VLOOKUP($B27,[2]Sheet1!$A$3:$I$27,5,0)</f>
        <v>0</v>
      </c>
      <c r="Q27" s="123">
        <f>VLOOKUP($B27,[2]Sheet1!$A$3:$I$27,6,0)</f>
        <v>0</v>
      </c>
      <c r="R27" s="123">
        <f>VLOOKUP($B27,[2]Sheet1!$A$3:$I$27,7,0)</f>
        <v>0</v>
      </c>
      <c r="S27" s="123">
        <f t="shared" si="0"/>
        <v>1</v>
      </c>
      <c r="T27" s="123">
        <f t="shared" si="1"/>
        <v>45</v>
      </c>
    </row>
    <row r="28" spans="1:20" s="124" customFormat="1" ht="21.75" customHeight="1">
      <c r="A28" s="125">
        <v>24</v>
      </c>
      <c r="B28" s="121" t="s">
        <v>39</v>
      </c>
      <c r="C28" s="100">
        <v>454</v>
      </c>
      <c r="D28" s="100">
        <v>443</v>
      </c>
      <c r="E28" s="122">
        <v>897</v>
      </c>
      <c r="F28" s="100">
        <v>392</v>
      </c>
      <c r="G28" s="100">
        <v>1289</v>
      </c>
      <c r="H28" s="122">
        <v>182663</v>
      </c>
      <c r="I28" s="122">
        <v>294208</v>
      </c>
      <c r="J28" s="122">
        <v>476871</v>
      </c>
      <c r="K28" s="122">
        <v>265860</v>
      </c>
      <c r="L28" s="100">
        <v>742731</v>
      </c>
      <c r="M28" s="123">
        <f>VLOOKUP($B28,[2]Sheet1!$A$3:$I$27,2,0)</f>
        <v>11</v>
      </c>
      <c r="N28" s="123">
        <f>VLOOKUP($B28,[2]Sheet1!$A$3:$I$27,3,0)</f>
        <v>557</v>
      </c>
      <c r="O28" s="123">
        <f>VLOOKUP($B28,[2]Sheet1!$A$3:$I$27,4,0)</f>
        <v>3</v>
      </c>
      <c r="P28" s="123">
        <f>VLOOKUP($B28,[2]Sheet1!$A$3:$I$27,5,0)</f>
        <v>234</v>
      </c>
      <c r="Q28" s="123">
        <f>VLOOKUP($B28,[2]Sheet1!$A$3:$I$27,6,0)</f>
        <v>4</v>
      </c>
      <c r="R28" s="123">
        <f>VLOOKUP($B28,[2]Sheet1!$A$3:$I$27,7,0)</f>
        <v>351</v>
      </c>
      <c r="S28" s="123">
        <f t="shared" si="0"/>
        <v>18</v>
      </c>
      <c r="T28" s="123">
        <f t="shared" si="1"/>
        <v>1142</v>
      </c>
    </row>
    <row r="29" spans="1:20" s="124" customFormat="1" ht="21.75" customHeight="1">
      <c r="A29" s="125">
        <v>25</v>
      </c>
      <c r="B29" s="121" t="s">
        <v>40</v>
      </c>
      <c r="C29" s="100">
        <v>43</v>
      </c>
      <c r="D29" s="100">
        <v>1</v>
      </c>
      <c r="E29" s="122">
        <v>44</v>
      </c>
      <c r="F29" s="100">
        <v>24</v>
      </c>
      <c r="G29" s="100">
        <v>68</v>
      </c>
      <c r="H29" s="122">
        <v>24701</v>
      </c>
      <c r="I29" s="122">
        <v>100</v>
      </c>
      <c r="J29" s="122">
        <v>24801</v>
      </c>
      <c r="K29" s="122">
        <v>26849</v>
      </c>
      <c r="L29" s="100">
        <v>51650</v>
      </c>
      <c r="M29" s="123"/>
      <c r="N29" s="123"/>
      <c r="O29" s="123"/>
      <c r="P29" s="123"/>
      <c r="Q29" s="123"/>
      <c r="R29" s="123"/>
      <c r="S29" s="123">
        <f t="shared" si="0"/>
        <v>0</v>
      </c>
      <c r="T29" s="123">
        <f t="shared" si="1"/>
        <v>0</v>
      </c>
    </row>
    <row r="30" spans="1:20" s="124" customFormat="1" ht="21.75" customHeight="1">
      <c r="A30" s="125">
        <v>26</v>
      </c>
      <c r="B30" s="121" t="s">
        <v>41</v>
      </c>
      <c r="C30" s="100">
        <v>653</v>
      </c>
      <c r="D30" s="100">
        <v>179</v>
      </c>
      <c r="E30" s="122">
        <v>832</v>
      </c>
      <c r="F30" s="100">
        <v>205</v>
      </c>
      <c r="G30" s="100">
        <v>1037</v>
      </c>
      <c r="H30" s="122">
        <v>213361</v>
      </c>
      <c r="I30" s="122">
        <v>152321</v>
      </c>
      <c r="J30" s="122">
        <v>365682</v>
      </c>
      <c r="K30" s="122">
        <v>147075</v>
      </c>
      <c r="L30" s="100">
        <v>512757</v>
      </c>
      <c r="M30" s="123">
        <f>VLOOKUP($B30,[2]Sheet1!$A$3:$I$27,2,0)</f>
        <v>14</v>
      </c>
      <c r="N30" s="123">
        <f>VLOOKUP($B30,[2]Sheet1!$A$3:$I$27,3,0)</f>
        <v>861</v>
      </c>
      <c r="O30" s="123">
        <f>VLOOKUP($B30,[2]Sheet1!$A$3:$I$27,4,0)</f>
        <v>2</v>
      </c>
      <c r="P30" s="123">
        <f>VLOOKUP($B30,[2]Sheet1!$A$3:$I$27,5,0)</f>
        <v>10</v>
      </c>
      <c r="Q30" s="123">
        <f>VLOOKUP($B30,[2]Sheet1!$A$3:$I$27,6,0)</f>
        <v>14</v>
      </c>
      <c r="R30" s="123">
        <f>VLOOKUP($B30,[2]Sheet1!$A$3:$I$27,7,0)</f>
        <v>1281</v>
      </c>
      <c r="S30" s="123">
        <f t="shared" si="0"/>
        <v>30</v>
      </c>
      <c r="T30" s="123">
        <f t="shared" si="1"/>
        <v>2152</v>
      </c>
    </row>
    <row r="31" spans="1:20" s="124" customFormat="1" ht="21.75" customHeight="1">
      <c r="A31" s="125">
        <v>27</v>
      </c>
      <c r="B31" s="121" t="s">
        <v>42</v>
      </c>
      <c r="C31" s="100">
        <v>2448</v>
      </c>
      <c r="D31" s="100">
        <v>275</v>
      </c>
      <c r="E31" s="122">
        <v>2723</v>
      </c>
      <c r="F31" s="100">
        <v>798</v>
      </c>
      <c r="G31" s="100">
        <v>3521</v>
      </c>
      <c r="H31" s="122">
        <v>987064</v>
      </c>
      <c r="I31" s="122">
        <v>103673</v>
      </c>
      <c r="J31" s="122">
        <v>1090737</v>
      </c>
      <c r="K31" s="122">
        <v>716025</v>
      </c>
      <c r="L31" s="100">
        <v>1806762</v>
      </c>
      <c r="M31" s="123">
        <f>VLOOKUP($B31,[2]Sheet1!$A$3:$I$27,2,0)</f>
        <v>65</v>
      </c>
      <c r="N31" s="123">
        <f>VLOOKUP($B31,[2]Sheet1!$A$3:$I$27,3,0)</f>
        <v>3850</v>
      </c>
      <c r="O31" s="123">
        <f>VLOOKUP($B31,[2]Sheet1!$A$3:$I$27,4,0)</f>
        <v>7</v>
      </c>
      <c r="P31" s="123">
        <f>VLOOKUP($B31,[2]Sheet1!$A$3:$I$27,5,0)</f>
        <v>594</v>
      </c>
      <c r="Q31" s="123">
        <f>VLOOKUP($B31,[2]Sheet1!$A$3:$I$27,6,0)</f>
        <v>65</v>
      </c>
      <c r="R31" s="123">
        <f>VLOOKUP($B31,[2]Sheet1!$A$3:$I$27,7,0)</f>
        <v>7646</v>
      </c>
      <c r="S31" s="123">
        <f t="shared" si="0"/>
        <v>137</v>
      </c>
      <c r="T31" s="123">
        <f t="shared" si="1"/>
        <v>12090</v>
      </c>
    </row>
    <row r="32" spans="1:20" s="124" customFormat="1" ht="21.75" customHeight="1">
      <c r="A32" s="125">
        <v>28</v>
      </c>
      <c r="B32" s="121" t="s">
        <v>43</v>
      </c>
      <c r="C32" s="100">
        <v>4</v>
      </c>
      <c r="D32" s="100"/>
      <c r="E32" s="122">
        <v>4</v>
      </c>
      <c r="F32" s="100">
        <v>16</v>
      </c>
      <c r="G32" s="100">
        <v>20</v>
      </c>
      <c r="H32" s="122">
        <v>1061</v>
      </c>
      <c r="I32" s="122"/>
      <c r="J32" s="122">
        <v>1061</v>
      </c>
      <c r="K32" s="122">
        <v>13186</v>
      </c>
      <c r="L32" s="100">
        <v>14247</v>
      </c>
      <c r="M32" s="123"/>
      <c r="N32" s="123"/>
      <c r="O32" s="123"/>
      <c r="P32" s="123"/>
      <c r="Q32" s="123"/>
      <c r="R32" s="123"/>
      <c r="S32" s="123">
        <f t="shared" si="0"/>
        <v>0</v>
      </c>
      <c r="T32" s="123">
        <f t="shared" si="1"/>
        <v>0</v>
      </c>
    </row>
    <row r="33" spans="1:20" s="124" customFormat="1" ht="21.75" customHeight="1">
      <c r="A33" s="125">
        <v>29</v>
      </c>
      <c r="B33" s="121" t="s">
        <v>44</v>
      </c>
      <c r="C33" s="100">
        <v>2128</v>
      </c>
      <c r="D33" s="100">
        <v>265</v>
      </c>
      <c r="E33" s="122">
        <v>2393</v>
      </c>
      <c r="F33" s="100">
        <v>414</v>
      </c>
      <c r="G33" s="100">
        <v>2807</v>
      </c>
      <c r="H33" s="122">
        <v>1310938</v>
      </c>
      <c r="I33" s="122">
        <v>467202</v>
      </c>
      <c r="J33" s="122">
        <v>1778140</v>
      </c>
      <c r="K33" s="122">
        <v>489763</v>
      </c>
      <c r="L33" s="100">
        <v>2267903</v>
      </c>
      <c r="M33" s="123">
        <f>VLOOKUP($B33,[2]Sheet1!$A$3:$I$27,2,0)</f>
        <v>48</v>
      </c>
      <c r="N33" s="123">
        <f>VLOOKUP($B33,[2]Sheet1!$A$3:$I$27,3,0)</f>
        <v>2752</v>
      </c>
      <c r="O33" s="123">
        <f>VLOOKUP($B33,[2]Sheet1!$A$3:$I$27,4,0)</f>
        <v>1</v>
      </c>
      <c r="P33" s="123">
        <f>VLOOKUP($B33,[2]Sheet1!$A$3:$I$27,5,0)</f>
        <v>60</v>
      </c>
      <c r="Q33" s="123">
        <f>VLOOKUP($B33,[2]Sheet1!$A$3:$I$27,6,0)</f>
        <v>23</v>
      </c>
      <c r="R33" s="123">
        <f>VLOOKUP($B33,[2]Sheet1!$A$3:$I$27,7,0)</f>
        <v>2591</v>
      </c>
      <c r="S33" s="123">
        <f t="shared" si="0"/>
        <v>72</v>
      </c>
      <c r="T33" s="123">
        <f t="shared" si="1"/>
        <v>5403</v>
      </c>
    </row>
    <row r="34" spans="1:20" s="124" customFormat="1" ht="21.75" customHeight="1">
      <c r="A34" s="125">
        <v>30</v>
      </c>
      <c r="B34" s="121" t="s">
        <v>131</v>
      </c>
      <c r="C34" s="100">
        <v>1548</v>
      </c>
      <c r="D34" s="100">
        <v>109</v>
      </c>
      <c r="E34" s="122">
        <v>1657</v>
      </c>
      <c r="F34" s="100">
        <v>283</v>
      </c>
      <c r="G34" s="100">
        <v>1940</v>
      </c>
      <c r="H34" s="122">
        <v>892333</v>
      </c>
      <c r="I34" s="122">
        <v>85610</v>
      </c>
      <c r="J34" s="122">
        <v>977943</v>
      </c>
      <c r="K34" s="122">
        <v>208133</v>
      </c>
      <c r="L34" s="100">
        <v>1186076</v>
      </c>
      <c r="M34" s="123">
        <f>VLOOKUP($B34,[2]Sheet1!$A$3:$I$27,2,0)</f>
        <v>5</v>
      </c>
      <c r="N34" s="123">
        <f>VLOOKUP($B34,[2]Sheet1!$A$3:$I$27,3,0)</f>
        <v>887</v>
      </c>
      <c r="O34" s="123">
        <f>VLOOKUP($B34,[2]Sheet1!$A$3:$I$27,4,0)</f>
        <v>0</v>
      </c>
      <c r="P34" s="123">
        <f>VLOOKUP($B34,[2]Sheet1!$A$3:$I$27,5,0)</f>
        <v>0</v>
      </c>
      <c r="Q34" s="123">
        <f>VLOOKUP($B34,[2]Sheet1!$A$3:$I$27,6,0)</f>
        <v>4</v>
      </c>
      <c r="R34" s="123">
        <f>VLOOKUP($B34,[2]Sheet1!$A$3:$I$27,7,0)</f>
        <v>461</v>
      </c>
      <c r="S34" s="123">
        <f t="shared" si="0"/>
        <v>9</v>
      </c>
      <c r="T34" s="123">
        <f t="shared" si="1"/>
        <v>1348</v>
      </c>
    </row>
    <row r="35" spans="1:20" s="124" customFormat="1" ht="28.5">
      <c r="A35" s="125">
        <v>31</v>
      </c>
      <c r="B35" s="121" t="s">
        <v>1062</v>
      </c>
      <c r="C35" s="100">
        <v>8</v>
      </c>
      <c r="D35" s="100">
        <v>1</v>
      </c>
      <c r="E35" s="122">
        <v>9</v>
      </c>
      <c r="F35" s="100">
        <v>10</v>
      </c>
      <c r="G35" s="100">
        <v>19</v>
      </c>
      <c r="H35" s="122">
        <v>4569</v>
      </c>
      <c r="I35" s="122"/>
      <c r="J35" s="122">
        <v>4569</v>
      </c>
      <c r="K35" s="122">
        <v>7863</v>
      </c>
      <c r="L35" s="100">
        <v>12432</v>
      </c>
      <c r="M35" s="123"/>
      <c r="N35" s="123"/>
      <c r="O35" s="123"/>
      <c r="P35" s="123"/>
      <c r="Q35" s="123"/>
      <c r="R35" s="123"/>
      <c r="S35" s="123">
        <f t="shared" si="0"/>
        <v>0</v>
      </c>
      <c r="T35" s="123">
        <f t="shared" si="1"/>
        <v>0</v>
      </c>
    </row>
    <row r="36" spans="1:20" s="124" customFormat="1" ht="21.75" customHeight="1">
      <c r="A36" s="125">
        <v>32</v>
      </c>
      <c r="B36" s="121" t="s">
        <v>45</v>
      </c>
      <c r="C36" s="100">
        <v>7</v>
      </c>
      <c r="D36" s="100">
        <v>4</v>
      </c>
      <c r="E36" s="122">
        <v>11</v>
      </c>
      <c r="F36" s="100">
        <v>43</v>
      </c>
      <c r="G36" s="100">
        <v>54</v>
      </c>
      <c r="H36" s="122">
        <v>3328</v>
      </c>
      <c r="I36" s="122">
        <v>2704</v>
      </c>
      <c r="J36" s="122">
        <v>6032</v>
      </c>
      <c r="K36" s="122">
        <v>68869</v>
      </c>
      <c r="L36" s="100">
        <v>74901</v>
      </c>
      <c r="M36" s="123"/>
      <c r="N36" s="123"/>
      <c r="O36" s="123"/>
      <c r="P36" s="123"/>
      <c r="Q36" s="123"/>
      <c r="R36" s="123"/>
      <c r="S36" s="123">
        <f t="shared" si="0"/>
        <v>0</v>
      </c>
      <c r="T36" s="123">
        <f t="shared" si="1"/>
        <v>0</v>
      </c>
    </row>
    <row r="37" spans="1:20" s="124" customFormat="1" ht="21.75" customHeight="1">
      <c r="A37" s="125">
        <v>33</v>
      </c>
      <c r="B37" s="121" t="s">
        <v>47</v>
      </c>
      <c r="C37" s="100">
        <v>5690</v>
      </c>
      <c r="D37" s="100">
        <v>670</v>
      </c>
      <c r="E37" s="122">
        <v>6360</v>
      </c>
      <c r="F37" s="100">
        <v>822</v>
      </c>
      <c r="G37" s="100">
        <v>7182</v>
      </c>
      <c r="H37" s="122">
        <v>3817602</v>
      </c>
      <c r="I37" s="122">
        <v>989561</v>
      </c>
      <c r="J37" s="122">
        <v>4807163</v>
      </c>
      <c r="K37" s="122">
        <v>656299</v>
      </c>
      <c r="L37" s="100">
        <v>5463462</v>
      </c>
      <c r="M37" s="123">
        <f>VLOOKUP($B37,[2]Sheet1!$A$3:$I$27,2,0)</f>
        <v>45</v>
      </c>
      <c r="N37" s="123">
        <f>VLOOKUP($B37,[2]Sheet1!$A$3:$I$27,3,0)</f>
        <v>7118</v>
      </c>
      <c r="O37" s="123">
        <f>VLOOKUP($B37,[2]Sheet1!$A$3:$I$27,4,0)</f>
        <v>2</v>
      </c>
      <c r="P37" s="123">
        <f>VLOOKUP($B37,[2]Sheet1!$A$3:$I$27,5,0)</f>
        <v>436</v>
      </c>
      <c r="Q37" s="123">
        <f>VLOOKUP($B37,[2]Sheet1!$A$3:$I$27,6,0)</f>
        <v>4</v>
      </c>
      <c r="R37" s="123">
        <f>VLOOKUP($B37,[2]Sheet1!$A$3:$I$27,7,0)</f>
        <v>361</v>
      </c>
      <c r="S37" s="123">
        <f t="shared" si="0"/>
        <v>51</v>
      </c>
      <c r="T37" s="123">
        <f t="shared" si="1"/>
        <v>7915</v>
      </c>
    </row>
    <row r="38" spans="1:20" s="124" customFormat="1" ht="21.75" customHeight="1">
      <c r="A38" s="125">
        <v>34</v>
      </c>
      <c r="B38" s="121" t="s">
        <v>46</v>
      </c>
      <c r="C38" s="100">
        <v>199</v>
      </c>
      <c r="D38" s="100">
        <v>41</v>
      </c>
      <c r="E38" s="122">
        <v>240</v>
      </c>
      <c r="F38" s="100">
        <v>162</v>
      </c>
      <c r="G38" s="100">
        <v>402</v>
      </c>
      <c r="H38" s="122">
        <v>79425</v>
      </c>
      <c r="I38" s="122">
        <v>38924</v>
      </c>
      <c r="J38" s="122">
        <v>118349</v>
      </c>
      <c r="K38" s="122">
        <v>141323</v>
      </c>
      <c r="L38" s="100">
        <v>259672</v>
      </c>
      <c r="M38" s="123">
        <f>VLOOKUP($B38,[2]Sheet1!$A$3:$I$27,2,0)</f>
        <v>4</v>
      </c>
      <c r="N38" s="123">
        <f>VLOOKUP($B38,[2]Sheet1!$A$3:$I$27,3,0)</f>
        <v>257</v>
      </c>
      <c r="O38" s="123">
        <f>VLOOKUP($B38,[2]Sheet1!$A$3:$I$27,4,0)</f>
        <v>2</v>
      </c>
      <c r="P38" s="123">
        <f>VLOOKUP($B38,[2]Sheet1!$A$3:$I$27,5,0)</f>
        <v>189</v>
      </c>
      <c r="Q38" s="123">
        <f>VLOOKUP($B38,[2]Sheet1!$A$3:$I$27,6,0)</f>
        <v>7</v>
      </c>
      <c r="R38" s="123">
        <f>VLOOKUP($B38,[2]Sheet1!$A$3:$I$27,7,0)</f>
        <v>1165</v>
      </c>
      <c r="S38" s="123">
        <f t="shared" si="0"/>
        <v>13</v>
      </c>
      <c r="T38" s="123">
        <f t="shared" si="1"/>
        <v>1611</v>
      </c>
    </row>
    <row r="39" spans="1:20" s="124" customFormat="1" ht="21.75" customHeight="1">
      <c r="A39" s="125">
        <v>35</v>
      </c>
      <c r="B39" s="121" t="s">
        <v>48</v>
      </c>
      <c r="C39" s="100">
        <v>717</v>
      </c>
      <c r="D39" s="100">
        <v>293</v>
      </c>
      <c r="E39" s="122">
        <v>1010</v>
      </c>
      <c r="F39" s="100">
        <v>500</v>
      </c>
      <c r="G39" s="100">
        <v>1510</v>
      </c>
      <c r="H39" s="122">
        <v>291669</v>
      </c>
      <c r="I39" s="122">
        <v>429325</v>
      </c>
      <c r="J39" s="122">
        <v>720994</v>
      </c>
      <c r="K39" s="122">
        <v>1074264</v>
      </c>
      <c r="L39" s="100">
        <v>1795258</v>
      </c>
      <c r="M39" s="123">
        <f>VLOOKUP($B39,[2]Sheet1!$A$3:$I$27,2,0)</f>
        <v>21</v>
      </c>
      <c r="N39" s="123">
        <f>VLOOKUP($B39,[2]Sheet1!$A$3:$I$27,3,0)</f>
        <v>1456</v>
      </c>
      <c r="O39" s="123">
        <f>VLOOKUP($B39,[2]Sheet1!$A$3:$I$27,4,0)</f>
        <v>11</v>
      </c>
      <c r="P39" s="123">
        <f>VLOOKUP($B39,[2]Sheet1!$A$3:$I$27,5,0)</f>
        <v>270</v>
      </c>
      <c r="Q39" s="123">
        <f>VLOOKUP($B39,[2]Sheet1!$A$3:$I$27,6,0)</f>
        <v>9</v>
      </c>
      <c r="R39" s="123">
        <f>VLOOKUP($B39,[2]Sheet1!$A$3:$I$27,7,0)</f>
        <v>681</v>
      </c>
      <c r="S39" s="123">
        <f t="shared" si="0"/>
        <v>41</v>
      </c>
      <c r="T39" s="123">
        <f t="shared" si="1"/>
        <v>2407</v>
      </c>
    </row>
    <row r="40" spans="1:20" s="127" customFormat="1" ht="21.75" customHeight="1">
      <c r="A40" s="973" t="s">
        <v>49</v>
      </c>
      <c r="B40" s="973"/>
      <c r="C40" s="125">
        <v>27956</v>
      </c>
      <c r="D40" s="125">
        <v>5676</v>
      </c>
      <c r="E40" s="125">
        <v>33632</v>
      </c>
      <c r="F40" s="125">
        <v>9193</v>
      </c>
      <c r="G40" s="125">
        <v>42825</v>
      </c>
      <c r="H40" s="125">
        <v>13542820</v>
      </c>
      <c r="I40" s="125">
        <v>6241872</v>
      </c>
      <c r="J40" s="125">
        <v>19784692</v>
      </c>
      <c r="K40" s="125">
        <v>10563334</v>
      </c>
      <c r="L40" s="125">
        <v>30348026</v>
      </c>
      <c r="M40" s="126">
        <f>SUM(M5:M39)</f>
        <v>659</v>
      </c>
      <c r="N40" s="126">
        <f t="shared" ref="N40:R40" si="2">SUM(N5:N39)</f>
        <v>59935</v>
      </c>
      <c r="O40" s="126">
        <f t="shared" si="2"/>
        <v>58</v>
      </c>
      <c r="P40" s="126">
        <f t="shared" si="2"/>
        <v>5733</v>
      </c>
      <c r="Q40" s="126">
        <f t="shared" si="2"/>
        <v>204</v>
      </c>
      <c r="R40" s="126">
        <f t="shared" si="2"/>
        <v>21415</v>
      </c>
      <c r="S40" s="126">
        <f t="shared" ref="S40:T40" si="3">SUM(S5:S39)</f>
        <v>921</v>
      </c>
      <c r="T40" s="126">
        <f t="shared" si="3"/>
        <v>87083</v>
      </c>
    </row>
  </sheetData>
  <mergeCells count="21">
    <mergeCell ref="A40:B40"/>
    <mergeCell ref="G2:G3"/>
    <mergeCell ref="H2:H3"/>
    <mergeCell ref="I2:I3"/>
    <mergeCell ref="J2:J3"/>
    <mergeCell ref="A1:B1"/>
    <mergeCell ref="C1:G1"/>
    <mergeCell ref="H1:L1"/>
    <mergeCell ref="M1:T1"/>
    <mergeCell ref="A2:A3"/>
    <mergeCell ref="B2:B3"/>
    <mergeCell ref="C2:C3"/>
    <mergeCell ref="D2:D3"/>
    <mergeCell ref="E2:E3"/>
    <mergeCell ref="F2:F3"/>
    <mergeCell ref="M2:N2"/>
    <mergeCell ref="O2:P2"/>
    <mergeCell ref="Q2:R2"/>
    <mergeCell ref="S2:T2"/>
    <mergeCell ref="K2:K3"/>
    <mergeCell ref="L2:L3"/>
  </mergeCells>
  <printOptions horizontalCentered="1"/>
  <pageMargins left="0.42" right="0.19685039370078741" top="0.51181102362204722" bottom="0.59055118110236227" header="0.31496062992125984" footer="0.31496062992125984"/>
  <pageSetup paperSize="9" scale="85" firstPageNumber="9" pageOrder="overThenDown" orientation="portrait" useFirstPageNumber="1" r:id="rId1"/>
  <headerFooter>
    <oddFooter>&amp;LAISHE 2021-22&amp;CT-5</oddFooter>
  </headerFooter>
  <colBreaks count="2" manualBreakCount="2">
    <brk id="7" max="40" man="1"/>
    <brk id="12" max="4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D41"/>
  <sheetViews>
    <sheetView view="pageBreakPreview" zoomScaleSheetLayoutView="100" workbookViewId="0">
      <pane xSplit="2" ySplit="3" topLeftCell="C31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.75"/>
  <cols>
    <col min="1" max="1" width="5.28515625" style="203" customWidth="1"/>
    <col min="2" max="2" width="23.42578125" style="101" customWidth="1"/>
    <col min="3" max="13" width="10" style="101" customWidth="1"/>
    <col min="14" max="14" width="11.7109375" style="101" customWidth="1"/>
    <col min="15" max="26" width="9.7109375" style="101" customWidth="1"/>
    <col min="27" max="29" width="11.28515625" style="101" customWidth="1"/>
    <col min="30" max="30" width="11.85546875" style="101" customWidth="1"/>
    <col min="31" max="16384" width="9.28515625" style="101"/>
  </cols>
  <sheetData>
    <row r="1" spans="1:29" s="129" customFormat="1" ht="27" customHeight="1">
      <c r="A1" s="436"/>
      <c r="B1" s="80" t="s">
        <v>53</v>
      </c>
      <c r="C1" s="130" t="s">
        <v>1068</v>
      </c>
      <c r="L1" s="977" t="str">
        <f>C1</f>
        <v>6. State-wise Enrolment at various levels (including Estimation)</v>
      </c>
      <c r="M1" s="977"/>
      <c r="N1" s="977"/>
      <c r="O1" s="977"/>
      <c r="P1" s="977"/>
      <c r="Q1" s="977"/>
      <c r="R1" s="977"/>
      <c r="S1" s="977"/>
      <c r="U1" s="130" t="str">
        <f>C1</f>
        <v>6. State-wise Enrolment at various levels (including Estimation)</v>
      </c>
    </row>
    <row r="2" spans="1:29" s="131" customFormat="1" ht="24.75" customHeight="1">
      <c r="A2" s="967" t="s">
        <v>988</v>
      </c>
      <c r="B2" s="968" t="s">
        <v>168</v>
      </c>
      <c r="C2" s="974" t="s">
        <v>89</v>
      </c>
      <c r="D2" s="975"/>
      <c r="E2" s="976"/>
      <c r="F2" s="974" t="s">
        <v>90</v>
      </c>
      <c r="G2" s="975"/>
      <c r="H2" s="976"/>
      <c r="I2" s="974" t="s">
        <v>85</v>
      </c>
      <c r="J2" s="975"/>
      <c r="K2" s="976"/>
      <c r="L2" s="974" t="s">
        <v>86</v>
      </c>
      <c r="M2" s="975"/>
      <c r="N2" s="976"/>
      <c r="O2" s="974" t="s">
        <v>91</v>
      </c>
      <c r="P2" s="975"/>
      <c r="Q2" s="976"/>
      <c r="R2" s="974" t="s">
        <v>92</v>
      </c>
      <c r="S2" s="975"/>
      <c r="T2" s="976"/>
      <c r="U2" s="974" t="s">
        <v>93</v>
      </c>
      <c r="V2" s="975"/>
      <c r="W2" s="976"/>
      <c r="X2" s="974" t="s">
        <v>94</v>
      </c>
      <c r="Y2" s="975"/>
      <c r="Z2" s="976"/>
      <c r="AA2" s="974" t="s">
        <v>60</v>
      </c>
      <c r="AB2" s="975"/>
      <c r="AC2" s="976"/>
    </row>
    <row r="3" spans="1:29" s="133" customFormat="1" ht="24.75" customHeight="1">
      <c r="A3" s="967"/>
      <c r="B3" s="968"/>
      <c r="C3" s="132" t="s">
        <v>87</v>
      </c>
      <c r="D3" s="132" t="s">
        <v>88</v>
      </c>
      <c r="E3" s="132" t="s">
        <v>12</v>
      </c>
      <c r="F3" s="132" t="s">
        <v>87</v>
      </c>
      <c r="G3" s="132" t="s">
        <v>88</v>
      </c>
      <c r="H3" s="132" t="s">
        <v>12</v>
      </c>
      <c r="I3" s="132" t="s">
        <v>87</v>
      </c>
      <c r="J3" s="132" t="s">
        <v>88</v>
      </c>
      <c r="K3" s="132" t="s">
        <v>12</v>
      </c>
      <c r="L3" s="132" t="s">
        <v>87</v>
      </c>
      <c r="M3" s="132" t="s">
        <v>88</v>
      </c>
      <c r="N3" s="132" t="s">
        <v>12</v>
      </c>
      <c r="O3" s="132" t="s">
        <v>87</v>
      </c>
      <c r="P3" s="132" t="s">
        <v>88</v>
      </c>
      <c r="Q3" s="132" t="s">
        <v>12</v>
      </c>
      <c r="R3" s="132" t="s">
        <v>87</v>
      </c>
      <c r="S3" s="132" t="s">
        <v>88</v>
      </c>
      <c r="T3" s="132" t="s">
        <v>12</v>
      </c>
      <c r="U3" s="132" t="s">
        <v>87</v>
      </c>
      <c r="V3" s="132" t="s">
        <v>88</v>
      </c>
      <c r="W3" s="132" t="s">
        <v>12</v>
      </c>
      <c r="X3" s="132" t="s">
        <v>87</v>
      </c>
      <c r="Y3" s="132" t="s">
        <v>88</v>
      </c>
      <c r="Z3" s="132" t="s">
        <v>12</v>
      </c>
      <c r="AA3" s="132" t="s">
        <v>87</v>
      </c>
      <c r="AB3" s="132" t="s">
        <v>88</v>
      </c>
      <c r="AC3" s="132" t="s">
        <v>12</v>
      </c>
    </row>
    <row r="4" spans="1:29" s="135" customFormat="1" ht="15" customHeight="1">
      <c r="A4" s="487">
        <v>1</v>
      </c>
      <c r="B4" s="134">
        <v>2</v>
      </c>
      <c r="C4" s="415">
        <v>3</v>
      </c>
      <c r="D4" s="415">
        <v>4</v>
      </c>
      <c r="E4" s="415">
        <v>5</v>
      </c>
      <c r="F4" s="415">
        <v>6</v>
      </c>
      <c r="G4" s="415">
        <v>7</v>
      </c>
      <c r="H4" s="415">
        <v>8</v>
      </c>
      <c r="I4" s="415">
        <v>9</v>
      </c>
      <c r="J4" s="415">
        <v>10</v>
      </c>
      <c r="K4" s="415">
        <v>11</v>
      </c>
      <c r="L4" s="415">
        <v>12</v>
      </c>
      <c r="M4" s="415">
        <v>13</v>
      </c>
      <c r="N4" s="415">
        <v>14</v>
      </c>
      <c r="O4" s="415">
        <v>15</v>
      </c>
      <c r="P4" s="415">
        <v>16</v>
      </c>
      <c r="Q4" s="415">
        <v>17</v>
      </c>
      <c r="R4" s="415">
        <v>18</v>
      </c>
      <c r="S4" s="415">
        <v>19</v>
      </c>
      <c r="T4" s="415">
        <v>20</v>
      </c>
      <c r="U4" s="415">
        <v>21</v>
      </c>
      <c r="V4" s="415">
        <v>22</v>
      </c>
      <c r="W4" s="415">
        <v>23</v>
      </c>
      <c r="X4" s="415">
        <v>24</v>
      </c>
      <c r="Y4" s="415">
        <v>25</v>
      </c>
      <c r="Z4" s="415">
        <v>26</v>
      </c>
      <c r="AA4" s="415">
        <v>27</v>
      </c>
      <c r="AB4" s="415">
        <v>28</v>
      </c>
      <c r="AC4" s="415">
        <v>29</v>
      </c>
    </row>
    <row r="5" spans="1:29" s="133" customFormat="1" ht="22.5" customHeight="1">
      <c r="A5" s="426">
        <v>1</v>
      </c>
      <c r="B5" s="413" t="s">
        <v>1061</v>
      </c>
      <c r="C5" s="416">
        <v>5</v>
      </c>
      <c r="D5" s="416">
        <v>9</v>
      </c>
      <c r="E5" s="416">
        <v>14</v>
      </c>
      <c r="F5" s="416"/>
      <c r="G5" s="416"/>
      <c r="H5" s="416"/>
      <c r="I5" s="165">
        <v>575</v>
      </c>
      <c r="J5" s="165">
        <v>942</v>
      </c>
      <c r="K5" s="165">
        <v>1517</v>
      </c>
      <c r="L5" s="165">
        <v>3807</v>
      </c>
      <c r="M5" s="165">
        <v>4444</v>
      </c>
      <c r="N5" s="165">
        <v>8251</v>
      </c>
      <c r="O5" s="165">
        <v>26</v>
      </c>
      <c r="P5" s="165">
        <v>37</v>
      </c>
      <c r="Q5" s="165">
        <v>63</v>
      </c>
      <c r="R5" s="165">
        <v>555</v>
      </c>
      <c r="S5" s="165">
        <v>407</v>
      </c>
      <c r="T5" s="165">
        <v>962</v>
      </c>
      <c r="U5" s="165">
        <v>39</v>
      </c>
      <c r="V5" s="165">
        <v>33</v>
      </c>
      <c r="W5" s="165">
        <v>72</v>
      </c>
      <c r="X5" s="165">
        <v>193</v>
      </c>
      <c r="Y5" s="165">
        <v>355</v>
      </c>
      <c r="Z5" s="165">
        <v>548</v>
      </c>
      <c r="AA5" s="165">
        <v>5200</v>
      </c>
      <c r="AB5" s="165">
        <v>6227</v>
      </c>
      <c r="AC5" s="165">
        <v>11427</v>
      </c>
    </row>
    <row r="6" spans="1:29" s="133" customFormat="1" ht="22.5" customHeight="1">
      <c r="A6" s="426">
        <v>2</v>
      </c>
      <c r="B6" s="414" t="s">
        <v>15</v>
      </c>
      <c r="C6" s="416">
        <v>3237</v>
      </c>
      <c r="D6" s="416">
        <v>2346</v>
      </c>
      <c r="E6" s="416">
        <v>5583</v>
      </c>
      <c r="F6" s="416">
        <v>7</v>
      </c>
      <c r="G6" s="416">
        <v>16</v>
      </c>
      <c r="H6" s="416">
        <v>23</v>
      </c>
      <c r="I6" s="165">
        <v>93141</v>
      </c>
      <c r="J6" s="165">
        <v>91801</v>
      </c>
      <c r="K6" s="165">
        <v>184942</v>
      </c>
      <c r="L6" s="165">
        <v>828981</v>
      </c>
      <c r="M6" s="165">
        <v>740069</v>
      </c>
      <c r="N6" s="165">
        <v>1569050</v>
      </c>
      <c r="O6" s="165">
        <v>997</v>
      </c>
      <c r="P6" s="165">
        <v>574</v>
      </c>
      <c r="Q6" s="165">
        <v>1571</v>
      </c>
      <c r="R6" s="165">
        <v>95265</v>
      </c>
      <c r="S6" s="165">
        <v>61698</v>
      </c>
      <c r="T6" s="165">
        <v>156963</v>
      </c>
      <c r="U6" s="165">
        <v>357</v>
      </c>
      <c r="V6" s="165">
        <v>154</v>
      </c>
      <c r="W6" s="165">
        <v>511</v>
      </c>
      <c r="X6" s="165">
        <v>6754</v>
      </c>
      <c r="Y6" s="165">
        <v>3762</v>
      </c>
      <c r="Z6" s="165">
        <v>10516</v>
      </c>
      <c r="AA6" s="165">
        <v>1028739</v>
      </c>
      <c r="AB6" s="165">
        <v>900420</v>
      </c>
      <c r="AC6" s="165">
        <v>1929159</v>
      </c>
    </row>
    <row r="7" spans="1:29" s="133" customFormat="1" ht="22.5" customHeight="1">
      <c r="A7" s="426">
        <v>3</v>
      </c>
      <c r="B7" s="414" t="s">
        <v>16</v>
      </c>
      <c r="C7" s="416">
        <v>441</v>
      </c>
      <c r="D7" s="416">
        <v>240</v>
      </c>
      <c r="E7" s="416">
        <v>681</v>
      </c>
      <c r="F7" s="416"/>
      <c r="G7" s="416"/>
      <c r="H7" s="416"/>
      <c r="I7" s="165">
        <v>6481</v>
      </c>
      <c r="J7" s="165">
        <v>6215</v>
      </c>
      <c r="K7" s="165">
        <v>12696</v>
      </c>
      <c r="L7" s="165">
        <v>25094</v>
      </c>
      <c r="M7" s="165">
        <v>21201</v>
      </c>
      <c r="N7" s="165">
        <v>46295</v>
      </c>
      <c r="O7" s="165">
        <v>152</v>
      </c>
      <c r="P7" s="165">
        <v>101</v>
      </c>
      <c r="Q7" s="165">
        <v>253</v>
      </c>
      <c r="R7" s="165">
        <v>1335</v>
      </c>
      <c r="S7" s="165">
        <v>1260</v>
      </c>
      <c r="T7" s="165">
        <v>2595</v>
      </c>
      <c r="U7" s="165">
        <v>329</v>
      </c>
      <c r="V7" s="165">
        <v>163</v>
      </c>
      <c r="W7" s="165">
        <v>492</v>
      </c>
      <c r="X7" s="165">
        <v>1163</v>
      </c>
      <c r="Y7" s="165">
        <v>715</v>
      </c>
      <c r="Z7" s="165">
        <v>1878</v>
      </c>
      <c r="AA7" s="165">
        <v>34995</v>
      </c>
      <c r="AB7" s="165">
        <v>29895</v>
      </c>
      <c r="AC7" s="165">
        <v>64890</v>
      </c>
    </row>
    <row r="8" spans="1:29" s="133" customFormat="1" ht="22.5" customHeight="1">
      <c r="A8" s="426">
        <v>4</v>
      </c>
      <c r="B8" s="414" t="s">
        <v>17</v>
      </c>
      <c r="C8" s="416">
        <v>3140</v>
      </c>
      <c r="D8" s="416">
        <v>2230</v>
      </c>
      <c r="E8" s="416">
        <v>5370</v>
      </c>
      <c r="F8" s="416">
        <v>82</v>
      </c>
      <c r="G8" s="416">
        <v>132</v>
      </c>
      <c r="H8" s="416">
        <v>214</v>
      </c>
      <c r="I8" s="165">
        <v>26134</v>
      </c>
      <c r="J8" s="165">
        <v>36830</v>
      </c>
      <c r="K8" s="165">
        <v>62964</v>
      </c>
      <c r="L8" s="165">
        <v>288411</v>
      </c>
      <c r="M8" s="165">
        <v>290995</v>
      </c>
      <c r="N8" s="165">
        <v>579406</v>
      </c>
      <c r="O8" s="165">
        <v>693</v>
      </c>
      <c r="P8" s="165">
        <v>828</v>
      </c>
      <c r="Q8" s="165">
        <v>1521</v>
      </c>
      <c r="R8" s="165">
        <v>12793</v>
      </c>
      <c r="S8" s="165">
        <v>9470</v>
      </c>
      <c r="T8" s="165">
        <v>22263</v>
      </c>
      <c r="U8" s="165">
        <v>102</v>
      </c>
      <c r="V8" s="165">
        <v>688</v>
      </c>
      <c r="W8" s="165">
        <v>790</v>
      </c>
      <c r="X8" s="165">
        <v>2571</v>
      </c>
      <c r="Y8" s="165">
        <v>2913</v>
      </c>
      <c r="Z8" s="165">
        <v>5484</v>
      </c>
      <c r="AA8" s="165">
        <v>333926</v>
      </c>
      <c r="AB8" s="165">
        <v>344086</v>
      </c>
      <c r="AC8" s="165">
        <v>678012</v>
      </c>
    </row>
    <row r="9" spans="1:29" s="133" customFormat="1" ht="22.5" customHeight="1">
      <c r="A9" s="426">
        <v>5</v>
      </c>
      <c r="B9" s="414" t="s">
        <v>18</v>
      </c>
      <c r="C9" s="416">
        <v>3720</v>
      </c>
      <c r="D9" s="416">
        <v>1854</v>
      </c>
      <c r="E9" s="416">
        <v>5574</v>
      </c>
      <c r="F9" s="416"/>
      <c r="G9" s="416"/>
      <c r="H9" s="416"/>
      <c r="I9" s="165">
        <v>80756</v>
      </c>
      <c r="J9" s="165">
        <v>74667</v>
      </c>
      <c r="K9" s="165">
        <v>155423</v>
      </c>
      <c r="L9" s="165">
        <v>1291227</v>
      </c>
      <c r="M9" s="165">
        <v>1041776</v>
      </c>
      <c r="N9" s="165">
        <v>2333003</v>
      </c>
      <c r="O9" s="165">
        <v>1989</v>
      </c>
      <c r="P9" s="165">
        <v>808</v>
      </c>
      <c r="Q9" s="165">
        <v>2797</v>
      </c>
      <c r="R9" s="165">
        <v>65540</v>
      </c>
      <c r="S9" s="165">
        <v>53449</v>
      </c>
      <c r="T9" s="165">
        <v>118989</v>
      </c>
      <c r="U9" s="165">
        <v>1419</v>
      </c>
      <c r="V9" s="165">
        <v>1292</v>
      </c>
      <c r="W9" s="165">
        <v>2711</v>
      </c>
      <c r="X9" s="165">
        <v>2809</v>
      </c>
      <c r="Y9" s="165">
        <v>1640</v>
      </c>
      <c r="Z9" s="165">
        <v>4449</v>
      </c>
      <c r="AA9" s="165">
        <v>1447460</v>
      </c>
      <c r="AB9" s="165">
        <v>1175486</v>
      </c>
      <c r="AC9" s="165">
        <v>2622946</v>
      </c>
    </row>
    <row r="10" spans="1:29" s="133" customFormat="1" ht="22.5" customHeight="1">
      <c r="A10" s="426">
        <v>6</v>
      </c>
      <c r="B10" s="414" t="s">
        <v>19</v>
      </c>
      <c r="C10" s="416">
        <v>343</v>
      </c>
      <c r="D10" s="416">
        <v>454</v>
      </c>
      <c r="E10" s="416">
        <v>797</v>
      </c>
      <c r="F10" s="416">
        <v>19</v>
      </c>
      <c r="G10" s="416">
        <v>25</v>
      </c>
      <c r="H10" s="416">
        <v>44</v>
      </c>
      <c r="I10" s="165">
        <v>9172</v>
      </c>
      <c r="J10" s="165">
        <v>13600</v>
      </c>
      <c r="K10" s="165">
        <v>22772</v>
      </c>
      <c r="L10" s="165">
        <v>41264</v>
      </c>
      <c r="M10" s="165">
        <v>36134</v>
      </c>
      <c r="N10" s="165">
        <v>77398</v>
      </c>
      <c r="O10" s="165">
        <v>899</v>
      </c>
      <c r="P10" s="165">
        <v>965</v>
      </c>
      <c r="Q10" s="165">
        <v>1864</v>
      </c>
      <c r="R10" s="165">
        <v>2152</v>
      </c>
      <c r="S10" s="165">
        <v>2828</v>
      </c>
      <c r="T10" s="165">
        <v>4980</v>
      </c>
      <c r="U10" s="165">
        <v>319</v>
      </c>
      <c r="V10" s="165">
        <v>288</v>
      </c>
      <c r="W10" s="165">
        <v>607</v>
      </c>
      <c r="X10" s="165">
        <v>1123</v>
      </c>
      <c r="Y10" s="165">
        <v>1418</v>
      </c>
      <c r="Z10" s="165">
        <v>2541</v>
      </c>
      <c r="AA10" s="165">
        <v>55291</v>
      </c>
      <c r="AB10" s="165">
        <v>55712</v>
      </c>
      <c r="AC10" s="165">
        <v>111003</v>
      </c>
    </row>
    <row r="11" spans="1:29" s="133" customFormat="1" ht="22.5" customHeight="1">
      <c r="A11" s="426">
        <v>7</v>
      </c>
      <c r="B11" s="414" t="s">
        <v>20</v>
      </c>
      <c r="C11" s="416">
        <v>920</v>
      </c>
      <c r="D11" s="416">
        <v>917</v>
      </c>
      <c r="E11" s="416">
        <v>1837</v>
      </c>
      <c r="F11" s="416">
        <v>4</v>
      </c>
      <c r="G11" s="416">
        <v>8</v>
      </c>
      <c r="H11" s="416">
        <v>12</v>
      </c>
      <c r="I11" s="165">
        <v>35630</v>
      </c>
      <c r="J11" s="165">
        <v>51834</v>
      </c>
      <c r="K11" s="165">
        <v>87464</v>
      </c>
      <c r="L11" s="165">
        <v>227084</v>
      </c>
      <c r="M11" s="165">
        <v>275545</v>
      </c>
      <c r="N11" s="165">
        <v>502629</v>
      </c>
      <c r="O11" s="165">
        <v>8448</v>
      </c>
      <c r="P11" s="165">
        <v>8480</v>
      </c>
      <c r="Q11" s="165">
        <v>16928</v>
      </c>
      <c r="R11" s="165">
        <v>23571</v>
      </c>
      <c r="S11" s="165">
        <v>18112</v>
      </c>
      <c r="T11" s="165">
        <v>41683</v>
      </c>
      <c r="U11" s="165">
        <v>254</v>
      </c>
      <c r="V11" s="165">
        <v>435</v>
      </c>
      <c r="W11" s="165">
        <v>689</v>
      </c>
      <c r="X11" s="165">
        <v>2690</v>
      </c>
      <c r="Y11" s="165">
        <v>2409</v>
      </c>
      <c r="Z11" s="165">
        <v>5099</v>
      </c>
      <c r="AA11" s="417">
        <v>298601</v>
      </c>
      <c r="AB11" s="417">
        <v>357740</v>
      </c>
      <c r="AC11" s="165">
        <v>656341</v>
      </c>
    </row>
    <row r="12" spans="1:29" s="133" customFormat="1" ht="22.5" customHeight="1">
      <c r="A12" s="426">
        <v>8</v>
      </c>
      <c r="B12" s="414" t="s">
        <v>23</v>
      </c>
      <c r="C12" s="416">
        <v>7533</v>
      </c>
      <c r="D12" s="416">
        <v>6561</v>
      </c>
      <c r="E12" s="416">
        <v>14094</v>
      </c>
      <c r="F12" s="416">
        <v>716</v>
      </c>
      <c r="G12" s="416">
        <v>761</v>
      </c>
      <c r="H12" s="416">
        <v>1477</v>
      </c>
      <c r="I12" s="165">
        <v>73783</v>
      </c>
      <c r="J12" s="165">
        <v>103616</v>
      </c>
      <c r="K12" s="165">
        <v>177399</v>
      </c>
      <c r="L12" s="165">
        <v>473724</v>
      </c>
      <c r="M12" s="165">
        <v>425006</v>
      </c>
      <c r="N12" s="165">
        <v>898730</v>
      </c>
      <c r="O12" s="165">
        <v>8389</v>
      </c>
      <c r="P12" s="165">
        <v>6686</v>
      </c>
      <c r="Q12" s="165">
        <v>15075</v>
      </c>
      <c r="R12" s="165">
        <v>16092</v>
      </c>
      <c r="S12" s="165">
        <v>13965</v>
      </c>
      <c r="T12" s="165">
        <v>30057</v>
      </c>
      <c r="U12" s="165">
        <v>1331</v>
      </c>
      <c r="V12" s="165">
        <v>1093</v>
      </c>
      <c r="W12" s="165">
        <v>2424</v>
      </c>
      <c r="X12" s="165">
        <v>3785</v>
      </c>
      <c r="Y12" s="165">
        <v>2349</v>
      </c>
      <c r="Z12" s="165">
        <v>6134</v>
      </c>
      <c r="AA12" s="165">
        <v>585353</v>
      </c>
      <c r="AB12" s="165">
        <v>560037</v>
      </c>
      <c r="AC12" s="165">
        <v>1145390</v>
      </c>
    </row>
    <row r="13" spans="1:29" s="133" customFormat="1" ht="22.5" customHeight="1">
      <c r="A13" s="426">
        <v>9</v>
      </c>
      <c r="B13" s="414" t="s">
        <v>24</v>
      </c>
      <c r="C13" s="416">
        <v>494</v>
      </c>
      <c r="D13" s="416">
        <v>407</v>
      </c>
      <c r="E13" s="416">
        <v>901</v>
      </c>
      <c r="F13" s="416">
        <v>10</v>
      </c>
      <c r="G13" s="416"/>
      <c r="H13" s="416">
        <v>10</v>
      </c>
      <c r="I13" s="165">
        <v>3523</v>
      </c>
      <c r="J13" s="165">
        <v>4859</v>
      </c>
      <c r="K13" s="165">
        <v>8382</v>
      </c>
      <c r="L13" s="165">
        <v>23132</v>
      </c>
      <c r="M13" s="165">
        <v>22401</v>
      </c>
      <c r="N13" s="165">
        <v>45533</v>
      </c>
      <c r="O13" s="165">
        <v>131</v>
      </c>
      <c r="P13" s="165">
        <v>123</v>
      </c>
      <c r="Q13" s="165">
        <v>254</v>
      </c>
      <c r="R13" s="165">
        <v>6515</v>
      </c>
      <c r="S13" s="165">
        <v>1006</v>
      </c>
      <c r="T13" s="165">
        <v>7521</v>
      </c>
      <c r="U13" s="165">
        <v>12</v>
      </c>
      <c r="V13" s="165"/>
      <c r="W13" s="165">
        <v>12</v>
      </c>
      <c r="X13" s="165">
        <v>1581</v>
      </c>
      <c r="Y13" s="165">
        <v>1221</v>
      </c>
      <c r="Z13" s="165">
        <v>2802</v>
      </c>
      <c r="AA13" s="165">
        <v>35398</v>
      </c>
      <c r="AB13" s="165">
        <v>30017</v>
      </c>
      <c r="AC13" s="165">
        <v>65415</v>
      </c>
    </row>
    <row r="14" spans="1:29" s="133" customFormat="1" ht="22.5" customHeight="1">
      <c r="A14" s="426">
        <v>10</v>
      </c>
      <c r="B14" s="414" t="s">
        <v>25</v>
      </c>
      <c r="C14" s="416">
        <v>4799</v>
      </c>
      <c r="D14" s="416">
        <v>3734</v>
      </c>
      <c r="E14" s="416">
        <v>8533</v>
      </c>
      <c r="F14" s="416">
        <v>35</v>
      </c>
      <c r="G14" s="416">
        <v>29</v>
      </c>
      <c r="H14" s="416">
        <v>64</v>
      </c>
      <c r="I14" s="165">
        <v>97560</v>
      </c>
      <c r="J14" s="165">
        <v>118747</v>
      </c>
      <c r="K14" s="165">
        <v>216307</v>
      </c>
      <c r="L14" s="165">
        <v>775408</v>
      </c>
      <c r="M14" s="165">
        <v>592468</v>
      </c>
      <c r="N14" s="165">
        <v>1367876</v>
      </c>
      <c r="O14" s="165">
        <v>4508</v>
      </c>
      <c r="P14" s="165">
        <v>4086</v>
      </c>
      <c r="Q14" s="165">
        <v>8594</v>
      </c>
      <c r="R14" s="165">
        <v>111752</v>
      </c>
      <c r="S14" s="165">
        <v>55782</v>
      </c>
      <c r="T14" s="165">
        <v>167534</v>
      </c>
      <c r="U14" s="165">
        <v>3245</v>
      </c>
      <c r="V14" s="165">
        <v>2666</v>
      </c>
      <c r="W14" s="165">
        <v>5911</v>
      </c>
      <c r="X14" s="165">
        <v>12359</v>
      </c>
      <c r="Y14" s="165">
        <v>10484</v>
      </c>
      <c r="Z14" s="165">
        <v>22843</v>
      </c>
      <c r="AA14" s="165">
        <v>1009666</v>
      </c>
      <c r="AB14" s="165">
        <v>787996</v>
      </c>
      <c r="AC14" s="165">
        <v>1797662</v>
      </c>
    </row>
    <row r="15" spans="1:29" s="133" customFormat="1" ht="22.5" customHeight="1">
      <c r="A15" s="426">
        <v>11</v>
      </c>
      <c r="B15" s="414" t="s">
        <v>26</v>
      </c>
      <c r="C15" s="416">
        <v>1784</v>
      </c>
      <c r="D15" s="416">
        <v>2385</v>
      </c>
      <c r="E15" s="416">
        <v>4169</v>
      </c>
      <c r="F15" s="416">
        <v>16</v>
      </c>
      <c r="G15" s="416">
        <v>32</v>
      </c>
      <c r="H15" s="416">
        <v>48</v>
      </c>
      <c r="I15" s="165">
        <v>57199</v>
      </c>
      <c r="J15" s="165">
        <v>98973</v>
      </c>
      <c r="K15" s="165">
        <v>156172</v>
      </c>
      <c r="L15" s="165">
        <v>405310</v>
      </c>
      <c r="M15" s="165">
        <v>417253</v>
      </c>
      <c r="N15" s="165">
        <v>822563</v>
      </c>
      <c r="O15" s="165">
        <v>1801</v>
      </c>
      <c r="P15" s="165">
        <v>1734</v>
      </c>
      <c r="Q15" s="165">
        <v>3535</v>
      </c>
      <c r="R15" s="165">
        <v>63957</v>
      </c>
      <c r="S15" s="165">
        <v>31839</v>
      </c>
      <c r="T15" s="165">
        <v>95796</v>
      </c>
      <c r="U15" s="165">
        <v>298</v>
      </c>
      <c r="V15" s="165">
        <v>522</v>
      </c>
      <c r="W15" s="165">
        <v>820</v>
      </c>
      <c r="X15" s="165">
        <v>11781</v>
      </c>
      <c r="Y15" s="165">
        <v>9648</v>
      </c>
      <c r="Z15" s="165">
        <v>21429</v>
      </c>
      <c r="AA15" s="165">
        <v>542146</v>
      </c>
      <c r="AB15" s="165">
        <v>562386</v>
      </c>
      <c r="AC15" s="165">
        <v>1104532</v>
      </c>
    </row>
    <row r="16" spans="1:29" s="133" customFormat="1" ht="22.5" customHeight="1">
      <c r="A16" s="426">
        <v>12</v>
      </c>
      <c r="B16" s="414" t="s">
        <v>27</v>
      </c>
      <c r="C16" s="416">
        <v>1028</v>
      </c>
      <c r="D16" s="416">
        <v>1055</v>
      </c>
      <c r="E16" s="416">
        <v>2083</v>
      </c>
      <c r="F16" s="416">
        <v>44</v>
      </c>
      <c r="G16" s="416">
        <v>38</v>
      </c>
      <c r="H16" s="416">
        <v>82</v>
      </c>
      <c r="I16" s="165">
        <v>15071</v>
      </c>
      <c r="J16" s="165">
        <v>18862</v>
      </c>
      <c r="K16" s="165">
        <v>33933</v>
      </c>
      <c r="L16" s="165">
        <v>119249</v>
      </c>
      <c r="M16" s="165">
        <v>141142</v>
      </c>
      <c r="N16" s="165">
        <v>260391</v>
      </c>
      <c r="O16" s="165">
        <v>970</v>
      </c>
      <c r="P16" s="165">
        <v>917</v>
      </c>
      <c r="Q16" s="165">
        <v>1887</v>
      </c>
      <c r="R16" s="165">
        <v>8944</v>
      </c>
      <c r="S16" s="165">
        <v>9189</v>
      </c>
      <c r="T16" s="165">
        <v>18133</v>
      </c>
      <c r="U16" s="165">
        <v>333</v>
      </c>
      <c r="V16" s="165">
        <v>204</v>
      </c>
      <c r="W16" s="165">
        <v>537</v>
      </c>
      <c r="X16" s="165">
        <v>1504</v>
      </c>
      <c r="Y16" s="165">
        <v>1101</v>
      </c>
      <c r="Z16" s="165">
        <v>2605</v>
      </c>
      <c r="AA16" s="165">
        <v>147143</v>
      </c>
      <c r="AB16" s="165">
        <v>172508</v>
      </c>
      <c r="AC16" s="165">
        <v>319651</v>
      </c>
    </row>
    <row r="17" spans="1:29" s="133" customFormat="1" ht="22.5" customHeight="1">
      <c r="A17" s="426">
        <v>13</v>
      </c>
      <c r="B17" s="414" t="s">
        <v>57</v>
      </c>
      <c r="C17" s="416">
        <v>1879</v>
      </c>
      <c r="D17" s="416">
        <v>1923</v>
      </c>
      <c r="E17" s="416">
        <v>3802</v>
      </c>
      <c r="F17" s="416">
        <v>41</v>
      </c>
      <c r="G17" s="416">
        <v>82</v>
      </c>
      <c r="H17" s="416">
        <v>123</v>
      </c>
      <c r="I17" s="165">
        <v>30709</v>
      </c>
      <c r="J17" s="165">
        <v>41398</v>
      </c>
      <c r="K17" s="165">
        <v>72107</v>
      </c>
      <c r="L17" s="165">
        <v>145870</v>
      </c>
      <c r="M17" s="165">
        <v>147226</v>
      </c>
      <c r="N17" s="165">
        <v>293096</v>
      </c>
      <c r="O17" s="165">
        <v>777</v>
      </c>
      <c r="P17" s="165">
        <v>483</v>
      </c>
      <c r="Q17" s="165">
        <v>1260</v>
      </c>
      <c r="R17" s="165">
        <v>9080</v>
      </c>
      <c r="S17" s="165">
        <v>10909</v>
      </c>
      <c r="T17" s="165">
        <v>19989</v>
      </c>
      <c r="U17" s="165">
        <v>410</v>
      </c>
      <c r="V17" s="165">
        <v>489</v>
      </c>
      <c r="W17" s="165">
        <v>899</v>
      </c>
      <c r="X17" s="165">
        <v>4188</v>
      </c>
      <c r="Y17" s="165">
        <v>4959</v>
      </c>
      <c r="Z17" s="165">
        <v>9147</v>
      </c>
      <c r="AA17" s="165">
        <v>192954</v>
      </c>
      <c r="AB17" s="165">
        <v>207469</v>
      </c>
      <c r="AC17" s="165">
        <v>400423</v>
      </c>
    </row>
    <row r="18" spans="1:29" s="133" customFormat="1" ht="22.5" customHeight="1">
      <c r="A18" s="426">
        <v>14</v>
      </c>
      <c r="B18" s="414" t="s">
        <v>29</v>
      </c>
      <c r="C18" s="416">
        <v>2039</v>
      </c>
      <c r="D18" s="416">
        <v>1113</v>
      </c>
      <c r="E18" s="416">
        <v>3152</v>
      </c>
      <c r="F18" s="416">
        <v>14</v>
      </c>
      <c r="G18" s="416">
        <v>66</v>
      </c>
      <c r="H18" s="416">
        <v>80</v>
      </c>
      <c r="I18" s="165">
        <v>48894</v>
      </c>
      <c r="J18" s="165">
        <v>63574</v>
      </c>
      <c r="K18" s="165">
        <v>112468</v>
      </c>
      <c r="L18" s="165">
        <v>362777</v>
      </c>
      <c r="M18" s="165">
        <v>347379</v>
      </c>
      <c r="N18" s="165">
        <v>710156</v>
      </c>
      <c r="O18" s="165">
        <v>2051</v>
      </c>
      <c r="P18" s="165">
        <v>1087</v>
      </c>
      <c r="Q18" s="165">
        <v>3138</v>
      </c>
      <c r="R18" s="165">
        <v>31177</v>
      </c>
      <c r="S18" s="165">
        <v>14953</v>
      </c>
      <c r="T18" s="165">
        <v>46130</v>
      </c>
      <c r="U18" s="165">
        <v>906</v>
      </c>
      <c r="V18" s="165">
        <v>440</v>
      </c>
      <c r="W18" s="165">
        <v>1346</v>
      </c>
      <c r="X18" s="165">
        <v>2248</v>
      </c>
      <c r="Y18" s="165">
        <v>1247</v>
      </c>
      <c r="Z18" s="165">
        <v>3495</v>
      </c>
      <c r="AA18" s="165">
        <v>450106</v>
      </c>
      <c r="AB18" s="165">
        <v>429859</v>
      </c>
      <c r="AC18" s="165">
        <v>879965</v>
      </c>
    </row>
    <row r="19" spans="1:29" s="133" customFormat="1" ht="22.5" customHeight="1">
      <c r="A19" s="426">
        <v>15</v>
      </c>
      <c r="B19" s="414" t="s">
        <v>30</v>
      </c>
      <c r="C19" s="416">
        <v>6045</v>
      </c>
      <c r="D19" s="416">
        <v>5148</v>
      </c>
      <c r="E19" s="416">
        <v>11193</v>
      </c>
      <c r="F19" s="416">
        <v>44</v>
      </c>
      <c r="G19" s="416">
        <v>183</v>
      </c>
      <c r="H19" s="416">
        <v>227</v>
      </c>
      <c r="I19" s="165">
        <v>118528</v>
      </c>
      <c r="J19" s="165">
        <v>142088</v>
      </c>
      <c r="K19" s="165">
        <v>260616</v>
      </c>
      <c r="L19" s="165">
        <v>982974</v>
      </c>
      <c r="M19" s="165">
        <v>923326</v>
      </c>
      <c r="N19" s="165">
        <v>1906300</v>
      </c>
      <c r="O19" s="165">
        <v>4862</v>
      </c>
      <c r="P19" s="165">
        <v>3664</v>
      </c>
      <c r="Q19" s="165">
        <v>8526</v>
      </c>
      <c r="R19" s="165">
        <v>134943</v>
      </c>
      <c r="S19" s="165">
        <v>94970</v>
      </c>
      <c r="T19" s="165">
        <v>229913</v>
      </c>
      <c r="U19" s="165">
        <v>1847</v>
      </c>
      <c r="V19" s="165">
        <v>1196</v>
      </c>
      <c r="W19" s="165">
        <v>3043</v>
      </c>
      <c r="X19" s="165">
        <v>8761</v>
      </c>
      <c r="Y19" s="165">
        <v>7961</v>
      </c>
      <c r="Z19" s="165">
        <v>16722</v>
      </c>
      <c r="AA19" s="165">
        <v>1258004</v>
      </c>
      <c r="AB19" s="165">
        <v>1178536</v>
      </c>
      <c r="AC19" s="165">
        <v>2436540</v>
      </c>
    </row>
    <row r="20" spans="1:29" s="133" customFormat="1" ht="22.5" customHeight="1">
      <c r="A20" s="426">
        <v>16</v>
      </c>
      <c r="B20" s="414" t="s">
        <v>31</v>
      </c>
      <c r="C20" s="416">
        <v>3387</v>
      </c>
      <c r="D20" s="416">
        <v>5747</v>
      </c>
      <c r="E20" s="416">
        <v>9134</v>
      </c>
      <c r="F20" s="416">
        <v>75</v>
      </c>
      <c r="G20" s="416">
        <v>281</v>
      </c>
      <c r="H20" s="416">
        <v>356</v>
      </c>
      <c r="I20" s="165">
        <v>50946</v>
      </c>
      <c r="J20" s="165">
        <v>121630</v>
      </c>
      <c r="K20" s="165">
        <v>172576</v>
      </c>
      <c r="L20" s="165">
        <v>439560</v>
      </c>
      <c r="M20" s="165">
        <v>576826</v>
      </c>
      <c r="N20" s="165">
        <v>1016386</v>
      </c>
      <c r="O20" s="165">
        <v>1284</v>
      </c>
      <c r="P20" s="165">
        <v>1836</v>
      </c>
      <c r="Q20" s="165">
        <v>3120</v>
      </c>
      <c r="R20" s="165">
        <v>53625</v>
      </c>
      <c r="S20" s="165">
        <v>35512</v>
      </c>
      <c r="T20" s="165">
        <v>89137</v>
      </c>
      <c r="U20" s="165">
        <v>580</v>
      </c>
      <c r="V20" s="165">
        <v>1032</v>
      </c>
      <c r="W20" s="165">
        <v>1612</v>
      </c>
      <c r="X20" s="165">
        <v>5115</v>
      </c>
      <c r="Y20" s="165">
        <v>7009</v>
      </c>
      <c r="Z20" s="165">
        <v>12124</v>
      </c>
      <c r="AA20" s="417">
        <v>554572</v>
      </c>
      <c r="AB20" s="417">
        <v>749873</v>
      </c>
      <c r="AC20" s="165">
        <v>1304445</v>
      </c>
    </row>
    <row r="21" spans="1:29" s="133" customFormat="1" ht="22.5" customHeight="1">
      <c r="A21" s="426">
        <v>17</v>
      </c>
      <c r="B21" s="414" t="s">
        <v>154</v>
      </c>
      <c r="C21" s="416">
        <v>15</v>
      </c>
      <c r="D21" s="416">
        <v>3</v>
      </c>
      <c r="E21" s="416">
        <v>18</v>
      </c>
      <c r="F21" s="416"/>
      <c r="G21" s="416"/>
      <c r="H21" s="416"/>
      <c r="I21" s="165">
        <v>155</v>
      </c>
      <c r="J21" s="165">
        <v>318</v>
      </c>
      <c r="K21" s="165">
        <v>473</v>
      </c>
      <c r="L21" s="165">
        <v>1187</v>
      </c>
      <c r="M21" s="165">
        <v>2103</v>
      </c>
      <c r="N21" s="165">
        <v>3290</v>
      </c>
      <c r="O21" s="165"/>
      <c r="P21" s="165"/>
      <c r="Q21" s="165"/>
      <c r="R21" s="165">
        <v>195</v>
      </c>
      <c r="S21" s="165">
        <v>314</v>
      </c>
      <c r="T21" s="165">
        <v>509</v>
      </c>
      <c r="U21" s="165">
        <v>19</v>
      </c>
      <c r="V21" s="165">
        <v>131</v>
      </c>
      <c r="W21" s="165">
        <v>150</v>
      </c>
      <c r="X21" s="165"/>
      <c r="Y21" s="165"/>
      <c r="Z21" s="165"/>
      <c r="AA21" s="165">
        <v>1571</v>
      </c>
      <c r="AB21" s="165">
        <v>2869</v>
      </c>
      <c r="AC21" s="165">
        <v>4440</v>
      </c>
    </row>
    <row r="22" spans="1:29" s="133" customFormat="1" ht="22.5" customHeight="1">
      <c r="A22" s="426">
        <v>18</v>
      </c>
      <c r="B22" s="414" t="s">
        <v>32</v>
      </c>
      <c r="C22" s="416"/>
      <c r="D22" s="416"/>
      <c r="E22" s="416"/>
      <c r="F22" s="416"/>
      <c r="G22" s="416"/>
      <c r="H22" s="416"/>
      <c r="I22" s="165"/>
      <c r="J22" s="165"/>
      <c r="K22" s="165"/>
      <c r="L22" s="165">
        <v>14</v>
      </c>
      <c r="M22" s="165">
        <v>74</v>
      </c>
      <c r="N22" s="165">
        <v>88</v>
      </c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>
        <v>14</v>
      </c>
      <c r="AB22" s="165">
        <v>74</v>
      </c>
      <c r="AC22" s="165">
        <v>88</v>
      </c>
    </row>
    <row r="23" spans="1:29" s="133" customFormat="1" ht="22.5" customHeight="1">
      <c r="A23" s="426">
        <v>19</v>
      </c>
      <c r="B23" s="414" t="s">
        <v>33</v>
      </c>
      <c r="C23" s="416">
        <v>4283</v>
      </c>
      <c r="D23" s="416">
        <v>3571</v>
      </c>
      <c r="E23" s="416">
        <v>7854</v>
      </c>
      <c r="F23" s="416"/>
      <c r="G23" s="416">
        <v>16</v>
      </c>
      <c r="H23" s="416">
        <v>16</v>
      </c>
      <c r="I23" s="165">
        <v>201345</v>
      </c>
      <c r="J23" s="165">
        <v>239046</v>
      </c>
      <c r="K23" s="165">
        <v>440391</v>
      </c>
      <c r="L23" s="165">
        <v>1143205</v>
      </c>
      <c r="M23" s="165">
        <v>953119</v>
      </c>
      <c r="N23" s="165">
        <v>2096324</v>
      </c>
      <c r="O23" s="165">
        <v>21509</v>
      </c>
      <c r="P23" s="165">
        <v>20506</v>
      </c>
      <c r="Q23" s="165">
        <v>42015</v>
      </c>
      <c r="R23" s="165">
        <v>114323</v>
      </c>
      <c r="S23" s="165">
        <v>61488</v>
      </c>
      <c r="T23" s="165">
        <v>175811</v>
      </c>
      <c r="U23" s="165">
        <v>1563</v>
      </c>
      <c r="V23" s="165">
        <v>858</v>
      </c>
      <c r="W23" s="165">
        <v>2421</v>
      </c>
      <c r="X23" s="165">
        <v>19680</v>
      </c>
      <c r="Y23" s="165">
        <v>15653</v>
      </c>
      <c r="Z23" s="165">
        <v>35333</v>
      </c>
      <c r="AA23" s="417">
        <v>1505908</v>
      </c>
      <c r="AB23" s="417">
        <v>1294257</v>
      </c>
      <c r="AC23" s="165">
        <v>2800165</v>
      </c>
    </row>
    <row r="24" spans="1:29" s="133" customFormat="1" ht="22.5" customHeight="1">
      <c r="A24" s="426">
        <v>20</v>
      </c>
      <c r="B24" s="414" t="s">
        <v>34</v>
      </c>
      <c r="C24" s="416">
        <v>10115</v>
      </c>
      <c r="D24" s="416">
        <v>7717</v>
      </c>
      <c r="E24" s="416">
        <v>17832</v>
      </c>
      <c r="F24" s="416">
        <v>121</v>
      </c>
      <c r="G24" s="416">
        <v>69</v>
      </c>
      <c r="H24" s="416">
        <v>190</v>
      </c>
      <c r="I24" s="165">
        <v>283304</v>
      </c>
      <c r="J24" s="165">
        <v>303894</v>
      </c>
      <c r="K24" s="165">
        <v>587198</v>
      </c>
      <c r="L24" s="165">
        <v>1968964</v>
      </c>
      <c r="M24" s="165">
        <v>1529764</v>
      </c>
      <c r="N24" s="165">
        <v>3498728</v>
      </c>
      <c r="O24" s="165">
        <v>25594</v>
      </c>
      <c r="P24" s="165">
        <v>21182</v>
      </c>
      <c r="Q24" s="165">
        <v>46776</v>
      </c>
      <c r="R24" s="165">
        <v>236517</v>
      </c>
      <c r="S24" s="165">
        <v>157882</v>
      </c>
      <c r="T24" s="165">
        <v>394399</v>
      </c>
      <c r="U24" s="165">
        <v>7580</v>
      </c>
      <c r="V24" s="165">
        <v>4905</v>
      </c>
      <c r="W24" s="165">
        <v>12485</v>
      </c>
      <c r="X24" s="165">
        <v>10636</v>
      </c>
      <c r="Y24" s="165">
        <v>9599</v>
      </c>
      <c r="Z24" s="165">
        <v>20235</v>
      </c>
      <c r="AA24" s="165">
        <v>2542831</v>
      </c>
      <c r="AB24" s="165">
        <v>2035012</v>
      </c>
      <c r="AC24" s="165">
        <v>4577843</v>
      </c>
    </row>
    <row r="25" spans="1:29" s="133" customFormat="1" ht="22.5" customHeight="1">
      <c r="A25" s="426">
        <v>21</v>
      </c>
      <c r="B25" s="414" t="s">
        <v>35</v>
      </c>
      <c r="C25" s="416">
        <v>725</v>
      </c>
      <c r="D25" s="416">
        <v>723</v>
      </c>
      <c r="E25" s="416">
        <v>1448</v>
      </c>
      <c r="F25" s="416"/>
      <c r="G25" s="416">
        <v>6</v>
      </c>
      <c r="H25" s="416">
        <v>6</v>
      </c>
      <c r="I25" s="165">
        <v>4940</v>
      </c>
      <c r="J25" s="165">
        <v>5528</v>
      </c>
      <c r="K25" s="165">
        <v>10468</v>
      </c>
      <c r="L25" s="165">
        <v>58171</v>
      </c>
      <c r="M25" s="165">
        <v>54386</v>
      </c>
      <c r="N25" s="165">
        <v>112557</v>
      </c>
      <c r="O25" s="165">
        <v>555</v>
      </c>
      <c r="P25" s="165">
        <v>419</v>
      </c>
      <c r="Q25" s="165">
        <v>974</v>
      </c>
      <c r="R25" s="165">
        <v>1682</v>
      </c>
      <c r="S25" s="165">
        <v>2967</v>
      </c>
      <c r="T25" s="165">
        <v>4649</v>
      </c>
      <c r="U25" s="165">
        <v>161</v>
      </c>
      <c r="V25" s="165">
        <v>125</v>
      </c>
      <c r="W25" s="165">
        <v>286</v>
      </c>
      <c r="X25" s="165"/>
      <c r="Y25" s="165"/>
      <c r="Z25" s="165"/>
      <c r="AA25" s="165">
        <v>66234</v>
      </c>
      <c r="AB25" s="165">
        <v>64154</v>
      </c>
      <c r="AC25" s="165">
        <v>130388</v>
      </c>
    </row>
    <row r="26" spans="1:29" s="133" customFormat="1" ht="22.5" customHeight="1">
      <c r="A26" s="426">
        <v>22</v>
      </c>
      <c r="B26" s="414" t="s">
        <v>36</v>
      </c>
      <c r="C26" s="416">
        <v>458</v>
      </c>
      <c r="D26" s="416">
        <v>331</v>
      </c>
      <c r="E26" s="416">
        <v>789</v>
      </c>
      <c r="F26" s="416">
        <v>1</v>
      </c>
      <c r="G26" s="416">
        <v>2</v>
      </c>
      <c r="H26" s="416">
        <v>3</v>
      </c>
      <c r="I26" s="165">
        <v>5673</v>
      </c>
      <c r="J26" s="165">
        <v>8432</v>
      </c>
      <c r="K26" s="165">
        <v>14105</v>
      </c>
      <c r="L26" s="165">
        <v>35954</v>
      </c>
      <c r="M26" s="165">
        <v>41489</v>
      </c>
      <c r="N26" s="165">
        <v>77443</v>
      </c>
      <c r="O26" s="165">
        <v>280</v>
      </c>
      <c r="P26" s="165">
        <v>363</v>
      </c>
      <c r="Q26" s="165">
        <v>643</v>
      </c>
      <c r="R26" s="165">
        <v>988</v>
      </c>
      <c r="S26" s="165">
        <v>2013</v>
      </c>
      <c r="T26" s="165">
        <v>3001</v>
      </c>
      <c r="U26" s="165">
        <v>31</v>
      </c>
      <c r="V26" s="165">
        <v>55</v>
      </c>
      <c r="W26" s="165">
        <v>86</v>
      </c>
      <c r="X26" s="165">
        <v>203</v>
      </c>
      <c r="Y26" s="165">
        <v>180</v>
      </c>
      <c r="Z26" s="165">
        <v>383</v>
      </c>
      <c r="AA26" s="165">
        <v>43588</v>
      </c>
      <c r="AB26" s="165">
        <v>52865</v>
      </c>
      <c r="AC26" s="165">
        <v>96453</v>
      </c>
    </row>
    <row r="27" spans="1:29" s="133" customFormat="1" ht="22.5" customHeight="1">
      <c r="A27" s="426">
        <v>23</v>
      </c>
      <c r="B27" s="414" t="s">
        <v>37</v>
      </c>
      <c r="C27" s="416">
        <v>634</v>
      </c>
      <c r="D27" s="416">
        <v>565</v>
      </c>
      <c r="E27" s="416">
        <v>1199</v>
      </c>
      <c r="F27" s="416"/>
      <c r="G27" s="416"/>
      <c r="H27" s="416"/>
      <c r="I27" s="165">
        <v>2398</v>
      </c>
      <c r="J27" s="165">
        <v>3210</v>
      </c>
      <c r="K27" s="165">
        <v>5608</v>
      </c>
      <c r="L27" s="165">
        <v>16905</v>
      </c>
      <c r="M27" s="165">
        <v>16249</v>
      </c>
      <c r="N27" s="165">
        <v>33154</v>
      </c>
      <c r="O27" s="165">
        <v>39</v>
      </c>
      <c r="P27" s="165">
        <v>16</v>
      </c>
      <c r="Q27" s="165">
        <v>55</v>
      </c>
      <c r="R27" s="165">
        <v>3200</v>
      </c>
      <c r="S27" s="165">
        <v>3530</v>
      </c>
      <c r="T27" s="165">
        <v>6730</v>
      </c>
      <c r="U27" s="165"/>
      <c r="V27" s="165"/>
      <c r="W27" s="165"/>
      <c r="X27" s="165">
        <v>15</v>
      </c>
      <c r="Y27" s="165">
        <v>10</v>
      </c>
      <c r="Z27" s="165">
        <v>25</v>
      </c>
      <c r="AA27" s="165">
        <v>23191</v>
      </c>
      <c r="AB27" s="165">
        <v>23580</v>
      </c>
      <c r="AC27" s="165">
        <v>46771</v>
      </c>
    </row>
    <row r="28" spans="1:29" s="133" customFormat="1" ht="22.5" customHeight="1">
      <c r="A28" s="426">
        <v>24</v>
      </c>
      <c r="B28" s="414" t="s">
        <v>38</v>
      </c>
      <c r="C28" s="416">
        <v>290</v>
      </c>
      <c r="D28" s="416">
        <v>330</v>
      </c>
      <c r="E28" s="416">
        <v>620</v>
      </c>
      <c r="F28" s="416">
        <v>12</v>
      </c>
      <c r="G28" s="416">
        <v>6</v>
      </c>
      <c r="H28" s="416">
        <v>18</v>
      </c>
      <c r="I28" s="165">
        <v>3276</v>
      </c>
      <c r="J28" s="165">
        <v>5178</v>
      </c>
      <c r="K28" s="165">
        <v>8454</v>
      </c>
      <c r="L28" s="165">
        <v>18770</v>
      </c>
      <c r="M28" s="165">
        <v>20444</v>
      </c>
      <c r="N28" s="165">
        <v>39214</v>
      </c>
      <c r="O28" s="165">
        <v>40</v>
      </c>
      <c r="P28" s="165">
        <v>89</v>
      </c>
      <c r="Q28" s="165">
        <v>129</v>
      </c>
      <c r="R28" s="165">
        <v>859</v>
      </c>
      <c r="S28" s="165">
        <v>1343</v>
      </c>
      <c r="T28" s="165">
        <v>2202</v>
      </c>
      <c r="U28" s="165">
        <v>310</v>
      </c>
      <c r="V28" s="165">
        <v>276</v>
      </c>
      <c r="W28" s="165">
        <v>586</v>
      </c>
      <c r="X28" s="165"/>
      <c r="Y28" s="165"/>
      <c r="Z28" s="165"/>
      <c r="AA28" s="165">
        <v>23557</v>
      </c>
      <c r="AB28" s="165">
        <v>27666</v>
      </c>
      <c r="AC28" s="165">
        <v>51223</v>
      </c>
    </row>
    <row r="29" spans="1:29" s="133" customFormat="1" ht="22.5" customHeight="1">
      <c r="A29" s="426">
        <v>25</v>
      </c>
      <c r="B29" s="414" t="s">
        <v>39</v>
      </c>
      <c r="C29" s="416">
        <v>2668</v>
      </c>
      <c r="D29" s="416">
        <v>1550</v>
      </c>
      <c r="E29" s="416">
        <v>4218</v>
      </c>
      <c r="F29" s="416">
        <v>269</v>
      </c>
      <c r="G29" s="416">
        <v>303</v>
      </c>
      <c r="H29" s="416">
        <v>572</v>
      </c>
      <c r="I29" s="165">
        <v>63227</v>
      </c>
      <c r="J29" s="165">
        <v>56471</v>
      </c>
      <c r="K29" s="165">
        <v>119698</v>
      </c>
      <c r="L29" s="165">
        <v>402899</v>
      </c>
      <c r="M29" s="165">
        <v>379256</v>
      </c>
      <c r="N29" s="165">
        <v>782155</v>
      </c>
      <c r="O29" s="165">
        <v>1920</v>
      </c>
      <c r="P29" s="165">
        <v>1165</v>
      </c>
      <c r="Q29" s="165">
        <v>3085</v>
      </c>
      <c r="R29" s="165">
        <v>103764</v>
      </c>
      <c r="S29" s="165">
        <v>47170</v>
      </c>
      <c r="T29" s="165">
        <v>150934</v>
      </c>
      <c r="U29" s="165">
        <v>651</v>
      </c>
      <c r="V29" s="165">
        <v>899</v>
      </c>
      <c r="W29" s="165">
        <v>1550</v>
      </c>
      <c r="X29" s="165">
        <v>5769</v>
      </c>
      <c r="Y29" s="165">
        <v>5898</v>
      </c>
      <c r="Z29" s="165">
        <v>11667</v>
      </c>
      <c r="AA29" s="165">
        <v>581167</v>
      </c>
      <c r="AB29" s="165">
        <v>492712</v>
      </c>
      <c r="AC29" s="165">
        <v>1073879</v>
      </c>
    </row>
    <row r="30" spans="1:29" s="133" customFormat="1" ht="22.5" customHeight="1">
      <c r="A30" s="426">
        <v>26</v>
      </c>
      <c r="B30" s="414" t="s">
        <v>40</v>
      </c>
      <c r="C30" s="416">
        <v>325</v>
      </c>
      <c r="D30" s="416">
        <v>278</v>
      </c>
      <c r="E30" s="416">
        <v>603</v>
      </c>
      <c r="F30" s="416"/>
      <c r="G30" s="416"/>
      <c r="H30" s="416"/>
      <c r="I30" s="165">
        <v>13198</v>
      </c>
      <c r="J30" s="165">
        <v>13394</v>
      </c>
      <c r="K30" s="165">
        <v>26592</v>
      </c>
      <c r="L30" s="165">
        <v>28264</v>
      </c>
      <c r="M30" s="165">
        <v>33817</v>
      </c>
      <c r="N30" s="165">
        <v>62081</v>
      </c>
      <c r="O30" s="165">
        <v>29</v>
      </c>
      <c r="P30" s="165">
        <v>25</v>
      </c>
      <c r="Q30" s="165">
        <v>54</v>
      </c>
      <c r="R30" s="165">
        <v>2438</v>
      </c>
      <c r="S30" s="165">
        <v>1357</v>
      </c>
      <c r="T30" s="165">
        <v>3795</v>
      </c>
      <c r="U30" s="165">
        <v>11</v>
      </c>
      <c r="V30" s="165">
        <v>8</v>
      </c>
      <c r="W30" s="165">
        <v>19</v>
      </c>
      <c r="X30" s="165">
        <v>556</v>
      </c>
      <c r="Y30" s="165">
        <v>943</v>
      </c>
      <c r="Z30" s="165">
        <v>1499</v>
      </c>
      <c r="AA30" s="165">
        <v>44821</v>
      </c>
      <c r="AB30" s="165">
        <v>49822</v>
      </c>
      <c r="AC30" s="165">
        <v>94643</v>
      </c>
    </row>
    <row r="31" spans="1:29" s="133" customFormat="1" ht="22.5" customHeight="1">
      <c r="A31" s="426">
        <v>27</v>
      </c>
      <c r="B31" s="414" t="s">
        <v>41</v>
      </c>
      <c r="C31" s="416">
        <v>4946</v>
      </c>
      <c r="D31" s="416">
        <v>5379</v>
      </c>
      <c r="E31" s="416">
        <v>10325</v>
      </c>
      <c r="F31" s="416">
        <v>28</v>
      </c>
      <c r="G31" s="416">
        <v>41</v>
      </c>
      <c r="H31" s="416">
        <v>69</v>
      </c>
      <c r="I31" s="165">
        <v>46929</v>
      </c>
      <c r="J31" s="165">
        <v>63149</v>
      </c>
      <c r="K31" s="165">
        <v>110078</v>
      </c>
      <c r="L31" s="165">
        <v>321099</v>
      </c>
      <c r="M31" s="165">
        <v>292462</v>
      </c>
      <c r="N31" s="165">
        <v>613561</v>
      </c>
      <c r="O31" s="165">
        <v>2631</v>
      </c>
      <c r="P31" s="165">
        <v>3183</v>
      </c>
      <c r="Q31" s="165">
        <v>5814</v>
      </c>
      <c r="R31" s="165">
        <v>48756</v>
      </c>
      <c r="S31" s="165">
        <v>47416</v>
      </c>
      <c r="T31" s="165">
        <v>96172</v>
      </c>
      <c r="U31" s="165">
        <v>748</v>
      </c>
      <c r="V31" s="165">
        <v>952</v>
      </c>
      <c r="W31" s="165">
        <v>1700</v>
      </c>
      <c r="X31" s="165">
        <v>9479</v>
      </c>
      <c r="Y31" s="165">
        <v>11546</v>
      </c>
      <c r="Z31" s="165">
        <v>21025</v>
      </c>
      <c r="AA31" s="165">
        <v>434616</v>
      </c>
      <c r="AB31" s="165">
        <v>424128</v>
      </c>
      <c r="AC31" s="165">
        <v>858744</v>
      </c>
    </row>
    <row r="32" spans="1:29" s="133" customFormat="1" ht="22.5" customHeight="1">
      <c r="A32" s="426">
        <v>28</v>
      </c>
      <c r="B32" s="414" t="s">
        <v>42</v>
      </c>
      <c r="C32" s="416">
        <v>6913</v>
      </c>
      <c r="D32" s="416">
        <v>6915</v>
      </c>
      <c r="E32" s="416">
        <v>13828</v>
      </c>
      <c r="F32" s="416">
        <v>145</v>
      </c>
      <c r="G32" s="416">
        <v>161</v>
      </c>
      <c r="H32" s="416">
        <v>306</v>
      </c>
      <c r="I32" s="165">
        <v>140674</v>
      </c>
      <c r="J32" s="165">
        <v>169589</v>
      </c>
      <c r="K32" s="165">
        <v>310263</v>
      </c>
      <c r="L32" s="165">
        <v>1124079</v>
      </c>
      <c r="M32" s="165">
        <v>978715</v>
      </c>
      <c r="N32" s="165">
        <v>2102794</v>
      </c>
      <c r="O32" s="165">
        <v>5357</v>
      </c>
      <c r="P32" s="165">
        <v>3332</v>
      </c>
      <c r="Q32" s="165">
        <v>8689</v>
      </c>
      <c r="R32" s="165">
        <v>86322</v>
      </c>
      <c r="S32" s="165">
        <v>37439</v>
      </c>
      <c r="T32" s="165">
        <v>123761</v>
      </c>
      <c r="U32" s="165">
        <v>1869</v>
      </c>
      <c r="V32" s="165">
        <v>1868</v>
      </c>
      <c r="W32" s="165">
        <v>3737</v>
      </c>
      <c r="X32" s="165">
        <v>64924</v>
      </c>
      <c r="Y32" s="165">
        <v>61038</v>
      </c>
      <c r="Z32" s="165">
        <v>125962</v>
      </c>
      <c r="AA32" s="165">
        <v>1430283</v>
      </c>
      <c r="AB32" s="165">
        <v>1259057</v>
      </c>
      <c r="AC32" s="165">
        <v>2689340</v>
      </c>
    </row>
    <row r="33" spans="1:30" s="133" customFormat="1" ht="22.5" customHeight="1">
      <c r="A33" s="426">
        <v>29</v>
      </c>
      <c r="B33" s="414" t="s">
        <v>43</v>
      </c>
      <c r="C33" s="416">
        <v>337</v>
      </c>
      <c r="D33" s="416">
        <v>315</v>
      </c>
      <c r="E33" s="416">
        <v>652</v>
      </c>
      <c r="F33" s="416">
        <v>18</v>
      </c>
      <c r="G33" s="416">
        <v>25</v>
      </c>
      <c r="H33" s="416">
        <v>43</v>
      </c>
      <c r="I33" s="165">
        <v>2421</v>
      </c>
      <c r="J33" s="165">
        <v>3565</v>
      </c>
      <c r="K33" s="165">
        <v>5986</v>
      </c>
      <c r="L33" s="165">
        <v>12268</v>
      </c>
      <c r="M33" s="165">
        <v>12538</v>
      </c>
      <c r="N33" s="165">
        <v>24806</v>
      </c>
      <c r="O33" s="165">
        <v>18</v>
      </c>
      <c r="P33" s="165">
        <v>11</v>
      </c>
      <c r="Q33" s="165">
        <v>29</v>
      </c>
      <c r="R33" s="165">
        <v>994</v>
      </c>
      <c r="S33" s="165">
        <v>777</v>
      </c>
      <c r="T33" s="165">
        <v>1771</v>
      </c>
      <c r="U33" s="165">
        <v>50</v>
      </c>
      <c r="V33" s="165">
        <v>5</v>
      </c>
      <c r="W33" s="165">
        <v>55</v>
      </c>
      <c r="X33" s="165">
        <v>168</v>
      </c>
      <c r="Y33" s="165">
        <v>251</v>
      </c>
      <c r="Z33" s="165">
        <v>419</v>
      </c>
      <c r="AA33" s="165">
        <v>16274</v>
      </c>
      <c r="AB33" s="165">
        <v>17487</v>
      </c>
      <c r="AC33" s="165">
        <v>33761</v>
      </c>
    </row>
    <row r="34" spans="1:30" s="133" customFormat="1" ht="22.5" customHeight="1">
      <c r="A34" s="426">
        <v>30</v>
      </c>
      <c r="B34" s="414" t="s">
        <v>44</v>
      </c>
      <c r="C34" s="416">
        <v>13457</v>
      </c>
      <c r="D34" s="416">
        <v>15410</v>
      </c>
      <c r="E34" s="416">
        <v>28867</v>
      </c>
      <c r="F34" s="416">
        <v>925</v>
      </c>
      <c r="G34" s="416">
        <v>3116</v>
      </c>
      <c r="H34" s="416">
        <v>4041</v>
      </c>
      <c r="I34" s="165">
        <v>198013</v>
      </c>
      <c r="J34" s="165">
        <v>266073</v>
      </c>
      <c r="K34" s="165">
        <v>464086</v>
      </c>
      <c r="L34" s="165">
        <v>1243667</v>
      </c>
      <c r="M34" s="165">
        <v>1248155</v>
      </c>
      <c r="N34" s="165">
        <v>2491822</v>
      </c>
      <c r="O34" s="165">
        <v>8126</v>
      </c>
      <c r="P34" s="165">
        <v>6603</v>
      </c>
      <c r="Q34" s="165">
        <v>14729</v>
      </c>
      <c r="R34" s="165">
        <v>213546</v>
      </c>
      <c r="S34" s="165">
        <v>49168</v>
      </c>
      <c r="T34" s="165">
        <v>262714</v>
      </c>
      <c r="U34" s="165">
        <v>7290</v>
      </c>
      <c r="V34" s="165">
        <v>9324</v>
      </c>
      <c r="W34" s="165">
        <v>16614</v>
      </c>
      <c r="X34" s="165">
        <v>13088</v>
      </c>
      <c r="Y34" s="165">
        <v>13366</v>
      </c>
      <c r="Z34" s="165">
        <v>26454</v>
      </c>
      <c r="AA34" s="165">
        <v>1698112</v>
      </c>
      <c r="AB34" s="165">
        <v>1611215</v>
      </c>
      <c r="AC34" s="165">
        <v>3309327</v>
      </c>
    </row>
    <row r="35" spans="1:30" s="133" customFormat="1" ht="22.5" customHeight="1">
      <c r="A35" s="426">
        <v>31</v>
      </c>
      <c r="B35" s="414" t="s">
        <v>131</v>
      </c>
      <c r="C35" s="416">
        <v>4442</v>
      </c>
      <c r="D35" s="416">
        <v>2525</v>
      </c>
      <c r="E35" s="416">
        <v>6967</v>
      </c>
      <c r="F35" s="416">
        <v>57</v>
      </c>
      <c r="G35" s="416">
        <v>43</v>
      </c>
      <c r="H35" s="416">
        <v>100</v>
      </c>
      <c r="I35" s="165">
        <v>89767</v>
      </c>
      <c r="J35" s="165">
        <v>117315</v>
      </c>
      <c r="K35" s="165">
        <v>207082</v>
      </c>
      <c r="L35" s="165">
        <v>638370</v>
      </c>
      <c r="M35" s="165">
        <v>633953</v>
      </c>
      <c r="N35" s="165">
        <v>1272323</v>
      </c>
      <c r="O35" s="165">
        <v>4386</v>
      </c>
      <c r="P35" s="165">
        <v>3529</v>
      </c>
      <c r="Q35" s="165">
        <v>7915</v>
      </c>
      <c r="R35" s="165">
        <v>50261</v>
      </c>
      <c r="S35" s="165">
        <v>41291</v>
      </c>
      <c r="T35" s="165">
        <v>91552</v>
      </c>
      <c r="U35" s="165">
        <v>1532</v>
      </c>
      <c r="V35" s="165">
        <v>1590</v>
      </c>
      <c r="W35" s="165">
        <v>3122</v>
      </c>
      <c r="X35" s="165">
        <v>4538</v>
      </c>
      <c r="Y35" s="165">
        <v>3081</v>
      </c>
      <c r="Z35" s="165">
        <v>7619</v>
      </c>
      <c r="AA35" s="165">
        <v>793353</v>
      </c>
      <c r="AB35" s="165">
        <v>803327</v>
      </c>
      <c r="AC35" s="165">
        <v>1596680</v>
      </c>
    </row>
    <row r="36" spans="1:30" s="133" customFormat="1" ht="31.5">
      <c r="A36" s="426">
        <v>32</v>
      </c>
      <c r="B36" s="413" t="s">
        <v>1062</v>
      </c>
      <c r="C36" s="416"/>
      <c r="D36" s="416"/>
      <c r="E36" s="416"/>
      <c r="F36" s="416"/>
      <c r="G36" s="416"/>
      <c r="H36" s="416"/>
      <c r="I36" s="165">
        <v>305</v>
      </c>
      <c r="J36" s="165">
        <v>543</v>
      </c>
      <c r="K36" s="165">
        <v>848</v>
      </c>
      <c r="L36" s="165">
        <v>4656</v>
      </c>
      <c r="M36" s="165">
        <v>5103</v>
      </c>
      <c r="N36" s="165">
        <v>9759</v>
      </c>
      <c r="O36" s="165"/>
      <c r="P36" s="165"/>
      <c r="Q36" s="165"/>
      <c r="R36" s="165">
        <v>1686</v>
      </c>
      <c r="S36" s="165">
        <v>422</v>
      </c>
      <c r="T36" s="165">
        <v>2108</v>
      </c>
      <c r="U36" s="165"/>
      <c r="V36" s="165"/>
      <c r="W36" s="165"/>
      <c r="X36" s="165">
        <v>36</v>
      </c>
      <c r="Y36" s="165">
        <v>54</v>
      </c>
      <c r="Z36" s="165">
        <v>90</v>
      </c>
      <c r="AA36" s="165">
        <v>6683</v>
      </c>
      <c r="AB36" s="165">
        <v>6122</v>
      </c>
      <c r="AC36" s="165">
        <v>12805</v>
      </c>
    </row>
    <row r="37" spans="1:30" s="133" customFormat="1" ht="23.25" customHeight="1">
      <c r="A37" s="426">
        <v>33</v>
      </c>
      <c r="B37" s="414" t="s">
        <v>45</v>
      </c>
      <c r="C37" s="416">
        <v>286</v>
      </c>
      <c r="D37" s="416">
        <v>173</v>
      </c>
      <c r="E37" s="416">
        <v>459</v>
      </c>
      <c r="F37" s="416">
        <v>2</v>
      </c>
      <c r="G37" s="416">
        <v>10</v>
      </c>
      <c r="H37" s="416">
        <v>12</v>
      </c>
      <c r="I37" s="165">
        <v>5209</v>
      </c>
      <c r="J37" s="165">
        <v>5840</v>
      </c>
      <c r="K37" s="165">
        <v>11049</v>
      </c>
      <c r="L37" s="165">
        <v>44432</v>
      </c>
      <c r="M37" s="165">
        <v>37731</v>
      </c>
      <c r="N37" s="165">
        <v>82163</v>
      </c>
      <c r="O37" s="165">
        <v>76</v>
      </c>
      <c r="P37" s="165">
        <v>59</v>
      </c>
      <c r="Q37" s="165">
        <v>135</v>
      </c>
      <c r="R37" s="165">
        <v>2409</v>
      </c>
      <c r="S37" s="165">
        <v>2297</v>
      </c>
      <c r="T37" s="165">
        <v>4706</v>
      </c>
      <c r="U37" s="165">
        <v>18</v>
      </c>
      <c r="V37" s="165">
        <v>18</v>
      </c>
      <c r="W37" s="165">
        <v>36</v>
      </c>
      <c r="X37" s="165">
        <v>1106</v>
      </c>
      <c r="Y37" s="165">
        <v>885</v>
      </c>
      <c r="Z37" s="165">
        <v>1991</v>
      </c>
      <c r="AA37" s="165">
        <v>53538</v>
      </c>
      <c r="AB37" s="165">
        <v>47013</v>
      </c>
      <c r="AC37" s="165">
        <v>100551</v>
      </c>
    </row>
    <row r="38" spans="1:30" s="133" customFormat="1" ht="23.25" customHeight="1">
      <c r="A38" s="426">
        <v>34</v>
      </c>
      <c r="B38" s="414" t="s">
        <v>47</v>
      </c>
      <c r="C38" s="416">
        <v>11988</v>
      </c>
      <c r="D38" s="416">
        <v>9725</v>
      </c>
      <c r="E38" s="416">
        <v>21713</v>
      </c>
      <c r="F38" s="416">
        <v>15</v>
      </c>
      <c r="G38" s="416">
        <v>62</v>
      </c>
      <c r="H38" s="416">
        <v>77</v>
      </c>
      <c r="I38" s="165">
        <v>348726</v>
      </c>
      <c r="J38" s="165">
        <v>411389</v>
      </c>
      <c r="K38" s="165">
        <v>760115</v>
      </c>
      <c r="L38" s="165">
        <v>3033329</v>
      </c>
      <c r="M38" s="165">
        <v>2745769</v>
      </c>
      <c r="N38" s="165">
        <v>5779098</v>
      </c>
      <c r="O38" s="165">
        <v>17801</v>
      </c>
      <c r="P38" s="165">
        <v>9432</v>
      </c>
      <c r="Q38" s="165">
        <v>27233</v>
      </c>
      <c r="R38" s="165">
        <v>217394</v>
      </c>
      <c r="S38" s="165">
        <v>103605</v>
      </c>
      <c r="T38" s="165">
        <v>320999</v>
      </c>
      <c r="U38" s="165">
        <v>3435</v>
      </c>
      <c r="V38" s="165">
        <v>2854</v>
      </c>
      <c r="W38" s="165">
        <v>6289</v>
      </c>
      <c r="X38" s="165">
        <v>36630</v>
      </c>
      <c r="Y38" s="165">
        <v>21270</v>
      </c>
      <c r="Z38" s="165">
        <v>57900</v>
      </c>
      <c r="AA38" s="165">
        <v>3669318</v>
      </c>
      <c r="AB38" s="165">
        <v>3304106</v>
      </c>
      <c r="AC38" s="165">
        <v>6973424</v>
      </c>
    </row>
    <row r="39" spans="1:30" s="133" customFormat="1" ht="23.25" customHeight="1">
      <c r="A39" s="426">
        <v>35</v>
      </c>
      <c r="B39" s="414" t="s">
        <v>46</v>
      </c>
      <c r="C39" s="416">
        <v>2573</v>
      </c>
      <c r="D39" s="416">
        <v>1900</v>
      </c>
      <c r="E39" s="416">
        <v>4473</v>
      </c>
      <c r="F39" s="416">
        <v>5</v>
      </c>
      <c r="G39" s="416"/>
      <c r="H39" s="416">
        <v>5</v>
      </c>
      <c r="I39" s="165">
        <v>41134</v>
      </c>
      <c r="J39" s="165">
        <v>53023</v>
      </c>
      <c r="K39" s="165">
        <v>94157</v>
      </c>
      <c r="L39" s="165">
        <v>217701</v>
      </c>
      <c r="M39" s="165">
        <v>216121</v>
      </c>
      <c r="N39" s="165">
        <v>433822</v>
      </c>
      <c r="O39" s="165">
        <v>560</v>
      </c>
      <c r="P39" s="165">
        <v>419</v>
      </c>
      <c r="Q39" s="165">
        <v>979</v>
      </c>
      <c r="R39" s="165">
        <v>20403</v>
      </c>
      <c r="S39" s="165">
        <v>7638</v>
      </c>
      <c r="T39" s="165">
        <v>28041</v>
      </c>
      <c r="U39" s="165">
        <v>218</v>
      </c>
      <c r="V39" s="165">
        <v>64</v>
      </c>
      <c r="W39" s="165">
        <v>282</v>
      </c>
      <c r="X39" s="165">
        <v>3555</v>
      </c>
      <c r="Y39" s="165">
        <v>2390</v>
      </c>
      <c r="Z39" s="165">
        <v>5945</v>
      </c>
      <c r="AA39" s="165">
        <v>286149</v>
      </c>
      <c r="AB39" s="165">
        <v>281555</v>
      </c>
      <c r="AC39" s="165">
        <v>567704</v>
      </c>
    </row>
    <row r="40" spans="1:30" s="133" customFormat="1" ht="23.25" customHeight="1">
      <c r="A40" s="426">
        <v>36</v>
      </c>
      <c r="B40" s="414" t="s">
        <v>48</v>
      </c>
      <c r="C40" s="416">
        <v>8683</v>
      </c>
      <c r="D40" s="416">
        <v>5103</v>
      </c>
      <c r="E40" s="416">
        <v>13786</v>
      </c>
      <c r="F40" s="416">
        <v>688</v>
      </c>
      <c r="G40" s="416">
        <v>614</v>
      </c>
      <c r="H40" s="416">
        <v>1302</v>
      </c>
      <c r="I40" s="165">
        <v>126244</v>
      </c>
      <c r="J40" s="165">
        <v>177120</v>
      </c>
      <c r="K40" s="165">
        <v>303364</v>
      </c>
      <c r="L40" s="165">
        <v>1106488</v>
      </c>
      <c r="M40" s="165">
        <v>1080500</v>
      </c>
      <c r="N40" s="165">
        <v>2186988</v>
      </c>
      <c r="O40" s="165">
        <v>3130</v>
      </c>
      <c r="P40" s="165">
        <v>2013</v>
      </c>
      <c r="Q40" s="165">
        <v>5143</v>
      </c>
      <c r="R40" s="165">
        <v>117513</v>
      </c>
      <c r="S40" s="165">
        <v>72433</v>
      </c>
      <c r="T40" s="165">
        <v>189946</v>
      </c>
      <c r="U40" s="165">
        <v>3291</v>
      </c>
      <c r="V40" s="165">
        <v>2115</v>
      </c>
      <c r="W40" s="165">
        <v>5406</v>
      </c>
      <c r="X40" s="165">
        <v>9590</v>
      </c>
      <c r="Y40" s="165">
        <v>6626</v>
      </c>
      <c r="Z40" s="165">
        <v>16216</v>
      </c>
      <c r="AA40" s="418">
        <v>1375627</v>
      </c>
      <c r="AB40" s="418">
        <v>1346524</v>
      </c>
      <c r="AC40" s="165">
        <v>2722151</v>
      </c>
    </row>
    <row r="41" spans="1:30" s="136" customFormat="1" ht="21.75" customHeight="1">
      <c r="A41" s="942" t="s">
        <v>49</v>
      </c>
      <c r="B41" s="978"/>
      <c r="C41" s="419">
        <v>113932</v>
      </c>
      <c r="D41" s="419">
        <v>98636</v>
      </c>
      <c r="E41" s="419">
        <v>212568</v>
      </c>
      <c r="F41" s="419">
        <v>3393</v>
      </c>
      <c r="G41" s="419">
        <v>6127</v>
      </c>
      <c r="H41" s="419">
        <v>9520</v>
      </c>
      <c r="I41" s="419">
        <v>2325040</v>
      </c>
      <c r="J41" s="419">
        <v>2892713</v>
      </c>
      <c r="K41" s="419">
        <v>5217753</v>
      </c>
      <c r="L41" s="419">
        <v>17854294</v>
      </c>
      <c r="M41" s="419">
        <v>16284939</v>
      </c>
      <c r="N41" s="419">
        <v>34139233</v>
      </c>
      <c r="O41" s="419">
        <v>130028</v>
      </c>
      <c r="P41" s="419">
        <v>104755</v>
      </c>
      <c r="Q41" s="419">
        <v>234783</v>
      </c>
      <c r="R41" s="419">
        <v>1860546</v>
      </c>
      <c r="S41" s="419">
        <v>1055899</v>
      </c>
      <c r="T41" s="419">
        <v>2916445</v>
      </c>
      <c r="U41" s="419">
        <v>40558</v>
      </c>
      <c r="V41" s="419">
        <v>36742</v>
      </c>
      <c r="W41" s="419">
        <v>77300</v>
      </c>
      <c r="X41" s="419">
        <v>248598</v>
      </c>
      <c r="Y41" s="419">
        <v>211981</v>
      </c>
      <c r="Z41" s="419">
        <v>460579</v>
      </c>
      <c r="AA41" s="419">
        <v>22576389</v>
      </c>
      <c r="AB41" s="419">
        <v>20691792</v>
      </c>
      <c r="AC41" s="419">
        <v>43268181</v>
      </c>
      <c r="AD41" s="133"/>
    </row>
  </sheetData>
  <mergeCells count="13">
    <mergeCell ref="A41:B41"/>
    <mergeCell ref="A2:A3"/>
    <mergeCell ref="B2:B3"/>
    <mergeCell ref="C2:E2"/>
    <mergeCell ref="F2:H2"/>
    <mergeCell ref="U2:W2"/>
    <mergeCell ref="X2:Z2"/>
    <mergeCell ref="AA2:AC2"/>
    <mergeCell ref="L1:S1"/>
    <mergeCell ref="I2:K2"/>
    <mergeCell ref="L2:N2"/>
    <mergeCell ref="O2:Q2"/>
    <mergeCell ref="R2:T2"/>
  </mergeCells>
  <printOptions horizontalCentered="1"/>
  <pageMargins left="0.35" right="0.15748031496062992" top="0.51181102362204722" bottom="0.39370078740157483" header="0.19685039370078741" footer="0.15748031496062992"/>
  <pageSetup paperSize="9" scale="80" firstPageNumber="5" orientation="portrait" useFirstPageNumber="1" r:id="rId1"/>
  <headerFooter>
    <oddFooter>&amp;L&amp;"Arial,Italic"&amp;9AISHE 2021-22&amp;CT-6</oddFooter>
  </headerFooter>
  <colBreaks count="2" manualBreakCount="2">
    <brk id="11" max="38" man="1"/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43"/>
  <sheetViews>
    <sheetView view="pageBreakPreview" zoomScaleSheetLayoutView="100" workbookViewId="0">
      <pane xSplit="2" ySplit="3" topLeftCell="O4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"/>
  <cols>
    <col min="1" max="1" width="6.140625" style="513" customWidth="1"/>
    <col min="2" max="2" width="23.42578125" style="128" customWidth="1"/>
    <col min="3" max="29" width="10.85546875" style="128" customWidth="1"/>
    <col min="30" max="16384" width="9.28515625" style="128"/>
  </cols>
  <sheetData>
    <row r="1" spans="1:29" s="129" customFormat="1" ht="39.6" customHeight="1">
      <c r="A1" s="436"/>
      <c r="B1" s="80" t="s">
        <v>151</v>
      </c>
      <c r="C1" s="130" t="s">
        <v>1069</v>
      </c>
      <c r="L1" s="130" t="str">
        <f>C1</f>
        <v>State-wise Enrolment through Regular Mode at various levels (including Estimation)</v>
      </c>
      <c r="O1" s="130"/>
      <c r="U1" s="130" t="str">
        <f>C1</f>
        <v>State-wise Enrolment through Regular Mode at various levels (including Estimation)</v>
      </c>
    </row>
    <row r="2" spans="1:29" s="137" customFormat="1" ht="24.75" customHeight="1">
      <c r="A2" s="967" t="s">
        <v>988</v>
      </c>
      <c r="B2" s="968" t="s">
        <v>168</v>
      </c>
      <c r="C2" s="979" t="s">
        <v>89</v>
      </c>
      <c r="D2" s="980"/>
      <c r="E2" s="981"/>
      <c r="F2" s="979" t="s">
        <v>90</v>
      </c>
      <c r="G2" s="980"/>
      <c r="H2" s="981"/>
      <c r="I2" s="979" t="s">
        <v>85</v>
      </c>
      <c r="J2" s="980"/>
      <c r="K2" s="981"/>
      <c r="L2" s="979" t="s">
        <v>86</v>
      </c>
      <c r="M2" s="980"/>
      <c r="N2" s="981"/>
      <c r="O2" s="979" t="s">
        <v>91</v>
      </c>
      <c r="P2" s="980"/>
      <c r="Q2" s="981"/>
      <c r="R2" s="979" t="s">
        <v>92</v>
      </c>
      <c r="S2" s="980"/>
      <c r="T2" s="981"/>
      <c r="U2" s="979" t="s">
        <v>93</v>
      </c>
      <c r="V2" s="980"/>
      <c r="W2" s="981"/>
      <c r="X2" s="979" t="s">
        <v>94</v>
      </c>
      <c r="Y2" s="980"/>
      <c r="Z2" s="981"/>
      <c r="AA2" s="979" t="s">
        <v>60</v>
      </c>
      <c r="AB2" s="980"/>
      <c r="AC2" s="981"/>
    </row>
    <row r="3" spans="1:29" s="124" customFormat="1" ht="24.75" customHeight="1">
      <c r="A3" s="967"/>
      <c r="B3" s="968"/>
      <c r="C3" s="772" t="s">
        <v>87</v>
      </c>
      <c r="D3" s="772" t="s">
        <v>88</v>
      </c>
      <c r="E3" s="772" t="s">
        <v>12</v>
      </c>
      <c r="F3" s="772" t="s">
        <v>87</v>
      </c>
      <c r="G3" s="772" t="s">
        <v>88</v>
      </c>
      <c r="H3" s="772" t="s">
        <v>12</v>
      </c>
      <c r="I3" s="772" t="s">
        <v>87</v>
      </c>
      <c r="J3" s="772" t="s">
        <v>88</v>
      </c>
      <c r="K3" s="772" t="s">
        <v>12</v>
      </c>
      <c r="L3" s="772" t="s">
        <v>87</v>
      </c>
      <c r="M3" s="772" t="s">
        <v>88</v>
      </c>
      <c r="N3" s="772" t="s">
        <v>12</v>
      </c>
      <c r="O3" s="772" t="s">
        <v>87</v>
      </c>
      <c r="P3" s="772" t="s">
        <v>88</v>
      </c>
      <c r="Q3" s="772" t="s">
        <v>12</v>
      </c>
      <c r="R3" s="772" t="s">
        <v>87</v>
      </c>
      <c r="S3" s="772" t="s">
        <v>88</v>
      </c>
      <c r="T3" s="772" t="s">
        <v>12</v>
      </c>
      <c r="U3" s="772" t="s">
        <v>87</v>
      </c>
      <c r="V3" s="772" t="s">
        <v>88</v>
      </c>
      <c r="W3" s="772" t="s">
        <v>12</v>
      </c>
      <c r="X3" s="772" t="s">
        <v>87</v>
      </c>
      <c r="Y3" s="772" t="s">
        <v>88</v>
      </c>
      <c r="Z3" s="772" t="s">
        <v>12</v>
      </c>
      <c r="AA3" s="772" t="s">
        <v>87</v>
      </c>
      <c r="AB3" s="772" t="s">
        <v>88</v>
      </c>
      <c r="AC3" s="772" t="s">
        <v>12</v>
      </c>
    </row>
    <row r="4" spans="1:29" s="139" customFormat="1" ht="16.5" customHeight="1">
      <c r="A4" s="514">
        <v>1</v>
      </c>
      <c r="B4" s="138">
        <v>2</v>
      </c>
      <c r="C4" s="422">
        <v>3</v>
      </c>
      <c r="D4" s="422">
        <v>4</v>
      </c>
      <c r="E4" s="422">
        <v>5</v>
      </c>
      <c r="F4" s="422">
        <v>6</v>
      </c>
      <c r="G4" s="422">
        <v>7</v>
      </c>
      <c r="H4" s="422">
        <v>8</v>
      </c>
      <c r="I4" s="422">
        <v>9</v>
      </c>
      <c r="J4" s="422">
        <v>10</v>
      </c>
      <c r="K4" s="422">
        <v>11</v>
      </c>
      <c r="L4" s="422">
        <v>12</v>
      </c>
      <c r="M4" s="422">
        <v>13</v>
      </c>
      <c r="N4" s="422">
        <v>14</v>
      </c>
      <c r="O4" s="422">
        <v>15</v>
      </c>
      <c r="P4" s="422">
        <v>16</v>
      </c>
      <c r="Q4" s="422">
        <v>17</v>
      </c>
      <c r="R4" s="422">
        <v>18</v>
      </c>
      <c r="S4" s="422">
        <v>19</v>
      </c>
      <c r="T4" s="422">
        <v>20</v>
      </c>
      <c r="U4" s="422">
        <v>21</v>
      </c>
      <c r="V4" s="422">
        <v>22</v>
      </c>
      <c r="W4" s="422">
        <v>23</v>
      </c>
      <c r="X4" s="422">
        <v>24</v>
      </c>
      <c r="Y4" s="422">
        <v>25</v>
      </c>
      <c r="Z4" s="422">
        <v>26</v>
      </c>
      <c r="AA4" s="422">
        <v>27</v>
      </c>
      <c r="AB4" s="422">
        <v>28</v>
      </c>
      <c r="AC4" s="422">
        <v>29</v>
      </c>
    </row>
    <row r="5" spans="1:29" s="124" customFormat="1" ht="26.25" customHeight="1">
      <c r="A5" s="125">
        <v>1</v>
      </c>
      <c r="B5" s="420" t="s">
        <v>1061</v>
      </c>
      <c r="C5" s="423">
        <v>5</v>
      </c>
      <c r="D5" s="423">
        <v>9</v>
      </c>
      <c r="E5" s="423">
        <v>14</v>
      </c>
      <c r="F5" s="423"/>
      <c r="G5" s="423"/>
      <c r="H5" s="423"/>
      <c r="I5" s="423">
        <v>69</v>
      </c>
      <c r="J5" s="423">
        <v>283</v>
      </c>
      <c r="K5" s="423">
        <v>352</v>
      </c>
      <c r="L5" s="423">
        <v>2259</v>
      </c>
      <c r="M5" s="423">
        <v>3231</v>
      </c>
      <c r="N5" s="423">
        <v>5490</v>
      </c>
      <c r="O5" s="423"/>
      <c r="P5" s="423"/>
      <c r="Q5" s="423"/>
      <c r="R5" s="423">
        <v>544</v>
      </c>
      <c r="S5" s="423">
        <v>377</v>
      </c>
      <c r="T5" s="423">
        <v>921</v>
      </c>
      <c r="U5" s="423">
        <v>39</v>
      </c>
      <c r="V5" s="423">
        <v>33</v>
      </c>
      <c r="W5" s="423">
        <v>72</v>
      </c>
      <c r="X5" s="423">
        <v>193</v>
      </c>
      <c r="Y5" s="423">
        <v>355</v>
      </c>
      <c r="Z5" s="423">
        <v>548</v>
      </c>
      <c r="AA5" s="423">
        <f>C5+F5+I5+L5+O5+R5+U5+X5</f>
        <v>3109</v>
      </c>
      <c r="AB5" s="423">
        <f>D5+G5+J5+M5+P5+S5+V5+Y5</f>
        <v>4288</v>
      </c>
      <c r="AC5" s="423">
        <f>AA5+AB5</f>
        <v>7397</v>
      </c>
    </row>
    <row r="6" spans="1:29" s="124" customFormat="1" ht="26.25" customHeight="1">
      <c r="A6" s="125">
        <v>2</v>
      </c>
      <c r="B6" s="421" t="s">
        <v>15</v>
      </c>
      <c r="C6" s="423">
        <v>3237</v>
      </c>
      <c r="D6" s="423">
        <v>2346</v>
      </c>
      <c r="E6" s="423">
        <v>5583</v>
      </c>
      <c r="F6" s="423">
        <v>7</v>
      </c>
      <c r="G6" s="423">
        <v>16</v>
      </c>
      <c r="H6" s="423">
        <v>23</v>
      </c>
      <c r="I6" s="423">
        <v>74588</v>
      </c>
      <c r="J6" s="423">
        <v>75554</v>
      </c>
      <c r="K6" s="423">
        <v>150142</v>
      </c>
      <c r="L6" s="423">
        <v>732340</v>
      </c>
      <c r="M6" s="423">
        <v>671641</v>
      </c>
      <c r="N6" s="423">
        <v>1403981</v>
      </c>
      <c r="O6" s="423">
        <v>268</v>
      </c>
      <c r="P6" s="423">
        <v>165</v>
      </c>
      <c r="Q6" s="423">
        <v>433</v>
      </c>
      <c r="R6" s="423">
        <v>95018</v>
      </c>
      <c r="S6" s="423">
        <v>61430</v>
      </c>
      <c r="T6" s="423">
        <v>156448</v>
      </c>
      <c r="U6" s="423">
        <v>185</v>
      </c>
      <c r="V6" s="423">
        <v>47</v>
      </c>
      <c r="W6" s="423">
        <v>232</v>
      </c>
      <c r="X6" s="423">
        <v>6754</v>
      </c>
      <c r="Y6" s="423">
        <v>3762</v>
      </c>
      <c r="Z6" s="423">
        <v>10516</v>
      </c>
      <c r="AA6" s="423">
        <f t="shared" ref="AA6:AA41" si="0">C6+F6+I6+L6+O6+R6+U6+X6</f>
        <v>912397</v>
      </c>
      <c r="AB6" s="423">
        <f t="shared" ref="AB6:AB41" si="1">D6+G6+J6+M6+P6+S6+V6+Y6</f>
        <v>814961</v>
      </c>
      <c r="AC6" s="423">
        <f t="shared" ref="AC6:AC41" si="2">AA6+AB6</f>
        <v>1727358</v>
      </c>
    </row>
    <row r="7" spans="1:29" s="124" customFormat="1" ht="26.25" customHeight="1">
      <c r="A7" s="125">
        <v>3</v>
      </c>
      <c r="B7" s="421" t="s">
        <v>16</v>
      </c>
      <c r="C7" s="423">
        <v>441</v>
      </c>
      <c r="D7" s="423">
        <v>240</v>
      </c>
      <c r="E7" s="423">
        <v>681</v>
      </c>
      <c r="F7" s="423"/>
      <c r="G7" s="423"/>
      <c r="H7" s="423"/>
      <c r="I7" s="423">
        <v>4482</v>
      </c>
      <c r="J7" s="423">
        <v>3399</v>
      </c>
      <c r="K7" s="423">
        <v>7881</v>
      </c>
      <c r="L7" s="423">
        <v>22113</v>
      </c>
      <c r="M7" s="423">
        <v>17705</v>
      </c>
      <c r="N7" s="423">
        <v>39818</v>
      </c>
      <c r="O7" s="423">
        <v>126</v>
      </c>
      <c r="P7" s="423">
        <v>80</v>
      </c>
      <c r="Q7" s="423">
        <v>206</v>
      </c>
      <c r="R7" s="423">
        <v>1315</v>
      </c>
      <c r="S7" s="423">
        <v>1224</v>
      </c>
      <c r="T7" s="423">
        <v>2539</v>
      </c>
      <c r="U7" s="423">
        <v>329</v>
      </c>
      <c r="V7" s="423">
        <v>163</v>
      </c>
      <c r="W7" s="423">
        <v>492</v>
      </c>
      <c r="X7" s="423">
        <v>1163</v>
      </c>
      <c r="Y7" s="423">
        <v>715</v>
      </c>
      <c r="Z7" s="423">
        <v>1878</v>
      </c>
      <c r="AA7" s="423">
        <f t="shared" si="0"/>
        <v>29969</v>
      </c>
      <c r="AB7" s="423">
        <f t="shared" si="1"/>
        <v>23526</v>
      </c>
      <c r="AC7" s="423">
        <f t="shared" si="2"/>
        <v>53495</v>
      </c>
    </row>
    <row r="8" spans="1:29" s="124" customFormat="1" ht="26.25" customHeight="1">
      <c r="A8" s="125">
        <v>4</v>
      </c>
      <c r="B8" s="421" t="s">
        <v>17</v>
      </c>
      <c r="C8" s="423">
        <v>3140</v>
      </c>
      <c r="D8" s="423">
        <v>2230</v>
      </c>
      <c r="E8" s="423">
        <v>5370</v>
      </c>
      <c r="F8" s="423">
        <v>82</v>
      </c>
      <c r="G8" s="423">
        <v>132</v>
      </c>
      <c r="H8" s="423">
        <v>214</v>
      </c>
      <c r="I8" s="423">
        <v>13937</v>
      </c>
      <c r="J8" s="423">
        <v>21079</v>
      </c>
      <c r="K8" s="423">
        <v>35016</v>
      </c>
      <c r="L8" s="423">
        <v>273527</v>
      </c>
      <c r="M8" s="423">
        <v>281870</v>
      </c>
      <c r="N8" s="423">
        <v>555397</v>
      </c>
      <c r="O8" s="423">
        <v>344</v>
      </c>
      <c r="P8" s="423">
        <v>596</v>
      </c>
      <c r="Q8" s="423">
        <v>940</v>
      </c>
      <c r="R8" s="423">
        <v>12540</v>
      </c>
      <c r="S8" s="423">
        <v>9134</v>
      </c>
      <c r="T8" s="423">
        <v>21674</v>
      </c>
      <c r="U8" s="423">
        <v>82</v>
      </c>
      <c r="V8" s="423">
        <v>671</v>
      </c>
      <c r="W8" s="423">
        <v>753</v>
      </c>
      <c r="X8" s="423">
        <v>2571</v>
      </c>
      <c r="Y8" s="423">
        <v>2913</v>
      </c>
      <c r="Z8" s="423">
        <v>5484</v>
      </c>
      <c r="AA8" s="423">
        <f t="shared" si="0"/>
        <v>306223</v>
      </c>
      <c r="AB8" s="423">
        <f t="shared" si="1"/>
        <v>318625</v>
      </c>
      <c r="AC8" s="423">
        <f t="shared" si="2"/>
        <v>624848</v>
      </c>
    </row>
    <row r="9" spans="1:29" s="124" customFormat="1" ht="26.25" customHeight="1">
      <c r="A9" s="125">
        <v>5</v>
      </c>
      <c r="B9" s="421" t="s">
        <v>18</v>
      </c>
      <c r="C9" s="423">
        <v>3720</v>
      </c>
      <c r="D9" s="423">
        <v>1854</v>
      </c>
      <c r="E9" s="423">
        <v>5574</v>
      </c>
      <c r="F9" s="423"/>
      <c r="G9" s="423"/>
      <c r="H9" s="423"/>
      <c r="I9" s="423">
        <v>55008</v>
      </c>
      <c r="J9" s="423">
        <v>51023</v>
      </c>
      <c r="K9" s="423">
        <v>106031</v>
      </c>
      <c r="L9" s="423">
        <v>1215443</v>
      </c>
      <c r="M9" s="423">
        <v>995154</v>
      </c>
      <c r="N9" s="423">
        <v>2210597</v>
      </c>
      <c r="O9" s="423">
        <v>853</v>
      </c>
      <c r="P9" s="423">
        <v>388</v>
      </c>
      <c r="Q9" s="423">
        <v>1241</v>
      </c>
      <c r="R9" s="423">
        <v>65340</v>
      </c>
      <c r="S9" s="423">
        <v>53248</v>
      </c>
      <c r="T9" s="423">
        <v>118588</v>
      </c>
      <c r="U9" s="423">
        <v>1417</v>
      </c>
      <c r="V9" s="423">
        <v>1292</v>
      </c>
      <c r="W9" s="423">
        <v>2709</v>
      </c>
      <c r="X9" s="423">
        <v>2809</v>
      </c>
      <c r="Y9" s="423">
        <v>1640</v>
      </c>
      <c r="Z9" s="423">
        <v>4449</v>
      </c>
      <c r="AA9" s="423">
        <f t="shared" si="0"/>
        <v>1344590</v>
      </c>
      <c r="AB9" s="423">
        <f t="shared" si="1"/>
        <v>1104599</v>
      </c>
      <c r="AC9" s="423">
        <f t="shared" si="2"/>
        <v>2449189</v>
      </c>
    </row>
    <row r="10" spans="1:29" s="124" customFormat="1" ht="26.25" customHeight="1">
      <c r="A10" s="125">
        <v>6</v>
      </c>
      <c r="B10" s="421" t="s">
        <v>19</v>
      </c>
      <c r="C10" s="423">
        <v>343</v>
      </c>
      <c r="D10" s="423">
        <v>454</v>
      </c>
      <c r="E10" s="423">
        <v>797</v>
      </c>
      <c r="F10" s="423">
        <v>19</v>
      </c>
      <c r="G10" s="423">
        <v>25</v>
      </c>
      <c r="H10" s="423">
        <v>44</v>
      </c>
      <c r="I10" s="423">
        <v>4632</v>
      </c>
      <c r="J10" s="423">
        <v>8047</v>
      </c>
      <c r="K10" s="423">
        <v>12679</v>
      </c>
      <c r="L10" s="423">
        <v>25943</v>
      </c>
      <c r="M10" s="423">
        <v>28584</v>
      </c>
      <c r="N10" s="423">
        <v>54527</v>
      </c>
      <c r="O10" s="423">
        <v>243</v>
      </c>
      <c r="P10" s="423">
        <v>397</v>
      </c>
      <c r="Q10" s="423">
        <v>640</v>
      </c>
      <c r="R10" s="423">
        <v>1745</v>
      </c>
      <c r="S10" s="423">
        <v>1367</v>
      </c>
      <c r="T10" s="423">
        <v>3112</v>
      </c>
      <c r="U10" s="423">
        <v>306</v>
      </c>
      <c r="V10" s="423">
        <v>276</v>
      </c>
      <c r="W10" s="423">
        <v>582</v>
      </c>
      <c r="X10" s="423">
        <v>1123</v>
      </c>
      <c r="Y10" s="423">
        <v>1418</v>
      </c>
      <c r="Z10" s="423">
        <v>2541</v>
      </c>
      <c r="AA10" s="423">
        <f t="shared" si="0"/>
        <v>34354</v>
      </c>
      <c r="AB10" s="423">
        <f t="shared" si="1"/>
        <v>40568</v>
      </c>
      <c r="AC10" s="423">
        <f t="shared" si="2"/>
        <v>74922</v>
      </c>
    </row>
    <row r="11" spans="1:29" s="124" customFormat="1" ht="26.25" customHeight="1">
      <c r="A11" s="125">
        <v>7</v>
      </c>
      <c r="B11" s="421" t="s">
        <v>20</v>
      </c>
      <c r="C11" s="423">
        <v>920</v>
      </c>
      <c r="D11" s="423">
        <v>917</v>
      </c>
      <c r="E11" s="423">
        <v>1837</v>
      </c>
      <c r="F11" s="423">
        <v>4</v>
      </c>
      <c r="G11" s="423">
        <v>8</v>
      </c>
      <c r="H11" s="423">
        <v>12</v>
      </c>
      <c r="I11" s="423">
        <v>27658</v>
      </c>
      <c r="J11" s="423">
        <v>44742</v>
      </c>
      <c r="K11" s="423">
        <v>72400</v>
      </c>
      <c r="L11" s="423">
        <v>215787</v>
      </c>
      <c r="M11" s="423">
        <v>267762</v>
      </c>
      <c r="N11" s="423">
        <v>483549</v>
      </c>
      <c r="O11" s="423">
        <v>5742</v>
      </c>
      <c r="P11" s="423">
        <v>6344</v>
      </c>
      <c r="Q11" s="423">
        <v>12086</v>
      </c>
      <c r="R11" s="423">
        <v>21386</v>
      </c>
      <c r="S11" s="423">
        <v>15254</v>
      </c>
      <c r="T11" s="423">
        <v>36640</v>
      </c>
      <c r="U11" s="423">
        <v>226</v>
      </c>
      <c r="V11" s="423">
        <v>428</v>
      </c>
      <c r="W11" s="423">
        <v>654</v>
      </c>
      <c r="X11" s="423">
        <v>2690</v>
      </c>
      <c r="Y11" s="423">
        <v>2409</v>
      </c>
      <c r="Z11" s="423">
        <v>5099</v>
      </c>
      <c r="AA11" s="423">
        <f t="shared" si="0"/>
        <v>274413</v>
      </c>
      <c r="AB11" s="423">
        <f t="shared" si="1"/>
        <v>337864</v>
      </c>
      <c r="AC11" s="423">
        <f t="shared" si="2"/>
        <v>612277</v>
      </c>
    </row>
    <row r="12" spans="1:29" s="124" customFormat="1" ht="26.25" customHeight="1">
      <c r="A12" s="125">
        <v>8</v>
      </c>
      <c r="B12" s="421" t="s">
        <v>23</v>
      </c>
      <c r="C12" s="423">
        <v>7533</v>
      </c>
      <c r="D12" s="423">
        <v>6561</v>
      </c>
      <c r="E12" s="423">
        <v>14094</v>
      </c>
      <c r="F12" s="423">
        <v>716</v>
      </c>
      <c r="G12" s="423">
        <v>761</v>
      </c>
      <c r="H12" s="423">
        <v>1477</v>
      </c>
      <c r="I12" s="423">
        <v>22132</v>
      </c>
      <c r="J12" s="423">
        <v>22665</v>
      </c>
      <c r="K12" s="423">
        <v>44797</v>
      </c>
      <c r="L12" s="423">
        <v>179180</v>
      </c>
      <c r="M12" s="423">
        <v>197718</v>
      </c>
      <c r="N12" s="423">
        <v>376898</v>
      </c>
      <c r="O12" s="423">
        <v>3763</v>
      </c>
      <c r="P12" s="423">
        <v>2519</v>
      </c>
      <c r="Q12" s="423">
        <v>6282</v>
      </c>
      <c r="R12" s="423">
        <v>14930</v>
      </c>
      <c r="S12" s="423">
        <v>11747</v>
      </c>
      <c r="T12" s="423">
        <v>26677</v>
      </c>
      <c r="U12" s="423">
        <v>1311</v>
      </c>
      <c r="V12" s="423">
        <v>1066</v>
      </c>
      <c r="W12" s="423">
        <v>2377</v>
      </c>
      <c r="X12" s="423">
        <v>3785</v>
      </c>
      <c r="Y12" s="423">
        <v>2349</v>
      </c>
      <c r="Z12" s="423">
        <v>6134</v>
      </c>
      <c r="AA12" s="423">
        <f t="shared" si="0"/>
        <v>233350</v>
      </c>
      <c r="AB12" s="423">
        <f t="shared" si="1"/>
        <v>245386</v>
      </c>
      <c r="AC12" s="423">
        <f t="shared" si="2"/>
        <v>478736</v>
      </c>
    </row>
    <row r="13" spans="1:29" s="124" customFormat="1" ht="26.25" customHeight="1">
      <c r="A13" s="125">
        <v>9</v>
      </c>
      <c r="B13" s="421" t="s">
        <v>24</v>
      </c>
      <c r="C13" s="423">
        <v>494</v>
      </c>
      <c r="D13" s="423">
        <v>407</v>
      </c>
      <c r="E13" s="423">
        <v>901</v>
      </c>
      <c r="F13" s="423">
        <v>10</v>
      </c>
      <c r="G13" s="423"/>
      <c r="H13" s="423">
        <v>10</v>
      </c>
      <c r="I13" s="423">
        <v>2710</v>
      </c>
      <c r="J13" s="423">
        <v>3680</v>
      </c>
      <c r="K13" s="423">
        <v>6390</v>
      </c>
      <c r="L13" s="423">
        <v>20831</v>
      </c>
      <c r="M13" s="423">
        <v>21355</v>
      </c>
      <c r="N13" s="423">
        <v>42186</v>
      </c>
      <c r="O13" s="423">
        <v>48</v>
      </c>
      <c r="P13" s="423">
        <v>56</v>
      </c>
      <c r="Q13" s="423">
        <v>104</v>
      </c>
      <c r="R13" s="423">
        <v>6490</v>
      </c>
      <c r="S13" s="423">
        <v>945</v>
      </c>
      <c r="T13" s="423">
        <v>7435</v>
      </c>
      <c r="U13" s="423">
        <v>12</v>
      </c>
      <c r="V13" s="423"/>
      <c r="W13" s="423">
        <v>12</v>
      </c>
      <c r="X13" s="423">
        <v>1581</v>
      </c>
      <c r="Y13" s="423">
        <v>1221</v>
      </c>
      <c r="Z13" s="423">
        <v>2802</v>
      </c>
      <c r="AA13" s="423">
        <f t="shared" si="0"/>
        <v>32176</v>
      </c>
      <c r="AB13" s="423">
        <f t="shared" si="1"/>
        <v>27664</v>
      </c>
      <c r="AC13" s="423">
        <f t="shared" si="2"/>
        <v>59840</v>
      </c>
    </row>
    <row r="14" spans="1:29" s="124" customFormat="1" ht="26.25" customHeight="1">
      <c r="A14" s="125">
        <v>10</v>
      </c>
      <c r="B14" s="421" t="s">
        <v>25</v>
      </c>
      <c r="C14" s="423">
        <v>4799</v>
      </c>
      <c r="D14" s="423">
        <v>3734</v>
      </c>
      <c r="E14" s="423">
        <v>8533</v>
      </c>
      <c r="F14" s="423">
        <v>35</v>
      </c>
      <c r="G14" s="423">
        <v>29</v>
      </c>
      <c r="H14" s="423">
        <v>64</v>
      </c>
      <c r="I14" s="423">
        <v>85479</v>
      </c>
      <c r="J14" s="423">
        <v>98232</v>
      </c>
      <c r="K14" s="423">
        <v>183711</v>
      </c>
      <c r="L14" s="423">
        <v>718541</v>
      </c>
      <c r="M14" s="423">
        <v>555620</v>
      </c>
      <c r="N14" s="423">
        <v>1274161</v>
      </c>
      <c r="O14" s="423">
        <v>3499</v>
      </c>
      <c r="P14" s="423">
        <v>3585</v>
      </c>
      <c r="Q14" s="423">
        <v>7084</v>
      </c>
      <c r="R14" s="423">
        <v>109442</v>
      </c>
      <c r="S14" s="423">
        <v>54406</v>
      </c>
      <c r="T14" s="423">
        <v>163848</v>
      </c>
      <c r="U14" s="423">
        <v>3245</v>
      </c>
      <c r="V14" s="423">
        <v>2666</v>
      </c>
      <c r="W14" s="423">
        <v>5911</v>
      </c>
      <c r="X14" s="423">
        <v>12359</v>
      </c>
      <c r="Y14" s="423">
        <v>10484</v>
      </c>
      <c r="Z14" s="423">
        <v>22843</v>
      </c>
      <c r="AA14" s="423">
        <f t="shared" si="0"/>
        <v>937399</v>
      </c>
      <c r="AB14" s="423">
        <f t="shared" si="1"/>
        <v>728756</v>
      </c>
      <c r="AC14" s="423">
        <f t="shared" si="2"/>
        <v>1666155</v>
      </c>
    </row>
    <row r="15" spans="1:29" s="124" customFormat="1" ht="26.25" customHeight="1">
      <c r="A15" s="125">
        <v>11</v>
      </c>
      <c r="B15" s="421" t="s">
        <v>26</v>
      </c>
      <c r="C15" s="423">
        <v>1784</v>
      </c>
      <c r="D15" s="423">
        <v>2385</v>
      </c>
      <c r="E15" s="423">
        <v>4169</v>
      </c>
      <c r="F15" s="423">
        <v>16</v>
      </c>
      <c r="G15" s="423">
        <v>32</v>
      </c>
      <c r="H15" s="423">
        <v>48</v>
      </c>
      <c r="I15" s="423">
        <v>36383</v>
      </c>
      <c r="J15" s="423">
        <v>65311</v>
      </c>
      <c r="K15" s="423">
        <v>101694</v>
      </c>
      <c r="L15" s="423">
        <v>325470</v>
      </c>
      <c r="M15" s="423">
        <v>359870</v>
      </c>
      <c r="N15" s="423">
        <v>685340</v>
      </c>
      <c r="O15" s="423">
        <v>1282</v>
      </c>
      <c r="P15" s="423">
        <v>1407</v>
      </c>
      <c r="Q15" s="423">
        <v>2689</v>
      </c>
      <c r="R15" s="423">
        <v>63214</v>
      </c>
      <c r="S15" s="423">
        <v>29622</v>
      </c>
      <c r="T15" s="423">
        <v>92836</v>
      </c>
      <c r="U15" s="423">
        <v>277</v>
      </c>
      <c r="V15" s="423">
        <v>511</v>
      </c>
      <c r="W15" s="423">
        <v>788</v>
      </c>
      <c r="X15" s="423">
        <v>11781</v>
      </c>
      <c r="Y15" s="423">
        <v>9648</v>
      </c>
      <c r="Z15" s="423">
        <v>21429</v>
      </c>
      <c r="AA15" s="423">
        <f t="shared" si="0"/>
        <v>440207</v>
      </c>
      <c r="AB15" s="423">
        <f t="shared" si="1"/>
        <v>468786</v>
      </c>
      <c r="AC15" s="423">
        <f t="shared" si="2"/>
        <v>908993</v>
      </c>
    </row>
    <row r="16" spans="1:29" s="124" customFormat="1" ht="26.25" customHeight="1">
      <c r="A16" s="125">
        <v>12</v>
      </c>
      <c r="B16" s="421" t="s">
        <v>27</v>
      </c>
      <c r="C16" s="423">
        <v>1028</v>
      </c>
      <c r="D16" s="423">
        <v>1055</v>
      </c>
      <c r="E16" s="423">
        <v>2083</v>
      </c>
      <c r="F16" s="423">
        <v>44</v>
      </c>
      <c r="G16" s="423">
        <v>38</v>
      </c>
      <c r="H16" s="423">
        <v>82</v>
      </c>
      <c r="I16" s="423">
        <v>8188</v>
      </c>
      <c r="J16" s="423">
        <v>12123</v>
      </c>
      <c r="K16" s="423">
        <v>20311</v>
      </c>
      <c r="L16" s="423">
        <v>96407</v>
      </c>
      <c r="M16" s="423">
        <v>122052</v>
      </c>
      <c r="N16" s="423">
        <v>218459</v>
      </c>
      <c r="O16" s="423">
        <v>774</v>
      </c>
      <c r="P16" s="423">
        <v>785</v>
      </c>
      <c r="Q16" s="423">
        <v>1559</v>
      </c>
      <c r="R16" s="423">
        <v>8774</v>
      </c>
      <c r="S16" s="423">
        <v>7243</v>
      </c>
      <c r="T16" s="423">
        <v>16017</v>
      </c>
      <c r="U16" s="423">
        <v>333</v>
      </c>
      <c r="V16" s="423">
        <v>204</v>
      </c>
      <c r="W16" s="423">
        <v>537</v>
      </c>
      <c r="X16" s="423">
        <v>1504</v>
      </c>
      <c r="Y16" s="423">
        <v>1101</v>
      </c>
      <c r="Z16" s="423">
        <v>2605</v>
      </c>
      <c r="AA16" s="423">
        <f t="shared" si="0"/>
        <v>117052</v>
      </c>
      <c r="AB16" s="423">
        <f t="shared" si="1"/>
        <v>144601</v>
      </c>
      <c r="AC16" s="423">
        <f t="shared" si="2"/>
        <v>261653</v>
      </c>
    </row>
    <row r="17" spans="1:29" s="124" customFormat="1" ht="26.25" customHeight="1">
      <c r="A17" s="125">
        <v>13</v>
      </c>
      <c r="B17" s="421" t="s">
        <v>57</v>
      </c>
      <c r="C17" s="423">
        <v>1879</v>
      </c>
      <c r="D17" s="423">
        <v>1923</v>
      </c>
      <c r="E17" s="423">
        <v>3802</v>
      </c>
      <c r="F17" s="423">
        <v>41</v>
      </c>
      <c r="G17" s="423">
        <v>82</v>
      </c>
      <c r="H17" s="423">
        <v>123</v>
      </c>
      <c r="I17" s="423">
        <v>9318</v>
      </c>
      <c r="J17" s="423">
        <v>11831</v>
      </c>
      <c r="K17" s="423">
        <v>21149</v>
      </c>
      <c r="L17" s="423">
        <v>105063</v>
      </c>
      <c r="M17" s="423">
        <v>115560</v>
      </c>
      <c r="N17" s="423">
        <v>220623</v>
      </c>
      <c r="O17" s="423">
        <v>193</v>
      </c>
      <c r="P17" s="423">
        <v>119</v>
      </c>
      <c r="Q17" s="423">
        <v>312</v>
      </c>
      <c r="R17" s="423">
        <v>8876</v>
      </c>
      <c r="S17" s="423">
        <v>10500</v>
      </c>
      <c r="T17" s="423">
        <v>19376</v>
      </c>
      <c r="U17" s="423">
        <v>330</v>
      </c>
      <c r="V17" s="423">
        <v>334</v>
      </c>
      <c r="W17" s="423">
        <v>664</v>
      </c>
      <c r="X17" s="423">
        <v>4188</v>
      </c>
      <c r="Y17" s="423">
        <v>4959</v>
      </c>
      <c r="Z17" s="423">
        <v>9147</v>
      </c>
      <c r="AA17" s="423">
        <f t="shared" si="0"/>
        <v>129888</v>
      </c>
      <c r="AB17" s="423">
        <f t="shared" si="1"/>
        <v>145308</v>
      </c>
      <c r="AC17" s="423">
        <f t="shared" si="2"/>
        <v>275196</v>
      </c>
    </row>
    <row r="18" spans="1:29" s="124" customFormat="1" ht="26.25" customHeight="1">
      <c r="A18" s="125">
        <v>14</v>
      </c>
      <c r="B18" s="421" t="s">
        <v>29</v>
      </c>
      <c r="C18" s="423">
        <v>2039</v>
      </c>
      <c r="D18" s="423">
        <v>1113</v>
      </c>
      <c r="E18" s="423">
        <v>3152</v>
      </c>
      <c r="F18" s="423">
        <v>14</v>
      </c>
      <c r="G18" s="423">
        <v>66</v>
      </c>
      <c r="H18" s="423">
        <v>80</v>
      </c>
      <c r="I18" s="423">
        <v>39362</v>
      </c>
      <c r="J18" s="423">
        <v>51804</v>
      </c>
      <c r="K18" s="423">
        <v>91166</v>
      </c>
      <c r="L18" s="423">
        <v>339281</v>
      </c>
      <c r="M18" s="423">
        <v>335898</v>
      </c>
      <c r="N18" s="423">
        <v>675179</v>
      </c>
      <c r="O18" s="423">
        <v>922</v>
      </c>
      <c r="P18" s="423">
        <v>644</v>
      </c>
      <c r="Q18" s="423">
        <v>1566</v>
      </c>
      <c r="R18" s="423">
        <v>31070</v>
      </c>
      <c r="S18" s="423">
        <v>14704</v>
      </c>
      <c r="T18" s="423">
        <v>45774</v>
      </c>
      <c r="U18" s="423">
        <v>906</v>
      </c>
      <c r="V18" s="423">
        <v>440</v>
      </c>
      <c r="W18" s="423">
        <v>1346</v>
      </c>
      <c r="X18" s="423">
        <v>2248</v>
      </c>
      <c r="Y18" s="423">
        <v>1247</v>
      </c>
      <c r="Z18" s="423">
        <v>3495</v>
      </c>
      <c r="AA18" s="423">
        <f t="shared" si="0"/>
        <v>415842</v>
      </c>
      <c r="AB18" s="423">
        <f t="shared" si="1"/>
        <v>405916</v>
      </c>
      <c r="AC18" s="423">
        <f t="shared" si="2"/>
        <v>821758</v>
      </c>
    </row>
    <row r="19" spans="1:29" s="124" customFormat="1" ht="26.25" customHeight="1">
      <c r="A19" s="125">
        <v>15</v>
      </c>
      <c r="B19" s="421" t="s">
        <v>30</v>
      </c>
      <c r="C19" s="423">
        <v>6045</v>
      </c>
      <c r="D19" s="423">
        <v>5148</v>
      </c>
      <c r="E19" s="423">
        <v>11193</v>
      </c>
      <c r="F19" s="423">
        <v>44</v>
      </c>
      <c r="G19" s="423">
        <v>183</v>
      </c>
      <c r="H19" s="423">
        <v>227</v>
      </c>
      <c r="I19" s="423">
        <v>95606</v>
      </c>
      <c r="J19" s="423">
        <v>125215</v>
      </c>
      <c r="K19" s="423">
        <v>220821</v>
      </c>
      <c r="L19" s="423">
        <v>956933</v>
      </c>
      <c r="M19" s="423">
        <v>911611</v>
      </c>
      <c r="N19" s="423">
        <v>1868544</v>
      </c>
      <c r="O19" s="423">
        <v>2152</v>
      </c>
      <c r="P19" s="423">
        <v>1887</v>
      </c>
      <c r="Q19" s="423">
        <v>4039</v>
      </c>
      <c r="R19" s="423">
        <v>133878</v>
      </c>
      <c r="S19" s="423">
        <v>93733</v>
      </c>
      <c r="T19" s="423">
        <v>227611</v>
      </c>
      <c r="U19" s="423">
        <v>1525</v>
      </c>
      <c r="V19" s="423">
        <v>1053</v>
      </c>
      <c r="W19" s="423">
        <v>2578</v>
      </c>
      <c r="X19" s="423">
        <v>8761</v>
      </c>
      <c r="Y19" s="423">
        <v>7961</v>
      </c>
      <c r="Z19" s="423">
        <v>16722</v>
      </c>
      <c r="AA19" s="423">
        <f t="shared" si="0"/>
        <v>1204944</v>
      </c>
      <c r="AB19" s="423">
        <f t="shared" si="1"/>
        <v>1146791</v>
      </c>
      <c r="AC19" s="423">
        <f t="shared" si="2"/>
        <v>2351735</v>
      </c>
    </row>
    <row r="20" spans="1:29" s="124" customFormat="1" ht="26.25" customHeight="1">
      <c r="A20" s="125">
        <v>16</v>
      </c>
      <c r="B20" s="421" t="s">
        <v>31</v>
      </c>
      <c r="C20" s="423">
        <v>3387</v>
      </c>
      <c r="D20" s="423">
        <v>5747</v>
      </c>
      <c r="E20" s="423">
        <v>9134</v>
      </c>
      <c r="F20" s="423">
        <v>75</v>
      </c>
      <c r="G20" s="423">
        <v>281</v>
      </c>
      <c r="H20" s="423">
        <v>356</v>
      </c>
      <c r="I20" s="423">
        <v>28742</v>
      </c>
      <c r="J20" s="423">
        <v>84826</v>
      </c>
      <c r="K20" s="423">
        <v>113568</v>
      </c>
      <c r="L20" s="423">
        <v>331883</v>
      </c>
      <c r="M20" s="423">
        <v>457455</v>
      </c>
      <c r="N20" s="423">
        <v>789338</v>
      </c>
      <c r="O20" s="423">
        <v>488</v>
      </c>
      <c r="P20" s="423">
        <v>825</v>
      </c>
      <c r="Q20" s="423">
        <v>1313</v>
      </c>
      <c r="R20" s="423">
        <v>53417</v>
      </c>
      <c r="S20" s="423">
        <v>34828</v>
      </c>
      <c r="T20" s="423">
        <v>88245</v>
      </c>
      <c r="U20" s="423">
        <v>393</v>
      </c>
      <c r="V20" s="423">
        <v>614</v>
      </c>
      <c r="W20" s="423">
        <v>1007</v>
      </c>
      <c r="X20" s="423">
        <v>5115</v>
      </c>
      <c r="Y20" s="423">
        <v>7009</v>
      </c>
      <c r="Z20" s="423">
        <v>12124</v>
      </c>
      <c r="AA20" s="423">
        <f t="shared" si="0"/>
        <v>423500</v>
      </c>
      <c r="AB20" s="423">
        <f t="shared" si="1"/>
        <v>591585</v>
      </c>
      <c r="AC20" s="423">
        <f t="shared" si="2"/>
        <v>1015085</v>
      </c>
    </row>
    <row r="21" spans="1:29" s="124" customFormat="1" ht="26.25" customHeight="1">
      <c r="A21" s="125">
        <v>17</v>
      </c>
      <c r="B21" s="414" t="s">
        <v>154</v>
      </c>
      <c r="C21" s="423">
        <v>15</v>
      </c>
      <c r="D21" s="423">
        <v>3</v>
      </c>
      <c r="E21" s="423">
        <v>18</v>
      </c>
      <c r="F21" s="423"/>
      <c r="G21" s="423"/>
      <c r="H21" s="423"/>
      <c r="I21" s="423">
        <v>148</v>
      </c>
      <c r="J21" s="423">
        <v>315</v>
      </c>
      <c r="K21" s="423">
        <v>463</v>
      </c>
      <c r="L21" s="423">
        <v>1187</v>
      </c>
      <c r="M21" s="423">
        <v>2103</v>
      </c>
      <c r="N21" s="423">
        <v>3290</v>
      </c>
      <c r="O21" s="423"/>
      <c r="P21" s="423"/>
      <c r="Q21" s="423"/>
      <c r="R21" s="423">
        <v>191</v>
      </c>
      <c r="S21" s="423">
        <v>301</v>
      </c>
      <c r="T21" s="423">
        <v>492</v>
      </c>
      <c r="U21" s="423"/>
      <c r="V21" s="423"/>
      <c r="W21" s="423"/>
      <c r="X21" s="423"/>
      <c r="Y21" s="423"/>
      <c r="Z21" s="423"/>
      <c r="AA21" s="423">
        <f t="shared" si="0"/>
        <v>1541</v>
      </c>
      <c r="AB21" s="423">
        <f t="shared" si="1"/>
        <v>2722</v>
      </c>
      <c r="AC21" s="423">
        <f t="shared" si="2"/>
        <v>4263</v>
      </c>
    </row>
    <row r="22" spans="1:29" s="124" customFormat="1" ht="26.25" customHeight="1">
      <c r="A22" s="125">
        <v>18</v>
      </c>
      <c r="B22" s="421" t="s">
        <v>32</v>
      </c>
      <c r="C22" s="423">
        <v>0</v>
      </c>
      <c r="D22" s="423"/>
      <c r="E22" s="423"/>
      <c r="F22" s="423"/>
      <c r="G22" s="423"/>
      <c r="H22" s="423"/>
      <c r="I22" s="423"/>
      <c r="J22" s="423"/>
      <c r="K22" s="423"/>
      <c r="L22" s="423">
        <v>14</v>
      </c>
      <c r="M22" s="423">
        <v>74</v>
      </c>
      <c r="N22" s="423">
        <v>88</v>
      </c>
      <c r="O22" s="423"/>
      <c r="P22" s="423"/>
      <c r="Q22" s="423"/>
      <c r="R22" s="423"/>
      <c r="S22" s="423"/>
      <c r="T22" s="423"/>
      <c r="U22" s="423"/>
      <c r="V22" s="423"/>
      <c r="W22" s="423"/>
      <c r="X22" s="423"/>
      <c r="Y22" s="423"/>
      <c r="Z22" s="423"/>
      <c r="AA22" s="423">
        <f t="shared" si="0"/>
        <v>14</v>
      </c>
      <c r="AB22" s="423">
        <f t="shared" si="1"/>
        <v>74</v>
      </c>
      <c r="AC22" s="423">
        <f t="shared" si="2"/>
        <v>88</v>
      </c>
    </row>
    <row r="23" spans="1:29" s="124" customFormat="1" ht="26.25" customHeight="1">
      <c r="A23" s="125">
        <v>19</v>
      </c>
      <c r="B23" s="421" t="s">
        <v>33</v>
      </c>
      <c r="C23" s="423">
        <v>4283</v>
      </c>
      <c r="D23" s="423">
        <v>3571</v>
      </c>
      <c r="E23" s="423">
        <v>7854</v>
      </c>
      <c r="F23" s="423"/>
      <c r="G23" s="423">
        <v>16</v>
      </c>
      <c r="H23" s="423">
        <v>16</v>
      </c>
      <c r="I23" s="423">
        <v>175029</v>
      </c>
      <c r="J23" s="423">
        <v>210899</v>
      </c>
      <c r="K23" s="423">
        <v>385928</v>
      </c>
      <c r="L23" s="423">
        <v>1024315</v>
      </c>
      <c r="M23" s="423">
        <v>878890</v>
      </c>
      <c r="N23" s="423">
        <v>1903205</v>
      </c>
      <c r="O23" s="423">
        <v>20910</v>
      </c>
      <c r="P23" s="423">
        <v>20158</v>
      </c>
      <c r="Q23" s="423">
        <v>41068</v>
      </c>
      <c r="R23" s="423">
        <v>113570</v>
      </c>
      <c r="S23" s="423">
        <v>60431</v>
      </c>
      <c r="T23" s="423">
        <v>174001</v>
      </c>
      <c r="U23" s="423">
        <v>1492</v>
      </c>
      <c r="V23" s="423">
        <v>834</v>
      </c>
      <c r="W23" s="423">
        <v>2326</v>
      </c>
      <c r="X23" s="423">
        <v>19680</v>
      </c>
      <c r="Y23" s="423">
        <v>15653</v>
      </c>
      <c r="Z23" s="423">
        <v>35333</v>
      </c>
      <c r="AA23" s="423">
        <f t="shared" si="0"/>
        <v>1359279</v>
      </c>
      <c r="AB23" s="423">
        <f t="shared" si="1"/>
        <v>1190452</v>
      </c>
      <c r="AC23" s="423">
        <f t="shared" si="2"/>
        <v>2549731</v>
      </c>
    </row>
    <row r="24" spans="1:29" s="124" customFormat="1" ht="26.25" customHeight="1">
      <c r="A24" s="125">
        <v>20</v>
      </c>
      <c r="B24" s="421" t="s">
        <v>34</v>
      </c>
      <c r="C24" s="423">
        <v>10115</v>
      </c>
      <c r="D24" s="423">
        <v>7717</v>
      </c>
      <c r="E24" s="423">
        <v>17832</v>
      </c>
      <c r="F24" s="423">
        <v>121</v>
      </c>
      <c r="G24" s="423">
        <v>69</v>
      </c>
      <c r="H24" s="423">
        <v>190</v>
      </c>
      <c r="I24" s="423">
        <v>218375</v>
      </c>
      <c r="J24" s="423">
        <v>239841</v>
      </c>
      <c r="K24" s="423">
        <v>458216</v>
      </c>
      <c r="L24" s="423">
        <v>1644217</v>
      </c>
      <c r="M24" s="423">
        <v>1349613</v>
      </c>
      <c r="N24" s="423">
        <v>2993830</v>
      </c>
      <c r="O24" s="423">
        <v>10543</v>
      </c>
      <c r="P24" s="423">
        <v>8326</v>
      </c>
      <c r="Q24" s="423">
        <v>18869</v>
      </c>
      <c r="R24" s="423">
        <v>216851</v>
      </c>
      <c r="S24" s="423">
        <v>145671</v>
      </c>
      <c r="T24" s="423">
        <v>362522</v>
      </c>
      <c r="U24" s="423">
        <v>3135</v>
      </c>
      <c r="V24" s="423">
        <v>3013</v>
      </c>
      <c r="W24" s="423">
        <v>6148</v>
      </c>
      <c r="X24" s="423">
        <v>10636</v>
      </c>
      <c r="Y24" s="423">
        <v>9599</v>
      </c>
      <c r="Z24" s="423">
        <v>20235</v>
      </c>
      <c r="AA24" s="423">
        <f t="shared" si="0"/>
        <v>2113993</v>
      </c>
      <c r="AB24" s="423">
        <f t="shared" si="1"/>
        <v>1763849</v>
      </c>
      <c r="AC24" s="423">
        <f t="shared" si="2"/>
        <v>3877842</v>
      </c>
    </row>
    <row r="25" spans="1:29" s="124" customFormat="1" ht="26.25" customHeight="1">
      <c r="A25" s="125">
        <v>21</v>
      </c>
      <c r="B25" s="421" t="s">
        <v>35</v>
      </c>
      <c r="C25" s="423">
        <v>725</v>
      </c>
      <c r="D25" s="423">
        <v>723</v>
      </c>
      <c r="E25" s="423">
        <v>1448</v>
      </c>
      <c r="F25" s="423"/>
      <c r="G25" s="423">
        <v>6</v>
      </c>
      <c r="H25" s="423">
        <v>6</v>
      </c>
      <c r="I25" s="423">
        <v>3211</v>
      </c>
      <c r="J25" s="423">
        <v>3989</v>
      </c>
      <c r="K25" s="423">
        <v>7200</v>
      </c>
      <c r="L25" s="423">
        <v>57000</v>
      </c>
      <c r="M25" s="423">
        <v>53650</v>
      </c>
      <c r="N25" s="423">
        <v>110650</v>
      </c>
      <c r="O25" s="423">
        <v>526</v>
      </c>
      <c r="P25" s="423">
        <v>394</v>
      </c>
      <c r="Q25" s="423">
        <v>920</v>
      </c>
      <c r="R25" s="423">
        <v>1635</v>
      </c>
      <c r="S25" s="423">
        <v>2902</v>
      </c>
      <c r="T25" s="423">
        <v>4537</v>
      </c>
      <c r="U25" s="423">
        <v>161</v>
      </c>
      <c r="V25" s="423">
        <v>125</v>
      </c>
      <c r="W25" s="423">
        <v>286</v>
      </c>
      <c r="X25" s="423"/>
      <c r="Y25" s="423"/>
      <c r="Z25" s="423"/>
      <c r="AA25" s="423">
        <f t="shared" si="0"/>
        <v>63258</v>
      </c>
      <c r="AB25" s="423">
        <f t="shared" si="1"/>
        <v>61789</v>
      </c>
      <c r="AC25" s="423">
        <f t="shared" si="2"/>
        <v>125047</v>
      </c>
    </row>
    <row r="26" spans="1:29" s="124" customFormat="1" ht="26.25" customHeight="1">
      <c r="A26" s="125">
        <v>22</v>
      </c>
      <c r="B26" s="421" t="s">
        <v>36</v>
      </c>
      <c r="C26" s="423">
        <v>458</v>
      </c>
      <c r="D26" s="423">
        <v>331</v>
      </c>
      <c r="E26" s="423">
        <v>789</v>
      </c>
      <c r="F26" s="423">
        <v>1</v>
      </c>
      <c r="G26" s="423">
        <v>2</v>
      </c>
      <c r="H26" s="423">
        <v>3</v>
      </c>
      <c r="I26" s="423">
        <v>4340</v>
      </c>
      <c r="J26" s="423">
        <v>6303</v>
      </c>
      <c r="K26" s="423">
        <v>10643</v>
      </c>
      <c r="L26" s="423">
        <v>34345</v>
      </c>
      <c r="M26" s="423">
        <v>39778</v>
      </c>
      <c r="N26" s="423">
        <v>74123</v>
      </c>
      <c r="O26" s="423">
        <v>184</v>
      </c>
      <c r="P26" s="423">
        <v>284</v>
      </c>
      <c r="Q26" s="423">
        <v>468</v>
      </c>
      <c r="R26" s="423">
        <v>981</v>
      </c>
      <c r="S26" s="423">
        <v>1980</v>
      </c>
      <c r="T26" s="423">
        <v>2961</v>
      </c>
      <c r="U26" s="423">
        <v>31</v>
      </c>
      <c r="V26" s="423">
        <v>55</v>
      </c>
      <c r="W26" s="423">
        <v>86</v>
      </c>
      <c r="X26" s="423">
        <v>203</v>
      </c>
      <c r="Y26" s="423">
        <v>180</v>
      </c>
      <c r="Z26" s="423">
        <v>383</v>
      </c>
      <c r="AA26" s="423">
        <f t="shared" si="0"/>
        <v>40543</v>
      </c>
      <c r="AB26" s="423">
        <f t="shared" si="1"/>
        <v>48913</v>
      </c>
      <c r="AC26" s="423">
        <f t="shared" si="2"/>
        <v>89456</v>
      </c>
    </row>
    <row r="27" spans="1:29" s="124" customFormat="1" ht="26.25" customHeight="1">
      <c r="A27" s="125">
        <v>23</v>
      </c>
      <c r="B27" s="421" t="s">
        <v>37</v>
      </c>
      <c r="C27" s="423">
        <v>634</v>
      </c>
      <c r="D27" s="423">
        <v>565</v>
      </c>
      <c r="E27" s="423">
        <v>1199</v>
      </c>
      <c r="F27" s="423"/>
      <c r="G27" s="423"/>
      <c r="H27" s="423"/>
      <c r="I27" s="423">
        <v>1266</v>
      </c>
      <c r="J27" s="423">
        <v>1572</v>
      </c>
      <c r="K27" s="423">
        <v>2838</v>
      </c>
      <c r="L27" s="423">
        <v>14289</v>
      </c>
      <c r="M27" s="423">
        <v>13432</v>
      </c>
      <c r="N27" s="423">
        <v>27721</v>
      </c>
      <c r="O27" s="423"/>
      <c r="P27" s="423"/>
      <c r="Q27" s="423"/>
      <c r="R27" s="423">
        <v>3179</v>
      </c>
      <c r="S27" s="423">
        <v>3516</v>
      </c>
      <c r="T27" s="423">
        <v>6695</v>
      </c>
      <c r="U27" s="423"/>
      <c r="V27" s="423"/>
      <c r="W27" s="423"/>
      <c r="X27" s="423">
        <v>15</v>
      </c>
      <c r="Y27" s="423">
        <v>10</v>
      </c>
      <c r="Z27" s="423">
        <v>25</v>
      </c>
      <c r="AA27" s="423">
        <f t="shared" si="0"/>
        <v>19383</v>
      </c>
      <c r="AB27" s="423">
        <f t="shared" si="1"/>
        <v>19095</v>
      </c>
      <c r="AC27" s="423">
        <f t="shared" si="2"/>
        <v>38478</v>
      </c>
    </row>
    <row r="28" spans="1:29" s="124" customFormat="1" ht="26.25" customHeight="1">
      <c r="A28" s="125">
        <v>24</v>
      </c>
      <c r="B28" s="421" t="s">
        <v>38</v>
      </c>
      <c r="C28" s="423">
        <v>290</v>
      </c>
      <c r="D28" s="423">
        <v>330</v>
      </c>
      <c r="E28" s="423">
        <v>620</v>
      </c>
      <c r="F28" s="423">
        <v>12</v>
      </c>
      <c r="G28" s="423">
        <v>6</v>
      </c>
      <c r="H28" s="423">
        <v>18</v>
      </c>
      <c r="I28" s="423">
        <v>2181</v>
      </c>
      <c r="J28" s="423">
        <v>3138</v>
      </c>
      <c r="K28" s="423">
        <v>5319</v>
      </c>
      <c r="L28" s="423">
        <v>18191</v>
      </c>
      <c r="M28" s="423">
        <v>19839</v>
      </c>
      <c r="N28" s="423">
        <v>38030</v>
      </c>
      <c r="O28" s="423">
        <v>2</v>
      </c>
      <c r="P28" s="423">
        <v>7</v>
      </c>
      <c r="Q28" s="423">
        <v>9</v>
      </c>
      <c r="R28" s="423">
        <v>851</v>
      </c>
      <c r="S28" s="423">
        <v>1309</v>
      </c>
      <c r="T28" s="423">
        <v>2160</v>
      </c>
      <c r="U28" s="423">
        <v>310</v>
      </c>
      <c r="V28" s="423">
        <v>276</v>
      </c>
      <c r="W28" s="423">
        <v>586</v>
      </c>
      <c r="X28" s="423"/>
      <c r="Y28" s="423"/>
      <c r="Z28" s="423"/>
      <c r="AA28" s="423">
        <f t="shared" si="0"/>
        <v>21837</v>
      </c>
      <c r="AB28" s="423">
        <f t="shared" si="1"/>
        <v>24905</v>
      </c>
      <c r="AC28" s="423">
        <f t="shared" si="2"/>
        <v>46742</v>
      </c>
    </row>
    <row r="29" spans="1:29" s="124" customFormat="1" ht="26.25" customHeight="1">
      <c r="A29" s="125">
        <v>25</v>
      </c>
      <c r="B29" s="421" t="s">
        <v>39</v>
      </c>
      <c r="C29" s="423">
        <v>2668</v>
      </c>
      <c r="D29" s="423">
        <v>1550</v>
      </c>
      <c r="E29" s="423">
        <v>4218</v>
      </c>
      <c r="F29" s="423">
        <v>269</v>
      </c>
      <c r="G29" s="423">
        <v>303</v>
      </c>
      <c r="H29" s="423">
        <v>572</v>
      </c>
      <c r="I29" s="423">
        <v>42106</v>
      </c>
      <c r="J29" s="423">
        <v>38558</v>
      </c>
      <c r="K29" s="423">
        <v>80664</v>
      </c>
      <c r="L29" s="423">
        <v>385015</v>
      </c>
      <c r="M29" s="423">
        <v>367241</v>
      </c>
      <c r="N29" s="423">
        <v>752256</v>
      </c>
      <c r="O29" s="423">
        <v>1571</v>
      </c>
      <c r="P29" s="423">
        <v>951</v>
      </c>
      <c r="Q29" s="423">
        <v>2522</v>
      </c>
      <c r="R29" s="423">
        <v>103357</v>
      </c>
      <c r="S29" s="423">
        <v>44714</v>
      </c>
      <c r="T29" s="423">
        <v>148071</v>
      </c>
      <c r="U29" s="423">
        <v>651</v>
      </c>
      <c r="V29" s="423">
        <v>899</v>
      </c>
      <c r="W29" s="423">
        <v>1550</v>
      </c>
      <c r="X29" s="423">
        <v>5769</v>
      </c>
      <c r="Y29" s="423">
        <v>5898</v>
      </c>
      <c r="Z29" s="423">
        <v>11667</v>
      </c>
      <c r="AA29" s="423">
        <f t="shared" si="0"/>
        <v>541406</v>
      </c>
      <c r="AB29" s="423">
        <f t="shared" si="1"/>
        <v>460114</v>
      </c>
      <c r="AC29" s="423">
        <f t="shared" si="2"/>
        <v>1001520</v>
      </c>
    </row>
    <row r="30" spans="1:29" s="124" customFormat="1" ht="26.25" customHeight="1">
      <c r="A30" s="125">
        <v>26</v>
      </c>
      <c r="B30" s="421" t="s">
        <v>40</v>
      </c>
      <c r="C30" s="423">
        <v>325</v>
      </c>
      <c r="D30" s="423">
        <v>278</v>
      </c>
      <c r="E30" s="423">
        <v>603</v>
      </c>
      <c r="F30" s="423"/>
      <c r="G30" s="423"/>
      <c r="H30" s="423"/>
      <c r="I30" s="423">
        <v>5816</v>
      </c>
      <c r="J30" s="423">
        <v>7279</v>
      </c>
      <c r="K30" s="423">
        <v>13095</v>
      </c>
      <c r="L30" s="423">
        <v>27912</v>
      </c>
      <c r="M30" s="423">
        <v>33533</v>
      </c>
      <c r="N30" s="423">
        <v>61445</v>
      </c>
      <c r="O30" s="423">
        <v>29</v>
      </c>
      <c r="P30" s="423">
        <v>25</v>
      </c>
      <c r="Q30" s="423">
        <v>54</v>
      </c>
      <c r="R30" s="423">
        <v>2438</v>
      </c>
      <c r="S30" s="423">
        <v>1357</v>
      </c>
      <c r="T30" s="423">
        <v>3795</v>
      </c>
      <c r="U30" s="423">
        <v>11</v>
      </c>
      <c r="V30" s="423">
        <v>8</v>
      </c>
      <c r="W30" s="423">
        <v>19</v>
      </c>
      <c r="X30" s="423">
        <v>556</v>
      </c>
      <c r="Y30" s="423">
        <v>943</v>
      </c>
      <c r="Z30" s="423">
        <v>1499</v>
      </c>
      <c r="AA30" s="423">
        <f t="shared" si="0"/>
        <v>37087</v>
      </c>
      <c r="AB30" s="423">
        <f t="shared" si="1"/>
        <v>43423</v>
      </c>
      <c r="AC30" s="423">
        <f t="shared" si="2"/>
        <v>80510</v>
      </c>
    </row>
    <row r="31" spans="1:29" s="124" customFormat="1" ht="26.25" customHeight="1">
      <c r="A31" s="125">
        <v>27</v>
      </c>
      <c r="B31" s="421" t="s">
        <v>41</v>
      </c>
      <c r="C31" s="423">
        <v>4946</v>
      </c>
      <c r="D31" s="423">
        <v>5379</v>
      </c>
      <c r="E31" s="423">
        <v>10325</v>
      </c>
      <c r="F31" s="423">
        <v>28</v>
      </c>
      <c r="G31" s="423">
        <v>41</v>
      </c>
      <c r="H31" s="423">
        <v>69</v>
      </c>
      <c r="I31" s="423">
        <v>30259</v>
      </c>
      <c r="J31" s="423">
        <v>47297</v>
      </c>
      <c r="K31" s="423">
        <v>77556</v>
      </c>
      <c r="L31" s="423">
        <v>294665</v>
      </c>
      <c r="M31" s="423">
        <v>273859</v>
      </c>
      <c r="N31" s="423">
        <v>568524</v>
      </c>
      <c r="O31" s="423">
        <v>2393</v>
      </c>
      <c r="P31" s="423">
        <v>3043</v>
      </c>
      <c r="Q31" s="423">
        <v>5436</v>
      </c>
      <c r="R31" s="423">
        <v>46133</v>
      </c>
      <c r="S31" s="423">
        <v>38572</v>
      </c>
      <c r="T31" s="423">
        <v>84705</v>
      </c>
      <c r="U31" s="423">
        <v>743</v>
      </c>
      <c r="V31" s="423">
        <v>946</v>
      </c>
      <c r="W31" s="423">
        <v>1689</v>
      </c>
      <c r="X31" s="423">
        <v>9479</v>
      </c>
      <c r="Y31" s="423">
        <v>11546</v>
      </c>
      <c r="Z31" s="423">
        <v>21025</v>
      </c>
      <c r="AA31" s="423">
        <f t="shared" si="0"/>
        <v>388646</v>
      </c>
      <c r="AB31" s="423">
        <f t="shared" si="1"/>
        <v>380683</v>
      </c>
      <c r="AC31" s="423">
        <f t="shared" si="2"/>
        <v>769329</v>
      </c>
    </row>
    <row r="32" spans="1:29" s="124" customFormat="1" ht="26.25" customHeight="1">
      <c r="A32" s="125">
        <v>28</v>
      </c>
      <c r="B32" s="421" t="s">
        <v>42</v>
      </c>
      <c r="C32" s="423">
        <v>6913</v>
      </c>
      <c r="D32" s="423">
        <v>6915</v>
      </c>
      <c r="E32" s="423">
        <v>13828</v>
      </c>
      <c r="F32" s="423">
        <v>145</v>
      </c>
      <c r="G32" s="423">
        <v>161</v>
      </c>
      <c r="H32" s="423">
        <v>306</v>
      </c>
      <c r="I32" s="423">
        <v>78165</v>
      </c>
      <c r="J32" s="423">
        <v>118470</v>
      </c>
      <c r="K32" s="423">
        <v>196635</v>
      </c>
      <c r="L32" s="423">
        <v>962373</v>
      </c>
      <c r="M32" s="423">
        <v>887207</v>
      </c>
      <c r="N32" s="423">
        <v>1849580</v>
      </c>
      <c r="O32" s="423">
        <v>4565</v>
      </c>
      <c r="P32" s="423">
        <v>2972</v>
      </c>
      <c r="Q32" s="423">
        <v>7537</v>
      </c>
      <c r="R32" s="423">
        <v>79581</v>
      </c>
      <c r="S32" s="423">
        <v>31614</v>
      </c>
      <c r="T32" s="423">
        <v>111195</v>
      </c>
      <c r="U32" s="423">
        <v>1869</v>
      </c>
      <c r="V32" s="423">
        <v>1824</v>
      </c>
      <c r="W32" s="423">
        <v>3693</v>
      </c>
      <c r="X32" s="423">
        <v>64924</v>
      </c>
      <c r="Y32" s="423">
        <v>61038</v>
      </c>
      <c r="Z32" s="423">
        <v>125962</v>
      </c>
      <c r="AA32" s="423">
        <f t="shared" si="0"/>
        <v>1198535</v>
      </c>
      <c r="AB32" s="423">
        <f t="shared" si="1"/>
        <v>1110201</v>
      </c>
      <c r="AC32" s="423">
        <f t="shared" si="2"/>
        <v>2308736</v>
      </c>
    </row>
    <row r="33" spans="1:29" s="124" customFormat="1" ht="26.25" customHeight="1">
      <c r="A33" s="125">
        <v>29</v>
      </c>
      <c r="B33" s="421" t="s">
        <v>43</v>
      </c>
      <c r="C33" s="423">
        <v>337</v>
      </c>
      <c r="D33" s="423">
        <v>315</v>
      </c>
      <c r="E33" s="423">
        <v>652</v>
      </c>
      <c r="F33" s="423">
        <v>18</v>
      </c>
      <c r="G33" s="423">
        <v>25</v>
      </c>
      <c r="H33" s="423">
        <v>43</v>
      </c>
      <c r="I33" s="423">
        <v>1419</v>
      </c>
      <c r="J33" s="423">
        <v>1834</v>
      </c>
      <c r="K33" s="423">
        <v>3253</v>
      </c>
      <c r="L33" s="423">
        <v>10510</v>
      </c>
      <c r="M33" s="423">
        <v>10268</v>
      </c>
      <c r="N33" s="423">
        <v>20778</v>
      </c>
      <c r="O33" s="423"/>
      <c r="P33" s="423"/>
      <c r="Q33" s="423"/>
      <c r="R33" s="423">
        <v>985</v>
      </c>
      <c r="S33" s="423">
        <v>704</v>
      </c>
      <c r="T33" s="423">
        <v>1689</v>
      </c>
      <c r="U33" s="423">
        <v>50</v>
      </c>
      <c r="V33" s="423">
        <v>5</v>
      </c>
      <c r="W33" s="423">
        <v>55</v>
      </c>
      <c r="X33" s="423">
        <v>168</v>
      </c>
      <c r="Y33" s="423">
        <v>251</v>
      </c>
      <c r="Z33" s="423">
        <v>419</v>
      </c>
      <c r="AA33" s="423">
        <f t="shared" si="0"/>
        <v>13487</v>
      </c>
      <c r="AB33" s="423">
        <f t="shared" si="1"/>
        <v>13402</v>
      </c>
      <c r="AC33" s="423">
        <f t="shared" si="2"/>
        <v>26889</v>
      </c>
    </row>
    <row r="34" spans="1:29" s="124" customFormat="1" ht="26.25" customHeight="1">
      <c r="A34" s="125">
        <v>30</v>
      </c>
      <c r="B34" s="421" t="s">
        <v>44</v>
      </c>
      <c r="C34" s="423">
        <v>13457</v>
      </c>
      <c r="D34" s="423">
        <v>15410</v>
      </c>
      <c r="E34" s="423">
        <v>28867</v>
      </c>
      <c r="F34" s="423">
        <v>925</v>
      </c>
      <c r="G34" s="423">
        <v>3116</v>
      </c>
      <c r="H34" s="423">
        <v>4041</v>
      </c>
      <c r="I34" s="423">
        <v>128774</v>
      </c>
      <c r="J34" s="423">
        <v>187831</v>
      </c>
      <c r="K34" s="423">
        <v>316605</v>
      </c>
      <c r="L34" s="423">
        <v>1154063</v>
      </c>
      <c r="M34" s="423">
        <v>1164935</v>
      </c>
      <c r="N34" s="423">
        <v>2318998</v>
      </c>
      <c r="O34" s="423">
        <v>1619</v>
      </c>
      <c r="P34" s="423">
        <v>1571</v>
      </c>
      <c r="Q34" s="423">
        <v>3190</v>
      </c>
      <c r="R34" s="423">
        <v>209584</v>
      </c>
      <c r="S34" s="423">
        <v>45232</v>
      </c>
      <c r="T34" s="423">
        <v>254816</v>
      </c>
      <c r="U34" s="423">
        <v>1563</v>
      </c>
      <c r="V34" s="423">
        <v>3377</v>
      </c>
      <c r="W34" s="423">
        <v>4940</v>
      </c>
      <c r="X34" s="423">
        <v>12906</v>
      </c>
      <c r="Y34" s="423">
        <v>13317</v>
      </c>
      <c r="Z34" s="423">
        <v>26223</v>
      </c>
      <c r="AA34" s="423">
        <f t="shared" si="0"/>
        <v>1522891</v>
      </c>
      <c r="AB34" s="423">
        <f t="shared" si="1"/>
        <v>1434789</v>
      </c>
      <c r="AC34" s="423">
        <f t="shared" si="2"/>
        <v>2957680</v>
      </c>
    </row>
    <row r="35" spans="1:29" s="124" customFormat="1" ht="26.25" customHeight="1">
      <c r="A35" s="125">
        <v>31</v>
      </c>
      <c r="B35" s="421" t="s">
        <v>131</v>
      </c>
      <c r="C35" s="423">
        <v>4412</v>
      </c>
      <c r="D35" s="423">
        <v>2509</v>
      </c>
      <c r="E35" s="423">
        <v>6921</v>
      </c>
      <c r="F35" s="423">
        <v>37</v>
      </c>
      <c r="G35" s="423">
        <v>34</v>
      </c>
      <c r="H35" s="423">
        <v>71</v>
      </c>
      <c r="I35" s="423">
        <v>70558</v>
      </c>
      <c r="J35" s="423">
        <v>92350</v>
      </c>
      <c r="K35" s="423">
        <v>162908</v>
      </c>
      <c r="L35" s="423">
        <v>586900</v>
      </c>
      <c r="M35" s="423">
        <v>599875</v>
      </c>
      <c r="N35" s="423">
        <v>1186775</v>
      </c>
      <c r="O35" s="423">
        <v>2166</v>
      </c>
      <c r="P35" s="423">
        <v>1885</v>
      </c>
      <c r="Q35" s="423">
        <v>4051</v>
      </c>
      <c r="R35" s="423">
        <v>48977</v>
      </c>
      <c r="S35" s="423">
        <v>40528</v>
      </c>
      <c r="T35" s="423">
        <v>89505</v>
      </c>
      <c r="U35" s="423">
        <v>1054</v>
      </c>
      <c r="V35" s="423">
        <v>277</v>
      </c>
      <c r="W35" s="423">
        <v>1331</v>
      </c>
      <c r="X35" s="423">
        <v>4538</v>
      </c>
      <c r="Y35" s="423">
        <v>3081</v>
      </c>
      <c r="Z35" s="423">
        <v>7619</v>
      </c>
      <c r="AA35" s="423">
        <f t="shared" si="0"/>
        <v>718642</v>
      </c>
      <c r="AB35" s="423">
        <f t="shared" si="1"/>
        <v>740539</v>
      </c>
      <c r="AC35" s="423">
        <f t="shared" si="2"/>
        <v>1459181</v>
      </c>
    </row>
    <row r="36" spans="1:29" s="124" customFormat="1" ht="26.25" customHeight="1">
      <c r="A36" s="125">
        <v>32</v>
      </c>
      <c r="B36" s="420" t="s">
        <v>1062</v>
      </c>
      <c r="C36" s="423">
        <v>0</v>
      </c>
      <c r="D36" s="423"/>
      <c r="E36" s="423">
        <v>0</v>
      </c>
      <c r="F36" s="423"/>
      <c r="G36" s="423"/>
      <c r="H36" s="423"/>
      <c r="I36" s="423">
        <v>305</v>
      </c>
      <c r="J36" s="423">
        <v>543</v>
      </c>
      <c r="K36" s="423">
        <v>848</v>
      </c>
      <c r="L36" s="423">
        <v>4656</v>
      </c>
      <c r="M36" s="423">
        <v>5103</v>
      </c>
      <c r="N36" s="423">
        <v>9759</v>
      </c>
      <c r="O36" s="423"/>
      <c r="P36" s="423"/>
      <c r="Q36" s="423"/>
      <c r="R36" s="423">
        <v>1686</v>
      </c>
      <c r="S36" s="423">
        <v>422</v>
      </c>
      <c r="T36" s="423">
        <v>2108</v>
      </c>
      <c r="U36" s="423"/>
      <c r="V36" s="423"/>
      <c r="W36" s="423"/>
      <c r="X36" s="423">
        <v>36</v>
      </c>
      <c r="Y36" s="423">
        <v>54</v>
      </c>
      <c r="Z36" s="423">
        <v>90</v>
      </c>
      <c r="AA36" s="423">
        <f t="shared" si="0"/>
        <v>6683</v>
      </c>
      <c r="AB36" s="423">
        <f t="shared" si="1"/>
        <v>6122</v>
      </c>
      <c r="AC36" s="423">
        <f t="shared" si="2"/>
        <v>12805</v>
      </c>
    </row>
    <row r="37" spans="1:29" s="124" customFormat="1" ht="26.25" customHeight="1">
      <c r="A37" s="125">
        <v>33</v>
      </c>
      <c r="B37" s="421" t="s">
        <v>45</v>
      </c>
      <c r="C37" s="423">
        <v>286</v>
      </c>
      <c r="D37" s="423">
        <v>173</v>
      </c>
      <c r="E37" s="423">
        <v>459</v>
      </c>
      <c r="F37" s="423">
        <v>2</v>
      </c>
      <c r="G37" s="423">
        <v>10</v>
      </c>
      <c r="H37" s="423">
        <v>12</v>
      </c>
      <c r="I37" s="423">
        <v>2429</v>
      </c>
      <c r="J37" s="423">
        <v>2468</v>
      </c>
      <c r="K37" s="423">
        <v>4897</v>
      </c>
      <c r="L37" s="423">
        <v>42285</v>
      </c>
      <c r="M37" s="423">
        <v>36473</v>
      </c>
      <c r="N37" s="423">
        <v>78758</v>
      </c>
      <c r="O37" s="423">
        <v>31</v>
      </c>
      <c r="P37" s="423">
        <v>41</v>
      </c>
      <c r="Q37" s="423">
        <v>72</v>
      </c>
      <c r="R37" s="423">
        <v>2394</v>
      </c>
      <c r="S37" s="423">
        <v>2282</v>
      </c>
      <c r="T37" s="423">
        <v>4676</v>
      </c>
      <c r="U37" s="423">
        <v>18</v>
      </c>
      <c r="V37" s="423">
        <v>18</v>
      </c>
      <c r="W37" s="423">
        <v>36</v>
      </c>
      <c r="X37" s="423">
        <v>1106</v>
      </c>
      <c r="Y37" s="423">
        <v>885</v>
      </c>
      <c r="Z37" s="423">
        <v>1991</v>
      </c>
      <c r="AA37" s="423">
        <f t="shared" si="0"/>
        <v>48551</v>
      </c>
      <c r="AB37" s="423">
        <f t="shared" si="1"/>
        <v>42350</v>
      </c>
      <c r="AC37" s="423">
        <f t="shared" si="2"/>
        <v>90901</v>
      </c>
    </row>
    <row r="38" spans="1:29" s="124" customFormat="1" ht="26.25" customHeight="1">
      <c r="A38" s="125">
        <v>34</v>
      </c>
      <c r="B38" s="421" t="s">
        <v>47</v>
      </c>
      <c r="C38" s="423">
        <v>11988</v>
      </c>
      <c r="D38" s="423">
        <v>9725</v>
      </c>
      <c r="E38" s="423">
        <v>21713</v>
      </c>
      <c r="F38" s="423">
        <v>15</v>
      </c>
      <c r="G38" s="423">
        <v>62</v>
      </c>
      <c r="H38" s="423">
        <v>77</v>
      </c>
      <c r="I38" s="423">
        <v>291433</v>
      </c>
      <c r="J38" s="423">
        <v>365367</v>
      </c>
      <c r="K38" s="423">
        <v>656800</v>
      </c>
      <c r="L38" s="423">
        <v>2946324</v>
      </c>
      <c r="M38" s="423">
        <v>2706236</v>
      </c>
      <c r="N38" s="423">
        <v>5652560</v>
      </c>
      <c r="O38" s="423">
        <v>6306</v>
      </c>
      <c r="P38" s="423">
        <v>4344</v>
      </c>
      <c r="Q38" s="423">
        <v>10650</v>
      </c>
      <c r="R38" s="423">
        <v>214537</v>
      </c>
      <c r="S38" s="423">
        <v>101703</v>
      </c>
      <c r="T38" s="423">
        <v>316240</v>
      </c>
      <c r="U38" s="423">
        <v>3177</v>
      </c>
      <c r="V38" s="423">
        <v>2646</v>
      </c>
      <c r="W38" s="423">
        <v>5823</v>
      </c>
      <c r="X38" s="423">
        <v>36630</v>
      </c>
      <c r="Y38" s="423">
        <v>21270</v>
      </c>
      <c r="Z38" s="423">
        <v>57900</v>
      </c>
      <c r="AA38" s="423">
        <f t="shared" si="0"/>
        <v>3510410</v>
      </c>
      <c r="AB38" s="423">
        <f t="shared" si="1"/>
        <v>3211353</v>
      </c>
      <c r="AC38" s="423">
        <f t="shared" si="2"/>
        <v>6721763</v>
      </c>
    </row>
    <row r="39" spans="1:29" s="124" customFormat="1" ht="26.25" customHeight="1">
      <c r="A39" s="125">
        <v>35</v>
      </c>
      <c r="B39" s="421" t="s">
        <v>46</v>
      </c>
      <c r="C39" s="423">
        <v>2573</v>
      </c>
      <c r="D39" s="423">
        <v>1900</v>
      </c>
      <c r="E39" s="423">
        <v>4473</v>
      </c>
      <c r="F39" s="423">
        <v>5</v>
      </c>
      <c r="G39" s="423"/>
      <c r="H39" s="423">
        <v>5</v>
      </c>
      <c r="I39" s="423">
        <v>28525</v>
      </c>
      <c r="J39" s="423">
        <v>35467</v>
      </c>
      <c r="K39" s="423">
        <v>63992</v>
      </c>
      <c r="L39" s="423">
        <v>181244</v>
      </c>
      <c r="M39" s="423">
        <v>184318</v>
      </c>
      <c r="N39" s="423">
        <v>365562</v>
      </c>
      <c r="O39" s="423">
        <v>274</v>
      </c>
      <c r="P39" s="423">
        <v>258</v>
      </c>
      <c r="Q39" s="423">
        <v>532</v>
      </c>
      <c r="R39" s="423">
        <v>20043</v>
      </c>
      <c r="S39" s="423">
        <v>7382</v>
      </c>
      <c r="T39" s="423">
        <v>27425</v>
      </c>
      <c r="U39" s="423">
        <v>216</v>
      </c>
      <c r="V39" s="423">
        <v>64</v>
      </c>
      <c r="W39" s="423">
        <v>280</v>
      </c>
      <c r="X39" s="423">
        <v>3555</v>
      </c>
      <c r="Y39" s="423">
        <v>2390</v>
      </c>
      <c r="Z39" s="423">
        <v>5945</v>
      </c>
      <c r="AA39" s="423">
        <f t="shared" si="0"/>
        <v>236435</v>
      </c>
      <c r="AB39" s="423">
        <f t="shared" si="1"/>
        <v>231779</v>
      </c>
      <c r="AC39" s="423">
        <f t="shared" si="2"/>
        <v>468214</v>
      </c>
    </row>
    <row r="40" spans="1:29" s="124" customFormat="1" ht="26.25" customHeight="1">
      <c r="A40" s="125">
        <v>36</v>
      </c>
      <c r="B40" s="421" t="s">
        <v>48</v>
      </c>
      <c r="C40" s="423">
        <v>8683</v>
      </c>
      <c r="D40" s="423">
        <v>5103</v>
      </c>
      <c r="E40" s="423">
        <v>13786</v>
      </c>
      <c r="F40" s="423">
        <v>688</v>
      </c>
      <c r="G40" s="423">
        <v>614</v>
      </c>
      <c r="H40" s="423">
        <v>1302</v>
      </c>
      <c r="I40" s="423">
        <v>53497</v>
      </c>
      <c r="J40" s="423">
        <v>65622</v>
      </c>
      <c r="K40" s="423">
        <v>119119</v>
      </c>
      <c r="L40" s="423">
        <v>857467</v>
      </c>
      <c r="M40" s="423">
        <v>925737</v>
      </c>
      <c r="N40" s="423">
        <v>1783204</v>
      </c>
      <c r="O40" s="423">
        <v>2236</v>
      </c>
      <c r="P40" s="423">
        <v>1199</v>
      </c>
      <c r="Q40" s="423">
        <v>3435</v>
      </c>
      <c r="R40" s="423">
        <v>116975</v>
      </c>
      <c r="S40" s="423">
        <v>71656</v>
      </c>
      <c r="T40" s="423">
        <v>188631</v>
      </c>
      <c r="U40" s="423">
        <v>2112</v>
      </c>
      <c r="V40" s="423">
        <v>1470</v>
      </c>
      <c r="W40" s="423">
        <v>3582</v>
      </c>
      <c r="X40" s="423">
        <v>9590</v>
      </c>
      <c r="Y40" s="423">
        <v>6626</v>
      </c>
      <c r="Z40" s="423">
        <v>16216</v>
      </c>
      <c r="AA40" s="423">
        <f t="shared" si="0"/>
        <v>1051248</v>
      </c>
      <c r="AB40" s="423">
        <f t="shared" si="1"/>
        <v>1078027</v>
      </c>
      <c r="AC40" s="423">
        <f t="shared" si="2"/>
        <v>2129275</v>
      </c>
    </row>
    <row r="41" spans="1:29" s="127" customFormat="1" ht="20.25" customHeight="1">
      <c r="A41" s="973" t="s">
        <v>49</v>
      </c>
      <c r="B41" s="982"/>
      <c r="C41" s="424">
        <v>113902</v>
      </c>
      <c r="D41" s="424">
        <v>98620</v>
      </c>
      <c r="E41" s="424">
        <v>212522</v>
      </c>
      <c r="F41" s="424">
        <v>3373</v>
      </c>
      <c r="G41" s="424">
        <v>6118</v>
      </c>
      <c r="H41" s="424">
        <v>9491</v>
      </c>
      <c r="I41" s="424">
        <v>1646130</v>
      </c>
      <c r="J41" s="424">
        <v>2108957</v>
      </c>
      <c r="K41" s="424">
        <v>3755087</v>
      </c>
      <c r="L41" s="424">
        <v>15807973</v>
      </c>
      <c r="M41" s="424">
        <v>14895250</v>
      </c>
      <c r="N41" s="424">
        <v>30703223</v>
      </c>
      <c r="O41" s="424">
        <v>74052</v>
      </c>
      <c r="P41" s="424">
        <v>65255</v>
      </c>
      <c r="Q41" s="424">
        <v>139307</v>
      </c>
      <c r="R41" s="424">
        <v>1811927</v>
      </c>
      <c r="S41" s="424">
        <v>1002038</v>
      </c>
      <c r="T41" s="424">
        <v>2813965</v>
      </c>
      <c r="U41" s="424">
        <v>27509</v>
      </c>
      <c r="V41" s="424">
        <v>25635</v>
      </c>
      <c r="W41" s="424">
        <v>53144</v>
      </c>
      <c r="X41" s="424">
        <v>248416</v>
      </c>
      <c r="Y41" s="424">
        <v>211932</v>
      </c>
      <c r="Z41" s="424">
        <v>460348</v>
      </c>
      <c r="AA41" s="424">
        <f t="shared" si="0"/>
        <v>19733282</v>
      </c>
      <c r="AB41" s="424">
        <f t="shared" si="1"/>
        <v>18413805</v>
      </c>
      <c r="AC41" s="424">
        <f t="shared" si="2"/>
        <v>38147087</v>
      </c>
    </row>
    <row r="43" spans="1:29">
      <c r="AA43" s="409"/>
      <c r="AB43" s="409"/>
      <c r="AC43" s="409"/>
    </row>
  </sheetData>
  <mergeCells count="12">
    <mergeCell ref="O2:Q2"/>
    <mergeCell ref="R2:T2"/>
    <mergeCell ref="U2:W2"/>
    <mergeCell ref="X2:Z2"/>
    <mergeCell ref="AA2:AC2"/>
    <mergeCell ref="I2:K2"/>
    <mergeCell ref="L2:N2"/>
    <mergeCell ref="A41:B41"/>
    <mergeCell ref="A2:A3"/>
    <mergeCell ref="B2:B3"/>
    <mergeCell ref="C2:E2"/>
    <mergeCell ref="F2:H2"/>
  </mergeCells>
  <printOptions horizontalCentered="1"/>
  <pageMargins left="0.31496062992125984" right="0.15748031496062992" top="0.39370078740157483" bottom="0.39370078740157483" header="0.19685039370078741" footer="0.15748031496062992"/>
  <pageSetup paperSize="9" scale="70" firstPageNumber="8" fitToWidth="0" orientation="portrait" useFirstPageNumber="1" r:id="rId1"/>
  <headerFooter>
    <oddFooter>&amp;L&amp;"Arial,Italic"&amp;9AISHE 2021-22&amp;CT-6a</oddFooter>
  </headerFooter>
  <colBreaks count="2" manualBreakCount="2">
    <brk id="11" max="40" man="1"/>
    <brk id="20" max="4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C43"/>
  <sheetViews>
    <sheetView view="pageBreakPreview" zoomScaleSheetLayoutView="100" workbookViewId="0">
      <pane xSplit="2" ySplit="3" topLeftCell="C4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8.75"/>
  <cols>
    <col min="1" max="1" width="7.42578125" style="515" customWidth="1"/>
    <col min="2" max="2" width="23.42578125" style="141" customWidth="1"/>
    <col min="3" max="3" width="7.7109375" style="141" customWidth="1"/>
    <col min="4" max="5" width="8.28515625" style="141" customWidth="1"/>
    <col min="6" max="6" width="7.28515625" style="141" customWidth="1"/>
    <col min="7" max="7" width="8.28515625" style="141" customWidth="1"/>
    <col min="8" max="8" width="6.7109375" style="141" customWidth="1"/>
    <col min="9" max="10" width="9.28515625" style="141" customWidth="1"/>
    <col min="11" max="11" width="10.85546875" style="141" customWidth="1"/>
    <col min="12" max="13" width="11.28515625" style="141" bestFit="1" customWidth="1"/>
    <col min="14" max="14" width="10.28515625" style="141" customWidth="1"/>
    <col min="15" max="15" width="7.7109375" style="141" customWidth="1"/>
    <col min="16" max="16" width="8.42578125" style="141" customWidth="1"/>
    <col min="17" max="17" width="8.42578125" style="141" bestFit="1" customWidth="1"/>
    <col min="18" max="18" width="8.28515625" style="141" customWidth="1"/>
    <col min="19" max="19" width="7.5703125" style="141" customWidth="1"/>
    <col min="20" max="20" width="11.28515625" style="141" customWidth="1"/>
    <col min="21" max="21" width="8.7109375" style="141" customWidth="1"/>
    <col min="22" max="22" width="8.85546875" style="141" customWidth="1"/>
    <col min="23" max="23" width="7.5703125" style="141" customWidth="1"/>
    <col min="24" max="24" width="6.7109375" style="141" customWidth="1"/>
    <col min="25" max="25" width="7.28515625" style="141" customWidth="1"/>
    <col min="26" max="26" width="7.5703125" style="141" customWidth="1"/>
    <col min="27" max="27" width="11.28515625" style="141" bestFit="1" customWidth="1"/>
    <col min="28" max="28" width="10.42578125" style="141" customWidth="1"/>
    <col min="29" max="29" width="10.28515625" style="141" customWidth="1"/>
    <col min="30" max="16384" width="9.28515625" style="141"/>
  </cols>
  <sheetData>
    <row r="1" spans="1:29" ht="40.5" customHeight="1">
      <c r="A1" s="773"/>
      <c r="B1" s="774" t="s">
        <v>155</v>
      </c>
      <c r="C1" s="983" t="s">
        <v>1076</v>
      </c>
      <c r="D1" s="983"/>
      <c r="E1" s="983"/>
      <c r="F1" s="983"/>
      <c r="G1" s="983"/>
      <c r="H1" s="983"/>
      <c r="I1" s="983"/>
      <c r="J1" s="983"/>
      <c r="K1" s="983"/>
      <c r="L1" s="983" t="str">
        <f>C1</f>
        <v xml:space="preserve">State-wise Enrolment through Distance Mode at various levels 
</v>
      </c>
      <c r="M1" s="983"/>
      <c r="N1" s="983"/>
      <c r="O1" s="983"/>
      <c r="P1" s="983"/>
      <c r="Q1" s="983"/>
      <c r="R1" s="983"/>
      <c r="S1" s="983"/>
      <c r="T1" s="983"/>
      <c r="U1" s="983" t="str">
        <f>C1</f>
        <v xml:space="preserve">State-wise Enrolment through Distance Mode at various levels 
</v>
      </c>
      <c r="V1" s="983"/>
      <c r="W1" s="983"/>
      <c r="X1" s="983"/>
      <c r="Y1" s="983"/>
      <c r="Z1" s="983"/>
      <c r="AA1" s="983"/>
      <c r="AB1" s="983"/>
      <c r="AC1" s="983"/>
    </row>
    <row r="2" spans="1:29" s="142" customFormat="1" ht="24.75" customHeight="1">
      <c r="A2" s="967" t="s">
        <v>988</v>
      </c>
      <c r="B2" s="968" t="s">
        <v>168</v>
      </c>
      <c r="C2" s="984" t="s">
        <v>89</v>
      </c>
      <c r="D2" s="984"/>
      <c r="E2" s="984"/>
      <c r="F2" s="984" t="s">
        <v>90</v>
      </c>
      <c r="G2" s="984"/>
      <c r="H2" s="984"/>
      <c r="I2" s="984" t="s">
        <v>85</v>
      </c>
      <c r="J2" s="984"/>
      <c r="K2" s="984"/>
      <c r="L2" s="984" t="s">
        <v>86</v>
      </c>
      <c r="M2" s="984"/>
      <c r="N2" s="984"/>
      <c r="O2" s="984" t="s">
        <v>91</v>
      </c>
      <c r="P2" s="984"/>
      <c r="Q2" s="984"/>
      <c r="R2" s="984" t="s">
        <v>92</v>
      </c>
      <c r="S2" s="984"/>
      <c r="T2" s="984"/>
      <c r="U2" s="984" t="s">
        <v>93</v>
      </c>
      <c r="V2" s="984"/>
      <c r="W2" s="984"/>
      <c r="X2" s="984" t="s">
        <v>94</v>
      </c>
      <c r="Y2" s="984"/>
      <c r="Z2" s="984"/>
      <c r="AA2" s="984" t="s">
        <v>60</v>
      </c>
      <c r="AB2" s="984"/>
      <c r="AC2" s="984"/>
    </row>
    <row r="3" spans="1:29" s="118" customFormat="1" ht="24.75" customHeight="1">
      <c r="A3" s="967"/>
      <c r="B3" s="968"/>
      <c r="C3" s="229" t="s">
        <v>87</v>
      </c>
      <c r="D3" s="229" t="s">
        <v>88</v>
      </c>
      <c r="E3" s="229" t="s">
        <v>12</v>
      </c>
      <c r="F3" s="229" t="s">
        <v>87</v>
      </c>
      <c r="G3" s="229" t="s">
        <v>88</v>
      </c>
      <c r="H3" s="229" t="s">
        <v>12</v>
      </c>
      <c r="I3" s="229" t="s">
        <v>87</v>
      </c>
      <c r="J3" s="229" t="s">
        <v>88</v>
      </c>
      <c r="K3" s="229" t="s">
        <v>12</v>
      </c>
      <c r="L3" s="229" t="s">
        <v>87</v>
      </c>
      <c r="M3" s="229" t="s">
        <v>88</v>
      </c>
      <c r="N3" s="229" t="s">
        <v>12</v>
      </c>
      <c r="O3" s="229" t="s">
        <v>87</v>
      </c>
      <c r="P3" s="229" t="s">
        <v>88</v>
      </c>
      <c r="Q3" s="229" t="s">
        <v>12</v>
      </c>
      <c r="R3" s="229" t="s">
        <v>87</v>
      </c>
      <c r="S3" s="229" t="s">
        <v>88</v>
      </c>
      <c r="T3" s="229" t="s">
        <v>12</v>
      </c>
      <c r="U3" s="229" t="s">
        <v>87</v>
      </c>
      <c r="V3" s="229" t="s">
        <v>88</v>
      </c>
      <c r="W3" s="229" t="s">
        <v>12</v>
      </c>
      <c r="X3" s="229" t="s">
        <v>87</v>
      </c>
      <c r="Y3" s="229" t="s">
        <v>88</v>
      </c>
      <c r="Z3" s="775" t="s">
        <v>12</v>
      </c>
      <c r="AA3" s="229" t="s">
        <v>87</v>
      </c>
      <c r="AB3" s="229" t="s">
        <v>88</v>
      </c>
      <c r="AC3" s="229" t="s">
        <v>12</v>
      </c>
    </row>
    <row r="4" spans="1:29" s="143" customFormat="1" ht="16.5" customHeight="1">
      <c r="A4" s="776">
        <v>1</v>
      </c>
      <c r="B4" s="777">
        <v>2</v>
      </c>
      <c r="C4" s="777">
        <v>3</v>
      </c>
      <c r="D4" s="777">
        <v>4</v>
      </c>
      <c r="E4" s="777">
        <v>5</v>
      </c>
      <c r="F4" s="777">
        <v>6</v>
      </c>
      <c r="G4" s="777">
        <v>7</v>
      </c>
      <c r="H4" s="777">
        <v>8</v>
      </c>
      <c r="I4" s="777">
        <v>9</v>
      </c>
      <c r="J4" s="777">
        <v>10</v>
      </c>
      <c r="K4" s="777">
        <v>11</v>
      </c>
      <c r="L4" s="777">
        <v>12</v>
      </c>
      <c r="M4" s="777">
        <v>13</v>
      </c>
      <c r="N4" s="777">
        <v>14</v>
      </c>
      <c r="O4" s="777">
        <v>15</v>
      </c>
      <c r="P4" s="777">
        <v>16</v>
      </c>
      <c r="Q4" s="777">
        <v>17</v>
      </c>
      <c r="R4" s="777">
        <v>18</v>
      </c>
      <c r="S4" s="777">
        <v>19</v>
      </c>
      <c r="T4" s="777">
        <v>20</v>
      </c>
      <c r="U4" s="777">
        <v>21</v>
      </c>
      <c r="V4" s="777">
        <v>22</v>
      </c>
      <c r="W4" s="777">
        <v>23</v>
      </c>
      <c r="X4" s="777">
        <v>24</v>
      </c>
      <c r="Y4" s="777">
        <v>25</v>
      </c>
      <c r="Z4" s="777">
        <v>26</v>
      </c>
      <c r="AA4" s="777">
        <v>27</v>
      </c>
      <c r="AB4" s="777">
        <v>28</v>
      </c>
      <c r="AC4" s="777">
        <v>29</v>
      </c>
    </row>
    <row r="5" spans="1:29" s="118" customFormat="1" ht="23.25" customHeight="1">
      <c r="A5" s="245">
        <v>1</v>
      </c>
      <c r="B5" s="243" t="s">
        <v>1061</v>
      </c>
      <c r="C5" s="778"/>
      <c r="D5" s="778"/>
      <c r="E5" s="778"/>
      <c r="F5" s="778"/>
      <c r="G5" s="778"/>
      <c r="H5" s="778"/>
      <c r="I5" s="778">
        <v>506</v>
      </c>
      <c r="J5" s="778">
        <v>659</v>
      </c>
      <c r="K5" s="778">
        <v>1165</v>
      </c>
      <c r="L5" s="778">
        <v>1548</v>
      </c>
      <c r="M5" s="778">
        <v>1213</v>
      </c>
      <c r="N5" s="778">
        <v>2761</v>
      </c>
      <c r="O5" s="778">
        <v>26</v>
      </c>
      <c r="P5" s="778">
        <v>37</v>
      </c>
      <c r="Q5" s="778">
        <v>63</v>
      </c>
      <c r="R5" s="778">
        <v>11</v>
      </c>
      <c r="S5" s="778">
        <v>30</v>
      </c>
      <c r="T5" s="778">
        <v>41</v>
      </c>
      <c r="U5" s="778">
        <v>0</v>
      </c>
      <c r="V5" s="778"/>
      <c r="W5" s="778"/>
      <c r="X5" s="778">
        <v>0</v>
      </c>
      <c r="Y5" s="778"/>
      <c r="Z5" s="778"/>
      <c r="AA5" s="778">
        <f>C5+F5+I5+L5+O5+R5+U5+X5</f>
        <v>2091</v>
      </c>
      <c r="AB5" s="778">
        <f>D5+G5+J5+M5+P5+S5+V5+Y5</f>
        <v>1939</v>
      </c>
      <c r="AC5" s="778">
        <f>AA5+AB5</f>
        <v>4030</v>
      </c>
    </row>
    <row r="6" spans="1:29" s="118" customFormat="1" ht="23.25" customHeight="1">
      <c r="A6" s="245">
        <v>2</v>
      </c>
      <c r="B6" s="244" t="s">
        <v>15</v>
      </c>
      <c r="C6" s="778"/>
      <c r="D6" s="778"/>
      <c r="E6" s="778"/>
      <c r="F6" s="778"/>
      <c r="G6" s="778"/>
      <c r="H6" s="778"/>
      <c r="I6" s="778">
        <v>18553</v>
      </c>
      <c r="J6" s="778">
        <v>16247</v>
      </c>
      <c r="K6" s="778">
        <v>34800</v>
      </c>
      <c r="L6" s="778">
        <v>96641</v>
      </c>
      <c r="M6" s="778">
        <v>68428</v>
      </c>
      <c r="N6" s="778">
        <v>165069</v>
      </c>
      <c r="O6" s="778">
        <v>729</v>
      </c>
      <c r="P6" s="778">
        <v>409</v>
      </c>
      <c r="Q6" s="778">
        <v>1138</v>
      </c>
      <c r="R6" s="778">
        <v>247</v>
      </c>
      <c r="S6" s="778">
        <v>268</v>
      </c>
      <c r="T6" s="778">
        <v>515</v>
      </c>
      <c r="U6" s="778">
        <v>172</v>
      </c>
      <c r="V6" s="778">
        <v>107</v>
      </c>
      <c r="W6" s="778">
        <v>279</v>
      </c>
      <c r="X6" s="778">
        <v>0</v>
      </c>
      <c r="Y6" s="778"/>
      <c r="Z6" s="778"/>
      <c r="AA6" s="778">
        <f t="shared" ref="AA6:AA41" si="0">C6+F6+I6+L6+O6+R6+U6+X6</f>
        <v>116342</v>
      </c>
      <c r="AB6" s="778">
        <f t="shared" ref="AB6:AB41" si="1">D6+G6+J6+M6+P6+S6+V6+Y6</f>
        <v>85459</v>
      </c>
      <c r="AC6" s="778">
        <f t="shared" ref="AC6:AC41" si="2">AA6+AB6</f>
        <v>201801</v>
      </c>
    </row>
    <row r="7" spans="1:29" s="118" customFormat="1" ht="23.25" customHeight="1">
      <c r="A7" s="245">
        <v>3</v>
      </c>
      <c r="B7" s="244" t="s">
        <v>16</v>
      </c>
      <c r="C7" s="778"/>
      <c r="D7" s="778"/>
      <c r="E7" s="778"/>
      <c r="F7" s="778"/>
      <c r="G7" s="778"/>
      <c r="H7" s="778"/>
      <c r="I7" s="778">
        <v>1999</v>
      </c>
      <c r="J7" s="778">
        <v>2816</v>
      </c>
      <c r="K7" s="778">
        <v>4815</v>
      </c>
      <c r="L7" s="778">
        <v>2981</v>
      </c>
      <c r="M7" s="778">
        <v>3496</v>
      </c>
      <c r="N7" s="778">
        <v>6477</v>
      </c>
      <c r="O7" s="778">
        <v>26</v>
      </c>
      <c r="P7" s="778">
        <v>21</v>
      </c>
      <c r="Q7" s="778">
        <v>47</v>
      </c>
      <c r="R7" s="778">
        <v>20</v>
      </c>
      <c r="S7" s="778">
        <v>36</v>
      </c>
      <c r="T7" s="778">
        <v>56</v>
      </c>
      <c r="U7" s="778">
        <v>0</v>
      </c>
      <c r="V7" s="778"/>
      <c r="W7" s="778"/>
      <c r="X7" s="778">
        <v>0</v>
      </c>
      <c r="Y7" s="778"/>
      <c r="Z7" s="778"/>
      <c r="AA7" s="778">
        <f t="shared" si="0"/>
        <v>5026</v>
      </c>
      <c r="AB7" s="778">
        <f t="shared" si="1"/>
        <v>6369</v>
      </c>
      <c r="AC7" s="778">
        <f t="shared" si="2"/>
        <v>11395</v>
      </c>
    </row>
    <row r="8" spans="1:29" s="118" customFormat="1" ht="23.25" customHeight="1">
      <c r="A8" s="245">
        <v>4</v>
      </c>
      <c r="B8" s="244" t="s">
        <v>17</v>
      </c>
      <c r="C8" s="778"/>
      <c r="D8" s="778"/>
      <c r="E8" s="778"/>
      <c r="F8" s="778"/>
      <c r="G8" s="778"/>
      <c r="H8" s="778"/>
      <c r="I8" s="778">
        <v>12197</v>
      </c>
      <c r="J8" s="778">
        <v>15751</v>
      </c>
      <c r="K8" s="778">
        <v>27948</v>
      </c>
      <c r="L8" s="778">
        <v>14884</v>
      </c>
      <c r="M8" s="778">
        <v>9125</v>
      </c>
      <c r="N8" s="778">
        <v>24009</v>
      </c>
      <c r="O8" s="778">
        <v>349</v>
      </c>
      <c r="P8" s="778">
        <v>232</v>
      </c>
      <c r="Q8" s="778">
        <v>581</v>
      </c>
      <c r="R8" s="778">
        <v>253</v>
      </c>
      <c r="S8" s="778">
        <v>336</v>
      </c>
      <c r="T8" s="778">
        <v>589</v>
      </c>
      <c r="U8" s="778">
        <v>20</v>
      </c>
      <c r="V8" s="778">
        <v>17</v>
      </c>
      <c r="W8" s="778">
        <v>37</v>
      </c>
      <c r="X8" s="778">
        <v>0</v>
      </c>
      <c r="Y8" s="778"/>
      <c r="Z8" s="778"/>
      <c r="AA8" s="778">
        <f t="shared" si="0"/>
        <v>27703</v>
      </c>
      <c r="AB8" s="778">
        <f t="shared" si="1"/>
        <v>25461</v>
      </c>
      <c r="AC8" s="778">
        <f t="shared" si="2"/>
        <v>53164</v>
      </c>
    </row>
    <row r="9" spans="1:29" s="118" customFormat="1" ht="23.25" customHeight="1">
      <c r="A9" s="245">
        <v>5</v>
      </c>
      <c r="B9" s="244" t="s">
        <v>18</v>
      </c>
      <c r="C9" s="778"/>
      <c r="D9" s="778"/>
      <c r="E9" s="778"/>
      <c r="F9" s="778"/>
      <c r="G9" s="778"/>
      <c r="H9" s="778"/>
      <c r="I9" s="778">
        <v>25730</v>
      </c>
      <c r="J9" s="778">
        <v>23634</v>
      </c>
      <c r="K9" s="778">
        <v>49364</v>
      </c>
      <c r="L9" s="778">
        <v>75774</v>
      </c>
      <c r="M9" s="778">
        <v>46616</v>
      </c>
      <c r="N9" s="778">
        <v>122390</v>
      </c>
      <c r="O9" s="778">
        <v>1135</v>
      </c>
      <c r="P9" s="778">
        <v>420</v>
      </c>
      <c r="Q9" s="778">
        <v>1555</v>
      </c>
      <c r="R9" s="778">
        <v>200</v>
      </c>
      <c r="S9" s="778">
        <v>201</v>
      </c>
      <c r="T9" s="778">
        <v>401</v>
      </c>
      <c r="U9" s="778">
        <v>2</v>
      </c>
      <c r="V9" s="778">
        <v>0</v>
      </c>
      <c r="W9" s="778">
        <v>2</v>
      </c>
      <c r="X9" s="778">
        <v>0</v>
      </c>
      <c r="Y9" s="778"/>
      <c r="Z9" s="778"/>
      <c r="AA9" s="778">
        <f t="shared" si="0"/>
        <v>102841</v>
      </c>
      <c r="AB9" s="778">
        <f t="shared" si="1"/>
        <v>70871</v>
      </c>
      <c r="AC9" s="778">
        <f t="shared" si="2"/>
        <v>173712</v>
      </c>
    </row>
    <row r="10" spans="1:29" s="118" customFormat="1" ht="23.25" customHeight="1">
      <c r="A10" s="245">
        <v>6</v>
      </c>
      <c r="B10" s="244" t="s">
        <v>19</v>
      </c>
      <c r="C10" s="778"/>
      <c r="D10" s="778"/>
      <c r="E10" s="778"/>
      <c r="F10" s="778"/>
      <c r="G10" s="778"/>
      <c r="H10" s="778"/>
      <c r="I10" s="778">
        <v>4540</v>
      </c>
      <c r="J10" s="778">
        <v>5553</v>
      </c>
      <c r="K10" s="778">
        <v>10093</v>
      </c>
      <c r="L10" s="778">
        <v>15321</v>
      </c>
      <c r="M10" s="778">
        <v>7550</v>
      </c>
      <c r="N10" s="778">
        <v>22871</v>
      </c>
      <c r="O10" s="778">
        <v>656</v>
      </c>
      <c r="P10" s="778">
        <v>568</v>
      </c>
      <c r="Q10" s="778">
        <v>1224</v>
      </c>
      <c r="R10" s="778">
        <v>407</v>
      </c>
      <c r="S10" s="778">
        <v>1461</v>
      </c>
      <c r="T10" s="778">
        <v>1868</v>
      </c>
      <c r="U10" s="778">
        <v>13</v>
      </c>
      <c r="V10" s="778">
        <v>12</v>
      </c>
      <c r="W10" s="778">
        <v>25</v>
      </c>
      <c r="X10" s="778">
        <v>0</v>
      </c>
      <c r="Y10" s="778"/>
      <c r="Z10" s="778"/>
      <c r="AA10" s="778">
        <f t="shared" si="0"/>
        <v>20937</v>
      </c>
      <c r="AB10" s="778">
        <f t="shared" si="1"/>
        <v>15144</v>
      </c>
      <c r="AC10" s="778">
        <f t="shared" si="2"/>
        <v>36081</v>
      </c>
    </row>
    <row r="11" spans="1:29" s="118" customFormat="1" ht="23.25" customHeight="1">
      <c r="A11" s="245">
        <v>7</v>
      </c>
      <c r="B11" s="244" t="s">
        <v>20</v>
      </c>
      <c r="C11" s="778"/>
      <c r="D11" s="778"/>
      <c r="E11" s="778"/>
      <c r="F11" s="778"/>
      <c r="G11" s="778"/>
      <c r="H11" s="778"/>
      <c r="I11" s="778">
        <v>7936</v>
      </c>
      <c r="J11" s="778">
        <v>7046</v>
      </c>
      <c r="K11" s="778">
        <v>14982</v>
      </c>
      <c r="L11" s="778">
        <v>11297</v>
      </c>
      <c r="M11" s="778">
        <v>7783</v>
      </c>
      <c r="N11" s="778">
        <v>19080</v>
      </c>
      <c r="O11" s="778">
        <v>2706</v>
      </c>
      <c r="P11" s="778">
        <v>2136</v>
      </c>
      <c r="Q11" s="778">
        <v>4842</v>
      </c>
      <c r="R11" s="778">
        <v>2185</v>
      </c>
      <c r="S11" s="778">
        <v>2858</v>
      </c>
      <c r="T11" s="778">
        <v>5043</v>
      </c>
      <c r="U11" s="778">
        <v>28</v>
      </c>
      <c r="V11" s="778">
        <v>7</v>
      </c>
      <c r="W11" s="778">
        <v>35</v>
      </c>
      <c r="X11" s="778">
        <v>0</v>
      </c>
      <c r="Y11" s="778"/>
      <c r="Z11" s="778"/>
      <c r="AA11" s="778">
        <f t="shared" si="0"/>
        <v>24152</v>
      </c>
      <c r="AB11" s="778">
        <f t="shared" si="1"/>
        <v>19830</v>
      </c>
      <c r="AC11" s="778">
        <f t="shared" si="2"/>
        <v>43982</v>
      </c>
    </row>
    <row r="12" spans="1:29" s="118" customFormat="1" ht="23.25" customHeight="1">
      <c r="A12" s="245">
        <v>8</v>
      </c>
      <c r="B12" s="244" t="s">
        <v>23</v>
      </c>
      <c r="C12" s="778"/>
      <c r="D12" s="778"/>
      <c r="E12" s="778"/>
      <c r="F12" s="778"/>
      <c r="G12" s="778"/>
      <c r="H12" s="778"/>
      <c r="I12" s="778">
        <v>51069</v>
      </c>
      <c r="J12" s="778">
        <v>80111</v>
      </c>
      <c r="K12" s="778">
        <v>131180</v>
      </c>
      <c r="L12" s="778">
        <v>293390</v>
      </c>
      <c r="M12" s="778">
        <v>225123</v>
      </c>
      <c r="N12" s="778">
        <v>518513</v>
      </c>
      <c r="O12" s="778">
        <v>4626</v>
      </c>
      <c r="P12" s="778">
        <v>4167</v>
      </c>
      <c r="Q12" s="778">
        <v>8793</v>
      </c>
      <c r="R12" s="778">
        <v>1162</v>
      </c>
      <c r="S12" s="778">
        <v>2218</v>
      </c>
      <c r="T12" s="778">
        <v>3380</v>
      </c>
      <c r="U12" s="778">
        <v>20</v>
      </c>
      <c r="V12" s="778">
        <v>27</v>
      </c>
      <c r="W12" s="778">
        <v>47</v>
      </c>
      <c r="X12" s="778">
        <v>0</v>
      </c>
      <c r="Y12" s="778"/>
      <c r="Z12" s="778"/>
      <c r="AA12" s="778">
        <f t="shared" si="0"/>
        <v>350267</v>
      </c>
      <c r="AB12" s="778">
        <f t="shared" si="1"/>
        <v>311646</v>
      </c>
      <c r="AC12" s="778">
        <f t="shared" si="2"/>
        <v>661913</v>
      </c>
    </row>
    <row r="13" spans="1:29" s="118" customFormat="1" ht="23.25" customHeight="1">
      <c r="A13" s="245">
        <v>9</v>
      </c>
      <c r="B13" s="244" t="s">
        <v>24</v>
      </c>
      <c r="C13" s="778"/>
      <c r="D13" s="778"/>
      <c r="E13" s="778"/>
      <c r="F13" s="778"/>
      <c r="G13" s="778"/>
      <c r="H13" s="778"/>
      <c r="I13" s="778">
        <v>813</v>
      </c>
      <c r="J13" s="778">
        <v>1179</v>
      </c>
      <c r="K13" s="778">
        <v>1992</v>
      </c>
      <c r="L13" s="778">
        <v>2301</v>
      </c>
      <c r="M13" s="778">
        <v>1046</v>
      </c>
      <c r="N13" s="778">
        <v>3347</v>
      </c>
      <c r="O13" s="778">
        <v>83</v>
      </c>
      <c r="P13" s="778">
        <v>67</v>
      </c>
      <c r="Q13" s="778">
        <v>150</v>
      </c>
      <c r="R13" s="778">
        <v>25</v>
      </c>
      <c r="S13" s="778">
        <v>61</v>
      </c>
      <c r="T13" s="778">
        <v>86</v>
      </c>
      <c r="U13" s="778">
        <v>0</v>
      </c>
      <c r="V13" s="778"/>
      <c r="W13" s="778"/>
      <c r="X13" s="778">
        <v>0</v>
      </c>
      <c r="Y13" s="778"/>
      <c r="Z13" s="778"/>
      <c r="AA13" s="778">
        <f t="shared" si="0"/>
        <v>3222</v>
      </c>
      <c r="AB13" s="778">
        <f t="shared" si="1"/>
        <v>2353</v>
      </c>
      <c r="AC13" s="778">
        <f t="shared" si="2"/>
        <v>5575</v>
      </c>
    </row>
    <row r="14" spans="1:29" s="118" customFormat="1" ht="23.25" customHeight="1">
      <c r="A14" s="245">
        <v>10</v>
      </c>
      <c r="B14" s="244" t="s">
        <v>25</v>
      </c>
      <c r="C14" s="778"/>
      <c r="D14" s="778"/>
      <c r="E14" s="778"/>
      <c r="F14" s="778"/>
      <c r="G14" s="778"/>
      <c r="H14" s="778"/>
      <c r="I14" s="778">
        <v>7742</v>
      </c>
      <c r="J14" s="778">
        <v>10184</v>
      </c>
      <c r="K14" s="778">
        <v>17926</v>
      </c>
      <c r="L14" s="778">
        <v>40025</v>
      </c>
      <c r="M14" s="778">
        <v>25956</v>
      </c>
      <c r="N14" s="778">
        <v>65981</v>
      </c>
      <c r="O14" s="778">
        <v>1009</v>
      </c>
      <c r="P14" s="778">
        <v>501</v>
      </c>
      <c r="Q14" s="778">
        <v>1510</v>
      </c>
      <c r="R14" s="778">
        <v>2310</v>
      </c>
      <c r="S14" s="778">
        <v>1376</v>
      </c>
      <c r="T14" s="778">
        <v>3686</v>
      </c>
      <c r="U14" s="778">
        <v>0</v>
      </c>
      <c r="V14" s="778"/>
      <c r="W14" s="778"/>
      <c r="X14" s="778">
        <v>0</v>
      </c>
      <c r="Y14" s="778"/>
      <c r="Z14" s="778"/>
      <c r="AA14" s="778">
        <f t="shared" si="0"/>
        <v>51086</v>
      </c>
      <c r="AB14" s="778">
        <f t="shared" si="1"/>
        <v>38017</v>
      </c>
      <c r="AC14" s="778">
        <f t="shared" si="2"/>
        <v>89103</v>
      </c>
    </row>
    <row r="15" spans="1:29" s="118" customFormat="1" ht="23.25" customHeight="1">
      <c r="A15" s="245">
        <v>11</v>
      </c>
      <c r="B15" s="244" t="s">
        <v>26</v>
      </c>
      <c r="C15" s="778"/>
      <c r="D15" s="778"/>
      <c r="E15" s="778"/>
      <c r="F15" s="778"/>
      <c r="G15" s="778"/>
      <c r="H15" s="778"/>
      <c r="I15" s="778">
        <v>19371</v>
      </c>
      <c r="J15" s="778">
        <v>22187</v>
      </c>
      <c r="K15" s="778">
        <v>41558</v>
      </c>
      <c r="L15" s="778">
        <v>77135</v>
      </c>
      <c r="M15" s="778">
        <v>39158</v>
      </c>
      <c r="N15" s="778">
        <v>116293</v>
      </c>
      <c r="O15" s="778">
        <v>519</v>
      </c>
      <c r="P15" s="778">
        <v>327</v>
      </c>
      <c r="Q15" s="778">
        <v>846</v>
      </c>
      <c r="R15" s="778">
        <v>743</v>
      </c>
      <c r="S15" s="778">
        <v>2217</v>
      </c>
      <c r="T15" s="778">
        <v>2960</v>
      </c>
      <c r="U15" s="778">
        <v>21</v>
      </c>
      <c r="V15" s="778">
        <v>11</v>
      </c>
      <c r="W15" s="778">
        <v>32</v>
      </c>
      <c r="X15" s="778">
        <v>0</v>
      </c>
      <c r="Y15" s="778"/>
      <c r="Z15" s="778"/>
      <c r="AA15" s="778">
        <f t="shared" si="0"/>
        <v>97789</v>
      </c>
      <c r="AB15" s="778">
        <f t="shared" si="1"/>
        <v>63900</v>
      </c>
      <c r="AC15" s="778">
        <f t="shared" si="2"/>
        <v>161689</v>
      </c>
    </row>
    <row r="16" spans="1:29" s="118" customFormat="1" ht="23.25" customHeight="1">
      <c r="A16" s="245">
        <v>12</v>
      </c>
      <c r="B16" s="244" t="s">
        <v>27</v>
      </c>
      <c r="C16" s="778"/>
      <c r="D16" s="778"/>
      <c r="E16" s="778"/>
      <c r="F16" s="778"/>
      <c r="G16" s="778"/>
      <c r="H16" s="778"/>
      <c r="I16" s="778">
        <v>6883</v>
      </c>
      <c r="J16" s="778">
        <v>6739</v>
      </c>
      <c r="K16" s="778">
        <v>13622</v>
      </c>
      <c r="L16" s="778">
        <v>22842</v>
      </c>
      <c r="M16" s="778">
        <v>19090</v>
      </c>
      <c r="N16" s="778">
        <v>41932</v>
      </c>
      <c r="O16" s="778">
        <v>196</v>
      </c>
      <c r="P16" s="778">
        <v>132</v>
      </c>
      <c r="Q16" s="778">
        <v>328</v>
      </c>
      <c r="R16" s="778">
        <v>170</v>
      </c>
      <c r="S16" s="778">
        <v>1946</v>
      </c>
      <c r="T16" s="778">
        <v>2116</v>
      </c>
      <c r="U16" s="778">
        <v>0</v>
      </c>
      <c r="V16" s="778"/>
      <c r="W16" s="778"/>
      <c r="X16" s="778">
        <v>0</v>
      </c>
      <c r="Y16" s="778"/>
      <c r="Z16" s="778"/>
      <c r="AA16" s="778">
        <f t="shared" si="0"/>
        <v>30091</v>
      </c>
      <c r="AB16" s="778">
        <f t="shared" si="1"/>
        <v>27907</v>
      </c>
      <c r="AC16" s="778">
        <f t="shared" si="2"/>
        <v>57998</v>
      </c>
    </row>
    <row r="17" spans="1:29" s="118" customFormat="1" ht="23.25" customHeight="1">
      <c r="A17" s="245">
        <v>13</v>
      </c>
      <c r="B17" s="244" t="s">
        <v>57</v>
      </c>
      <c r="C17" s="778"/>
      <c r="D17" s="778"/>
      <c r="E17" s="778"/>
      <c r="F17" s="778"/>
      <c r="G17" s="778"/>
      <c r="H17" s="778"/>
      <c r="I17" s="778">
        <v>21391</v>
      </c>
      <c r="J17" s="778">
        <v>29567</v>
      </c>
      <c r="K17" s="778">
        <v>50958</v>
      </c>
      <c r="L17" s="778">
        <v>40807</v>
      </c>
      <c r="M17" s="778">
        <v>31666</v>
      </c>
      <c r="N17" s="778">
        <v>72473</v>
      </c>
      <c r="O17" s="778">
        <v>584</v>
      </c>
      <c r="P17" s="778">
        <v>364</v>
      </c>
      <c r="Q17" s="778">
        <v>948</v>
      </c>
      <c r="R17" s="778">
        <v>204</v>
      </c>
      <c r="S17" s="778">
        <v>409</v>
      </c>
      <c r="T17" s="778">
        <v>613</v>
      </c>
      <c r="U17" s="778">
        <v>80</v>
      </c>
      <c r="V17" s="778">
        <v>155</v>
      </c>
      <c r="W17" s="778">
        <v>235</v>
      </c>
      <c r="X17" s="778">
        <v>0</v>
      </c>
      <c r="Y17" s="778"/>
      <c r="Z17" s="778"/>
      <c r="AA17" s="778">
        <f t="shared" si="0"/>
        <v>63066</v>
      </c>
      <c r="AB17" s="778">
        <f t="shared" si="1"/>
        <v>62161</v>
      </c>
      <c r="AC17" s="778">
        <f t="shared" si="2"/>
        <v>125227</v>
      </c>
    </row>
    <row r="18" spans="1:29" s="118" customFormat="1" ht="23.25" customHeight="1">
      <c r="A18" s="245">
        <v>14</v>
      </c>
      <c r="B18" s="244" t="s">
        <v>29</v>
      </c>
      <c r="C18" s="778"/>
      <c r="D18" s="778"/>
      <c r="E18" s="778"/>
      <c r="F18" s="778"/>
      <c r="G18" s="778"/>
      <c r="H18" s="778"/>
      <c r="I18" s="778">
        <v>9532</v>
      </c>
      <c r="J18" s="778">
        <v>11770</v>
      </c>
      <c r="K18" s="778">
        <v>21302</v>
      </c>
      <c r="L18" s="778">
        <v>23496</v>
      </c>
      <c r="M18" s="778">
        <v>11481</v>
      </c>
      <c r="N18" s="778">
        <v>34977</v>
      </c>
      <c r="O18" s="778">
        <v>1129</v>
      </c>
      <c r="P18" s="778">
        <v>443</v>
      </c>
      <c r="Q18" s="778">
        <v>1572</v>
      </c>
      <c r="R18" s="778">
        <v>107</v>
      </c>
      <c r="S18" s="778">
        <v>249</v>
      </c>
      <c r="T18" s="778">
        <v>356</v>
      </c>
      <c r="U18" s="778">
        <v>0</v>
      </c>
      <c r="V18" s="778"/>
      <c r="W18" s="778"/>
      <c r="X18" s="778">
        <v>0</v>
      </c>
      <c r="Y18" s="778"/>
      <c r="Z18" s="778"/>
      <c r="AA18" s="778">
        <f t="shared" si="0"/>
        <v>34264</v>
      </c>
      <c r="AB18" s="778">
        <f t="shared" si="1"/>
        <v>23943</v>
      </c>
      <c r="AC18" s="778">
        <f t="shared" si="2"/>
        <v>58207</v>
      </c>
    </row>
    <row r="19" spans="1:29" s="118" customFormat="1" ht="23.25" customHeight="1">
      <c r="A19" s="245">
        <v>15</v>
      </c>
      <c r="B19" s="244" t="s">
        <v>30</v>
      </c>
      <c r="C19" s="778"/>
      <c r="D19" s="778"/>
      <c r="E19" s="778"/>
      <c r="F19" s="778"/>
      <c r="G19" s="778"/>
      <c r="H19" s="778"/>
      <c r="I19" s="778">
        <v>22922</v>
      </c>
      <c r="J19" s="778">
        <v>16873</v>
      </c>
      <c r="K19" s="778">
        <v>39795</v>
      </c>
      <c r="L19" s="778">
        <v>26041</v>
      </c>
      <c r="M19" s="778">
        <v>11715</v>
      </c>
      <c r="N19" s="778">
        <v>37756</v>
      </c>
      <c r="O19" s="778">
        <v>2710</v>
      </c>
      <c r="P19" s="778">
        <v>1777</v>
      </c>
      <c r="Q19" s="778">
        <v>4487</v>
      </c>
      <c r="R19" s="778">
        <v>1065</v>
      </c>
      <c r="S19" s="778">
        <v>1237</v>
      </c>
      <c r="T19" s="778">
        <v>2302</v>
      </c>
      <c r="U19" s="778">
        <v>322</v>
      </c>
      <c r="V19" s="778">
        <v>143</v>
      </c>
      <c r="W19" s="778">
        <v>465</v>
      </c>
      <c r="X19" s="778">
        <v>0</v>
      </c>
      <c r="Y19" s="778"/>
      <c r="Z19" s="778"/>
      <c r="AA19" s="778">
        <f t="shared" si="0"/>
        <v>53060</v>
      </c>
      <c r="AB19" s="778">
        <f t="shared" si="1"/>
        <v>31745</v>
      </c>
      <c r="AC19" s="778">
        <f t="shared" si="2"/>
        <v>84805</v>
      </c>
    </row>
    <row r="20" spans="1:29" s="118" customFormat="1" ht="23.25" customHeight="1">
      <c r="A20" s="245">
        <v>16</v>
      </c>
      <c r="B20" s="244" t="s">
        <v>31</v>
      </c>
      <c r="C20" s="778"/>
      <c r="D20" s="778"/>
      <c r="E20" s="778"/>
      <c r="F20" s="778"/>
      <c r="G20" s="778"/>
      <c r="H20" s="778"/>
      <c r="I20" s="778">
        <v>22076</v>
      </c>
      <c r="J20" s="778">
        <v>36493</v>
      </c>
      <c r="K20" s="778">
        <v>58569</v>
      </c>
      <c r="L20" s="778">
        <v>99924</v>
      </c>
      <c r="M20" s="778">
        <v>108094</v>
      </c>
      <c r="N20" s="778">
        <v>208018</v>
      </c>
      <c r="O20" s="778">
        <v>796</v>
      </c>
      <c r="P20" s="778">
        <v>1011</v>
      </c>
      <c r="Q20" s="778">
        <v>1807</v>
      </c>
      <c r="R20" s="778">
        <v>208</v>
      </c>
      <c r="S20" s="778">
        <v>684</v>
      </c>
      <c r="T20" s="778">
        <v>892</v>
      </c>
      <c r="U20" s="778">
        <v>24</v>
      </c>
      <c r="V20" s="778">
        <v>11</v>
      </c>
      <c r="W20" s="778">
        <v>35</v>
      </c>
      <c r="X20" s="778">
        <v>0</v>
      </c>
      <c r="Y20" s="778"/>
      <c r="Z20" s="778"/>
      <c r="AA20" s="778">
        <f t="shared" si="0"/>
        <v>123028</v>
      </c>
      <c r="AB20" s="778">
        <f t="shared" si="1"/>
        <v>146293</v>
      </c>
      <c r="AC20" s="778">
        <f t="shared" si="2"/>
        <v>269321</v>
      </c>
    </row>
    <row r="21" spans="1:29" s="118" customFormat="1" ht="23.25" customHeight="1">
      <c r="A21" s="245">
        <v>17</v>
      </c>
      <c r="B21" s="244" t="s">
        <v>154</v>
      </c>
      <c r="C21" s="778"/>
      <c r="D21" s="778"/>
      <c r="E21" s="778"/>
      <c r="F21" s="778"/>
      <c r="G21" s="778"/>
      <c r="H21" s="778"/>
      <c r="I21" s="778">
        <v>0</v>
      </c>
      <c r="J21" s="778"/>
      <c r="K21" s="778"/>
      <c r="L21" s="778">
        <v>0</v>
      </c>
      <c r="M21" s="778"/>
      <c r="N21" s="778"/>
      <c r="O21" s="778">
        <v>0</v>
      </c>
      <c r="P21" s="778"/>
      <c r="Q21" s="778"/>
      <c r="R21" s="778">
        <v>4</v>
      </c>
      <c r="S21" s="778">
        <v>13</v>
      </c>
      <c r="T21" s="778">
        <v>17</v>
      </c>
      <c r="U21" s="778">
        <v>19</v>
      </c>
      <c r="V21" s="778">
        <v>131</v>
      </c>
      <c r="W21" s="778">
        <v>150</v>
      </c>
      <c r="X21" s="778">
        <v>0</v>
      </c>
      <c r="Y21" s="778"/>
      <c r="Z21" s="778"/>
      <c r="AA21" s="778">
        <f t="shared" si="0"/>
        <v>23</v>
      </c>
      <c r="AB21" s="778">
        <f t="shared" si="1"/>
        <v>144</v>
      </c>
      <c r="AC21" s="778">
        <f t="shared" si="2"/>
        <v>167</v>
      </c>
    </row>
    <row r="22" spans="1:29" s="118" customFormat="1" ht="23.25" customHeight="1">
      <c r="A22" s="245">
        <v>18</v>
      </c>
      <c r="B22" s="244" t="s">
        <v>32</v>
      </c>
      <c r="C22" s="778"/>
      <c r="D22" s="778"/>
      <c r="E22" s="778"/>
      <c r="F22" s="778"/>
      <c r="G22" s="778"/>
      <c r="H22" s="778"/>
      <c r="I22" s="778"/>
      <c r="J22" s="778"/>
      <c r="K22" s="778"/>
      <c r="L22" s="778"/>
      <c r="M22" s="778"/>
      <c r="N22" s="778"/>
      <c r="O22" s="778"/>
      <c r="P22" s="778"/>
      <c r="Q22" s="778"/>
      <c r="R22" s="778"/>
      <c r="S22" s="778"/>
      <c r="T22" s="778"/>
      <c r="U22" s="778"/>
      <c r="V22" s="778"/>
      <c r="W22" s="778"/>
      <c r="X22" s="778"/>
      <c r="Y22" s="778"/>
      <c r="Z22" s="778"/>
      <c r="AA22" s="778">
        <f t="shared" si="0"/>
        <v>0</v>
      </c>
      <c r="AB22" s="778">
        <f t="shared" si="1"/>
        <v>0</v>
      </c>
      <c r="AC22" s="778">
        <f t="shared" si="2"/>
        <v>0</v>
      </c>
    </row>
    <row r="23" spans="1:29" s="118" customFormat="1" ht="23.25" customHeight="1">
      <c r="A23" s="245">
        <v>19</v>
      </c>
      <c r="B23" s="244" t="s">
        <v>33</v>
      </c>
      <c r="C23" s="778"/>
      <c r="D23" s="778"/>
      <c r="E23" s="778"/>
      <c r="F23" s="778"/>
      <c r="G23" s="778"/>
      <c r="H23" s="778"/>
      <c r="I23" s="778">
        <v>11307</v>
      </c>
      <c r="J23" s="778">
        <v>9395</v>
      </c>
      <c r="K23" s="778">
        <v>20702</v>
      </c>
      <c r="L23" s="778">
        <v>52867</v>
      </c>
      <c r="M23" s="778">
        <v>32433</v>
      </c>
      <c r="N23" s="778">
        <v>85300</v>
      </c>
      <c r="O23" s="778">
        <v>599</v>
      </c>
      <c r="P23" s="778">
        <v>348</v>
      </c>
      <c r="Q23" s="778">
        <v>947</v>
      </c>
      <c r="R23" s="778">
        <v>753</v>
      </c>
      <c r="S23" s="778">
        <v>1057</v>
      </c>
      <c r="T23" s="778">
        <v>1810</v>
      </c>
      <c r="U23" s="778">
        <v>71</v>
      </c>
      <c r="V23" s="778">
        <v>24</v>
      </c>
      <c r="W23" s="778">
        <v>95</v>
      </c>
      <c r="X23" s="778">
        <v>0</v>
      </c>
      <c r="Y23" s="778"/>
      <c r="Z23" s="778"/>
      <c r="AA23" s="778">
        <f t="shared" si="0"/>
        <v>65597</v>
      </c>
      <c r="AB23" s="778">
        <f t="shared" si="1"/>
        <v>43257</v>
      </c>
      <c r="AC23" s="778">
        <f t="shared" si="2"/>
        <v>108854</v>
      </c>
    </row>
    <row r="24" spans="1:29" s="118" customFormat="1" ht="23.25" customHeight="1">
      <c r="A24" s="245">
        <v>20</v>
      </c>
      <c r="B24" s="244" t="s">
        <v>34</v>
      </c>
      <c r="C24" s="778"/>
      <c r="D24" s="778"/>
      <c r="E24" s="778"/>
      <c r="F24" s="778"/>
      <c r="G24" s="778"/>
      <c r="H24" s="778"/>
      <c r="I24" s="778">
        <v>61747</v>
      </c>
      <c r="J24" s="778">
        <v>61772</v>
      </c>
      <c r="K24" s="778">
        <v>123519</v>
      </c>
      <c r="L24" s="778">
        <v>324747</v>
      </c>
      <c r="M24" s="778">
        <v>180151</v>
      </c>
      <c r="N24" s="778">
        <v>504898</v>
      </c>
      <c r="O24" s="778">
        <v>15051</v>
      </c>
      <c r="P24" s="778">
        <v>12856</v>
      </c>
      <c r="Q24" s="778">
        <v>27907</v>
      </c>
      <c r="R24" s="778">
        <v>19666</v>
      </c>
      <c r="S24" s="778">
        <v>12211</v>
      </c>
      <c r="T24" s="778">
        <v>31877</v>
      </c>
      <c r="U24" s="778">
        <v>4445</v>
      </c>
      <c r="V24" s="778">
        <v>1892</v>
      </c>
      <c r="W24" s="778">
        <v>6337</v>
      </c>
      <c r="X24" s="778">
        <v>0</v>
      </c>
      <c r="Y24" s="778"/>
      <c r="Z24" s="778"/>
      <c r="AA24" s="778">
        <f t="shared" si="0"/>
        <v>425656</v>
      </c>
      <c r="AB24" s="778">
        <f t="shared" si="1"/>
        <v>268882</v>
      </c>
      <c r="AC24" s="778">
        <f t="shared" si="2"/>
        <v>694538</v>
      </c>
    </row>
    <row r="25" spans="1:29" s="118" customFormat="1" ht="23.25" customHeight="1">
      <c r="A25" s="245">
        <v>21</v>
      </c>
      <c r="B25" s="244" t="s">
        <v>35</v>
      </c>
      <c r="C25" s="778"/>
      <c r="D25" s="778"/>
      <c r="E25" s="778"/>
      <c r="F25" s="778"/>
      <c r="G25" s="778"/>
      <c r="H25" s="778"/>
      <c r="I25" s="778">
        <v>1729</v>
      </c>
      <c r="J25" s="778">
        <v>1539</v>
      </c>
      <c r="K25" s="778">
        <v>3268</v>
      </c>
      <c r="L25" s="778">
        <v>1171</v>
      </c>
      <c r="M25" s="778">
        <v>736</v>
      </c>
      <c r="N25" s="778">
        <v>1907</v>
      </c>
      <c r="O25" s="778">
        <v>29</v>
      </c>
      <c r="P25" s="778">
        <v>25</v>
      </c>
      <c r="Q25" s="778">
        <v>54</v>
      </c>
      <c r="R25" s="778">
        <v>47</v>
      </c>
      <c r="S25" s="778">
        <v>65</v>
      </c>
      <c r="T25" s="778">
        <v>112</v>
      </c>
      <c r="U25" s="778">
        <v>0</v>
      </c>
      <c r="V25" s="778"/>
      <c r="W25" s="778"/>
      <c r="X25" s="778">
        <v>0</v>
      </c>
      <c r="Y25" s="778"/>
      <c r="Z25" s="778"/>
      <c r="AA25" s="778">
        <f t="shared" si="0"/>
        <v>2976</v>
      </c>
      <c r="AB25" s="778">
        <f t="shared" si="1"/>
        <v>2365</v>
      </c>
      <c r="AC25" s="778">
        <f t="shared" si="2"/>
        <v>5341</v>
      </c>
    </row>
    <row r="26" spans="1:29" s="118" customFormat="1" ht="23.25" customHeight="1">
      <c r="A26" s="245">
        <v>22</v>
      </c>
      <c r="B26" s="244" t="s">
        <v>36</v>
      </c>
      <c r="C26" s="778"/>
      <c r="D26" s="778"/>
      <c r="E26" s="778"/>
      <c r="F26" s="778"/>
      <c r="G26" s="778"/>
      <c r="H26" s="778"/>
      <c r="I26" s="778">
        <v>1333</v>
      </c>
      <c r="J26" s="778">
        <v>2129</v>
      </c>
      <c r="K26" s="778">
        <v>3462</v>
      </c>
      <c r="L26" s="778">
        <v>1609</v>
      </c>
      <c r="M26" s="778">
        <v>1711</v>
      </c>
      <c r="N26" s="778">
        <v>3320</v>
      </c>
      <c r="O26" s="778">
        <v>96</v>
      </c>
      <c r="P26" s="778">
        <v>79</v>
      </c>
      <c r="Q26" s="778">
        <v>175</v>
      </c>
      <c r="R26" s="778">
        <v>7</v>
      </c>
      <c r="S26" s="778">
        <v>33</v>
      </c>
      <c r="T26" s="778">
        <v>40</v>
      </c>
      <c r="U26" s="778">
        <v>0</v>
      </c>
      <c r="V26" s="778"/>
      <c r="W26" s="778"/>
      <c r="X26" s="778">
        <v>0</v>
      </c>
      <c r="Y26" s="778"/>
      <c r="Z26" s="778"/>
      <c r="AA26" s="778">
        <f t="shared" si="0"/>
        <v>3045</v>
      </c>
      <c r="AB26" s="778">
        <f t="shared" si="1"/>
        <v>3952</v>
      </c>
      <c r="AC26" s="778">
        <f t="shared" si="2"/>
        <v>6997</v>
      </c>
    </row>
    <row r="27" spans="1:29" s="118" customFormat="1" ht="23.25" customHeight="1">
      <c r="A27" s="245">
        <v>23</v>
      </c>
      <c r="B27" s="244" t="s">
        <v>37</v>
      </c>
      <c r="C27" s="778"/>
      <c r="D27" s="778"/>
      <c r="E27" s="778"/>
      <c r="F27" s="778"/>
      <c r="G27" s="778"/>
      <c r="H27" s="778"/>
      <c r="I27" s="778">
        <v>1132</v>
      </c>
      <c r="J27" s="778">
        <v>1638</v>
      </c>
      <c r="K27" s="778">
        <v>2770</v>
      </c>
      <c r="L27" s="778">
        <v>2616</v>
      </c>
      <c r="M27" s="778">
        <v>2817</v>
      </c>
      <c r="N27" s="778">
        <v>5433</v>
      </c>
      <c r="O27" s="778">
        <v>39</v>
      </c>
      <c r="P27" s="778">
        <v>16</v>
      </c>
      <c r="Q27" s="778">
        <v>55</v>
      </c>
      <c r="R27" s="778">
        <v>21</v>
      </c>
      <c r="S27" s="778">
        <v>14</v>
      </c>
      <c r="T27" s="778">
        <v>35</v>
      </c>
      <c r="U27" s="778">
        <v>0</v>
      </c>
      <c r="V27" s="778"/>
      <c r="W27" s="778"/>
      <c r="X27" s="778">
        <v>0</v>
      </c>
      <c r="Y27" s="778"/>
      <c r="Z27" s="778"/>
      <c r="AA27" s="778">
        <f t="shared" si="0"/>
        <v>3808</v>
      </c>
      <c r="AB27" s="778">
        <f t="shared" si="1"/>
        <v>4485</v>
      </c>
      <c r="AC27" s="778">
        <f t="shared" si="2"/>
        <v>8293</v>
      </c>
    </row>
    <row r="28" spans="1:29" s="118" customFormat="1" ht="23.25" customHeight="1">
      <c r="A28" s="245">
        <v>24</v>
      </c>
      <c r="B28" s="244" t="s">
        <v>38</v>
      </c>
      <c r="C28" s="778"/>
      <c r="D28" s="778"/>
      <c r="E28" s="778"/>
      <c r="F28" s="778"/>
      <c r="G28" s="778"/>
      <c r="H28" s="778"/>
      <c r="I28" s="778">
        <v>1095</v>
      </c>
      <c r="J28" s="778">
        <v>2040</v>
      </c>
      <c r="K28" s="778">
        <v>3135</v>
      </c>
      <c r="L28" s="778">
        <v>579</v>
      </c>
      <c r="M28" s="778">
        <v>605</v>
      </c>
      <c r="N28" s="778">
        <v>1184</v>
      </c>
      <c r="O28" s="778">
        <v>38</v>
      </c>
      <c r="P28" s="778">
        <v>82</v>
      </c>
      <c r="Q28" s="778">
        <v>120</v>
      </c>
      <c r="R28" s="778">
        <v>8</v>
      </c>
      <c r="S28" s="778">
        <v>34</v>
      </c>
      <c r="T28" s="778">
        <v>42</v>
      </c>
      <c r="U28" s="778">
        <v>0</v>
      </c>
      <c r="V28" s="778"/>
      <c r="W28" s="778"/>
      <c r="X28" s="778">
        <v>0</v>
      </c>
      <c r="Y28" s="778"/>
      <c r="Z28" s="778"/>
      <c r="AA28" s="778">
        <f t="shared" si="0"/>
        <v>1720</v>
      </c>
      <c r="AB28" s="778">
        <f t="shared" si="1"/>
        <v>2761</v>
      </c>
      <c r="AC28" s="778">
        <f t="shared" si="2"/>
        <v>4481</v>
      </c>
    </row>
    <row r="29" spans="1:29" s="118" customFormat="1" ht="23.25" customHeight="1">
      <c r="A29" s="245">
        <v>25</v>
      </c>
      <c r="B29" s="244" t="s">
        <v>39</v>
      </c>
      <c r="C29" s="778"/>
      <c r="D29" s="778"/>
      <c r="E29" s="778"/>
      <c r="F29" s="778"/>
      <c r="G29" s="778"/>
      <c r="H29" s="778"/>
      <c r="I29" s="778">
        <v>21121</v>
      </c>
      <c r="J29" s="778">
        <v>17913</v>
      </c>
      <c r="K29" s="778">
        <v>39034</v>
      </c>
      <c r="L29" s="778">
        <v>17884</v>
      </c>
      <c r="M29" s="778">
        <v>12015</v>
      </c>
      <c r="N29" s="778">
        <v>29899</v>
      </c>
      <c r="O29" s="778">
        <v>349</v>
      </c>
      <c r="P29" s="778">
        <v>214</v>
      </c>
      <c r="Q29" s="778">
        <v>563</v>
      </c>
      <c r="R29" s="778">
        <v>407</v>
      </c>
      <c r="S29" s="778">
        <v>2456</v>
      </c>
      <c r="T29" s="778">
        <v>2863</v>
      </c>
      <c r="U29" s="778">
        <v>0</v>
      </c>
      <c r="V29" s="778"/>
      <c r="W29" s="778"/>
      <c r="X29" s="778">
        <v>0</v>
      </c>
      <c r="Y29" s="778"/>
      <c r="Z29" s="778"/>
      <c r="AA29" s="778">
        <f t="shared" si="0"/>
        <v>39761</v>
      </c>
      <c r="AB29" s="778">
        <f t="shared" si="1"/>
        <v>32598</v>
      </c>
      <c r="AC29" s="778">
        <f t="shared" si="2"/>
        <v>72359</v>
      </c>
    </row>
    <row r="30" spans="1:29" s="118" customFormat="1" ht="23.25" customHeight="1">
      <c r="A30" s="245">
        <v>26</v>
      </c>
      <c r="B30" s="244" t="s">
        <v>40</v>
      </c>
      <c r="C30" s="778"/>
      <c r="D30" s="778"/>
      <c r="E30" s="778"/>
      <c r="F30" s="778"/>
      <c r="G30" s="778"/>
      <c r="H30" s="778"/>
      <c r="I30" s="778">
        <v>7382</v>
      </c>
      <c r="J30" s="778">
        <v>6115</v>
      </c>
      <c r="K30" s="778">
        <v>13497</v>
      </c>
      <c r="L30" s="778">
        <v>352</v>
      </c>
      <c r="M30" s="778">
        <v>284</v>
      </c>
      <c r="N30" s="778">
        <v>636</v>
      </c>
      <c r="O30" s="778">
        <v>0</v>
      </c>
      <c r="P30" s="778"/>
      <c r="Q30" s="778"/>
      <c r="R30" s="778">
        <v>0</v>
      </c>
      <c r="S30" s="778"/>
      <c r="T30" s="778"/>
      <c r="U30" s="778">
        <v>0</v>
      </c>
      <c r="V30" s="778"/>
      <c r="W30" s="778"/>
      <c r="X30" s="778">
        <v>0</v>
      </c>
      <c r="Y30" s="778"/>
      <c r="Z30" s="778"/>
      <c r="AA30" s="778">
        <f t="shared" si="0"/>
        <v>7734</v>
      </c>
      <c r="AB30" s="778">
        <f t="shared" si="1"/>
        <v>6399</v>
      </c>
      <c r="AC30" s="778">
        <f t="shared" si="2"/>
        <v>14133</v>
      </c>
    </row>
    <row r="31" spans="1:29" s="118" customFormat="1" ht="23.25" customHeight="1">
      <c r="A31" s="245">
        <v>27</v>
      </c>
      <c r="B31" s="244" t="s">
        <v>41</v>
      </c>
      <c r="C31" s="778"/>
      <c r="D31" s="778"/>
      <c r="E31" s="778"/>
      <c r="F31" s="778"/>
      <c r="G31" s="778"/>
      <c r="H31" s="778"/>
      <c r="I31" s="778">
        <v>16507</v>
      </c>
      <c r="J31" s="778">
        <v>13813</v>
      </c>
      <c r="K31" s="778">
        <v>30320</v>
      </c>
      <c r="L31" s="778">
        <v>26434</v>
      </c>
      <c r="M31" s="778">
        <v>13634</v>
      </c>
      <c r="N31" s="778">
        <v>40068</v>
      </c>
      <c r="O31" s="778">
        <v>238</v>
      </c>
      <c r="P31" s="778">
        <v>140</v>
      </c>
      <c r="Q31" s="778">
        <v>378</v>
      </c>
      <c r="R31" s="778">
        <v>2623</v>
      </c>
      <c r="S31" s="778">
        <v>8844</v>
      </c>
      <c r="T31" s="778">
        <v>11467</v>
      </c>
      <c r="U31" s="778">
        <v>5</v>
      </c>
      <c r="V31" s="778">
        <v>6</v>
      </c>
      <c r="W31" s="778">
        <v>11</v>
      </c>
      <c r="X31" s="778">
        <v>0</v>
      </c>
      <c r="Y31" s="778"/>
      <c r="Z31" s="778"/>
      <c r="AA31" s="778">
        <f t="shared" si="0"/>
        <v>45807</v>
      </c>
      <c r="AB31" s="778">
        <f t="shared" si="1"/>
        <v>36437</v>
      </c>
      <c r="AC31" s="778">
        <f t="shared" si="2"/>
        <v>82244</v>
      </c>
    </row>
    <row r="32" spans="1:29" s="118" customFormat="1" ht="23.25" customHeight="1">
      <c r="A32" s="245">
        <v>28</v>
      </c>
      <c r="B32" s="244" t="s">
        <v>42</v>
      </c>
      <c r="C32" s="778"/>
      <c r="D32" s="778"/>
      <c r="E32" s="778"/>
      <c r="F32" s="778"/>
      <c r="G32" s="778"/>
      <c r="H32" s="778"/>
      <c r="I32" s="778">
        <v>46134</v>
      </c>
      <c r="J32" s="778">
        <v>29691</v>
      </c>
      <c r="K32" s="778">
        <v>75825</v>
      </c>
      <c r="L32" s="778">
        <v>68846</v>
      </c>
      <c r="M32" s="778">
        <v>35695</v>
      </c>
      <c r="N32" s="778">
        <v>104541</v>
      </c>
      <c r="O32" s="778">
        <v>792</v>
      </c>
      <c r="P32" s="778">
        <v>360</v>
      </c>
      <c r="Q32" s="778">
        <v>1152</v>
      </c>
      <c r="R32" s="778">
        <v>6741</v>
      </c>
      <c r="S32" s="778">
        <v>5825</v>
      </c>
      <c r="T32" s="778">
        <v>12566</v>
      </c>
      <c r="U32" s="778">
        <v>0</v>
      </c>
      <c r="V32" s="778">
        <v>44</v>
      </c>
      <c r="W32" s="778">
        <v>44</v>
      </c>
      <c r="X32" s="778">
        <v>0</v>
      </c>
      <c r="Y32" s="778">
        <v>0</v>
      </c>
      <c r="Z32" s="778">
        <v>0</v>
      </c>
      <c r="AA32" s="778">
        <f t="shared" si="0"/>
        <v>122513</v>
      </c>
      <c r="AB32" s="778">
        <f t="shared" si="1"/>
        <v>71615</v>
      </c>
      <c r="AC32" s="778">
        <f t="shared" si="2"/>
        <v>194128</v>
      </c>
    </row>
    <row r="33" spans="1:29" s="118" customFormat="1" ht="23.25" customHeight="1">
      <c r="A33" s="245">
        <v>29</v>
      </c>
      <c r="B33" s="244" t="s">
        <v>43</v>
      </c>
      <c r="C33" s="778"/>
      <c r="D33" s="778"/>
      <c r="E33" s="778"/>
      <c r="F33" s="778"/>
      <c r="G33" s="778"/>
      <c r="H33" s="778"/>
      <c r="I33" s="778">
        <v>1002</v>
      </c>
      <c r="J33" s="778">
        <v>1731</v>
      </c>
      <c r="K33" s="778">
        <v>2733</v>
      </c>
      <c r="L33" s="778">
        <v>1758</v>
      </c>
      <c r="M33" s="778">
        <v>2270</v>
      </c>
      <c r="N33" s="778">
        <v>4028</v>
      </c>
      <c r="O33" s="778">
        <v>18</v>
      </c>
      <c r="P33" s="778">
        <v>11</v>
      </c>
      <c r="Q33" s="778">
        <v>29</v>
      </c>
      <c r="R33" s="778">
        <v>9</v>
      </c>
      <c r="S33" s="778">
        <v>73</v>
      </c>
      <c r="T33" s="778">
        <v>82</v>
      </c>
      <c r="U33" s="778">
        <v>0</v>
      </c>
      <c r="V33" s="778"/>
      <c r="W33" s="778"/>
      <c r="X33" s="778">
        <v>0</v>
      </c>
      <c r="Y33" s="778"/>
      <c r="Z33" s="778"/>
      <c r="AA33" s="778">
        <f t="shared" si="0"/>
        <v>2787</v>
      </c>
      <c r="AB33" s="778">
        <f t="shared" si="1"/>
        <v>4085</v>
      </c>
      <c r="AC33" s="778">
        <f t="shared" si="2"/>
        <v>6872</v>
      </c>
    </row>
    <row r="34" spans="1:29" s="118" customFormat="1" ht="23.25" customHeight="1">
      <c r="A34" s="245">
        <v>30</v>
      </c>
      <c r="B34" s="244" t="s">
        <v>44</v>
      </c>
      <c r="C34" s="778"/>
      <c r="D34" s="778"/>
      <c r="E34" s="778"/>
      <c r="F34" s="778"/>
      <c r="G34" s="778"/>
      <c r="H34" s="778"/>
      <c r="I34" s="778">
        <v>69239</v>
      </c>
      <c r="J34" s="778">
        <v>78242</v>
      </c>
      <c r="K34" s="778">
        <v>147481</v>
      </c>
      <c r="L34" s="778">
        <v>89604</v>
      </c>
      <c r="M34" s="778">
        <v>83220</v>
      </c>
      <c r="N34" s="778">
        <v>172824</v>
      </c>
      <c r="O34" s="778">
        <v>6507</v>
      </c>
      <c r="P34" s="778">
        <v>5032</v>
      </c>
      <c r="Q34" s="778">
        <v>11539</v>
      </c>
      <c r="R34" s="778">
        <v>3962</v>
      </c>
      <c r="S34" s="778">
        <v>3936</v>
      </c>
      <c r="T34" s="778">
        <v>7898</v>
      </c>
      <c r="U34" s="778">
        <v>5727</v>
      </c>
      <c r="V34" s="778">
        <v>5947</v>
      </c>
      <c r="W34" s="778">
        <v>11674</v>
      </c>
      <c r="X34" s="778">
        <v>182</v>
      </c>
      <c r="Y34" s="778">
        <v>49</v>
      </c>
      <c r="Z34" s="778">
        <v>231</v>
      </c>
      <c r="AA34" s="778">
        <f t="shared" si="0"/>
        <v>175221</v>
      </c>
      <c r="AB34" s="778">
        <f t="shared" si="1"/>
        <v>176426</v>
      </c>
      <c r="AC34" s="778">
        <f t="shared" si="2"/>
        <v>351647</v>
      </c>
    </row>
    <row r="35" spans="1:29" s="118" customFormat="1" ht="23.25" customHeight="1">
      <c r="A35" s="245">
        <v>31</v>
      </c>
      <c r="B35" s="244" t="s">
        <v>131</v>
      </c>
      <c r="C35" s="778">
        <v>30</v>
      </c>
      <c r="D35" s="778">
        <v>16</v>
      </c>
      <c r="E35" s="778">
        <v>46</v>
      </c>
      <c r="F35" s="778">
        <v>20</v>
      </c>
      <c r="G35" s="778">
        <v>9</v>
      </c>
      <c r="H35" s="778">
        <v>29</v>
      </c>
      <c r="I35" s="778">
        <v>19209</v>
      </c>
      <c r="J35" s="778">
        <v>24965</v>
      </c>
      <c r="K35" s="778">
        <v>44174</v>
      </c>
      <c r="L35" s="778">
        <v>51470</v>
      </c>
      <c r="M35" s="778">
        <v>34078</v>
      </c>
      <c r="N35" s="778">
        <v>85548</v>
      </c>
      <c r="O35" s="778">
        <v>2220</v>
      </c>
      <c r="P35" s="778">
        <v>1644</v>
      </c>
      <c r="Q35" s="778">
        <v>3864</v>
      </c>
      <c r="R35" s="778">
        <v>1284</v>
      </c>
      <c r="S35" s="778">
        <v>763</v>
      </c>
      <c r="T35" s="778">
        <v>2047</v>
      </c>
      <c r="U35" s="778">
        <v>478</v>
      </c>
      <c r="V35" s="778">
        <v>1313</v>
      </c>
      <c r="W35" s="778">
        <v>1791</v>
      </c>
      <c r="X35" s="778">
        <v>0</v>
      </c>
      <c r="Y35" s="778"/>
      <c r="Z35" s="778"/>
      <c r="AA35" s="778">
        <f t="shared" si="0"/>
        <v>74711</v>
      </c>
      <c r="AB35" s="778">
        <f t="shared" si="1"/>
        <v>62788</v>
      </c>
      <c r="AC35" s="778">
        <f t="shared" si="2"/>
        <v>137499</v>
      </c>
    </row>
    <row r="36" spans="1:29" s="118" customFormat="1" ht="39.75" customHeight="1">
      <c r="A36" s="245">
        <v>32</v>
      </c>
      <c r="B36" s="243" t="s">
        <v>1062</v>
      </c>
      <c r="C36" s="778"/>
      <c r="D36" s="778"/>
      <c r="E36" s="778"/>
      <c r="F36" s="778"/>
      <c r="G36" s="778"/>
      <c r="H36" s="778"/>
      <c r="I36" s="778"/>
      <c r="J36" s="778"/>
      <c r="K36" s="778"/>
      <c r="L36" s="778"/>
      <c r="M36" s="778"/>
      <c r="N36" s="778"/>
      <c r="O36" s="778"/>
      <c r="P36" s="778"/>
      <c r="Q36" s="778"/>
      <c r="R36" s="778"/>
      <c r="S36" s="778"/>
      <c r="T36" s="778"/>
      <c r="U36" s="778"/>
      <c r="V36" s="778"/>
      <c r="W36" s="778"/>
      <c r="X36" s="778"/>
      <c r="Y36" s="778"/>
      <c r="Z36" s="778"/>
      <c r="AA36" s="778">
        <f t="shared" si="0"/>
        <v>0</v>
      </c>
      <c r="AB36" s="778">
        <f t="shared" si="1"/>
        <v>0</v>
      </c>
      <c r="AC36" s="778">
        <f t="shared" si="2"/>
        <v>0</v>
      </c>
    </row>
    <row r="37" spans="1:29" s="118" customFormat="1" ht="23.25" customHeight="1">
      <c r="A37" s="245">
        <v>33</v>
      </c>
      <c r="B37" s="244" t="s">
        <v>45</v>
      </c>
      <c r="C37" s="778"/>
      <c r="D37" s="778"/>
      <c r="E37" s="778"/>
      <c r="F37" s="778"/>
      <c r="G37" s="778"/>
      <c r="H37" s="778"/>
      <c r="I37" s="778">
        <v>2780</v>
      </c>
      <c r="J37" s="778">
        <v>3372</v>
      </c>
      <c r="K37" s="778">
        <v>6152</v>
      </c>
      <c r="L37" s="778">
        <v>2147</v>
      </c>
      <c r="M37" s="778">
        <v>1258</v>
      </c>
      <c r="N37" s="778">
        <v>3405</v>
      </c>
      <c r="O37" s="778">
        <v>45</v>
      </c>
      <c r="P37" s="778">
        <v>18</v>
      </c>
      <c r="Q37" s="778">
        <v>63</v>
      </c>
      <c r="R37" s="778">
        <v>15</v>
      </c>
      <c r="S37" s="778">
        <v>15</v>
      </c>
      <c r="T37" s="778">
        <v>30</v>
      </c>
      <c r="U37" s="778">
        <v>0</v>
      </c>
      <c r="V37" s="778"/>
      <c r="W37" s="778"/>
      <c r="X37" s="778">
        <v>0</v>
      </c>
      <c r="Y37" s="778"/>
      <c r="Z37" s="778"/>
      <c r="AA37" s="778">
        <f t="shared" si="0"/>
        <v>4987</v>
      </c>
      <c r="AB37" s="778">
        <f t="shared" si="1"/>
        <v>4663</v>
      </c>
      <c r="AC37" s="778">
        <f t="shared" si="2"/>
        <v>9650</v>
      </c>
    </row>
    <row r="38" spans="1:29" s="118" customFormat="1" ht="23.25" customHeight="1">
      <c r="A38" s="245">
        <v>34</v>
      </c>
      <c r="B38" s="244" t="s">
        <v>47</v>
      </c>
      <c r="C38" s="778"/>
      <c r="D38" s="778"/>
      <c r="E38" s="778"/>
      <c r="F38" s="778"/>
      <c r="G38" s="778"/>
      <c r="H38" s="778"/>
      <c r="I38" s="778">
        <v>35964</v>
      </c>
      <c r="J38" s="778">
        <v>26193</v>
      </c>
      <c r="K38" s="778">
        <v>62157</v>
      </c>
      <c r="L38" s="778">
        <v>40402</v>
      </c>
      <c r="M38" s="778">
        <v>20570</v>
      </c>
      <c r="N38" s="778">
        <v>60972</v>
      </c>
      <c r="O38" s="778">
        <v>11495</v>
      </c>
      <c r="P38" s="778">
        <v>5088</v>
      </c>
      <c r="Q38" s="778">
        <v>16583</v>
      </c>
      <c r="R38" s="778">
        <v>2857</v>
      </c>
      <c r="S38" s="778">
        <v>1902</v>
      </c>
      <c r="T38" s="778">
        <v>4759</v>
      </c>
      <c r="U38" s="778">
        <v>258</v>
      </c>
      <c r="V38" s="778">
        <v>208</v>
      </c>
      <c r="W38" s="778">
        <v>466</v>
      </c>
      <c r="X38" s="778">
        <v>0</v>
      </c>
      <c r="Y38" s="778"/>
      <c r="Z38" s="778"/>
      <c r="AA38" s="778">
        <f t="shared" si="0"/>
        <v>90976</v>
      </c>
      <c r="AB38" s="778">
        <f t="shared" si="1"/>
        <v>53961</v>
      </c>
      <c r="AC38" s="778">
        <f t="shared" si="2"/>
        <v>144937</v>
      </c>
    </row>
    <row r="39" spans="1:29" s="118" customFormat="1" ht="23.25" customHeight="1">
      <c r="A39" s="245">
        <v>35</v>
      </c>
      <c r="B39" s="244" t="s">
        <v>46</v>
      </c>
      <c r="C39" s="778"/>
      <c r="D39" s="778"/>
      <c r="E39" s="778"/>
      <c r="F39" s="778"/>
      <c r="G39" s="778"/>
      <c r="H39" s="778"/>
      <c r="I39" s="778">
        <v>12609</v>
      </c>
      <c r="J39" s="778">
        <v>17556</v>
      </c>
      <c r="K39" s="778">
        <v>30165</v>
      </c>
      <c r="L39" s="778">
        <v>36457</v>
      </c>
      <c r="M39" s="778">
        <v>31803</v>
      </c>
      <c r="N39" s="778">
        <v>68260</v>
      </c>
      <c r="O39" s="778">
        <v>286</v>
      </c>
      <c r="P39" s="778">
        <v>161</v>
      </c>
      <c r="Q39" s="778">
        <v>447</v>
      </c>
      <c r="R39" s="778">
        <v>360</v>
      </c>
      <c r="S39" s="778">
        <v>256</v>
      </c>
      <c r="T39" s="778">
        <v>616</v>
      </c>
      <c r="U39" s="778">
        <v>2</v>
      </c>
      <c r="V39" s="778">
        <v>0</v>
      </c>
      <c r="W39" s="778">
        <v>2</v>
      </c>
      <c r="X39" s="778">
        <v>0</v>
      </c>
      <c r="Y39" s="778"/>
      <c r="Z39" s="778"/>
      <c r="AA39" s="778">
        <f t="shared" si="0"/>
        <v>49714</v>
      </c>
      <c r="AB39" s="778">
        <f t="shared" si="1"/>
        <v>49776</v>
      </c>
      <c r="AC39" s="778">
        <f t="shared" si="2"/>
        <v>99490</v>
      </c>
    </row>
    <row r="40" spans="1:29" s="118" customFormat="1" ht="23.25" customHeight="1">
      <c r="A40" s="245">
        <v>36</v>
      </c>
      <c r="B40" s="244" t="s">
        <v>48</v>
      </c>
      <c r="C40" s="778"/>
      <c r="D40" s="778"/>
      <c r="E40" s="778"/>
      <c r="F40" s="778"/>
      <c r="G40" s="778"/>
      <c r="H40" s="778"/>
      <c r="I40" s="778">
        <v>72747</v>
      </c>
      <c r="J40" s="778">
        <v>111498</v>
      </c>
      <c r="K40" s="778">
        <v>184245</v>
      </c>
      <c r="L40" s="778">
        <v>249021</v>
      </c>
      <c r="M40" s="778">
        <v>154763</v>
      </c>
      <c r="N40" s="778">
        <v>403784</v>
      </c>
      <c r="O40" s="778">
        <v>894</v>
      </c>
      <c r="P40" s="778">
        <v>814</v>
      </c>
      <c r="Q40" s="778">
        <v>1708</v>
      </c>
      <c r="R40" s="778">
        <v>538</v>
      </c>
      <c r="S40" s="778">
        <v>777</v>
      </c>
      <c r="T40" s="778">
        <v>1315</v>
      </c>
      <c r="U40" s="778">
        <v>1179</v>
      </c>
      <c r="V40" s="778">
        <v>645</v>
      </c>
      <c r="W40" s="778">
        <v>1824</v>
      </c>
      <c r="X40" s="778">
        <v>0</v>
      </c>
      <c r="Y40" s="778"/>
      <c r="Z40" s="778"/>
      <c r="AA40" s="778">
        <f t="shared" si="0"/>
        <v>324379</v>
      </c>
      <c r="AB40" s="778">
        <f t="shared" si="1"/>
        <v>268497</v>
      </c>
      <c r="AC40" s="778">
        <f t="shared" si="2"/>
        <v>592876</v>
      </c>
    </row>
    <row r="41" spans="1:29" s="144" customFormat="1" ht="23.25" customHeight="1">
      <c r="A41" s="985" t="s">
        <v>49</v>
      </c>
      <c r="B41" s="985"/>
      <c r="C41" s="779">
        <v>30</v>
      </c>
      <c r="D41" s="779">
        <v>16</v>
      </c>
      <c r="E41" s="779">
        <v>46</v>
      </c>
      <c r="F41" s="779">
        <v>20</v>
      </c>
      <c r="G41" s="779">
        <v>9</v>
      </c>
      <c r="H41" s="779">
        <v>29</v>
      </c>
      <c r="I41" s="779">
        <v>616297</v>
      </c>
      <c r="J41" s="779">
        <v>696411</v>
      </c>
      <c r="K41" s="779">
        <v>1312708</v>
      </c>
      <c r="L41" s="779">
        <v>1812371</v>
      </c>
      <c r="M41" s="779">
        <v>1225583</v>
      </c>
      <c r="N41" s="779">
        <v>3037954</v>
      </c>
      <c r="O41" s="779">
        <v>55975</v>
      </c>
      <c r="P41" s="779">
        <v>39500</v>
      </c>
      <c r="Q41" s="779">
        <v>95475</v>
      </c>
      <c r="R41" s="779">
        <v>48619</v>
      </c>
      <c r="S41" s="779">
        <v>53861</v>
      </c>
      <c r="T41" s="779">
        <v>102480</v>
      </c>
      <c r="U41" s="779">
        <v>12886</v>
      </c>
      <c r="V41" s="779">
        <v>10700</v>
      </c>
      <c r="W41" s="779">
        <v>23586</v>
      </c>
      <c r="X41" s="779">
        <v>182</v>
      </c>
      <c r="Y41" s="779">
        <v>49</v>
      </c>
      <c r="Z41" s="779">
        <v>231</v>
      </c>
      <c r="AA41" s="779">
        <f t="shared" si="0"/>
        <v>2546380</v>
      </c>
      <c r="AB41" s="779">
        <f t="shared" si="1"/>
        <v>2026129</v>
      </c>
      <c r="AC41" s="779">
        <f t="shared" si="2"/>
        <v>4572509</v>
      </c>
    </row>
    <row r="43" spans="1:29">
      <c r="AC43" s="238"/>
    </row>
  </sheetData>
  <mergeCells count="15">
    <mergeCell ref="A41:B41"/>
    <mergeCell ref="A2:A3"/>
    <mergeCell ref="B2:B3"/>
    <mergeCell ref="C2:E2"/>
    <mergeCell ref="F2:H2"/>
    <mergeCell ref="C1:K1"/>
    <mergeCell ref="L1:T1"/>
    <mergeCell ref="U1:AC1"/>
    <mergeCell ref="I2:K2"/>
    <mergeCell ref="L2:N2"/>
    <mergeCell ref="O2:Q2"/>
    <mergeCell ref="R2:T2"/>
    <mergeCell ref="U2:W2"/>
    <mergeCell ref="X2:Z2"/>
    <mergeCell ref="AA2:AC2"/>
  </mergeCells>
  <printOptions horizontalCentered="1"/>
  <pageMargins left="0.6692913385826772" right="0.15748031496062992" top="0.51181102362204722" bottom="0.39370078740157483" header="0.19685039370078741" footer="0.15748031496062992"/>
  <pageSetup paperSize="9" scale="80" firstPageNumber="15" orientation="portrait" useFirstPageNumber="1" r:id="rId1"/>
  <headerFooter>
    <oddFooter>&amp;L&amp;"Arial,Italic"&amp;9AISHE 2021-22&amp;CT-6b</oddFooter>
  </headerFooter>
  <colBreaks count="2" manualBreakCount="2">
    <brk id="11" max="39" man="1"/>
    <brk id="2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D932E-8124-4FDE-B3C2-696ACCB213F5}">
  <sheetPr>
    <tabColor rgb="FF00B050"/>
  </sheetPr>
  <dimension ref="A1:AD41"/>
  <sheetViews>
    <sheetView view="pageBreakPreview" zoomScaleSheetLayoutView="100" workbookViewId="0">
      <pane xSplit="2" ySplit="3" topLeftCell="C4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"/>
  <cols>
    <col min="1" max="1" width="7.5703125" style="780" customWidth="1"/>
    <col min="2" max="2" width="23.42578125" style="782" customWidth="1"/>
    <col min="3" max="3" width="7.7109375" style="782" customWidth="1"/>
    <col min="4" max="5" width="8.28515625" style="782" customWidth="1"/>
    <col min="6" max="6" width="7.28515625" style="782" customWidth="1"/>
    <col min="7" max="7" width="8.28515625" style="782" customWidth="1"/>
    <col min="8" max="8" width="6.7109375" style="782" customWidth="1"/>
    <col min="9" max="10" width="9.28515625" style="782" customWidth="1"/>
    <col min="11" max="11" width="10.85546875" style="782" customWidth="1"/>
    <col min="12" max="12" width="9.85546875" style="782" bestFit="1" customWidth="1"/>
    <col min="13" max="13" width="9.7109375" style="782" customWidth="1"/>
    <col min="14" max="14" width="10.28515625" style="782" customWidth="1"/>
    <col min="15" max="15" width="7.7109375" style="782" customWidth="1"/>
    <col min="16" max="16" width="8.42578125" style="782" customWidth="1"/>
    <col min="17" max="17" width="7.28515625" style="782" customWidth="1"/>
    <col min="18" max="18" width="8.28515625" style="782" customWidth="1"/>
    <col min="19" max="19" width="7.5703125" style="782" customWidth="1"/>
    <col min="20" max="20" width="11.28515625" style="782" customWidth="1"/>
    <col min="21" max="21" width="8.7109375" style="782" customWidth="1"/>
    <col min="22" max="22" width="8.85546875" style="782" customWidth="1"/>
    <col min="23" max="23" width="7.5703125" style="782" customWidth="1"/>
    <col min="24" max="24" width="6.7109375" style="782" customWidth="1"/>
    <col min="25" max="25" width="7.28515625" style="782" customWidth="1"/>
    <col min="26" max="26" width="7.5703125" style="782" customWidth="1"/>
    <col min="27" max="27" width="9.7109375" style="782" customWidth="1"/>
    <col min="28" max="28" width="10.42578125" style="782" customWidth="1"/>
    <col min="29" max="29" width="10.28515625" style="782" customWidth="1"/>
    <col min="30" max="16384" width="9.28515625" style="782"/>
  </cols>
  <sheetData>
    <row r="1" spans="1:29" ht="40.5" customHeight="1">
      <c r="B1" s="781" t="s">
        <v>1058</v>
      </c>
      <c r="C1" s="987" t="s">
        <v>1070</v>
      </c>
      <c r="D1" s="987"/>
      <c r="E1" s="987"/>
      <c r="F1" s="987"/>
      <c r="G1" s="987"/>
      <c r="H1" s="987"/>
      <c r="I1" s="987"/>
      <c r="J1" s="987"/>
      <c r="K1" s="987"/>
      <c r="L1" s="987" t="str">
        <f>C1</f>
        <v xml:space="preserve">State-wise  Estimated Enrolment through Private Mode at various levels(Based on Actual Response)
</v>
      </c>
      <c r="M1" s="987"/>
      <c r="N1" s="987"/>
      <c r="O1" s="987"/>
      <c r="P1" s="987"/>
      <c r="Q1" s="987"/>
      <c r="R1" s="987"/>
      <c r="S1" s="987"/>
      <c r="T1" s="987"/>
      <c r="U1" s="987" t="str">
        <f>C1</f>
        <v xml:space="preserve">State-wise  Estimated Enrolment through Private Mode at various levels(Based on Actual Response)
</v>
      </c>
      <c r="V1" s="987"/>
      <c r="W1" s="987"/>
      <c r="X1" s="987"/>
      <c r="Y1" s="987"/>
      <c r="Z1" s="987"/>
      <c r="AA1" s="987"/>
      <c r="AB1" s="987"/>
      <c r="AC1" s="987"/>
    </row>
    <row r="2" spans="1:29" s="783" customFormat="1" ht="24.75" customHeight="1">
      <c r="A2" s="967" t="s">
        <v>988</v>
      </c>
      <c r="B2" s="968" t="s">
        <v>168</v>
      </c>
      <c r="C2" s="988" t="s">
        <v>89</v>
      </c>
      <c r="D2" s="989"/>
      <c r="E2" s="990"/>
      <c r="F2" s="988" t="s">
        <v>90</v>
      </c>
      <c r="G2" s="989"/>
      <c r="H2" s="990"/>
      <c r="I2" s="988" t="s">
        <v>85</v>
      </c>
      <c r="J2" s="989"/>
      <c r="K2" s="990"/>
      <c r="L2" s="988" t="s">
        <v>86</v>
      </c>
      <c r="M2" s="989"/>
      <c r="N2" s="990"/>
      <c r="O2" s="988" t="s">
        <v>91</v>
      </c>
      <c r="P2" s="989"/>
      <c r="Q2" s="990"/>
      <c r="R2" s="988" t="s">
        <v>92</v>
      </c>
      <c r="S2" s="989"/>
      <c r="T2" s="990"/>
      <c r="U2" s="988" t="s">
        <v>93</v>
      </c>
      <c r="V2" s="989"/>
      <c r="W2" s="990"/>
      <c r="X2" s="988" t="s">
        <v>94</v>
      </c>
      <c r="Y2" s="989"/>
      <c r="Z2" s="990"/>
      <c r="AA2" s="988" t="s">
        <v>60</v>
      </c>
      <c r="AB2" s="989"/>
      <c r="AC2" s="990"/>
    </row>
    <row r="3" spans="1:29" s="784" customFormat="1" ht="24.75" customHeight="1">
      <c r="A3" s="967"/>
      <c r="B3" s="968"/>
      <c r="C3" s="775" t="s">
        <v>87</v>
      </c>
      <c r="D3" s="775" t="s">
        <v>88</v>
      </c>
      <c r="E3" s="775" t="s">
        <v>12</v>
      </c>
      <c r="F3" s="775" t="s">
        <v>87</v>
      </c>
      <c r="G3" s="775" t="s">
        <v>88</v>
      </c>
      <c r="H3" s="775" t="s">
        <v>12</v>
      </c>
      <c r="I3" s="775" t="s">
        <v>87</v>
      </c>
      <c r="J3" s="775" t="s">
        <v>88</v>
      </c>
      <c r="K3" s="775" t="s">
        <v>12</v>
      </c>
      <c r="L3" s="775" t="s">
        <v>87</v>
      </c>
      <c r="M3" s="775" t="s">
        <v>88</v>
      </c>
      <c r="N3" s="775" t="s">
        <v>12</v>
      </c>
      <c r="O3" s="775" t="s">
        <v>87</v>
      </c>
      <c r="P3" s="775" t="s">
        <v>88</v>
      </c>
      <c r="Q3" s="775" t="s">
        <v>12</v>
      </c>
      <c r="R3" s="775" t="s">
        <v>87</v>
      </c>
      <c r="S3" s="775" t="s">
        <v>88</v>
      </c>
      <c r="T3" s="775" t="s">
        <v>12</v>
      </c>
      <c r="U3" s="775" t="s">
        <v>87</v>
      </c>
      <c r="V3" s="775" t="s">
        <v>88</v>
      </c>
      <c r="W3" s="775" t="s">
        <v>12</v>
      </c>
      <c r="X3" s="775" t="s">
        <v>87</v>
      </c>
      <c r="Y3" s="775" t="s">
        <v>88</v>
      </c>
      <c r="Z3" s="775" t="s">
        <v>12</v>
      </c>
      <c r="AA3" s="775" t="s">
        <v>87</v>
      </c>
      <c r="AB3" s="775" t="s">
        <v>88</v>
      </c>
      <c r="AC3" s="775" t="s">
        <v>12</v>
      </c>
    </row>
    <row r="4" spans="1:29" s="787" customFormat="1" ht="18" customHeight="1">
      <c r="A4" s="785">
        <v>1</v>
      </c>
      <c r="B4" s="786">
        <v>2</v>
      </c>
      <c r="C4" s="786">
        <v>3</v>
      </c>
      <c r="D4" s="786">
        <v>4</v>
      </c>
      <c r="E4" s="786">
        <v>5</v>
      </c>
      <c r="F4" s="786">
        <v>6</v>
      </c>
      <c r="G4" s="786">
        <v>7</v>
      </c>
      <c r="H4" s="786">
        <v>8</v>
      </c>
      <c r="I4" s="786">
        <v>9</v>
      </c>
      <c r="J4" s="786">
        <v>10</v>
      </c>
      <c r="K4" s="786">
        <v>11</v>
      </c>
      <c r="L4" s="786">
        <v>12</v>
      </c>
      <c r="M4" s="786">
        <v>13</v>
      </c>
      <c r="N4" s="786">
        <v>14</v>
      </c>
      <c r="O4" s="786">
        <v>15</v>
      </c>
      <c r="P4" s="786">
        <v>16</v>
      </c>
      <c r="Q4" s="786">
        <v>17</v>
      </c>
      <c r="R4" s="786">
        <v>18</v>
      </c>
      <c r="S4" s="786">
        <v>19</v>
      </c>
      <c r="T4" s="786">
        <v>20</v>
      </c>
      <c r="U4" s="786">
        <v>21</v>
      </c>
      <c r="V4" s="786">
        <v>22</v>
      </c>
      <c r="W4" s="786">
        <v>23</v>
      </c>
      <c r="X4" s="786">
        <v>24</v>
      </c>
      <c r="Y4" s="786">
        <v>25</v>
      </c>
      <c r="Z4" s="786">
        <v>26</v>
      </c>
      <c r="AA4" s="786">
        <v>27</v>
      </c>
      <c r="AB4" s="786">
        <v>28</v>
      </c>
      <c r="AC4" s="786">
        <v>55</v>
      </c>
    </row>
    <row r="5" spans="1:29" ht="24" customHeight="1">
      <c r="A5" s="779">
        <v>1</v>
      </c>
      <c r="B5" s="788" t="s">
        <v>1061</v>
      </c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89"/>
      <c r="W5" s="789"/>
      <c r="X5" s="789"/>
      <c r="Y5" s="789"/>
      <c r="Z5" s="789"/>
      <c r="AA5" s="789">
        <v>0</v>
      </c>
      <c r="AB5" s="789">
        <v>0</v>
      </c>
      <c r="AC5" s="789">
        <v>0</v>
      </c>
    </row>
    <row r="6" spans="1:29" ht="24" customHeight="1">
      <c r="A6" s="779">
        <v>2</v>
      </c>
      <c r="B6" s="790" t="s">
        <v>15</v>
      </c>
      <c r="C6" s="789"/>
      <c r="D6" s="789"/>
      <c r="E6" s="789"/>
      <c r="F6" s="789"/>
      <c r="G6" s="789"/>
      <c r="H6" s="789"/>
      <c r="I6" s="789"/>
      <c r="J6" s="789"/>
      <c r="K6" s="789"/>
      <c r="L6" s="789"/>
      <c r="M6" s="789"/>
      <c r="N6" s="789"/>
      <c r="O6" s="789"/>
      <c r="P6" s="789"/>
      <c r="Q6" s="789"/>
      <c r="R6" s="789"/>
      <c r="S6" s="789"/>
      <c r="T6" s="789"/>
      <c r="U6" s="789"/>
      <c r="V6" s="789"/>
      <c r="W6" s="789"/>
      <c r="X6" s="789"/>
      <c r="Y6" s="789"/>
      <c r="Z6" s="789"/>
      <c r="AA6" s="789">
        <v>0</v>
      </c>
      <c r="AB6" s="789">
        <v>0</v>
      </c>
      <c r="AC6" s="789">
        <v>0</v>
      </c>
    </row>
    <row r="7" spans="1:29" ht="24" customHeight="1">
      <c r="A7" s="779">
        <v>3</v>
      </c>
      <c r="B7" s="790" t="s">
        <v>16</v>
      </c>
      <c r="C7" s="789"/>
      <c r="D7" s="789"/>
      <c r="E7" s="789"/>
      <c r="F7" s="789"/>
      <c r="G7" s="789"/>
      <c r="H7" s="789"/>
      <c r="I7" s="789"/>
      <c r="J7" s="789"/>
      <c r="K7" s="789"/>
      <c r="L7" s="789"/>
      <c r="M7" s="789"/>
      <c r="N7" s="789"/>
      <c r="O7" s="789"/>
      <c r="P7" s="789"/>
      <c r="Q7" s="789"/>
      <c r="R7" s="789"/>
      <c r="S7" s="789"/>
      <c r="T7" s="789"/>
      <c r="U7" s="789"/>
      <c r="V7" s="789"/>
      <c r="W7" s="789"/>
      <c r="X7" s="789"/>
      <c r="Y7" s="789"/>
      <c r="Z7" s="789"/>
      <c r="AA7" s="789">
        <v>0</v>
      </c>
      <c r="AB7" s="789">
        <v>0</v>
      </c>
      <c r="AC7" s="789">
        <v>0</v>
      </c>
    </row>
    <row r="8" spans="1:29" ht="24" customHeight="1">
      <c r="A8" s="779">
        <v>4</v>
      </c>
      <c r="B8" s="790" t="s">
        <v>17</v>
      </c>
      <c r="C8" s="789"/>
      <c r="D8" s="789"/>
      <c r="E8" s="789"/>
      <c r="F8" s="789"/>
      <c r="G8" s="789"/>
      <c r="H8" s="789"/>
      <c r="I8" s="789"/>
      <c r="J8" s="789"/>
      <c r="K8" s="789"/>
      <c r="L8" s="789"/>
      <c r="M8" s="789"/>
      <c r="N8" s="789"/>
      <c r="O8" s="789"/>
      <c r="P8" s="789"/>
      <c r="Q8" s="789"/>
      <c r="R8" s="789"/>
      <c r="S8" s="789"/>
      <c r="T8" s="789"/>
      <c r="U8" s="789"/>
      <c r="V8" s="789"/>
      <c r="W8" s="789"/>
      <c r="X8" s="789"/>
      <c r="Y8" s="789"/>
      <c r="Z8" s="789"/>
      <c r="AA8" s="789">
        <v>0</v>
      </c>
      <c r="AB8" s="789">
        <v>0</v>
      </c>
      <c r="AC8" s="789">
        <v>0</v>
      </c>
    </row>
    <row r="9" spans="1:29" ht="24" customHeight="1">
      <c r="A9" s="779">
        <v>5</v>
      </c>
      <c r="B9" s="788" t="s">
        <v>18</v>
      </c>
      <c r="C9" s="778"/>
      <c r="D9" s="778"/>
      <c r="E9" s="778"/>
      <c r="F9" s="778"/>
      <c r="G9" s="778"/>
      <c r="H9" s="778"/>
      <c r="I9" s="778">
        <v>18</v>
      </c>
      <c r="J9" s="778">
        <v>10</v>
      </c>
      <c r="K9" s="778">
        <v>28</v>
      </c>
      <c r="L9" s="778">
        <v>10</v>
      </c>
      <c r="M9" s="778">
        <v>6</v>
      </c>
      <c r="N9" s="778">
        <v>16</v>
      </c>
      <c r="O9" s="778">
        <v>1</v>
      </c>
      <c r="P9" s="778">
        <v>0</v>
      </c>
      <c r="Q9" s="778">
        <v>1</v>
      </c>
      <c r="R9" s="778"/>
      <c r="S9" s="778"/>
      <c r="T9" s="778"/>
      <c r="U9" s="778"/>
      <c r="V9" s="778"/>
      <c r="W9" s="778"/>
      <c r="X9" s="778"/>
      <c r="Y9" s="778"/>
      <c r="Z9" s="778"/>
      <c r="AA9" s="789">
        <v>28</v>
      </c>
      <c r="AB9" s="789">
        <v>16</v>
      </c>
      <c r="AC9" s="789">
        <v>44</v>
      </c>
    </row>
    <row r="10" spans="1:29" ht="24" customHeight="1">
      <c r="A10" s="779">
        <v>6</v>
      </c>
      <c r="B10" s="790" t="s">
        <v>19</v>
      </c>
      <c r="C10" s="789"/>
      <c r="D10" s="789"/>
      <c r="E10" s="789"/>
      <c r="F10" s="789"/>
      <c r="G10" s="789"/>
      <c r="H10" s="789"/>
      <c r="I10" s="789"/>
      <c r="J10" s="789"/>
      <c r="K10" s="789"/>
      <c r="L10" s="789"/>
      <c r="M10" s="789"/>
      <c r="N10" s="789"/>
      <c r="O10" s="789"/>
      <c r="P10" s="789"/>
      <c r="Q10" s="789"/>
      <c r="R10" s="789"/>
      <c r="S10" s="789"/>
      <c r="T10" s="789"/>
      <c r="U10" s="789"/>
      <c r="V10" s="789"/>
      <c r="W10" s="789"/>
      <c r="X10" s="789"/>
      <c r="Y10" s="789"/>
      <c r="Z10" s="789"/>
      <c r="AA10" s="789">
        <v>0</v>
      </c>
      <c r="AB10" s="789">
        <v>0</v>
      </c>
      <c r="AC10" s="789">
        <v>0</v>
      </c>
    </row>
    <row r="11" spans="1:29" ht="24" customHeight="1">
      <c r="A11" s="779">
        <v>7</v>
      </c>
      <c r="B11" s="790" t="s">
        <v>20</v>
      </c>
      <c r="C11" s="778"/>
      <c r="D11" s="778"/>
      <c r="E11" s="778"/>
      <c r="F11" s="778"/>
      <c r="G11" s="778"/>
      <c r="H11" s="778"/>
      <c r="I11" s="778">
        <v>36</v>
      </c>
      <c r="J11" s="778">
        <v>46</v>
      </c>
      <c r="K11" s="778">
        <v>82</v>
      </c>
      <c r="L11" s="778"/>
      <c r="M11" s="778"/>
      <c r="N11" s="778"/>
      <c r="O11" s="778"/>
      <c r="P11" s="778"/>
      <c r="Q11" s="778"/>
      <c r="R11" s="778"/>
      <c r="S11" s="778"/>
      <c r="T11" s="778"/>
      <c r="U11" s="778"/>
      <c r="V11" s="778"/>
      <c r="W11" s="778"/>
      <c r="X11" s="778"/>
      <c r="Y11" s="778"/>
      <c r="Z11" s="778"/>
      <c r="AA11" s="789">
        <v>36</v>
      </c>
      <c r="AB11" s="789">
        <v>46</v>
      </c>
      <c r="AC11" s="789">
        <v>82</v>
      </c>
    </row>
    <row r="12" spans="1:29" ht="24" customHeight="1">
      <c r="A12" s="779">
        <v>8</v>
      </c>
      <c r="B12" s="790" t="s">
        <v>23</v>
      </c>
      <c r="C12" s="778"/>
      <c r="D12" s="778"/>
      <c r="E12" s="778"/>
      <c r="F12" s="778"/>
      <c r="G12" s="778"/>
      <c r="H12" s="778"/>
      <c r="I12" s="778">
        <v>582</v>
      </c>
      <c r="J12" s="778">
        <v>840</v>
      </c>
      <c r="K12" s="778">
        <v>1422</v>
      </c>
      <c r="L12" s="778">
        <v>1154</v>
      </c>
      <c r="M12" s="778">
        <v>2165</v>
      </c>
      <c r="N12" s="778">
        <v>3319</v>
      </c>
      <c r="O12" s="778"/>
      <c r="P12" s="778"/>
      <c r="Q12" s="778"/>
      <c r="R12" s="778"/>
      <c r="S12" s="778"/>
      <c r="T12" s="778"/>
      <c r="U12" s="778"/>
      <c r="V12" s="778"/>
      <c r="W12" s="778"/>
      <c r="X12" s="778"/>
      <c r="Y12" s="778"/>
      <c r="Z12" s="778"/>
      <c r="AA12" s="789">
        <v>1736</v>
      </c>
      <c r="AB12" s="789">
        <v>3005</v>
      </c>
      <c r="AC12" s="789">
        <v>4741</v>
      </c>
    </row>
    <row r="13" spans="1:29" ht="24" customHeight="1">
      <c r="A13" s="779">
        <v>9</v>
      </c>
      <c r="B13" s="790" t="s">
        <v>24</v>
      </c>
      <c r="C13" s="789"/>
      <c r="D13" s="789"/>
      <c r="E13" s="789"/>
      <c r="F13" s="789"/>
      <c r="G13" s="789"/>
      <c r="H13" s="789"/>
      <c r="I13" s="789"/>
      <c r="J13" s="789"/>
      <c r="K13" s="789"/>
      <c r="L13" s="789"/>
      <c r="M13" s="789"/>
      <c r="N13" s="789"/>
      <c r="O13" s="789"/>
      <c r="P13" s="789"/>
      <c r="Q13" s="789"/>
      <c r="R13" s="789"/>
      <c r="S13" s="789"/>
      <c r="T13" s="789"/>
      <c r="U13" s="789"/>
      <c r="V13" s="789"/>
      <c r="W13" s="789"/>
      <c r="X13" s="789"/>
      <c r="Y13" s="789"/>
      <c r="Z13" s="789"/>
      <c r="AA13" s="789">
        <v>0</v>
      </c>
      <c r="AB13" s="789">
        <v>0</v>
      </c>
      <c r="AC13" s="789">
        <v>0</v>
      </c>
    </row>
    <row r="14" spans="1:29" ht="24" customHeight="1">
      <c r="A14" s="779">
        <v>10</v>
      </c>
      <c r="B14" s="790" t="s">
        <v>25</v>
      </c>
      <c r="C14" s="778"/>
      <c r="D14" s="778"/>
      <c r="E14" s="778"/>
      <c r="F14" s="778"/>
      <c r="G14" s="778"/>
      <c r="H14" s="778"/>
      <c r="I14" s="778">
        <v>4339</v>
      </c>
      <c r="J14" s="778">
        <v>10331</v>
      </c>
      <c r="K14" s="778">
        <v>14670</v>
      </c>
      <c r="L14" s="778">
        <v>16842</v>
      </c>
      <c r="M14" s="778">
        <v>10892</v>
      </c>
      <c r="N14" s="778">
        <v>27734</v>
      </c>
      <c r="O14" s="778"/>
      <c r="P14" s="778"/>
      <c r="Q14" s="778"/>
      <c r="R14" s="778"/>
      <c r="S14" s="778"/>
      <c r="T14" s="778"/>
      <c r="U14" s="778"/>
      <c r="V14" s="778"/>
      <c r="W14" s="778"/>
      <c r="X14" s="778"/>
      <c r="Y14" s="778"/>
      <c r="Z14" s="778"/>
      <c r="AA14" s="789">
        <v>21181</v>
      </c>
      <c r="AB14" s="789">
        <v>21223</v>
      </c>
      <c r="AC14" s="789">
        <v>42404</v>
      </c>
    </row>
    <row r="15" spans="1:29" ht="24" customHeight="1">
      <c r="A15" s="779">
        <v>11</v>
      </c>
      <c r="B15" s="790" t="s">
        <v>26</v>
      </c>
      <c r="C15" s="778"/>
      <c r="D15" s="778"/>
      <c r="E15" s="778"/>
      <c r="F15" s="778"/>
      <c r="G15" s="778"/>
      <c r="H15" s="778"/>
      <c r="I15" s="778">
        <v>1445</v>
      </c>
      <c r="J15" s="778">
        <v>11475</v>
      </c>
      <c r="K15" s="778">
        <v>12920</v>
      </c>
      <c r="L15" s="778">
        <v>2705</v>
      </c>
      <c r="M15" s="778">
        <v>18225</v>
      </c>
      <c r="N15" s="778">
        <v>20930</v>
      </c>
      <c r="O15" s="778"/>
      <c r="P15" s="778"/>
      <c r="Q15" s="778"/>
      <c r="R15" s="778"/>
      <c r="S15" s="778"/>
      <c r="T15" s="778"/>
      <c r="U15" s="778"/>
      <c r="V15" s="778"/>
      <c r="W15" s="778"/>
      <c r="X15" s="778"/>
      <c r="Y15" s="778"/>
      <c r="Z15" s="778"/>
      <c r="AA15" s="789">
        <v>4150</v>
      </c>
      <c r="AB15" s="789">
        <v>29700</v>
      </c>
      <c r="AC15" s="789">
        <v>33850</v>
      </c>
    </row>
    <row r="16" spans="1:29" ht="24" customHeight="1">
      <c r="A16" s="779">
        <v>12</v>
      </c>
      <c r="B16" s="790" t="s">
        <v>27</v>
      </c>
      <c r="C16" s="789"/>
      <c r="D16" s="789"/>
      <c r="E16" s="789"/>
      <c r="F16" s="789"/>
      <c r="G16" s="789"/>
      <c r="H16" s="789"/>
      <c r="I16" s="789"/>
      <c r="J16" s="789"/>
      <c r="K16" s="789"/>
      <c r="L16" s="789"/>
      <c r="M16" s="789"/>
      <c r="N16" s="789"/>
      <c r="O16" s="789"/>
      <c r="P16" s="789"/>
      <c r="Q16" s="789"/>
      <c r="R16" s="789"/>
      <c r="S16" s="789"/>
      <c r="T16" s="789"/>
      <c r="U16" s="789"/>
      <c r="V16" s="789"/>
      <c r="W16" s="789"/>
      <c r="X16" s="789"/>
      <c r="Y16" s="789"/>
      <c r="Z16" s="789"/>
      <c r="AA16" s="789">
        <v>0</v>
      </c>
      <c r="AB16" s="789">
        <v>0</v>
      </c>
      <c r="AC16" s="789">
        <v>0</v>
      </c>
    </row>
    <row r="17" spans="1:29" ht="24" customHeight="1">
      <c r="A17" s="779">
        <v>13</v>
      </c>
      <c r="B17" s="790" t="s">
        <v>57</v>
      </c>
      <c r="C17" s="789"/>
      <c r="D17" s="789"/>
      <c r="E17" s="789"/>
      <c r="F17" s="789"/>
      <c r="G17" s="789"/>
      <c r="H17" s="789"/>
      <c r="I17" s="789"/>
      <c r="J17" s="789"/>
      <c r="K17" s="789"/>
      <c r="L17" s="789"/>
      <c r="M17" s="789"/>
      <c r="N17" s="789"/>
      <c r="O17" s="789"/>
      <c r="P17" s="789"/>
      <c r="Q17" s="789"/>
      <c r="R17" s="789"/>
      <c r="S17" s="789"/>
      <c r="T17" s="789"/>
      <c r="U17" s="789"/>
      <c r="V17" s="789"/>
      <c r="W17" s="789"/>
      <c r="X17" s="789"/>
      <c r="Y17" s="789"/>
      <c r="Z17" s="789"/>
      <c r="AA17" s="789">
        <v>0</v>
      </c>
      <c r="AB17" s="789">
        <v>0</v>
      </c>
      <c r="AC17" s="789">
        <v>0</v>
      </c>
    </row>
    <row r="18" spans="1:29" ht="24" customHeight="1">
      <c r="A18" s="779">
        <v>14</v>
      </c>
      <c r="B18" s="790" t="s">
        <v>29</v>
      </c>
      <c r="C18" s="789"/>
      <c r="D18" s="789"/>
      <c r="E18" s="789"/>
      <c r="F18" s="789"/>
      <c r="G18" s="789"/>
      <c r="H18" s="789"/>
      <c r="I18" s="789"/>
      <c r="J18" s="789"/>
      <c r="K18" s="789"/>
      <c r="L18" s="789"/>
      <c r="M18" s="789"/>
      <c r="N18" s="789"/>
      <c r="O18" s="789"/>
      <c r="P18" s="789"/>
      <c r="Q18" s="789"/>
      <c r="R18" s="789"/>
      <c r="S18" s="789"/>
      <c r="T18" s="789"/>
      <c r="U18" s="789"/>
      <c r="V18" s="789"/>
      <c r="W18" s="789"/>
      <c r="X18" s="789"/>
      <c r="Y18" s="789"/>
      <c r="Z18" s="789"/>
      <c r="AA18" s="789">
        <v>0</v>
      </c>
      <c r="AB18" s="789">
        <v>0</v>
      </c>
      <c r="AC18" s="789">
        <v>0</v>
      </c>
    </row>
    <row r="19" spans="1:29" ht="24" customHeight="1">
      <c r="A19" s="779">
        <v>15</v>
      </c>
      <c r="B19" s="790" t="s">
        <v>30</v>
      </c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789">
        <v>0</v>
      </c>
      <c r="AB19" s="789">
        <v>0</v>
      </c>
      <c r="AC19" s="789">
        <v>0</v>
      </c>
    </row>
    <row r="20" spans="1:29" ht="24" customHeight="1">
      <c r="A20" s="779">
        <v>16</v>
      </c>
      <c r="B20" s="790" t="s">
        <v>31</v>
      </c>
      <c r="C20" s="778"/>
      <c r="D20" s="778"/>
      <c r="E20" s="778"/>
      <c r="F20" s="778"/>
      <c r="G20" s="778"/>
      <c r="H20" s="778"/>
      <c r="I20" s="778">
        <v>128</v>
      </c>
      <c r="J20" s="778">
        <v>311</v>
      </c>
      <c r="K20" s="778">
        <v>439</v>
      </c>
      <c r="L20" s="778">
        <v>7753</v>
      </c>
      <c r="M20" s="778">
        <v>11277</v>
      </c>
      <c r="N20" s="778">
        <v>19030</v>
      </c>
      <c r="O20" s="778"/>
      <c r="P20" s="778"/>
      <c r="Q20" s="778"/>
      <c r="R20" s="778"/>
      <c r="S20" s="778"/>
      <c r="T20" s="778"/>
      <c r="U20" s="778">
        <v>163</v>
      </c>
      <c r="V20" s="778">
        <v>407</v>
      </c>
      <c r="W20" s="778">
        <v>570</v>
      </c>
      <c r="X20" s="778"/>
      <c r="Y20" s="778"/>
      <c r="Z20" s="778"/>
      <c r="AA20" s="789">
        <v>8044</v>
      </c>
      <c r="AB20" s="789">
        <v>11995</v>
      </c>
      <c r="AC20" s="789">
        <v>20039</v>
      </c>
    </row>
    <row r="21" spans="1:29" ht="24" customHeight="1">
      <c r="A21" s="779">
        <v>17</v>
      </c>
      <c r="B21" s="790" t="s">
        <v>154</v>
      </c>
      <c r="C21" s="778"/>
      <c r="D21" s="778"/>
      <c r="E21" s="778"/>
      <c r="F21" s="778"/>
      <c r="G21" s="778"/>
      <c r="H21" s="778"/>
      <c r="I21" s="778">
        <v>7</v>
      </c>
      <c r="J21" s="778">
        <v>3</v>
      </c>
      <c r="K21" s="778">
        <v>10</v>
      </c>
      <c r="L21" s="778"/>
      <c r="M21" s="778"/>
      <c r="N21" s="778"/>
      <c r="O21" s="778"/>
      <c r="P21" s="778"/>
      <c r="Q21" s="778"/>
      <c r="R21" s="778"/>
      <c r="S21" s="778"/>
      <c r="T21" s="778"/>
      <c r="U21" s="778"/>
      <c r="V21" s="778"/>
      <c r="W21" s="778"/>
      <c r="X21" s="778"/>
      <c r="Y21" s="778"/>
      <c r="Z21" s="778"/>
      <c r="AA21" s="789">
        <v>7</v>
      </c>
      <c r="AB21" s="789">
        <v>3</v>
      </c>
      <c r="AC21" s="789">
        <v>10</v>
      </c>
    </row>
    <row r="22" spans="1:29" ht="24" customHeight="1">
      <c r="A22" s="779">
        <v>18</v>
      </c>
      <c r="B22" s="790" t="s">
        <v>32</v>
      </c>
      <c r="C22" s="789"/>
      <c r="D22" s="789"/>
      <c r="E22" s="789"/>
      <c r="F22" s="789"/>
      <c r="G22" s="789"/>
      <c r="H22" s="789"/>
      <c r="I22" s="789"/>
      <c r="J22" s="789"/>
      <c r="K22" s="789"/>
      <c r="L22" s="789"/>
      <c r="M22" s="789"/>
      <c r="N22" s="789"/>
      <c r="O22" s="789"/>
      <c r="P22" s="789"/>
      <c r="Q22" s="789"/>
      <c r="R22" s="789"/>
      <c r="S22" s="789"/>
      <c r="T22" s="789"/>
      <c r="U22" s="789"/>
      <c r="V22" s="789"/>
      <c r="W22" s="789"/>
      <c r="X22" s="789"/>
      <c r="Y22" s="789"/>
      <c r="Z22" s="789"/>
      <c r="AA22" s="789">
        <v>0</v>
      </c>
      <c r="AB22" s="789">
        <v>0</v>
      </c>
      <c r="AC22" s="789">
        <v>0</v>
      </c>
    </row>
    <row r="23" spans="1:29" ht="24" customHeight="1">
      <c r="A23" s="779">
        <v>19</v>
      </c>
      <c r="B23" s="790" t="s">
        <v>33</v>
      </c>
      <c r="C23" s="778"/>
      <c r="D23" s="778"/>
      <c r="E23" s="778"/>
      <c r="F23" s="778"/>
      <c r="G23" s="778"/>
      <c r="H23" s="778"/>
      <c r="I23" s="778">
        <v>15009</v>
      </c>
      <c r="J23" s="778">
        <v>18752</v>
      </c>
      <c r="K23" s="778">
        <v>33761</v>
      </c>
      <c r="L23" s="778">
        <v>66023</v>
      </c>
      <c r="M23" s="778">
        <v>41796</v>
      </c>
      <c r="N23" s="778">
        <v>107819</v>
      </c>
      <c r="O23" s="778"/>
      <c r="P23" s="778"/>
      <c r="Q23" s="778"/>
      <c r="R23" s="778"/>
      <c r="S23" s="778"/>
      <c r="T23" s="778"/>
      <c r="U23" s="778"/>
      <c r="V23" s="778"/>
      <c r="W23" s="778"/>
      <c r="X23" s="778"/>
      <c r="Y23" s="778"/>
      <c r="Z23" s="778"/>
      <c r="AA23" s="789">
        <v>81032</v>
      </c>
      <c r="AB23" s="789">
        <v>60548</v>
      </c>
      <c r="AC23" s="789">
        <v>141580</v>
      </c>
    </row>
    <row r="24" spans="1:29" ht="24" customHeight="1">
      <c r="A24" s="779">
        <v>20</v>
      </c>
      <c r="B24" s="790" t="s">
        <v>34</v>
      </c>
      <c r="C24" s="778"/>
      <c r="D24" s="778"/>
      <c r="E24" s="778"/>
      <c r="F24" s="778"/>
      <c r="G24" s="778"/>
      <c r="H24" s="778"/>
      <c r="I24" s="778">
        <v>3182</v>
      </c>
      <c r="J24" s="778">
        <v>2281</v>
      </c>
      <c r="K24" s="778">
        <v>5463</v>
      </c>
      <c r="L24" s="778"/>
      <c r="M24" s="778"/>
      <c r="N24" s="778"/>
      <c r="O24" s="778"/>
      <c r="P24" s="778"/>
      <c r="Q24" s="778"/>
      <c r="R24" s="778"/>
      <c r="S24" s="778"/>
      <c r="T24" s="778"/>
      <c r="U24" s="778"/>
      <c r="V24" s="778"/>
      <c r="W24" s="778"/>
      <c r="X24" s="778"/>
      <c r="Y24" s="778"/>
      <c r="Z24" s="778"/>
      <c r="AA24" s="789">
        <v>3182</v>
      </c>
      <c r="AB24" s="789">
        <v>2281</v>
      </c>
      <c r="AC24" s="789">
        <v>5463</v>
      </c>
    </row>
    <row r="25" spans="1:29" ht="24" customHeight="1">
      <c r="A25" s="779">
        <v>21</v>
      </c>
      <c r="B25" s="790" t="s">
        <v>35</v>
      </c>
      <c r="C25" s="789"/>
      <c r="D25" s="789"/>
      <c r="E25" s="789"/>
      <c r="F25" s="789"/>
      <c r="G25" s="789"/>
      <c r="H25" s="789"/>
      <c r="I25" s="789"/>
      <c r="J25" s="789"/>
      <c r="K25" s="789"/>
      <c r="L25" s="789"/>
      <c r="M25" s="789"/>
      <c r="N25" s="789"/>
      <c r="O25" s="789"/>
      <c r="P25" s="789"/>
      <c r="Q25" s="789"/>
      <c r="R25" s="789"/>
      <c r="S25" s="789"/>
      <c r="T25" s="789"/>
      <c r="U25" s="789"/>
      <c r="V25" s="789"/>
      <c r="W25" s="789"/>
      <c r="X25" s="789"/>
      <c r="Y25" s="789"/>
      <c r="Z25" s="789"/>
      <c r="AA25" s="789">
        <v>0</v>
      </c>
      <c r="AB25" s="789">
        <v>0</v>
      </c>
      <c r="AC25" s="789">
        <v>0</v>
      </c>
    </row>
    <row r="26" spans="1:29" ht="24" customHeight="1">
      <c r="A26" s="779">
        <v>22</v>
      </c>
      <c r="B26" s="790" t="s">
        <v>36</v>
      </c>
      <c r="C26" s="789"/>
      <c r="D26" s="789"/>
      <c r="E26" s="789"/>
      <c r="F26" s="789"/>
      <c r="G26" s="789"/>
      <c r="H26" s="789"/>
      <c r="I26" s="789"/>
      <c r="J26" s="789"/>
      <c r="K26" s="789"/>
      <c r="L26" s="789"/>
      <c r="M26" s="789"/>
      <c r="N26" s="789"/>
      <c r="O26" s="789"/>
      <c r="P26" s="789"/>
      <c r="Q26" s="789"/>
      <c r="R26" s="789"/>
      <c r="S26" s="789"/>
      <c r="T26" s="789"/>
      <c r="U26" s="789"/>
      <c r="V26" s="789"/>
      <c r="W26" s="789"/>
      <c r="X26" s="789"/>
      <c r="Y26" s="789"/>
      <c r="Z26" s="789"/>
      <c r="AA26" s="789">
        <v>0</v>
      </c>
      <c r="AB26" s="789">
        <v>0</v>
      </c>
      <c r="AC26" s="789">
        <v>0</v>
      </c>
    </row>
    <row r="27" spans="1:29" ht="24" customHeight="1">
      <c r="A27" s="779">
        <v>23</v>
      </c>
      <c r="B27" s="790" t="s">
        <v>37</v>
      </c>
      <c r="C27" s="789"/>
      <c r="D27" s="789"/>
      <c r="E27" s="789"/>
      <c r="F27" s="789"/>
      <c r="G27" s="789"/>
      <c r="H27" s="789"/>
      <c r="I27" s="789"/>
      <c r="J27" s="789"/>
      <c r="K27" s="789"/>
      <c r="L27" s="789"/>
      <c r="M27" s="789"/>
      <c r="N27" s="789"/>
      <c r="O27" s="789"/>
      <c r="P27" s="789"/>
      <c r="Q27" s="789"/>
      <c r="R27" s="789"/>
      <c r="S27" s="789"/>
      <c r="T27" s="789"/>
      <c r="U27" s="789"/>
      <c r="V27" s="789"/>
      <c r="W27" s="789"/>
      <c r="X27" s="789"/>
      <c r="Y27" s="789"/>
      <c r="Z27" s="789"/>
      <c r="AA27" s="789">
        <v>0</v>
      </c>
      <c r="AB27" s="789">
        <v>0</v>
      </c>
      <c r="AC27" s="789">
        <v>0</v>
      </c>
    </row>
    <row r="28" spans="1:29" ht="24" customHeight="1">
      <c r="A28" s="779">
        <v>24</v>
      </c>
      <c r="B28" s="790" t="s">
        <v>38</v>
      </c>
      <c r="C28" s="789"/>
      <c r="D28" s="789"/>
      <c r="E28" s="789"/>
      <c r="F28" s="789"/>
      <c r="G28" s="789"/>
      <c r="H28" s="789"/>
      <c r="I28" s="789"/>
      <c r="J28" s="789"/>
      <c r="K28" s="789"/>
      <c r="L28" s="789"/>
      <c r="M28" s="789"/>
      <c r="N28" s="789"/>
      <c r="O28" s="789"/>
      <c r="P28" s="789"/>
      <c r="Q28" s="789"/>
      <c r="R28" s="789"/>
      <c r="S28" s="789"/>
      <c r="T28" s="789"/>
      <c r="U28" s="789"/>
      <c r="V28" s="789"/>
      <c r="W28" s="789"/>
      <c r="X28" s="789"/>
      <c r="Y28" s="789"/>
      <c r="Z28" s="789"/>
      <c r="AA28" s="789">
        <v>0</v>
      </c>
      <c r="AB28" s="789">
        <v>0</v>
      </c>
      <c r="AC28" s="789">
        <v>0</v>
      </c>
    </row>
    <row r="29" spans="1:29" ht="24" customHeight="1">
      <c r="A29" s="779">
        <v>25</v>
      </c>
      <c r="B29" s="790" t="s">
        <v>39</v>
      </c>
      <c r="C29" s="789"/>
      <c r="D29" s="789"/>
      <c r="E29" s="789"/>
      <c r="F29" s="789"/>
      <c r="G29" s="789"/>
      <c r="H29" s="789"/>
      <c r="I29" s="789"/>
      <c r="J29" s="789"/>
      <c r="K29" s="789"/>
      <c r="L29" s="789"/>
      <c r="M29" s="789"/>
      <c r="N29" s="789"/>
      <c r="O29" s="789"/>
      <c r="P29" s="789"/>
      <c r="Q29" s="789"/>
      <c r="R29" s="789"/>
      <c r="S29" s="789"/>
      <c r="T29" s="789"/>
      <c r="U29" s="789"/>
      <c r="V29" s="789"/>
      <c r="W29" s="789"/>
      <c r="X29" s="789"/>
      <c r="Y29" s="789"/>
      <c r="Z29" s="789"/>
      <c r="AA29" s="789">
        <v>0</v>
      </c>
      <c r="AB29" s="789">
        <v>0</v>
      </c>
      <c r="AC29" s="789">
        <v>0</v>
      </c>
    </row>
    <row r="30" spans="1:29" ht="24" customHeight="1">
      <c r="A30" s="779">
        <v>26</v>
      </c>
      <c r="B30" s="790" t="s">
        <v>40</v>
      </c>
      <c r="C30" s="789"/>
      <c r="D30" s="789"/>
      <c r="E30" s="789"/>
      <c r="F30" s="789"/>
      <c r="G30" s="789"/>
      <c r="H30" s="789"/>
      <c r="I30" s="789"/>
      <c r="J30" s="789"/>
      <c r="K30" s="789"/>
      <c r="L30" s="789"/>
      <c r="M30" s="789"/>
      <c r="N30" s="789"/>
      <c r="O30" s="789"/>
      <c r="P30" s="789"/>
      <c r="Q30" s="789"/>
      <c r="R30" s="789"/>
      <c r="S30" s="789"/>
      <c r="T30" s="789"/>
      <c r="U30" s="789"/>
      <c r="V30" s="789"/>
      <c r="W30" s="789"/>
      <c r="X30" s="789"/>
      <c r="Y30" s="789"/>
      <c r="Z30" s="789"/>
      <c r="AA30" s="789">
        <v>0</v>
      </c>
      <c r="AB30" s="789">
        <v>0</v>
      </c>
      <c r="AC30" s="789">
        <v>0</v>
      </c>
    </row>
    <row r="31" spans="1:29" ht="24" customHeight="1">
      <c r="A31" s="779">
        <v>27</v>
      </c>
      <c r="B31" s="790" t="s">
        <v>41</v>
      </c>
      <c r="C31" s="778"/>
      <c r="D31" s="778"/>
      <c r="E31" s="778"/>
      <c r="F31" s="778"/>
      <c r="G31" s="778"/>
      <c r="H31" s="778"/>
      <c r="I31" s="778">
        <v>163</v>
      </c>
      <c r="J31" s="778">
        <v>2039</v>
      </c>
      <c r="K31" s="778">
        <v>2202</v>
      </c>
      <c r="L31" s="778">
        <v>0</v>
      </c>
      <c r="M31" s="778">
        <v>4969</v>
      </c>
      <c r="N31" s="778">
        <v>4969</v>
      </c>
      <c r="O31" s="778"/>
      <c r="P31" s="778"/>
      <c r="Q31" s="778"/>
      <c r="R31" s="778"/>
      <c r="S31" s="778"/>
      <c r="T31" s="778"/>
      <c r="U31" s="778"/>
      <c r="V31" s="778"/>
      <c r="W31" s="778"/>
      <c r="X31" s="778"/>
      <c r="Y31" s="778"/>
      <c r="Z31" s="778"/>
      <c r="AA31" s="789">
        <v>163</v>
      </c>
      <c r="AB31" s="789">
        <v>7008</v>
      </c>
      <c r="AC31" s="789">
        <v>7171</v>
      </c>
    </row>
    <row r="32" spans="1:29" ht="24" customHeight="1">
      <c r="A32" s="779">
        <v>28</v>
      </c>
      <c r="B32" s="790" t="s">
        <v>42</v>
      </c>
      <c r="C32" s="778"/>
      <c r="D32" s="778"/>
      <c r="E32" s="778"/>
      <c r="F32" s="778"/>
      <c r="G32" s="778"/>
      <c r="H32" s="778"/>
      <c r="I32" s="778">
        <v>16375</v>
      </c>
      <c r="J32" s="778">
        <v>21428</v>
      </c>
      <c r="K32" s="778">
        <v>37803</v>
      </c>
      <c r="L32" s="778">
        <v>92860</v>
      </c>
      <c r="M32" s="778">
        <v>55813</v>
      </c>
      <c r="N32" s="778">
        <v>148673</v>
      </c>
      <c r="O32" s="778"/>
      <c r="P32" s="778"/>
      <c r="Q32" s="778"/>
      <c r="R32" s="778"/>
      <c r="S32" s="778"/>
      <c r="T32" s="778"/>
      <c r="U32" s="778"/>
      <c r="V32" s="778"/>
      <c r="W32" s="778"/>
      <c r="X32" s="778"/>
      <c r="Y32" s="778"/>
      <c r="Z32" s="778"/>
      <c r="AA32" s="789">
        <v>109235</v>
      </c>
      <c r="AB32" s="789">
        <v>77241</v>
      </c>
      <c r="AC32" s="789">
        <v>186476</v>
      </c>
    </row>
    <row r="33" spans="1:30" ht="24" customHeight="1">
      <c r="A33" s="779">
        <v>29</v>
      </c>
      <c r="B33" s="790" t="s">
        <v>43</v>
      </c>
      <c r="C33" s="778"/>
      <c r="D33" s="778"/>
      <c r="E33" s="778"/>
      <c r="F33" s="778"/>
      <c r="G33" s="778"/>
      <c r="H33" s="778"/>
      <c r="I33" s="778"/>
      <c r="J33" s="778"/>
      <c r="K33" s="778"/>
      <c r="L33" s="778"/>
      <c r="M33" s="778"/>
      <c r="N33" s="778"/>
      <c r="O33" s="778"/>
      <c r="P33" s="778"/>
      <c r="Q33" s="778"/>
      <c r="R33" s="778"/>
      <c r="S33" s="778"/>
      <c r="T33" s="778"/>
      <c r="U33" s="778"/>
      <c r="V33" s="778"/>
      <c r="W33" s="778"/>
      <c r="X33" s="778"/>
      <c r="Y33" s="778"/>
      <c r="Z33" s="778"/>
      <c r="AA33" s="789">
        <v>0</v>
      </c>
      <c r="AB33" s="789">
        <v>0</v>
      </c>
      <c r="AC33" s="789">
        <v>0</v>
      </c>
    </row>
    <row r="34" spans="1:30" ht="24" customHeight="1">
      <c r="A34" s="779">
        <v>30</v>
      </c>
      <c r="B34" s="790" t="s">
        <v>44</v>
      </c>
      <c r="C34" s="789"/>
      <c r="D34" s="789"/>
      <c r="E34" s="789"/>
      <c r="F34" s="789"/>
      <c r="G34" s="789"/>
      <c r="H34" s="789"/>
      <c r="I34" s="789"/>
      <c r="J34" s="789"/>
      <c r="K34" s="789"/>
      <c r="L34" s="789"/>
      <c r="M34" s="789"/>
      <c r="N34" s="789"/>
      <c r="O34" s="789"/>
      <c r="P34" s="789"/>
      <c r="Q34" s="789"/>
      <c r="R34" s="789"/>
      <c r="S34" s="789"/>
      <c r="T34" s="789"/>
      <c r="U34" s="789"/>
      <c r="V34" s="789"/>
      <c r="W34" s="789"/>
      <c r="X34" s="789"/>
      <c r="Y34" s="789"/>
      <c r="Z34" s="789"/>
      <c r="AA34" s="789">
        <v>0</v>
      </c>
      <c r="AB34" s="789">
        <v>0</v>
      </c>
      <c r="AC34" s="789">
        <v>0</v>
      </c>
    </row>
    <row r="35" spans="1:30" ht="24" customHeight="1">
      <c r="A35" s="779">
        <v>31</v>
      </c>
      <c r="B35" s="790" t="s">
        <v>131</v>
      </c>
      <c r="C35" s="789"/>
      <c r="D35" s="789"/>
      <c r="E35" s="789"/>
      <c r="F35" s="789"/>
      <c r="G35" s="789"/>
      <c r="H35" s="789"/>
      <c r="I35" s="789"/>
      <c r="J35" s="789"/>
      <c r="K35" s="789"/>
      <c r="L35" s="789"/>
      <c r="M35" s="789"/>
      <c r="N35" s="789"/>
      <c r="O35" s="789"/>
      <c r="P35" s="789"/>
      <c r="Q35" s="789"/>
      <c r="R35" s="789"/>
      <c r="S35" s="789"/>
      <c r="T35" s="789"/>
      <c r="U35" s="789"/>
      <c r="V35" s="789"/>
      <c r="W35" s="789"/>
      <c r="X35" s="789"/>
      <c r="Y35" s="789"/>
      <c r="Z35" s="789"/>
      <c r="AA35" s="789">
        <v>0</v>
      </c>
      <c r="AB35" s="789">
        <v>0</v>
      </c>
      <c r="AC35" s="789">
        <v>0</v>
      </c>
    </row>
    <row r="36" spans="1:30" ht="28.5">
      <c r="A36" s="779">
        <v>32</v>
      </c>
      <c r="B36" s="788" t="s">
        <v>1062</v>
      </c>
      <c r="C36" s="789"/>
      <c r="D36" s="789"/>
      <c r="E36" s="789"/>
      <c r="F36" s="789"/>
      <c r="G36" s="789"/>
      <c r="H36" s="789"/>
      <c r="I36" s="789"/>
      <c r="J36" s="789"/>
      <c r="K36" s="789"/>
      <c r="L36" s="789"/>
      <c r="M36" s="789"/>
      <c r="N36" s="789"/>
      <c r="O36" s="789"/>
      <c r="P36" s="789"/>
      <c r="Q36" s="789"/>
      <c r="R36" s="789"/>
      <c r="S36" s="789"/>
      <c r="T36" s="789"/>
      <c r="U36" s="789"/>
      <c r="V36" s="789"/>
      <c r="W36" s="789"/>
      <c r="X36" s="789"/>
      <c r="Y36" s="789"/>
      <c r="Z36" s="789"/>
      <c r="AA36" s="789">
        <v>0</v>
      </c>
      <c r="AB36" s="789">
        <v>0</v>
      </c>
      <c r="AC36" s="789">
        <v>0</v>
      </c>
    </row>
    <row r="37" spans="1:30" ht="24" customHeight="1">
      <c r="A37" s="779">
        <v>33</v>
      </c>
      <c r="B37" s="790" t="s">
        <v>45</v>
      </c>
      <c r="C37" s="789"/>
      <c r="D37" s="789"/>
      <c r="E37" s="789"/>
      <c r="F37" s="789"/>
      <c r="G37" s="789"/>
      <c r="H37" s="789"/>
      <c r="I37" s="789"/>
      <c r="J37" s="789"/>
      <c r="K37" s="789"/>
      <c r="L37" s="789"/>
      <c r="M37" s="789"/>
      <c r="N37" s="789"/>
      <c r="O37" s="789"/>
      <c r="P37" s="789"/>
      <c r="Q37" s="789"/>
      <c r="R37" s="789"/>
      <c r="S37" s="789"/>
      <c r="T37" s="789"/>
      <c r="U37" s="789"/>
      <c r="V37" s="789"/>
      <c r="W37" s="789"/>
      <c r="X37" s="789"/>
      <c r="Y37" s="789"/>
      <c r="Z37" s="789"/>
      <c r="AA37" s="789">
        <v>0</v>
      </c>
      <c r="AB37" s="789">
        <v>0</v>
      </c>
      <c r="AC37" s="789">
        <v>0</v>
      </c>
    </row>
    <row r="38" spans="1:30" ht="24" customHeight="1">
      <c r="A38" s="779">
        <v>34</v>
      </c>
      <c r="B38" s="790" t="s">
        <v>47</v>
      </c>
      <c r="C38" s="778"/>
      <c r="D38" s="778"/>
      <c r="E38" s="778"/>
      <c r="F38" s="778"/>
      <c r="G38" s="778"/>
      <c r="H38" s="778"/>
      <c r="I38" s="778">
        <v>21329</v>
      </c>
      <c r="J38" s="778">
        <v>19829</v>
      </c>
      <c r="K38" s="778">
        <v>41158</v>
      </c>
      <c r="L38" s="778">
        <v>46603</v>
      </c>
      <c r="M38" s="778">
        <v>18963</v>
      </c>
      <c r="N38" s="778">
        <v>65566</v>
      </c>
      <c r="O38" s="778"/>
      <c r="P38" s="778"/>
      <c r="Q38" s="778"/>
      <c r="R38" s="778"/>
      <c r="S38" s="778"/>
      <c r="T38" s="778"/>
      <c r="U38" s="778"/>
      <c r="V38" s="778"/>
      <c r="W38" s="778"/>
      <c r="X38" s="778"/>
      <c r="Y38" s="778"/>
      <c r="Z38" s="778"/>
      <c r="AA38" s="789">
        <v>67932</v>
      </c>
      <c r="AB38" s="789">
        <v>38792</v>
      </c>
      <c r="AC38" s="789">
        <v>106724</v>
      </c>
    </row>
    <row r="39" spans="1:30" ht="24" customHeight="1">
      <c r="A39" s="779">
        <v>35</v>
      </c>
      <c r="B39" s="790" t="s">
        <v>46</v>
      </c>
      <c r="C39" s="789"/>
      <c r="D39" s="789"/>
      <c r="E39" s="789"/>
      <c r="F39" s="789"/>
      <c r="G39" s="789"/>
      <c r="H39" s="789"/>
      <c r="I39" s="789"/>
      <c r="J39" s="789"/>
      <c r="K39" s="789"/>
      <c r="L39" s="789"/>
      <c r="M39" s="789"/>
      <c r="N39" s="789"/>
      <c r="O39" s="789"/>
      <c r="P39" s="789"/>
      <c r="Q39" s="789"/>
      <c r="R39" s="789"/>
      <c r="S39" s="789"/>
      <c r="T39" s="789"/>
      <c r="U39" s="789"/>
      <c r="V39" s="789"/>
      <c r="W39" s="789"/>
      <c r="X39" s="789"/>
      <c r="Y39" s="789"/>
      <c r="Z39" s="789"/>
      <c r="AA39" s="789">
        <v>0</v>
      </c>
      <c r="AB39" s="789">
        <v>0</v>
      </c>
      <c r="AC39" s="789">
        <v>0</v>
      </c>
    </row>
    <row r="40" spans="1:30" ht="24" customHeight="1">
      <c r="A40" s="779">
        <v>36</v>
      </c>
      <c r="B40" s="790" t="s">
        <v>48</v>
      </c>
      <c r="C40" s="789"/>
      <c r="D40" s="789"/>
      <c r="E40" s="789"/>
      <c r="F40" s="789"/>
      <c r="G40" s="789"/>
      <c r="H40" s="789"/>
      <c r="I40" s="789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9"/>
      <c r="U40" s="789"/>
      <c r="V40" s="789"/>
      <c r="W40" s="789"/>
      <c r="X40" s="789"/>
      <c r="Y40" s="789"/>
      <c r="Z40" s="789"/>
      <c r="AA40" s="789">
        <v>0</v>
      </c>
      <c r="AB40" s="789">
        <v>0</v>
      </c>
      <c r="AC40" s="789">
        <v>0</v>
      </c>
    </row>
    <row r="41" spans="1:30" s="780" customFormat="1">
      <c r="A41" s="986" t="s">
        <v>49</v>
      </c>
      <c r="B41" s="986"/>
      <c r="C41" s="791"/>
      <c r="D41" s="791"/>
      <c r="E41" s="791"/>
      <c r="F41" s="791">
        <v>0</v>
      </c>
      <c r="G41" s="791">
        <v>0</v>
      </c>
      <c r="H41" s="791">
        <v>0</v>
      </c>
      <c r="I41" s="791">
        <v>62613</v>
      </c>
      <c r="J41" s="791">
        <v>87345</v>
      </c>
      <c r="K41" s="791">
        <v>149958</v>
      </c>
      <c r="L41" s="791">
        <v>233950</v>
      </c>
      <c r="M41" s="791">
        <v>164106</v>
      </c>
      <c r="N41" s="791">
        <v>398056</v>
      </c>
      <c r="O41" s="791">
        <v>1</v>
      </c>
      <c r="P41" s="791"/>
      <c r="Q41" s="791">
        <v>1</v>
      </c>
      <c r="R41" s="791">
        <v>0</v>
      </c>
      <c r="S41" s="791">
        <v>0</v>
      </c>
      <c r="T41" s="791">
        <v>0</v>
      </c>
      <c r="U41" s="791">
        <v>163</v>
      </c>
      <c r="V41" s="791">
        <v>407</v>
      </c>
      <c r="W41" s="791">
        <v>570</v>
      </c>
      <c r="X41" s="791">
        <v>0</v>
      </c>
      <c r="Y41" s="791">
        <v>0</v>
      </c>
      <c r="Z41" s="791">
        <v>0</v>
      </c>
      <c r="AA41" s="791">
        <v>296727</v>
      </c>
      <c r="AB41" s="791">
        <v>251858</v>
      </c>
      <c r="AC41" s="791">
        <v>548585</v>
      </c>
      <c r="AD41" s="782"/>
    </row>
  </sheetData>
  <mergeCells count="15">
    <mergeCell ref="A41:B41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rintOptions horizontalCentered="1"/>
  <pageMargins left="0.70866141732283472" right="0.15748031496062992" top="0.42" bottom="0.39370078740157483" header="0.19685039370078741" footer="0.15748031496062992"/>
  <pageSetup paperSize="9" scale="79" firstPageNumber="15" orientation="portrait" useFirstPageNumber="1" r:id="rId1"/>
  <headerFooter>
    <oddFooter>&amp;L&amp;"Arial,Italic"&amp;9AISHE 2021-22&amp;CT-6b</oddFooter>
  </headerFooter>
  <colBreaks count="2" manualBreakCount="2">
    <brk id="11" max="40" man="1"/>
    <brk id="2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F42"/>
  <sheetViews>
    <sheetView view="pageBreakPreview" zoomScaleSheetLayoutView="100" workbookViewId="0">
      <pane xSplit="2" ySplit="3" topLeftCell="C22" activePane="bottomRight" state="frozen"/>
      <selection activeCell="F15" sqref="F15"/>
      <selection pane="topRight" activeCell="F15" sqref="F15"/>
      <selection pane="bottomLeft" activeCell="F15" sqref="F15"/>
      <selection pane="bottomRight" activeCell="N25" sqref="N25"/>
    </sheetView>
  </sheetViews>
  <sheetFormatPr defaultColWidth="10.7109375" defaultRowHeight="15.75"/>
  <cols>
    <col min="1" max="1" width="7.7109375" style="92" customWidth="1"/>
    <col min="2" max="2" width="23.28515625" style="92" bestFit="1" customWidth="1"/>
    <col min="3" max="3" width="6.5703125" style="92" bestFit="1" customWidth="1"/>
    <col min="4" max="4" width="12.28515625" style="92" bestFit="1" customWidth="1"/>
    <col min="5" max="5" width="9.28515625" style="92" bestFit="1" customWidth="1"/>
    <col min="6" max="6" width="8.7109375" style="92" bestFit="1" customWidth="1"/>
    <col min="7" max="7" width="9.28515625" style="92" bestFit="1" customWidth="1"/>
    <col min="8" max="8" width="7.140625" style="92" customWidth="1"/>
    <col min="9" max="9" width="8.7109375" style="92" bestFit="1" customWidth="1"/>
    <col min="10" max="10" width="6.85546875" style="92" customWidth="1"/>
    <col min="11" max="12" width="9" style="92" bestFit="1" customWidth="1"/>
    <col min="13" max="13" width="10.5703125" style="92" bestFit="1" customWidth="1"/>
    <col min="14" max="16384" width="10.7109375" style="92"/>
  </cols>
  <sheetData>
    <row r="1" spans="1:31" s="79" customFormat="1" ht="56.25" customHeight="1">
      <c r="B1" s="80" t="s">
        <v>97</v>
      </c>
      <c r="C1" s="991" t="s">
        <v>893</v>
      </c>
      <c r="D1" s="991"/>
      <c r="E1" s="991"/>
      <c r="F1" s="991"/>
      <c r="G1" s="991"/>
      <c r="H1" s="991"/>
      <c r="I1" s="991"/>
      <c r="J1" s="991"/>
      <c r="K1" s="991"/>
      <c r="L1" s="991"/>
      <c r="M1" s="991"/>
      <c r="N1" s="991" t="str">
        <f>C1</f>
        <v>Enrolment in Universities Teaching Departments and it's Constituent Units/Off-campus Centres
(Based on Actual Response)</v>
      </c>
      <c r="O1" s="991"/>
      <c r="P1" s="991"/>
      <c r="Q1" s="991"/>
      <c r="R1" s="991"/>
      <c r="S1" s="991"/>
      <c r="T1" s="991"/>
      <c r="U1" s="991"/>
      <c r="V1" s="991"/>
      <c r="W1" s="991" t="str">
        <f>N1</f>
        <v>Enrolment in Universities Teaching Departments and it's Constituent Units/Off-campus Centres
(Based on Actual Response)</v>
      </c>
      <c r="X1" s="991"/>
      <c r="Y1" s="991"/>
      <c r="Z1" s="991"/>
      <c r="AA1" s="991"/>
      <c r="AB1" s="991"/>
      <c r="AC1" s="991"/>
      <c r="AD1" s="991"/>
      <c r="AE1" s="991"/>
    </row>
    <row r="2" spans="1:31" s="82" customFormat="1" ht="33" customHeight="1">
      <c r="A2" s="967" t="s">
        <v>988</v>
      </c>
      <c r="B2" s="968" t="s">
        <v>137</v>
      </c>
      <c r="C2" s="996" t="s">
        <v>1086</v>
      </c>
      <c r="D2" s="996"/>
      <c r="E2" s="992" t="s">
        <v>89</v>
      </c>
      <c r="F2" s="993"/>
      <c r="G2" s="994"/>
      <c r="H2" s="992" t="s">
        <v>90</v>
      </c>
      <c r="I2" s="993"/>
      <c r="J2" s="994"/>
      <c r="K2" s="992" t="s">
        <v>85</v>
      </c>
      <c r="L2" s="993"/>
      <c r="M2" s="994"/>
      <c r="N2" s="992" t="s">
        <v>86</v>
      </c>
      <c r="O2" s="993"/>
      <c r="P2" s="994"/>
      <c r="Q2" s="992" t="s">
        <v>91</v>
      </c>
      <c r="R2" s="993"/>
      <c r="S2" s="994"/>
      <c r="T2" s="992" t="s">
        <v>92</v>
      </c>
      <c r="U2" s="993"/>
      <c r="V2" s="994"/>
      <c r="W2" s="992" t="s">
        <v>93</v>
      </c>
      <c r="X2" s="993"/>
      <c r="Y2" s="994"/>
      <c r="Z2" s="992" t="s">
        <v>94</v>
      </c>
      <c r="AA2" s="993"/>
      <c r="AB2" s="994"/>
      <c r="AC2" s="992" t="s">
        <v>60</v>
      </c>
      <c r="AD2" s="993"/>
      <c r="AE2" s="994"/>
    </row>
    <row r="3" spans="1:31" s="85" customFormat="1" ht="24.75" customHeight="1">
      <c r="A3" s="967"/>
      <c r="B3" s="968"/>
      <c r="C3" s="81" t="s">
        <v>12</v>
      </c>
      <c r="D3" s="83" t="s">
        <v>95</v>
      </c>
      <c r="E3" s="84" t="s">
        <v>87</v>
      </c>
      <c r="F3" s="84" t="s">
        <v>88</v>
      </c>
      <c r="G3" s="84" t="s">
        <v>12</v>
      </c>
      <c r="H3" s="84" t="s">
        <v>87</v>
      </c>
      <c r="I3" s="84" t="s">
        <v>88</v>
      </c>
      <c r="J3" s="84" t="s">
        <v>12</v>
      </c>
      <c r="K3" s="84" t="s">
        <v>87</v>
      </c>
      <c r="L3" s="84" t="s">
        <v>88</v>
      </c>
      <c r="M3" s="84" t="s">
        <v>12</v>
      </c>
      <c r="N3" s="84" t="s">
        <v>87</v>
      </c>
      <c r="O3" s="84" t="s">
        <v>88</v>
      </c>
      <c r="P3" s="84" t="s">
        <v>12</v>
      </c>
      <c r="Q3" s="84" t="s">
        <v>87</v>
      </c>
      <c r="R3" s="84" t="s">
        <v>88</v>
      </c>
      <c r="S3" s="84" t="s">
        <v>12</v>
      </c>
      <c r="T3" s="84" t="s">
        <v>87</v>
      </c>
      <c r="U3" s="84" t="s">
        <v>88</v>
      </c>
      <c r="V3" s="84" t="s">
        <v>12</v>
      </c>
      <c r="W3" s="84" t="s">
        <v>87</v>
      </c>
      <c r="X3" s="84" t="s">
        <v>88</v>
      </c>
      <c r="Y3" s="84" t="s">
        <v>12</v>
      </c>
      <c r="Z3" s="84" t="s">
        <v>87</v>
      </c>
      <c r="AA3" s="84" t="s">
        <v>88</v>
      </c>
      <c r="AB3" s="84" t="s">
        <v>12</v>
      </c>
      <c r="AC3" s="84" t="s">
        <v>87</v>
      </c>
      <c r="AD3" s="84" t="s">
        <v>88</v>
      </c>
      <c r="AE3" s="84" t="s">
        <v>12</v>
      </c>
    </row>
    <row r="4" spans="1:31" s="85" customFormat="1" ht="15" customHeight="1">
      <c r="A4" s="145">
        <v>1</v>
      </c>
      <c r="B4" s="145">
        <v>2</v>
      </c>
      <c r="C4" s="145">
        <v>3</v>
      </c>
      <c r="D4" s="145">
        <v>4</v>
      </c>
      <c r="E4" s="145">
        <v>5</v>
      </c>
      <c r="F4" s="145">
        <v>6</v>
      </c>
      <c r="G4" s="145">
        <v>7</v>
      </c>
      <c r="H4" s="145">
        <v>8</v>
      </c>
      <c r="I4" s="145">
        <v>9</v>
      </c>
      <c r="J4" s="145">
        <v>10</v>
      </c>
      <c r="K4" s="145">
        <v>11</v>
      </c>
      <c r="L4" s="145">
        <v>12</v>
      </c>
      <c r="M4" s="145">
        <v>13</v>
      </c>
      <c r="N4" s="145">
        <v>14</v>
      </c>
      <c r="O4" s="145">
        <v>15</v>
      </c>
      <c r="P4" s="145">
        <v>16</v>
      </c>
      <c r="Q4" s="145">
        <v>17</v>
      </c>
      <c r="R4" s="145">
        <v>18</v>
      </c>
      <c r="S4" s="145">
        <v>19</v>
      </c>
      <c r="T4" s="145">
        <v>20</v>
      </c>
      <c r="U4" s="145">
        <v>21</v>
      </c>
      <c r="V4" s="145">
        <v>22</v>
      </c>
      <c r="W4" s="145">
        <v>23</v>
      </c>
      <c r="X4" s="145">
        <v>24</v>
      </c>
      <c r="Y4" s="145">
        <v>25</v>
      </c>
      <c r="Z4" s="145">
        <v>26</v>
      </c>
      <c r="AA4" s="145">
        <v>27</v>
      </c>
      <c r="AB4" s="145">
        <v>28</v>
      </c>
      <c r="AC4" s="145">
        <v>29</v>
      </c>
      <c r="AD4" s="145">
        <v>30</v>
      </c>
      <c r="AE4" s="145">
        <v>31</v>
      </c>
    </row>
    <row r="5" spans="1:31" s="85" customFormat="1" ht="22.5" customHeight="1">
      <c r="A5" s="86">
        <v>1</v>
      </c>
      <c r="B5" s="87" t="s">
        <v>1061</v>
      </c>
      <c r="C5" s="148"/>
      <c r="D5" s="148"/>
      <c r="E5" s="148"/>
      <c r="F5" s="148"/>
      <c r="G5" s="148"/>
      <c r="H5" s="148"/>
      <c r="I5" s="148"/>
      <c r="J5" s="148"/>
      <c r="K5" s="148">
        <v>506</v>
      </c>
      <c r="L5" s="148">
        <v>659</v>
      </c>
      <c r="M5" s="148">
        <v>1165</v>
      </c>
      <c r="N5" s="148">
        <v>1548</v>
      </c>
      <c r="O5" s="148">
        <v>1213</v>
      </c>
      <c r="P5" s="148">
        <v>2761</v>
      </c>
      <c r="Q5" s="148">
        <v>26</v>
      </c>
      <c r="R5" s="148">
        <v>37</v>
      </c>
      <c r="S5" s="148">
        <v>63</v>
      </c>
      <c r="T5" s="148">
        <v>11</v>
      </c>
      <c r="U5" s="148">
        <v>30</v>
      </c>
      <c r="V5" s="148">
        <v>41</v>
      </c>
      <c r="W5" s="148"/>
      <c r="X5" s="148"/>
      <c r="Y5" s="148"/>
      <c r="Z5" s="148"/>
      <c r="AA5" s="148"/>
      <c r="AB5" s="148"/>
      <c r="AC5" s="148">
        <v>2091</v>
      </c>
      <c r="AD5" s="148">
        <v>1939</v>
      </c>
      <c r="AE5" s="148">
        <v>4030</v>
      </c>
    </row>
    <row r="6" spans="1:31" s="85" customFormat="1" ht="22.5" customHeight="1">
      <c r="A6" s="86">
        <v>2</v>
      </c>
      <c r="B6" s="88" t="s">
        <v>15</v>
      </c>
      <c r="C6" s="148">
        <v>47</v>
      </c>
      <c r="D6" s="148">
        <v>47</v>
      </c>
      <c r="E6" s="148">
        <v>2685</v>
      </c>
      <c r="F6" s="148">
        <v>1887</v>
      </c>
      <c r="G6" s="148">
        <v>4572</v>
      </c>
      <c r="H6" s="148">
        <v>7</v>
      </c>
      <c r="I6" s="148">
        <v>16</v>
      </c>
      <c r="J6" s="148">
        <v>23</v>
      </c>
      <c r="K6" s="148">
        <v>36306</v>
      </c>
      <c r="L6" s="148">
        <v>34560</v>
      </c>
      <c r="M6" s="148">
        <v>70866</v>
      </c>
      <c r="N6" s="148">
        <v>159700</v>
      </c>
      <c r="O6" s="148">
        <v>121982</v>
      </c>
      <c r="P6" s="148">
        <v>281682</v>
      </c>
      <c r="Q6" s="148">
        <v>846</v>
      </c>
      <c r="R6" s="148">
        <v>471</v>
      </c>
      <c r="S6" s="148">
        <v>1317</v>
      </c>
      <c r="T6" s="148">
        <v>580</v>
      </c>
      <c r="U6" s="148">
        <v>1068</v>
      </c>
      <c r="V6" s="148">
        <v>1648</v>
      </c>
      <c r="W6" s="148">
        <v>201</v>
      </c>
      <c r="X6" s="148">
        <v>140</v>
      </c>
      <c r="Y6" s="148">
        <v>341</v>
      </c>
      <c r="Z6" s="148">
        <v>1840</v>
      </c>
      <c r="AA6" s="148">
        <v>1672</v>
      </c>
      <c r="AB6" s="148">
        <v>3512</v>
      </c>
      <c r="AC6" s="148">
        <v>202165</v>
      </c>
      <c r="AD6" s="148">
        <v>161796</v>
      </c>
      <c r="AE6" s="148">
        <v>363961</v>
      </c>
    </row>
    <row r="7" spans="1:31" s="85" customFormat="1" ht="22.5" customHeight="1">
      <c r="A7" s="86">
        <v>3</v>
      </c>
      <c r="B7" s="88" t="s">
        <v>16</v>
      </c>
      <c r="C7" s="148">
        <v>10</v>
      </c>
      <c r="D7" s="148">
        <v>10</v>
      </c>
      <c r="E7" s="148">
        <v>437</v>
      </c>
      <c r="F7" s="148">
        <v>238</v>
      </c>
      <c r="G7" s="148">
        <v>675</v>
      </c>
      <c r="H7" s="148"/>
      <c r="I7" s="148"/>
      <c r="J7" s="148"/>
      <c r="K7" s="148">
        <v>6318</v>
      </c>
      <c r="L7" s="148">
        <v>5919</v>
      </c>
      <c r="M7" s="148">
        <v>12237</v>
      </c>
      <c r="N7" s="148">
        <v>11200</v>
      </c>
      <c r="O7" s="148">
        <v>7586</v>
      </c>
      <c r="P7" s="148">
        <v>18786</v>
      </c>
      <c r="Q7" s="148">
        <v>151</v>
      </c>
      <c r="R7" s="148">
        <v>98</v>
      </c>
      <c r="S7" s="148">
        <v>249</v>
      </c>
      <c r="T7" s="148">
        <v>619</v>
      </c>
      <c r="U7" s="148">
        <v>514</v>
      </c>
      <c r="V7" s="148">
        <v>1133</v>
      </c>
      <c r="W7" s="148">
        <v>329</v>
      </c>
      <c r="X7" s="148">
        <v>163</v>
      </c>
      <c r="Y7" s="148">
        <v>492</v>
      </c>
      <c r="Z7" s="148">
        <v>891</v>
      </c>
      <c r="AA7" s="148">
        <v>536</v>
      </c>
      <c r="AB7" s="148">
        <v>1427</v>
      </c>
      <c r="AC7" s="148">
        <v>19945</v>
      </c>
      <c r="AD7" s="148">
        <v>15054</v>
      </c>
      <c r="AE7" s="148">
        <v>34999</v>
      </c>
    </row>
    <row r="8" spans="1:31" s="85" customFormat="1" ht="22.5" customHeight="1">
      <c r="A8" s="86">
        <v>4</v>
      </c>
      <c r="B8" s="88" t="s">
        <v>17</v>
      </c>
      <c r="C8" s="148">
        <v>30</v>
      </c>
      <c r="D8" s="148">
        <v>30</v>
      </c>
      <c r="E8" s="148">
        <v>3065</v>
      </c>
      <c r="F8" s="148">
        <v>2165</v>
      </c>
      <c r="G8" s="148">
        <v>5230</v>
      </c>
      <c r="H8" s="148">
        <v>78</v>
      </c>
      <c r="I8" s="148">
        <v>106</v>
      </c>
      <c r="J8" s="148">
        <v>184</v>
      </c>
      <c r="K8" s="148">
        <v>21299</v>
      </c>
      <c r="L8" s="148">
        <v>29317</v>
      </c>
      <c r="M8" s="148">
        <v>50616</v>
      </c>
      <c r="N8" s="148">
        <v>37921</v>
      </c>
      <c r="O8" s="148">
        <v>23713</v>
      </c>
      <c r="P8" s="148">
        <v>61634</v>
      </c>
      <c r="Q8" s="148">
        <v>477</v>
      </c>
      <c r="R8" s="148">
        <v>406</v>
      </c>
      <c r="S8" s="148">
        <v>883</v>
      </c>
      <c r="T8" s="148">
        <v>1045</v>
      </c>
      <c r="U8" s="148">
        <v>672</v>
      </c>
      <c r="V8" s="148">
        <v>1717</v>
      </c>
      <c r="W8" s="148">
        <v>21</v>
      </c>
      <c r="X8" s="148">
        <v>21</v>
      </c>
      <c r="Y8" s="148">
        <v>42</v>
      </c>
      <c r="Z8" s="148">
        <v>1125</v>
      </c>
      <c r="AA8" s="148">
        <v>1344</v>
      </c>
      <c r="AB8" s="148">
        <v>2469</v>
      </c>
      <c r="AC8" s="148">
        <v>65031</v>
      </c>
      <c r="AD8" s="148">
        <v>57744</v>
      </c>
      <c r="AE8" s="148">
        <v>122775</v>
      </c>
    </row>
    <row r="9" spans="1:31" s="85" customFormat="1" ht="22.5" customHeight="1">
      <c r="A9" s="86">
        <v>5</v>
      </c>
      <c r="B9" s="88" t="s">
        <v>18</v>
      </c>
      <c r="C9" s="148">
        <v>37</v>
      </c>
      <c r="D9" s="148">
        <v>37</v>
      </c>
      <c r="E9" s="148">
        <v>3681</v>
      </c>
      <c r="F9" s="148">
        <v>1827</v>
      </c>
      <c r="G9" s="148">
        <v>5508</v>
      </c>
      <c r="H9" s="148"/>
      <c r="I9" s="148"/>
      <c r="J9" s="148"/>
      <c r="K9" s="148">
        <v>49165</v>
      </c>
      <c r="L9" s="148">
        <v>41251</v>
      </c>
      <c r="M9" s="148">
        <v>90416</v>
      </c>
      <c r="N9" s="148">
        <v>132289</v>
      </c>
      <c r="O9" s="148">
        <v>70944</v>
      </c>
      <c r="P9" s="148">
        <v>203233</v>
      </c>
      <c r="Q9" s="148">
        <v>1310</v>
      </c>
      <c r="R9" s="148">
        <v>470</v>
      </c>
      <c r="S9" s="148">
        <v>1780</v>
      </c>
      <c r="T9" s="148">
        <v>3652</v>
      </c>
      <c r="U9" s="148">
        <v>2020</v>
      </c>
      <c r="V9" s="148">
        <v>5672</v>
      </c>
      <c r="W9" s="148">
        <v>29</v>
      </c>
      <c r="X9" s="148">
        <v>5</v>
      </c>
      <c r="Y9" s="148">
        <v>34</v>
      </c>
      <c r="Z9" s="148">
        <v>1303</v>
      </c>
      <c r="AA9" s="148">
        <v>820</v>
      </c>
      <c r="AB9" s="148">
        <v>2123</v>
      </c>
      <c r="AC9" s="148">
        <v>191429</v>
      </c>
      <c r="AD9" s="148">
        <v>117337</v>
      </c>
      <c r="AE9" s="148">
        <v>308766</v>
      </c>
    </row>
    <row r="10" spans="1:31" s="85" customFormat="1" ht="22.5" customHeight="1">
      <c r="A10" s="86">
        <v>6</v>
      </c>
      <c r="B10" s="88" t="s">
        <v>19</v>
      </c>
      <c r="C10" s="148">
        <v>3</v>
      </c>
      <c r="D10" s="148">
        <v>3</v>
      </c>
      <c r="E10" s="148">
        <v>328</v>
      </c>
      <c r="F10" s="148">
        <v>414</v>
      </c>
      <c r="G10" s="148">
        <v>742</v>
      </c>
      <c r="H10" s="148">
        <v>19</v>
      </c>
      <c r="I10" s="148">
        <v>24</v>
      </c>
      <c r="J10" s="148">
        <v>43</v>
      </c>
      <c r="K10" s="148">
        <v>7717</v>
      </c>
      <c r="L10" s="148">
        <v>9437</v>
      </c>
      <c r="M10" s="148">
        <v>17154</v>
      </c>
      <c r="N10" s="148">
        <v>22411</v>
      </c>
      <c r="O10" s="148">
        <v>11500</v>
      </c>
      <c r="P10" s="148">
        <v>33911</v>
      </c>
      <c r="Q10" s="148">
        <v>725</v>
      </c>
      <c r="R10" s="148">
        <v>605</v>
      </c>
      <c r="S10" s="148">
        <v>1330</v>
      </c>
      <c r="T10" s="148">
        <v>476</v>
      </c>
      <c r="U10" s="148">
        <v>1517</v>
      </c>
      <c r="V10" s="148">
        <v>1993</v>
      </c>
      <c r="W10" s="148">
        <v>209</v>
      </c>
      <c r="X10" s="148">
        <v>158</v>
      </c>
      <c r="Y10" s="148">
        <v>367</v>
      </c>
      <c r="Z10" s="148">
        <v>1099</v>
      </c>
      <c r="AA10" s="148">
        <v>1351</v>
      </c>
      <c r="AB10" s="148">
        <v>2450</v>
      </c>
      <c r="AC10" s="148">
        <v>32984</v>
      </c>
      <c r="AD10" s="148">
        <v>25006</v>
      </c>
      <c r="AE10" s="148">
        <v>57990</v>
      </c>
    </row>
    <row r="11" spans="1:31" s="85" customFormat="1" ht="22.5" customHeight="1">
      <c r="A11" s="86">
        <v>7</v>
      </c>
      <c r="B11" s="88" t="s">
        <v>20</v>
      </c>
      <c r="C11" s="148">
        <v>34</v>
      </c>
      <c r="D11" s="148">
        <v>34</v>
      </c>
      <c r="E11" s="148">
        <v>689</v>
      </c>
      <c r="F11" s="148">
        <v>623</v>
      </c>
      <c r="G11" s="148">
        <v>1312</v>
      </c>
      <c r="H11" s="148"/>
      <c r="I11" s="148"/>
      <c r="J11" s="148"/>
      <c r="K11" s="148">
        <v>14706</v>
      </c>
      <c r="L11" s="148">
        <v>13438</v>
      </c>
      <c r="M11" s="148">
        <v>28144</v>
      </c>
      <c r="N11" s="148">
        <v>32649</v>
      </c>
      <c r="O11" s="148">
        <v>19803</v>
      </c>
      <c r="P11" s="148">
        <v>52452</v>
      </c>
      <c r="Q11" s="148">
        <v>3444</v>
      </c>
      <c r="R11" s="148">
        <v>2739</v>
      </c>
      <c r="S11" s="148">
        <v>6183</v>
      </c>
      <c r="T11" s="148">
        <v>4692</v>
      </c>
      <c r="U11" s="148">
        <v>3477</v>
      </c>
      <c r="V11" s="148">
        <v>8169</v>
      </c>
      <c r="W11" s="148">
        <v>61</v>
      </c>
      <c r="X11" s="148">
        <v>50</v>
      </c>
      <c r="Y11" s="148">
        <v>111</v>
      </c>
      <c r="Z11" s="148">
        <v>1601</v>
      </c>
      <c r="AA11" s="148">
        <v>1375</v>
      </c>
      <c r="AB11" s="148">
        <v>2976</v>
      </c>
      <c r="AC11" s="148">
        <v>57842</v>
      </c>
      <c r="AD11" s="148">
        <v>41505</v>
      </c>
      <c r="AE11" s="148">
        <v>99347</v>
      </c>
    </row>
    <row r="12" spans="1:31" s="85" customFormat="1" ht="22.5" customHeight="1">
      <c r="A12" s="86">
        <v>8</v>
      </c>
      <c r="B12" s="88" t="s">
        <v>23</v>
      </c>
      <c r="C12" s="148">
        <v>30</v>
      </c>
      <c r="D12" s="148">
        <v>30</v>
      </c>
      <c r="E12" s="148">
        <v>7468</v>
      </c>
      <c r="F12" s="148">
        <v>6510</v>
      </c>
      <c r="G12" s="148">
        <v>13978</v>
      </c>
      <c r="H12" s="148">
        <v>716</v>
      </c>
      <c r="I12" s="148">
        <v>761</v>
      </c>
      <c r="J12" s="148">
        <v>1477</v>
      </c>
      <c r="K12" s="148">
        <v>67457</v>
      </c>
      <c r="L12" s="148">
        <v>94977</v>
      </c>
      <c r="M12" s="148">
        <v>162434</v>
      </c>
      <c r="N12" s="148">
        <v>336263</v>
      </c>
      <c r="O12" s="148">
        <v>279128</v>
      </c>
      <c r="P12" s="148">
        <v>615391</v>
      </c>
      <c r="Q12" s="148">
        <v>5492</v>
      </c>
      <c r="R12" s="148">
        <v>4774</v>
      </c>
      <c r="S12" s="148">
        <v>10266</v>
      </c>
      <c r="T12" s="148">
        <v>3662</v>
      </c>
      <c r="U12" s="148">
        <v>2917</v>
      </c>
      <c r="V12" s="148">
        <v>6579</v>
      </c>
      <c r="W12" s="148">
        <v>806</v>
      </c>
      <c r="X12" s="148">
        <v>454</v>
      </c>
      <c r="Y12" s="148">
        <v>1260</v>
      </c>
      <c r="Z12" s="148">
        <v>2126</v>
      </c>
      <c r="AA12" s="148">
        <v>1202</v>
      </c>
      <c r="AB12" s="148">
        <v>3328</v>
      </c>
      <c r="AC12" s="148">
        <v>423990</v>
      </c>
      <c r="AD12" s="148">
        <v>390723</v>
      </c>
      <c r="AE12" s="148">
        <v>814713</v>
      </c>
    </row>
    <row r="13" spans="1:31" s="85" customFormat="1" ht="22.5" customHeight="1">
      <c r="A13" s="86">
        <v>9</v>
      </c>
      <c r="B13" s="88" t="s">
        <v>24</v>
      </c>
      <c r="C13" s="148">
        <v>3</v>
      </c>
      <c r="D13" s="148">
        <v>3</v>
      </c>
      <c r="E13" s="148">
        <v>421</v>
      </c>
      <c r="F13" s="148">
        <v>306</v>
      </c>
      <c r="G13" s="148">
        <v>727</v>
      </c>
      <c r="H13" s="148"/>
      <c r="I13" s="148"/>
      <c r="J13" s="148"/>
      <c r="K13" s="148">
        <v>1959</v>
      </c>
      <c r="L13" s="148">
        <v>2645</v>
      </c>
      <c r="M13" s="148">
        <v>4604</v>
      </c>
      <c r="N13" s="148">
        <v>5346</v>
      </c>
      <c r="O13" s="148">
        <v>1528</v>
      </c>
      <c r="P13" s="148">
        <v>6874</v>
      </c>
      <c r="Q13" s="148">
        <v>83</v>
      </c>
      <c r="R13" s="148">
        <v>67</v>
      </c>
      <c r="S13" s="148">
        <v>150</v>
      </c>
      <c r="T13" s="148">
        <v>30</v>
      </c>
      <c r="U13" s="148">
        <v>81</v>
      </c>
      <c r="V13" s="148">
        <v>111</v>
      </c>
      <c r="W13" s="148"/>
      <c r="X13" s="148"/>
      <c r="Y13" s="148"/>
      <c r="Z13" s="148">
        <v>1262</v>
      </c>
      <c r="AA13" s="148">
        <v>277</v>
      </c>
      <c r="AB13" s="148">
        <v>1539</v>
      </c>
      <c r="AC13" s="148">
        <v>9101</v>
      </c>
      <c r="AD13" s="148">
        <v>4904</v>
      </c>
      <c r="AE13" s="148">
        <v>14005</v>
      </c>
    </row>
    <row r="14" spans="1:31" s="85" customFormat="1" ht="22.5" customHeight="1">
      <c r="A14" s="86">
        <v>10</v>
      </c>
      <c r="B14" s="88" t="s">
        <v>25</v>
      </c>
      <c r="C14" s="148">
        <v>91</v>
      </c>
      <c r="D14" s="148">
        <v>91</v>
      </c>
      <c r="E14" s="148">
        <v>4399</v>
      </c>
      <c r="F14" s="148">
        <v>3480</v>
      </c>
      <c r="G14" s="148">
        <v>7879</v>
      </c>
      <c r="H14" s="148">
        <v>35</v>
      </c>
      <c r="I14" s="148">
        <v>29</v>
      </c>
      <c r="J14" s="148">
        <v>64</v>
      </c>
      <c r="K14" s="148">
        <v>50293</v>
      </c>
      <c r="L14" s="148">
        <v>56751</v>
      </c>
      <c r="M14" s="148">
        <v>107044</v>
      </c>
      <c r="N14" s="148">
        <v>199173</v>
      </c>
      <c r="O14" s="148">
        <v>120737</v>
      </c>
      <c r="P14" s="148">
        <v>319910</v>
      </c>
      <c r="Q14" s="148">
        <v>2777</v>
      </c>
      <c r="R14" s="148">
        <v>2351</v>
      </c>
      <c r="S14" s="148">
        <v>5128</v>
      </c>
      <c r="T14" s="148">
        <v>23105</v>
      </c>
      <c r="U14" s="148">
        <v>6623</v>
      </c>
      <c r="V14" s="148">
        <v>29728</v>
      </c>
      <c r="W14" s="148">
        <v>750</v>
      </c>
      <c r="X14" s="148">
        <v>577</v>
      </c>
      <c r="Y14" s="148">
        <v>1327</v>
      </c>
      <c r="Z14" s="148">
        <v>10153</v>
      </c>
      <c r="AA14" s="148">
        <v>8777</v>
      </c>
      <c r="AB14" s="148">
        <v>18930</v>
      </c>
      <c r="AC14" s="148">
        <v>290685</v>
      </c>
      <c r="AD14" s="148">
        <v>199325</v>
      </c>
      <c r="AE14" s="148">
        <v>490010</v>
      </c>
    </row>
    <row r="15" spans="1:31" s="85" customFormat="1" ht="22.5" customHeight="1">
      <c r="A15" s="86">
        <v>11</v>
      </c>
      <c r="B15" s="88" t="s">
        <v>26</v>
      </c>
      <c r="C15" s="148">
        <v>56</v>
      </c>
      <c r="D15" s="148">
        <v>56</v>
      </c>
      <c r="E15" s="148">
        <v>1649</v>
      </c>
      <c r="F15" s="148">
        <v>2262</v>
      </c>
      <c r="G15" s="148">
        <v>3911</v>
      </c>
      <c r="H15" s="148">
        <v>12</v>
      </c>
      <c r="I15" s="148">
        <v>30</v>
      </c>
      <c r="J15" s="148">
        <v>42</v>
      </c>
      <c r="K15" s="148">
        <v>37738</v>
      </c>
      <c r="L15" s="148">
        <v>57472</v>
      </c>
      <c r="M15" s="148">
        <v>95210</v>
      </c>
      <c r="N15" s="148">
        <v>144570</v>
      </c>
      <c r="O15" s="148">
        <v>101809</v>
      </c>
      <c r="P15" s="148">
        <v>246379</v>
      </c>
      <c r="Q15" s="148">
        <v>1051</v>
      </c>
      <c r="R15" s="148">
        <v>857</v>
      </c>
      <c r="S15" s="148">
        <v>1908</v>
      </c>
      <c r="T15" s="148">
        <v>3480</v>
      </c>
      <c r="U15" s="148">
        <v>3141</v>
      </c>
      <c r="V15" s="148">
        <v>6621</v>
      </c>
      <c r="W15" s="148">
        <v>176</v>
      </c>
      <c r="X15" s="148">
        <v>127</v>
      </c>
      <c r="Y15" s="148">
        <v>303</v>
      </c>
      <c r="Z15" s="148">
        <v>8231</v>
      </c>
      <c r="AA15" s="148">
        <v>6925</v>
      </c>
      <c r="AB15" s="148">
        <v>15156</v>
      </c>
      <c r="AC15" s="148">
        <v>196907</v>
      </c>
      <c r="AD15" s="148">
        <v>172623</v>
      </c>
      <c r="AE15" s="148">
        <v>369530</v>
      </c>
    </row>
    <row r="16" spans="1:31" s="85" customFormat="1" ht="22.5" customHeight="1">
      <c r="A16" s="86">
        <v>12</v>
      </c>
      <c r="B16" s="88" t="s">
        <v>27</v>
      </c>
      <c r="C16" s="148">
        <v>30</v>
      </c>
      <c r="D16" s="148">
        <v>29</v>
      </c>
      <c r="E16" s="148">
        <v>1025</v>
      </c>
      <c r="F16" s="148">
        <v>1052</v>
      </c>
      <c r="G16" s="148">
        <v>2077</v>
      </c>
      <c r="H16" s="148">
        <v>44</v>
      </c>
      <c r="I16" s="148">
        <v>38</v>
      </c>
      <c r="J16" s="148">
        <v>82</v>
      </c>
      <c r="K16" s="148">
        <v>12436</v>
      </c>
      <c r="L16" s="148">
        <v>12348</v>
      </c>
      <c r="M16" s="148">
        <v>24784</v>
      </c>
      <c r="N16" s="148">
        <v>41684</v>
      </c>
      <c r="O16" s="148">
        <v>30083</v>
      </c>
      <c r="P16" s="148">
        <v>71767</v>
      </c>
      <c r="Q16" s="148">
        <v>685</v>
      </c>
      <c r="R16" s="148">
        <v>466</v>
      </c>
      <c r="S16" s="148">
        <v>1151</v>
      </c>
      <c r="T16" s="148">
        <v>1122</v>
      </c>
      <c r="U16" s="148">
        <v>2232</v>
      </c>
      <c r="V16" s="148">
        <v>3354</v>
      </c>
      <c r="W16" s="148">
        <v>98</v>
      </c>
      <c r="X16" s="148">
        <v>68</v>
      </c>
      <c r="Y16" s="148">
        <v>166</v>
      </c>
      <c r="Z16" s="148">
        <v>1427</v>
      </c>
      <c r="AA16" s="148">
        <v>968</v>
      </c>
      <c r="AB16" s="148">
        <v>2395</v>
      </c>
      <c r="AC16" s="792">
        <v>58521</v>
      </c>
      <c r="AD16" s="792">
        <v>47255</v>
      </c>
      <c r="AE16" s="148">
        <v>105776</v>
      </c>
    </row>
    <row r="17" spans="1:31" s="85" customFormat="1" ht="22.5" customHeight="1">
      <c r="A17" s="86">
        <v>13</v>
      </c>
      <c r="B17" s="88" t="s">
        <v>57</v>
      </c>
      <c r="C17" s="148">
        <v>16</v>
      </c>
      <c r="D17" s="148">
        <v>16</v>
      </c>
      <c r="E17" s="148">
        <v>1762</v>
      </c>
      <c r="F17" s="148">
        <v>1794</v>
      </c>
      <c r="G17" s="148">
        <v>3556</v>
      </c>
      <c r="H17" s="148">
        <v>41</v>
      </c>
      <c r="I17" s="148">
        <v>82</v>
      </c>
      <c r="J17" s="148">
        <v>123</v>
      </c>
      <c r="K17" s="148">
        <v>28612</v>
      </c>
      <c r="L17" s="148">
        <v>38705</v>
      </c>
      <c r="M17" s="148">
        <v>67317</v>
      </c>
      <c r="N17" s="148">
        <v>50310</v>
      </c>
      <c r="O17" s="148">
        <v>36727</v>
      </c>
      <c r="P17" s="148">
        <v>87037</v>
      </c>
      <c r="Q17" s="148">
        <v>614</v>
      </c>
      <c r="R17" s="148">
        <v>394</v>
      </c>
      <c r="S17" s="148">
        <v>1008</v>
      </c>
      <c r="T17" s="148">
        <v>374</v>
      </c>
      <c r="U17" s="148">
        <v>466</v>
      </c>
      <c r="V17" s="148">
        <v>840</v>
      </c>
      <c r="W17" s="148">
        <v>115</v>
      </c>
      <c r="X17" s="148">
        <v>183</v>
      </c>
      <c r="Y17" s="148">
        <v>298</v>
      </c>
      <c r="Z17" s="148">
        <v>2150</v>
      </c>
      <c r="AA17" s="148">
        <v>2654</v>
      </c>
      <c r="AB17" s="148">
        <v>4804</v>
      </c>
      <c r="AC17" s="148">
        <v>83978</v>
      </c>
      <c r="AD17" s="148">
        <v>81005</v>
      </c>
      <c r="AE17" s="148">
        <v>164983</v>
      </c>
    </row>
    <row r="18" spans="1:31" s="85" customFormat="1" ht="22.5" customHeight="1">
      <c r="A18" s="86">
        <v>14</v>
      </c>
      <c r="B18" s="88" t="s">
        <v>29</v>
      </c>
      <c r="C18" s="148">
        <v>33</v>
      </c>
      <c r="D18" s="148">
        <v>33</v>
      </c>
      <c r="E18" s="148">
        <v>2004</v>
      </c>
      <c r="F18" s="148">
        <v>1094</v>
      </c>
      <c r="G18" s="148">
        <v>3098</v>
      </c>
      <c r="H18" s="148"/>
      <c r="I18" s="148"/>
      <c r="J18" s="148"/>
      <c r="K18" s="148">
        <v>31127</v>
      </c>
      <c r="L18" s="148">
        <v>34608</v>
      </c>
      <c r="M18" s="148">
        <v>65735</v>
      </c>
      <c r="N18" s="148">
        <v>62053</v>
      </c>
      <c r="O18" s="148">
        <v>34228</v>
      </c>
      <c r="P18" s="148">
        <v>96281</v>
      </c>
      <c r="Q18" s="148">
        <v>1485</v>
      </c>
      <c r="R18" s="148">
        <v>642</v>
      </c>
      <c r="S18" s="148">
        <v>2127</v>
      </c>
      <c r="T18" s="148">
        <v>5109</v>
      </c>
      <c r="U18" s="148">
        <v>2047</v>
      </c>
      <c r="V18" s="148">
        <v>7156</v>
      </c>
      <c r="W18" s="148">
        <v>91</v>
      </c>
      <c r="X18" s="148">
        <v>25</v>
      </c>
      <c r="Y18" s="148">
        <v>116</v>
      </c>
      <c r="Z18" s="148">
        <v>1714</v>
      </c>
      <c r="AA18" s="148">
        <v>1037</v>
      </c>
      <c r="AB18" s="148">
        <v>2751</v>
      </c>
      <c r="AC18" s="148">
        <v>103583</v>
      </c>
      <c r="AD18" s="148">
        <v>73681</v>
      </c>
      <c r="AE18" s="148">
        <v>177264</v>
      </c>
    </row>
    <row r="19" spans="1:31" s="85" customFormat="1" ht="22.5" customHeight="1">
      <c r="A19" s="86">
        <v>15</v>
      </c>
      <c r="B19" s="88" t="s">
        <v>30</v>
      </c>
      <c r="C19" s="148">
        <v>75</v>
      </c>
      <c r="D19" s="148">
        <v>75</v>
      </c>
      <c r="E19" s="148">
        <v>5320</v>
      </c>
      <c r="F19" s="148">
        <v>4467</v>
      </c>
      <c r="G19" s="148">
        <v>9787</v>
      </c>
      <c r="H19" s="148">
        <v>42</v>
      </c>
      <c r="I19" s="148">
        <v>175</v>
      </c>
      <c r="J19" s="148">
        <v>217</v>
      </c>
      <c r="K19" s="148">
        <v>63211</v>
      </c>
      <c r="L19" s="148">
        <v>68637</v>
      </c>
      <c r="M19" s="148">
        <v>131848</v>
      </c>
      <c r="N19" s="148">
        <v>140340</v>
      </c>
      <c r="O19" s="148">
        <v>95533</v>
      </c>
      <c r="P19" s="148">
        <v>235873</v>
      </c>
      <c r="Q19" s="148">
        <v>3223</v>
      </c>
      <c r="R19" s="148">
        <v>2217</v>
      </c>
      <c r="S19" s="148">
        <v>5440</v>
      </c>
      <c r="T19" s="148">
        <v>966</v>
      </c>
      <c r="U19" s="148">
        <v>915</v>
      </c>
      <c r="V19" s="148">
        <v>1881</v>
      </c>
      <c r="W19" s="148">
        <v>641</v>
      </c>
      <c r="X19" s="148">
        <v>537</v>
      </c>
      <c r="Y19" s="148">
        <v>1178</v>
      </c>
      <c r="Z19" s="148">
        <v>4480</v>
      </c>
      <c r="AA19" s="148">
        <v>3810</v>
      </c>
      <c r="AB19" s="148">
        <v>8290</v>
      </c>
      <c r="AC19" s="148">
        <v>218223</v>
      </c>
      <c r="AD19" s="148">
        <v>176291</v>
      </c>
      <c r="AE19" s="148">
        <v>394514</v>
      </c>
    </row>
    <row r="20" spans="1:31" s="85" customFormat="1" ht="22.5" customHeight="1">
      <c r="A20" s="86">
        <v>16</v>
      </c>
      <c r="B20" s="88" t="s">
        <v>31</v>
      </c>
      <c r="C20" s="148">
        <v>25</v>
      </c>
      <c r="D20" s="148">
        <v>25</v>
      </c>
      <c r="E20" s="148">
        <v>2343</v>
      </c>
      <c r="F20" s="148">
        <v>2952</v>
      </c>
      <c r="G20" s="148">
        <v>5295</v>
      </c>
      <c r="H20" s="148">
        <v>75</v>
      </c>
      <c r="I20" s="148">
        <v>275</v>
      </c>
      <c r="J20" s="148">
        <v>350</v>
      </c>
      <c r="K20" s="148">
        <v>29896</v>
      </c>
      <c r="L20" s="148">
        <v>49339</v>
      </c>
      <c r="M20" s="148">
        <v>79235</v>
      </c>
      <c r="N20" s="148">
        <v>127903</v>
      </c>
      <c r="O20" s="148">
        <v>134093</v>
      </c>
      <c r="P20" s="148">
        <v>261996</v>
      </c>
      <c r="Q20" s="148">
        <v>879</v>
      </c>
      <c r="R20" s="148">
        <v>1163</v>
      </c>
      <c r="S20" s="148">
        <v>2042</v>
      </c>
      <c r="T20" s="148">
        <v>350</v>
      </c>
      <c r="U20" s="148">
        <v>797</v>
      </c>
      <c r="V20" s="148">
        <v>1147</v>
      </c>
      <c r="W20" s="148">
        <v>371</v>
      </c>
      <c r="X20" s="148">
        <v>475</v>
      </c>
      <c r="Y20" s="148">
        <v>846</v>
      </c>
      <c r="Z20" s="148">
        <v>1015</v>
      </c>
      <c r="AA20" s="148">
        <v>1320</v>
      </c>
      <c r="AB20" s="148">
        <v>2335</v>
      </c>
      <c r="AC20" s="148">
        <v>162832</v>
      </c>
      <c r="AD20" s="148">
        <v>190414</v>
      </c>
      <c r="AE20" s="148">
        <v>353246</v>
      </c>
    </row>
    <row r="21" spans="1:31" s="85" customFormat="1" ht="22.5" customHeight="1">
      <c r="A21" s="86">
        <v>17</v>
      </c>
      <c r="B21" s="89" t="s">
        <v>154</v>
      </c>
      <c r="C21" s="148">
        <v>2</v>
      </c>
      <c r="D21" s="148">
        <v>2</v>
      </c>
      <c r="E21" s="148">
        <v>15</v>
      </c>
      <c r="F21" s="148">
        <v>3</v>
      </c>
      <c r="G21" s="148">
        <v>18</v>
      </c>
      <c r="H21" s="148"/>
      <c r="I21" s="148"/>
      <c r="J21" s="148"/>
      <c r="K21" s="148">
        <v>155</v>
      </c>
      <c r="L21" s="148">
        <v>318</v>
      </c>
      <c r="M21" s="148">
        <v>473</v>
      </c>
      <c r="N21" s="148">
        <v>85</v>
      </c>
      <c r="O21" s="148">
        <v>124</v>
      </c>
      <c r="P21" s="148">
        <v>209</v>
      </c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>
        <v>255</v>
      </c>
      <c r="AD21" s="148">
        <v>445</v>
      </c>
      <c r="AE21" s="148">
        <v>700</v>
      </c>
    </row>
    <row r="22" spans="1:31" s="85" customFormat="1" ht="22.5" customHeight="1">
      <c r="A22" s="86">
        <v>18</v>
      </c>
      <c r="B22" s="88" t="s">
        <v>32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>
        <v>14</v>
      </c>
      <c r="O22" s="148">
        <v>74</v>
      </c>
      <c r="P22" s="148">
        <v>88</v>
      </c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>
        <v>14</v>
      </c>
      <c r="AD22" s="148">
        <v>74</v>
      </c>
      <c r="AE22" s="148">
        <v>88</v>
      </c>
    </row>
    <row r="23" spans="1:31" s="85" customFormat="1" ht="22.5" customHeight="1">
      <c r="A23" s="86">
        <v>19</v>
      </c>
      <c r="B23" s="88" t="s">
        <v>33</v>
      </c>
      <c r="C23" s="148">
        <v>77</v>
      </c>
      <c r="D23" s="148">
        <v>77</v>
      </c>
      <c r="E23" s="148">
        <v>3827</v>
      </c>
      <c r="F23" s="148">
        <v>2974</v>
      </c>
      <c r="G23" s="148">
        <v>6801</v>
      </c>
      <c r="H23" s="148"/>
      <c r="I23" s="148">
        <v>16</v>
      </c>
      <c r="J23" s="148">
        <v>16</v>
      </c>
      <c r="K23" s="148">
        <v>67521</v>
      </c>
      <c r="L23" s="148">
        <v>54620</v>
      </c>
      <c r="M23" s="148">
        <v>122141</v>
      </c>
      <c r="N23" s="148">
        <v>273535</v>
      </c>
      <c r="O23" s="148">
        <v>135145</v>
      </c>
      <c r="P23" s="148">
        <v>408680</v>
      </c>
      <c r="Q23" s="148">
        <v>14072</v>
      </c>
      <c r="R23" s="148">
        <v>14392</v>
      </c>
      <c r="S23" s="148">
        <v>28464</v>
      </c>
      <c r="T23" s="148">
        <v>41780</v>
      </c>
      <c r="U23" s="148">
        <v>18953</v>
      </c>
      <c r="V23" s="148">
        <v>60733</v>
      </c>
      <c r="W23" s="148">
        <v>386</v>
      </c>
      <c r="X23" s="148">
        <v>133</v>
      </c>
      <c r="Y23" s="148">
        <v>519</v>
      </c>
      <c r="Z23" s="148">
        <v>8646</v>
      </c>
      <c r="AA23" s="148">
        <v>5214</v>
      </c>
      <c r="AB23" s="148">
        <v>13860</v>
      </c>
      <c r="AC23" s="148">
        <v>409767</v>
      </c>
      <c r="AD23" s="148">
        <v>231447</v>
      </c>
      <c r="AE23" s="148">
        <v>641214</v>
      </c>
    </row>
    <row r="24" spans="1:31" s="85" customFormat="1" ht="22.5" customHeight="1">
      <c r="A24" s="86">
        <v>20</v>
      </c>
      <c r="B24" s="88" t="s">
        <v>34</v>
      </c>
      <c r="C24" s="148">
        <v>74</v>
      </c>
      <c r="D24" s="148">
        <v>74</v>
      </c>
      <c r="E24" s="148">
        <v>6566</v>
      </c>
      <c r="F24" s="148">
        <v>4781</v>
      </c>
      <c r="G24" s="148">
        <v>11347</v>
      </c>
      <c r="H24" s="148">
        <v>65</v>
      </c>
      <c r="I24" s="148">
        <v>45</v>
      </c>
      <c r="J24" s="148">
        <v>110</v>
      </c>
      <c r="K24" s="148">
        <v>131188</v>
      </c>
      <c r="L24" s="148">
        <v>119102</v>
      </c>
      <c r="M24" s="148">
        <v>250290</v>
      </c>
      <c r="N24" s="148">
        <v>424283</v>
      </c>
      <c r="O24" s="148">
        <v>251504</v>
      </c>
      <c r="P24" s="148">
        <v>675787</v>
      </c>
      <c r="Q24" s="148">
        <v>16850</v>
      </c>
      <c r="R24" s="148">
        <v>14689</v>
      </c>
      <c r="S24" s="148">
        <v>31539</v>
      </c>
      <c r="T24" s="148">
        <v>22228</v>
      </c>
      <c r="U24" s="148">
        <v>13579</v>
      </c>
      <c r="V24" s="148">
        <v>35807</v>
      </c>
      <c r="W24" s="148">
        <v>5498</v>
      </c>
      <c r="X24" s="148">
        <v>3294</v>
      </c>
      <c r="Y24" s="148">
        <v>8792</v>
      </c>
      <c r="Z24" s="148">
        <v>3784</v>
      </c>
      <c r="AA24" s="148">
        <v>2838</v>
      </c>
      <c r="AB24" s="148">
        <v>6622</v>
      </c>
      <c r="AC24" s="148">
        <v>610462</v>
      </c>
      <c r="AD24" s="148">
        <v>409832</v>
      </c>
      <c r="AE24" s="148">
        <v>1020294</v>
      </c>
    </row>
    <row r="25" spans="1:31" s="85" customFormat="1" ht="22.5" customHeight="1">
      <c r="A25" s="86">
        <v>21</v>
      </c>
      <c r="B25" s="88" t="s">
        <v>35</v>
      </c>
      <c r="C25" s="148">
        <v>10</v>
      </c>
      <c r="D25" s="148">
        <v>9</v>
      </c>
      <c r="E25" s="148">
        <v>712</v>
      </c>
      <c r="F25" s="148">
        <v>719</v>
      </c>
      <c r="G25" s="148">
        <v>1431</v>
      </c>
      <c r="H25" s="148">
        <v>0</v>
      </c>
      <c r="I25" s="148"/>
      <c r="J25" s="148"/>
      <c r="K25" s="148">
        <v>4400</v>
      </c>
      <c r="L25" s="148">
        <v>4536</v>
      </c>
      <c r="M25" s="148">
        <v>8936</v>
      </c>
      <c r="N25" s="148">
        <v>4168</v>
      </c>
      <c r="O25" s="148">
        <v>2749</v>
      </c>
      <c r="P25" s="148">
        <v>6917</v>
      </c>
      <c r="Q25" s="148">
        <v>87</v>
      </c>
      <c r="R25" s="148">
        <v>71</v>
      </c>
      <c r="S25" s="148">
        <v>158</v>
      </c>
      <c r="T25" s="148">
        <v>115</v>
      </c>
      <c r="U25" s="148">
        <v>136</v>
      </c>
      <c r="V25" s="148">
        <v>251</v>
      </c>
      <c r="W25" s="148"/>
      <c r="X25" s="148"/>
      <c r="Y25" s="148"/>
      <c r="Z25" s="148"/>
      <c r="AA25" s="148"/>
      <c r="AB25" s="148"/>
      <c r="AC25" s="148">
        <v>9482</v>
      </c>
      <c r="AD25" s="148">
        <v>8211</v>
      </c>
      <c r="AE25" s="148">
        <v>17693</v>
      </c>
    </row>
    <row r="26" spans="1:31" s="85" customFormat="1" ht="22.5" customHeight="1">
      <c r="A26" s="86">
        <v>22</v>
      </c>
      <c r="B26" s="88" t="s">
        <v>36</v>
      </c>
      <c r="C26" s="148">
        <v>11</v>
      </c>
      <c r="D26" s="148">
        <v>11</v>
      </c>
      <c r="E26" s="148">
        <v>430</v>
      </c>
      <c r="F26" s="148">
        <v>304</v>
      </c>
      <c r="G26" s="148">
        <v>734</v>
      </c>
      <c r="H26" s="148">
        <v>1</v>
      </c>
      <c r="I26" s="148">
        <v>2</v>
      </c>
      <c r="J26" s="148">
        <v>3</v>
      </c>
      <c r="K26" s="148">
        <v>5393</v>
      </c>
      <c r="L26" s="148">
        <v>7946</v>
      </c>
      <c r="M26" s="148">
        <v>13339</v>
      </c>
      <c r="N26" s="148">
        <v>5351</v>
      </c>
      <c r="O26" s="148">
        <v>4361</v>
      </c>
      <c r="P26" s="148">
        <v>9712</v>
      </c>
      <c r="Q26" s="148">
        <v>270</v>
      </c>
      <c r="R26" s="148">
        <v>354</v>
      </c>
      <c r="S26" s="148">
        <v>624</v>
      </c>
      <c r="T26" s="148">
        <v>129</v>
      </c>
      <c r="U26" s="148">
        <v>230</v>
      </c>
      <c r="V26" s="148">
        <v>359</v>
      </c>
      <c r="W26" s="148">
        <v>1</v>
      </c>
      <c r="X26" s="148">
        <v>3</v>
      </c>
      <c r="Y26" s="148">
        <v>4</v>
      </c>
      <c r="Z26" s="148">
        <v>133</v>
      </c>
      <c r="AA26" s="148">
        <v>76</v>
      </c>
      <c r="AB26" s="148">
        <v>209</v>
      </c>
      <c r="AC26" s="148">
        <v>11708</v>
      </c>
      <c r="AD26" s="148">
        <v>13276</v>
      </c>
      <c r="AE26" s="148">
        <v>24984</v>
      </c>
    </row>
    <row r="27" spans="1:31" s="85" customFormat="1" ht="22.5" customHeight="1">
      <c r="A27" s="86">
        <v>23</v>
      </c>
      <c r="B27" s="88" t="s">
        <v>37</v>
      </c>
      <c r="C27" s="148">
        <v>3</v>
      </c>
      <c r="D27" s="148">
        <v>3</v>
      </c>
      <c r="E27" s="148">
        <v>624</v>
      </c>
      <c r="F27" s="148">
        <v>551</v>
      </c>
      <c r="G27" s="148">
        <v>1175</v>
      </c>
      <c r="H27" s="148"/>
      <c r="I27" s="148"/>
      <c r="J27" s="148"/>
      <c r="K27" s="148">
        <v>2147</v>
      </c>
      <c r="L27" s="148">
        <v>3002</v>
      </c>
      <c r="M27" s="148">
        <v>5149</v>
      </c>
      <c r="N27" s="148">
        <v>3553</v>
      </c>
      <c r="O27" s="148">
        <v>3170</v>
      </c>
      <c r="P27" s="148">
        <v>6723</v>
      </c>
      <c r="Q27" s="148">
        <v>39</v>
      </c>
      <c r="R27" s="148">
        <v>16</v>
      </c>
      <c r="S27" s="148">
        <v>55</v>
      </c>
      <c r="T27" s="148">
        <v>21</v>
      </c>
      <c r="U27" s="148">
        <v>14</v>
      </c>
      <c r="V27" s="148">
        <v>35</v>
      </c>
      <c r="W27" s="148"/>
      <c r="X27" s="148"/>
      <c r="Y27" s="148"/>
      <c r="Z27" s="148">
        <v>15</v>
      </c>
      <c r="AA27" s="148">
        <v>10</v>
      </c>
      <c r="AB27" s="148">
        <v>25</v>
      </c>
      <c r="AC27" s="148">
        <v>6399</v>
      </c>
      <c r="AD27" s="148">
        <v>6763</v>
      </c>
      <c r="AE27" s="148">
        <v>13162</v>
      </c>
    </row>
    <row r="28" spans="1:31" s="85" customFormat="1" ht="22.5" customHeight="1">
      <c r="A28" s="86">
        <v>24</v>
      </c>
      <c r="B28" s="88" t="s">
        <v>38</v>
      </c>
      <c r="C28" s="148">
        <v>6</v>
      </c>
      <c r="D28" s="148">
        <v>6</v>
      </c>
      <c r="E28" s="148">
        <v>281</v>
      </c>
      <c r="F28" s="148">
        <v>322</v>
      </c>
      <c r="G28" s="148">
        <v>603</v>
      </c>
      <c r="H28" s="148">
        <v>12</v>
      </c>
      <c r="I28" s="148">
        <v>6</v>
      </c>
      <c r="J28" s="148">
        <v>18</v>
      </c>
      <c r="K28" s="148">
        <v>2760</v>
      </c>
      <c r="L28" s="148">
        <v>4356</v>
      </c>
      <c r="M28" s="148">
        <v>7116</v>
      </c>
      <c r="N28" s="148">
        <v>3049</v>
      </c>
      <c r="O28" s="148">
        <v>2113</v>
      </c>
      <c r="P28" s="148">
        <v>5162</v>
      </c>
      <c r="Q28" s="148">
        <v>40</v>
      </c>
      <c r="R28" s="148">
        <v>89</v>
      </c>
      <c r="S28" s="148">
        <v>129</v>
      </c>
      <c r="T28" s="148">
        <v>8</v>
      </c>
      <c r="U28" s="148">
        <v>35</v>
      </c>
      <c r="V28" s="148">
        <v>43</v>
      </c>
      <c r="W28" s="148">
        <v>5</v>
      </c>
      <c r="X28" s="148">
        <v>2</v>
      </c>
      <c r="Y28" s="148">
        <v>7</v>
      </c>
      <c r="Z28" s="148"/>
      <c r="AA28" s="148"/>
      <c r="AB28" s="148"/>
      <c r="AC28" s="148">
        <v>6155</v>
      </c>
      <c r="AD28" s="148">
        <v>6923</v>
      </c>
      <c r="AE28" s="148">
        <v>13078</v>
      </c>
    </row>
    <row r="29" spans="1:31" s="85" customFormat="1" ht="22.5" customHeight="1">
      <c r="A29" s="86">
        <v>25</v>
      </c>
      <c r="B29" s="88" t="s">
        <v>39</v>
      </c>
      <c r="C29" s="148">
        <v>37</v>
      </c>
      <c r="D29" s="148">
        <v>37</v>
      </c>
      <c r="E29" s="148">
        <v>2633</v>
      </c>
      <c r="F29" s="148">
        <v>1524</v>
      </c>
      <c r="G29" s="148">
        <v>4157</v>
      </c>
      <c r="H29" s="148">
        <v>254</v>
      </c>
      <c r="I29" s="148">
        <v>267</v>
      </c>
      <c r="J29" s="148">
        <v>521</v>
      </c>
      <c r="K29" s="148">
        <v>35839</v>
      </c>
      <c r="L29" s="148">
        <v>33892</v>
      </c>
      <c r="M29" s="148">
        <v>69731</v>
      </c>
      <c r="N29" s="148">
        <v>58423</v>
      </c>
      <c r="O29" s="148">
        <v>44869</v>
      </c>
      <c r="P29" s="148">
        <v>103292</v>
      </c>
      <c r="Q29" s="148">
        <v>349</v>
      </c>
      <c r="R29" s="148">
        <v>214</v>
      </c>
      <c r="S29" s="148">
        <v>563</v>
      </c>
      <c r="T29" s="148">
        <v>1348</v>
      </c>
      <c r="U29" s="148">
        <v>2527</v>
      </c>
      <c r="V29" s="148">
        <v>3875</v>
      </c>
      <c r="W29" s="148">
        <v>16</v>
      </c>
      <c r="X29" s="148">
        <v>84</v>
      </c>
      <c r="Y29" s="148">
        <v>100</v>
      </c>
      <c r="Z29" s="148">
        <v>3601</v>
      </c>
      <c r="AA29" s="148">
        <v>3514</v>
      </c>
      <c r="AB29" s="148">
        <v>7115</v>
      </c>
      <c r="AC29" s="148">
        <v>102463</v>
      </c>
      <c r="AD29" s="148">
        <v>86891</v>
      </c>
      <c r="AE29" s="148">
        <v>189354</v>
      </c>
    </row>
    <row r="30" spans="1:31" s="85" customFormat="1" ht="22.5" customHeight="1">
      <c r="A30" s="86">
        <v>26</v>
      </c>
      <c r="B30" s="88" t="s">
        <v>40</v>
      </c>
      <c r="C30" s="148">
        <v>4</v>
      </c>
      <c r="D30" s="148">
        <v>4</v>
      </c>
      <c r="E30" s="148">
        <v>278</v>
      </c>
      <c r="F30" s="148">
        <v>228</v>
      </c>
      <c r="G30" s="148">
        <v>506</v>
      </c>
      <c r="H30" s="148"/>
      <c r="I30" s="148"/>
      <c r="J30" s="148"/>
      <c r="K30" s="148">
        <v>10906</v>
      </c>
      <c r="L30" s="148">
        <v>9825</v>
      </c>
      <c r="M30" s="148">
        <v>20731</v>
      </c>
      <c r="N30" s="148">
        <v>4567</v>
      </c>
      <c r="O30" s="148">
        <v>5639</v>
      </c>
      <c r="P30" s="148">
        <v>10206</v>
      </c>
      <c r="Q30" s="148">
        <v>8</v>
      </c>
      <c r="R30" s="148">
        <v>10</v>
      </c>
      <c r="S30" s="148">
        <v>18</v>
      </c>
      <c r="T30" s="148">
        <v>4</v>
      </c>
      <c r="U30" s="148"/>
      <c r="V30" s="148">
        <v>4</v>
      </c>
      <c r="W30" s="148">
        <v>4</v>
      </c>
      <c r="X30" s="148">
        <v>5</v>
      </c>
      <c r="Y30" s="148">
        <v>9</v>
      </c>
      <c r="Z30" s="148">
        <v>480</v>
      </c>
      <c r="AA30" s="148">
        <v>431</v>
      </c>
      <c r="AB30" s="148">
        <v>911</v>
      </c>
      <c r="AC30" s="148">
        <v>16247</v>
      </c>
      <c r="AD30" s="148">
        <v>16138</v>
      </c>
      <c r="AE30" s="148">
        <v>32385</v>
      </c>
    </row>
    <row r="31" spans="1:31" s="85" customFormat="1" ht="22.5" customHeight="1">
      <c r="A31" s="86">
        <v>27</v>
      </c>
      <c r="B31" s="88" t="s">
        <v>41</v>
      </c>
      <c r="C31" s="148">
        <v>40</v>
      </c>
      <c r="D31" s="148">
        <v>40</v>
      </c>
      <c r="E31" s="148">
        <v>4942</v>
      </c>
      <c r="F31" s="148">
        <v>5370</v>
      </c>
      <c r="G31" s="148">
        <v>10312</v>
      </c>
      <c r="H31" s="148">
        <v>26</v>
      </c>
      <c r="I31" s="148">
        <v>18</v>
      </c>
      <c r="J31" s="148">
        <v>44</v>
      </c>
      <c r="K31" s="148">
        <v>32303</v>
      </c>
      <c r="L31" s="148">
        <v>33479</v>
      </c>
      <c r="M31" s="148">
        <v>65782</v>
      </c>
      <c r="N31" s="148">
        <v>113853</v>
      </c>
      <c r="O31" s="148">
        <v>62832</v>
      </c>
      <c r="P31" s="148">
        <v>176685</v>
      </c>
      <c r="Q31" s="148">
        <v>520</v>
      </c>
      <c r="R31" s="148">
        <v>679</v>
      </c>
      <c r="S31" s="148">
        <v>1199</v>
      </c>
      <c r="T31" s="148">
        <v>5869</v>
      </c>
      <c r="U31" s="148">
        <v>9575</v>
      </c>
      <c r="V31" s="148">
        <v>15444</v>
      </c>
      <c r="W31" s="148">
        <v>312</v>
      </c>
      <c r="X31" s="148">
        <v>222</v>
      </c>
      <c r="Y31" s="148">
        <v>534</v>
      </c>
      <c r="Z31" s="148">
        <v>5907</v>
      </c>
      <c r="AA31" s="148">
        <v>6364</v>
      </c>
      <c r="AB31" s="148">
        <v>12271</v>
      </c>
      <c r="AC31" s="148">
        <v>163732</v>
      </c>
      <c r="AD31" s="148">
        <v>118539</v>
      </c>
      <c r="AE31" s="148">
        <v>282271</v>
      </c>
    </row>
    <row r="32" spans="1:31" s="85" customFormat="1" ht="22.5" customHeight="1">
      <c r="A32" s="86">
        <v>28</v>
      </c>
      <c r="B32" s="88" t="s">
        <v>42</v>
      </c>
      <c r="C32" s="148">
        <v>90</v>
      </c>
      <c r="D32" s="148">
        <v>89</v>
      </c>
      <c r="E32" s="148">
        <v>6354</v>
      </c>
      <c r="F32" s="148">
        <v>6508</v>
      </c>
      <c r="G32" s="148">
        <v>12862</v>
      </c>
      <c r="H32" s="148">
        <v>145</v>
      </c>
      <c r="I32" s="148">
        <v>161</v>
      </c>
      <c r="J32" s="148">
        <v>306</v>
      </c>
      <c r="K32" s="148">
        <v>89138</v>
      </c>
      <c r="L32" s="148">
        <v>75295</v>
      </c>
      <c r="M32" s="148">
        <v>164433</v>
      </c>
      <c r="N32" s="148">
        <v>287651</v>
      </c>
      <c r="O32" s="148">
        <v>158571</v>
      </c>
      <c r="P32" s="148">
        <v>446222</v>
      </c>
      <c r="Q32" s="148">
        <v>3292</v>
      </c>
      <c r="R32" s="148">
        <v>1426</v>
      </c>
      <c r="S32" s="148">
        <v>4718</v>
      </c>
      <c r="T32" s="148">
        <v>24691</v>
      </c>
      <c r="U32" s="148">
        <v>9288</v>
      </c>
      <c r="V32" s="148">
        <v>33979</v>
      </c>
      <c r="W32" s="148">
        <v>206</v>
      </c>
      <c r="X32" s="148">
        <v>134</v>
      </c>
      <c r="Y32" s="148">
        <v>340</v>
      </c>
      <c r="Z32" s="148">
        <v>12927</v>
      </c>
      <c r="AA32" s="148">
        <v>9469</v>
      </c>
      <c r="AB32" s="148">
        <v>22396</v>
      </c>
      <c r="AC32" s="148">
        <v>424404</v>
      </c>
      <c r="AD32" s="148">
        <v>260852</v>
      </c>
      <c r="AE32" s="148">
        <v>685256</v>
      </c>
    </row>
    <row r="33" spans="1:32" s="85" customFormat="1" ht="22.5" customHeight="1">
      <c r="A33" s="86">
        <v>29</v>
      </c>
      <c r="B33" s="88" t="s">
        <v>43</v>
      </c>
      <c r="C33" s="148">
        <v>9</v>
      </c>
      <c r="D33" s="148">
        <v>7</v>
      </c>
      <c r="E33" s="148">
        <v>328</v>
      </c>
      <c r="F33" s="148">
        <v>306</v>
      </c>
      <c r="G33" s="148">
        <v>634</v>
      </c>
      <c r="H33" s="148">
        <v>18</v>
      </c>
      <c r="I33" s="148">
        <v>25</v>
      </c>
      <c r="J33" s="148">
        <v>43</v>
      </c>
      <c r="K33" s="148">
        <v>2216</v>
      </c>
      <c r="L33" s="148">
        <v>3328</v>
      </c>
      <c r="M33" s="148">
        <v>5544</v>
      </c>
      <c r="N33" s="148">
        <v>5793</v>
      </c>
      <c r="O33" s="148">
        <v>4487</v>
      </c>
      <c r="P33" s="148">
        <v>10280</v>
      </c>
      <c r="Q33" s="148">
        <v>18</v>
      </c>
      <c r="R33" s="148">
        <v>11</v>
      </c>
      <c r="S33" s="148">
        <v>29</v>
      </c>
      <c r="T33" s="148">
        <v>9</v>
      </c>
      <c r="U33" s="148">
        <v>73</v>
      </c>
      <c r="V33" s="148">
        <v>82</v>
      </c>
      <c r="W33" s="148">
        <v>5</v>
      </c>
      <c r="X33" s="148">
        <v>3</v>
      </c>
      <c r="Y33" s="148">
        <v>8</v>
      </c>
      <c r="Z33" s="148">
        <v>63</v>
      </c>
      <c r="AA33" s="148">
        <v>64</v>
      </c>
      <c r="AB33" s="148">
        <v>127</v>
      </c>
      <c r="AC33" s="148">
        <v>8450</v>
      </c>
      <c r="AD33" s="148">
        <v>8297</v>
      </c>
      <c r="AE33" s="148">
        <v>16747</v>
      </c>
    </row>
    <row r="34" spans="1:32" s="85" customFormat="1" ht="22.5" customHeight="1">
      <c r="A34" s="86">
        <v>30</v>
      </c>
      <c r="B34" s="88" t="s">
        <v>44</v>
      </c>
      <c r="C34" s="148">
        <v>62</v>
      </c>
      <c r="D34" s="148">
        <v>62</v>
      </c>
      <c r="E34" s="148">
        <v>10428</v>
      </c>
      <c r="F34" s="148">
        <v>10363</v>
      </c>
      <c r="G34" s="148">
        <v>20791</v>
      </c>
      <c r="H34" s="148">
        <v>120</v>
      </c>
      <c r="I34" s="148">
        <v>1362</v>
      </c>
      <c r="J34" s="148">
        <v>1482</v>
      </c>
      <c r="K34" s="148">
        <v>104457</v>
      </c>
      <c r="L34" s="148">
        <v>113086</v>
      </c>
      <c r="M34" s="148">
        <v>217543</v>
      </c>
      <c r="N34" s="148">
        <v>302614</v>
      </c>
      <c r="O34" s="148">
        <v>191845</v>
      </c>
      <c r="P34" s="148">
        <v>494459</v>
      </c>
      <c r="Q34" s="148">
        <v>6697</v>
      </c>
      <c r="R34" s="148">
        <v>5240</v>
      </c>
      <c r="S34" s="148">
        <v>11937</v>
      </c>
      <c r="T34" s="148">
        <v>5023</v>
      </c>
      <c r="U34" s="148">
        <v>4731</v>
      </c>
      <c r="V34" s="148">
        <v>9754</v>
      </c>
      <c r="W34" s="148">
        <v>5741</v>
      </c>
      <c r="X34" s="148">
        <v>5980</v>
      </c>
      <c r="Y34" s="148">
        <v>11721</v>
      </c>
      <c r="Z34" s="148">
        <v>9542</v>
      </c>
      <c r="AA34" s="148">
        <v>8713</v>
      </c>
      <c r="AB34" s="148">
        <v>18255</v>
      </c>
      <c r="AC34" s="148">
        <v>444622</v>
      </c>
      <c r="AD34" s="148">
        <v>341320</v>
      </c>
      <c r="AE34" s="148">
        <v>785942</v>
      </c>
    </row>
    <row r="35" spans="1:32" s="85" customFormat="1" ht="22.5" customHeight="1">
      <c r="A35" s="86">
        <v>31</v>
      </c>
      <c r="B35" s="88" t="s">
        <v>131</v>
      </c>
      <c r="C35" s="148">
        <v>31</v>
      </c>
      <c r="D35" s="148">
        <v>31</v>
      </c>
      <c r="E35" s="148">
        <v>4427</v>
      </c>
      <c r="F35" s="148">
        <v>2515</v>
      </c>
      <c r="G35" s="148">
        <v>6942</v>
      </c>
      <c r="H35" s="148">
        <v>20</v>
      </c>
      <c r="I35" s="148">
        <v>9</v>
      </c>
      <c r="J35" s="148">
        <v>29</v>
      </c>
      <c r="K35" s="148">
        <v>34944</v>
      </c>
      <c r="L35" s="148">
        <v>40484</v>
      </c>
      <c r="M35" s="148">
        <v>75428</v>
      </c>
      <c r="N35" s="148">
        <v>84631</v>
      </c>
      <c r="O35" s="148">
        <v>68144</v>
      </c>
      <c r="P35" s="148">
        <v>152775</v>
      </c>
      <c r="Q35" s="148">
        <v>2246</v>
      </c>
      <c r="R35" s="148">
        <v>1725</v>
      </c>
      <c r="S35" s="148">
        <v>3971</v>
      </c>
      <c r="T35" s="148">
        <v>2050</v>
      </c>
      <c r="U35" s="148">
        <v>1423</v>
      </c>
      <c r="V35" s="148">
        <v>3473</v>
      </c>
      <c r="W35" s="148">
        <v>1365</v>
      </c>
      <c r="X35" s="148">
        <v>1368</v>
      </c>
      <c r="Y35" s="148">
        <v>2733</v>
      </c>
      <c r="Z35" s="148">
        <v>2402</v>
      </c>
      <c r="AA35" s="148">
        <v>1736</v>
      </c>
      <c r="AB35" s="148">
        <v>4138</v>
      </c>
      <c r="AC35" s="148">
        <v>132085</v>
      </c>
      <c r="AD35" s="148">
        <v>117404</v>
      </c>
      <c r="AE35" s="148">
        <v>249489</v>
      </c>
    </row>
    <row r="36" spans="1:32" s="85" customFormat="1" ht="31.5">
      <c r="A36" s="86">
        <v>32</v>
      </c>
      <c r="B36" s="87" t="s">
        <v>1062</v>
      </c>
      <c r="C36" s="148"/>
      <c r="D36" s="148"/>
      <c r="E36" s="148"/>
      <c r="F36" s="148"/>
      <c r="G36" s="148"/>
      <c r="H36" s="148"/>
      <c r="I36" s="148"/>
      <c r="J36" s="148"/>
      <c r="K36" s="148">
        <v>51</v>
      </c>
      <c r="L36" s="148">
        <v>43</v>
      </c>
      <c r="M36" s="148">
        <v>94</v>
      </c>
      <c r="N36" s="148">
        <v>157</v>
      </c>
      <c r="O36" s="148">
        <v>15</v>
      </c>
      <c r="P36" s="148">
        <v>172</v>
      </c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>
        <v>208</v>
      </c>
      <c r="AD36" s="148">
        <v>58</v>
      </c>
      <c r="AE36" s="148">
        <v>266</v>
      </c>
    </row>
    <row r="37" spans="1:32" s="85" customFormat="1" ht="22.5" customHeight="1">
      <c r="A37" s="86">
        <v>33</v>
      </c>
      <c r="B37" s="88" t="s">
        <v>45</v>
      </c>
      <c r="C37" s="148">
        <v>5</v>
      </c>
      <c r="D37" s="148">
        <v>5</v>
      </c>
      <c r="E37" s="148">
        <v>279</v>
      </c>
      <c r="F37" s="148">
        <v>169</v>
      </c>
      <c r="G37" s="148">
        <v>448</v>
      </c>
      <c r="H37" s="148">
        <v>2</v>
      </c>
      <c r="I37" s="148">
        <v>10</v>
      </c>
      <c r="J37" s="148">
        <v>12</v>
      </c>
      <c r="K37" s="148">
        <v>4911</v>
      </c>
      <c r="L37" s="148">
        <v>5600</v>
      </c>
      <c r="M37" s="148">
        <v>10511</v>
      </c>
      <c r="N37" s="148">
        <v>7282</v>
      </c>
      <c r="O37" s="148">
        <v>3749</v>
      </c>
      <c r="P37" s="148">
        <v>11031</v>
      </c>
      <c r="Q37" s="148">
        <v>76</v>
      </c>
      <c r="R37" s="148">
        <v>59</v>
      </c>
      <c r="S37" s="148">
        <v>135</v>
      </c>
      <c r="T37" s="148">
        <v>31</v>
      </c>
      <c r="U37" s="148">
        <v>71</v>
      </c>
      <c r="V37" s="148">
        <v>102</v>
      </c>
      <c r="W37" s="148"/>
      <c r="X37" s="148"/>
      <c r="Y37" s="148"/>
      <c r="Z37" s="148">
        <v>977</v>
      </c>
      <c r="AA37" s="148">
        <v>753</v>
      </c>
      <c r="AB37" s="148">
        <v>1730</v>
      </c>
      <c r="AC37" s="148">
        <v>13558</v>
      </c>
      <c r="AD37" s="148">
        <v>10411</v>
      </c>
      <c r="AE37" s="148">
        <v>23969</v>
      </c>
    </row>
    <row r="38" spans="1:32" s="85" customFormat="1" ht="22.5" customHeight="1">
      <c r="A38" s="86">
        <v>34</v>
      </c>
      <c r="B38" s="88" t="s">
        <v>47</v>
      </c>
      <c r="C38" s="148">
        <v>91</v>
      </c>
      <c r="D38" s="148">
        <v>91</v>
      </c>
      <c r="E38" s="148">
        <v>11235</v>
      </c>
      <c r="F38" s="148">
        <v>9198</v>
      </c>
      <c r="G38" s="148">
        <v>20433</v>
      </c>
      <c r="H38" s="148">
        <v>15</v>
      </c>
      <c r="I38" s="148">
        <v>62</v>
      </c>
      <c r="J38" s="148">
        <v>77</v>
      </c>
      <c r="K38" s="148">
        <v>115325</v>
      </c>
      <c r="L38" s="148">
        <v>89971</v>
      </c>
      <c r="M38" s="148">
        <v>205296</v>
      </c>
      <c r="N38" s="148">
        <v>307769</v>
      </c>
      <c r="O38" s="148">
        <v>148253</v>
      </c>
      <c r="P38" s="148">
        <v>456022</v>
      </c>
      <c r="Q38" s="148">
        <v>9035</v>
      </c>
      <c r="R38" s="148">
        <v>3985</v>
      </c>
      <c r="S38" s="148">
        <v>13020</v>
      </c>
      <c r="T38" s="148">
        <v>20652</v>
      </c>
      <c r="U38" s="148">
        <v>7595</v>
      </c>
      <c r="V38" s="148">
        <v>28247</v>
      </c>
      <c r="W38" s="148">
        <v>1378</v>
      </c>
      <c r="X38" s="148">
        <v>918</v>
      </c>
      <c r="Y38" s="148">
        <v>2296</v>
      </c>
      <c r="Z38" s="148">
        <v>12426</v>
      </c>
      <c r="AA38" s="148">
        <v>7970</v>
      </c>
      <c r="AB38" s="148">
        <v>20396</v>
      </c>
      <c r="AC38" s="148">
        <v>477835</v>
      </c>
      <c r="AD38" s="148">
        <v>267952</v>
      </c>
      <c r="AE38" s="148">
        <v>745787</v>
      </c>
    </row>
    <row r="39" spans="1:32" s="85" customFormat="1" ht="22.5" customHeight="1">
      <c r="A39" s="86">
        <v>35</v>
      </c>
      <c r="B39" s="88" t="s">
        <v>46</v>
      </c>
      <c r="C39" s="148">
        <v>38</v>
      </c>
      <c r="D39" s="148">
        <v>37</v>
      </c>
      <c r="E39" s="148">
        <v>2079</v>
      </c>
      <c r="F39" s="148">
        <v>1386</v>
      </c>
      <c r="G39" s="148">
        <v>3465</v>
      </c>
      <c r="H39" s="148">
        <v>5</v>
      </c>
      <c r="I39" s="148">
        <v>0</v>
      </c>
      <c r="J39" s="148">
        <v>5</v>
      </c>
      <c r="K39" s="148">
        <v>26089</v>
      </c>
      <c r="L39" s="148">
        <v>29363</v>
      </c>
      <c r="M39" s="148">
        <v>55452</v>
      </c>
      <c r="N39" s="148">
        <v>102238</v>
      </c>
      <c r="O39" s="148">
        <v>76099</v>
      </c>
      <c r="P39" s="148">
        <v>178337</v>
      </c>
      <c r="Q39" s="148">
        <v>489</v>
      </c>
      <c r="R39" s="148">
        <v>285</v>
      </c>
      <c r="S39" s="148">
        <v>774</v>
      </c>
      <c r="T39" s="148">
        <v>2762</v>
      </c>
      <c r="U39" s="148">
        <v>1072</v>
      </c>
      <c r="V39" s="148">
        <v>3834</v>
      </c>
      <c r="W39" s="148">
        <v>47</v>
      </c>
      <c r="X39" s="148">
        <v>43</v>
      </c>
      <c r="Y39" s="148">
        <v>90</v>
      </c>
      <c r="Z39" s="148">
        <v>2808</v>
      </c>
      <c r="AA39" s="148">
        <v>2041</v>
      </c>
      <c r="AB39" s="148">
        <v>4849</v>
      </c>
      <c r="AC39" s="148">
        <v>136517</v>
      </c>
      <c r="AD39" s="148">
        <v>110289</v>
      </c>
      <c r="AE39" s="148">
        <v>246806</v>
      </c>
    </row>
    <row r="40" spans="1:32" s="85" customFormat="1" ht="22.5" customHeight="1">
      <c r="A40" s="86">
        <v>36</v>
      </c>
      <c r="B40" s="88" t="s">
        <v>48</v>
      </c>
      <c r="C40" s="148">
        <v>58</v>
      </c>
      <c r="D40" s="148">
        <v>58</v>
      </c>
      <c r="E40" s="148">
        <v>8374</v>
      </c>
      <c r="F40" s="148">
        <v>4996</v>
      </c>
      <c r="G40" s="148">
        <v>13370</v>
      </c>
      <c r="H40" s="148">
        <v>647</v>
      </c>
      <c r="I40" s="148">
        <v>605</v>
      </c>
      <c r="J40" s="148">
        <v>1252</v>
      </c>
      <c r="K40" s="148">
        <v>105265</v>
      </c>
      <c r="L40" s="148">
        <v>149823</v>
      </c>
      <c r="M40" s="148">
        <v>255088</v>
      </c>
      <c r="N40" s="148">
        <v>302355</v>
      </c>
      <c r="O40" s="148">
        <v>184284</v>
      </c>
      <c r="P40" s="148">
        <v>486639</v>
      </c>
      <c r="Q40" s="148">
        <v>1199</v>
      </c>
      <c r="R40" s="148">
        <v>950</v>
      </c>
      <c r="S40" s="148">
        <v>2149</v>
      </c>
      <c r="T40" s="148">
        <v>2141</v>
      </c>
      <c r="U40" s="148">
        <v>1891</v>
      </c>
      <c r="V40" s="148">
        <v>4032</v>
      </c>
      <c r="W40" s="148">
        <v>2120</v>
      </c>
      <c r="X40" s="148">
        <v>1135</v>
      </c>
      <c r="Y40" s="148">
        <v>3255</v>
      </c>
      <c r="Z40" s="148">
        <v>5184</v>
      </c>
      <c r="AA40" s="148">
        <v>1982</v>
      </c>
      <c r="AB40" s="148">
        <v>7166</v>
      </c>
      <c r="AC40" s="148">
        <v>427285</v>
      </c>
      <c r="AD40" s="148">
        <v>345666</v>
      </c>
      <c r="AE40" s="148">
        <v>772951</v>
      </c>
    </row>
    <row r="41" spans="1:32" s="90" customFormat="1" ht="21.75" customHeight="1">
      <c r="A41" s="995" t="s">
        <v>49</v>
      </c>
      <c r="B41" s="995"/>
      <c r="C41" s="163">
        <v>1168</v>
      </c>
      <c r="D41" s="163">
        <v>1162</v>
      </c>
      <c r="E41" s="163">
        <v>101088</v>
      </c>
      <c r="F41" s="163">
        <v>83288</v>
      </c>
      <c r="G41" s="163">
        <v>184376</v>
      </c>
      <c r="H41" s="163">
        <v>2399</v>
      </c>
      <c r="I41" s="163">
        <v>4124</v>
      </c>
      <c r="J41" s="163">
        <v>6523</v>
      </c>
      <c r="K41" s="163">
        <v>1233754</v>
      </c>
      <c r="L41" s="163">
        <v>1328132</v>
      </c>
      <c r="M41" s="163">
        <v>2561886</v>
      </c>
      <c r="N41" s="163">
        <v>3796731</v>
      </c>
      <c r="O41" s="163">
        <v>2438634</v>
      </c>
      <c r="P41" s="163">
        <v>6235365</v>
      </c>
      <c r="Q41" s="163">
        <v>78555</v>
      </c>
      <c r="R41" s="163">
        <v>61952</v>
      </c>
      <c r="S41" s="163">
        <v>140507</v>
      </c>
      <c r="T41" s="163">
        <v>178134</v>
      </c>
      <c r="U41" s="163">
        <v>99710</v>
      </c>
      <c r="V41" s="163">
        <v>277844</v>
      </c>
      <c r="W41" s="163">
        <v>20982</v>
      </c>
      <c r="X41" s="163">
        <v>16307</v>
      </c>
      <c r="Y41" s="163">
        <v>37289</v>
      </c>
      <c r="Z41" s="163">
        <v>109312</v>
      </c>
      <c r="AA41" s="163">
        <v>85243</v>
      </c>
      <c r="AB41" s="163">
        <v>194555</v>
      </c>
      <c r="AC41" s="163">
        <v>5520955</v>
      </c>
      <c r="AD41" s="163">
        <v>4117390</v>
      </c>
      <c r="AE41" s="163">
        <v>9638345</v>
      </c>
      <c r="AF41" s="85"/>
    </row>
    <row r="42" spans="1:32">
      <c r="B42" s="91"/>
      <c r="M42" s="523" t="s">
        <v>1071</v>
      </c>
      <c r="AF42" s="85"/>
    </row>
  </sheetData>
  <mergeCells count="16">
    <mergeCell ref="A41:B41"/>
    <mergeCell ref="N2:P2"/>
    <mergeCell ref="Q2:S2"/>
    <mergeCell ref="T2:V2"/>
    <mergeCell ref="W2:Y2"/>
    <mergeCell ref="A2:A3"/>
    <mergeCell ref="B2:B3"/>
    <mergeCell ref="C2:D2"/>
    <mergeCell ref="E2:G2"/>
    <mergeCell ref="H2:J2"/>
    <mergeCell ref="C1:M1"/>
    <mergeCell ref="N1:V1"/>
    <mergeCell ref="W1:AE1"/>
    <mergeCell ref="Z2:AB2"/>
    <mergeCell ref="AC2:AE2"/>
    <mergeCell ref="K2:M2"/>
  </mergeCells>
  <printOptions horizontalCentered="1"/>
  <pageMargins left="0.28000000000000003" right="0.15748031496062992" top="0.51181102362204722" bottom="0.35433070866141736" header="0.19685039370078741" footer="0.15748031496062992"/>
  <pageSetup paperSize="9" scale="75" firstPageNumber="13" orientation="portrait" useFirstPageNumber="1" r:id="rId1"/>
  <headerFooter>
    <oddFooter>&amp;L&amp;"Arial,Italic"&amp;9AISHE 2021-22&amp;CT-7</oddFooter>
  </headerFooter>
  <colBreaks count="2" manualBreakCount="2">
    <brk id="13" max="1048575" man="1"/>
    <brk id="2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AE41"/>
  <sheetViews>
    <sheetView view="pageBreakPreview" zoomScaleSheetLayoutView="100" workbookViewId="0">
      <pane xSplit="2" ySplit="4" topLeftCell="C5" activePane="bottomRight" state="frozen"/>
      <selection activeCell="F15" sqref="F15"/>
      <selection pane="topRight" activeCell="F15" sqref="F15"/>
      <selection pane="bottomLeft" activeCell="F15" sqref="F15"/>
      <selection pane="bottomRight" activeCell="C5" sqref="C5"/>
    </sheetView>
  </sheetViews>
  <sheetFormatPr defaultColWidth="9.28515625" defaultRowHeight="15"/>
  <cols>
    <col min="1" max="1" width="7.28515625" style="804" customWidth="1"/>
    <col min="2" max="2" width="22.28515625" style="804" customWidth="1"/>
    <col min="3" max="3" width="8.7109375" style="804" customWidth="1"/>
    <col min="4" max="4" width="11" style="804" customWidth="1"/>
    <col min="5" max="5" width="6.5703125" style="804" customWidth="1"/>
    <col min="6" max="7" width="7.7109375" style="804" customWidth="1"/>
    <col min="8" max="8" width="6.5703125" style="804" customWidth="1"/>
    <col min="9" max="9" width="7.7109375" style="804" customWidth="1"/>
    <col min="10" max="10" width="6.42578125" style="804" customWidth="1"/>
    <col min="11" max="13" width="8.5703125" style="804" customWidth="1"/>
    <col min="14" max="22" width="10" style="804" customWidth="1"/>
    <col min="23" max="28" width="9" style="804" customWidth="1"/>
    <col min="29" max="31" width="10.140625" style="804" customWidth="1"/>
    <col min="32" max="16384" width="9.28515625" style="804"/>
  </cols>
  <sheetData>
    <row r="1" spans="1:31" s="793" customFormat="1" ht="36.75" customHeight="1">
      <c r="B1" s="794" t="s">
        <v>152</v>
      </c>
      <c r="C1" s="1001" t="s">
        <v>880</v>
      </c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1" t="s">
        <v>880</v>
      </c>
      <c r="O1" s="1001"/>
      <c r="P1" s="1001"/>
      <c r="Q1" s="1001"/>
      <c r="R1" s="1001"/>
      <c r="S1" s="1001"/>
      <c r="T1" s="1001"/>
      <c r="U1" s="1001"/>
      <c r="V1" s="1001"/>
      <c r="W1" s="1001" t="s">
        <v>880</v>
      </c>
      <c r="X1" s="1001"/>
      <c r="Y1" s="1001"/>
      <c r="Z1" s="1001"/>
      <c r="AA1" s="1001"/>
      <c r="AB1" s="1001"/>
      <c r="AC1" s="1001"/>
      <c r="AD1" s="1001"/>
      <c r="AE1" s="1001"/>
    </row>
    <row r="2" spans="1:31" s="795" customFormat="1" ht="27" customHeight="1">
      <c r="A2" s="967" t="s">
        <v>988</v>
      </c>
      <c r="B2" s="968" t="s">
        <v>137</v>
      </c>
      <c r="C2" s="998" t="s">
        <v>98</v>
      </c>
      <c r="D2" s="1000"/>
      <c r="E2" s="998" t="s">
        <v>89</v>
      </c>
      <c r="F2" s="999"/>
      <c r="G2" s="1000"/>
      <c r="H2" s="998" t="s">
        <v>90</v>
      </c>
      <c r="I2" s="999"/>
      <c r="J2" s="1000"/>
      <c r="K2" s="998" t="s">
        <v>85</v>
      </c>
      <c r="L2" s="999"/>
      <c r="M2" s="1000"/>
      <c r="N2" s="998" t="s">
        <v>86</v>
      </c>
      <c r="O2" s="999"/>
      <c r="P2" s="1000"/>
      <c r="Q2" s="998" t="s">
        <v>91</v>
      </c>
      <c r="R2" s="999"/>
      <c r="S2" s="1000"/>
      <c r="T2" s="998" t="s">
        <v>92</v>
      </c>
      <c r="U2" s="999"/>
      <c r="V2" s="1000"/>
      <c r="W2" s="998" t="s">
        <v>93</v>
      </c>
      <c r="X2" s="999"/>
      <c r="Y2" s="1000"/>
      <c r="Z2" s="998" t="s">
        <v>94</v>
      </c>
      <c r="AA2" s="999"/>
      <c r="AB2" s="1000"/>
      <c r="AC2" s="998" t="s">
        <v>60</v>
      </c>
      <c r="AD2" s="999"/>
      <c r="AE2" s="1000"/>
    </row>
    <row r="3" spans="1:31" s="798" customFormat="1" ht="27" customHeight="1">
      <c r="A3" s="967"/>
      <c r="B3" s="968"/>
      <c r="C3" s="796" t="s">
        <v>12</v>
      </c>
      <c r="D3" s="796" t="s">
        <v>99</v>
      </c>
      <c r="E3" s="797" t="s">
        <v>87</v>
      </c>
      <c r="F3" s="797" t="s">
        <v>88</v>
      </c>
      <c r="G3" s="797" t="s">
        <v>12</v>
      </c>
      <c r="H3" s="797" t="s">
        <v>87</v>
      </c>
      <c r="I3" s="797" t="s">
        <v>88</v>
      </c>
      <c r="J3" s="797" t="s">
        <v>12</v>
      </c>
      <c r="K3" s="797" t="s">
        <v>87</v>
      </c>
      <c r="L3" s="797" t="s">
        <v>88</v>
      </c>
      <c r="M3" s="797" t="s">
        <v>12</v>
      </c>
      <c r="N3" s="797" t="s">
        <v>87</v>
      </c>
      <c r="O3" s="797" t="s">
        <v>88</v>
      </c>
      <c r="P3" s="797" t="s">
        <v>12</v>
      </c>
      <c r="Q3" s="797" t="s">
        <v>87</v>
      </c>
      <c r="R3" s="797" t="s">
        <v>88</v>
      </c>
      <c r="S3" s="797" t="s">
        <v>12</v>
      </c>
      <c r="T3" s="797" t="s">
        <v>87</v>
      </c>
      <c r="U3" s="797" t="s">
        <v>88</v>
      </c>
      <c r="V3" s="797" t="s">
        <v>12</v>
      </c>
      <c r="W3" s="797" t="s">
        <v>87</v>
      </c>
      <c r="X3" s="797" t="s">
        <v>88</v>
      </c>
      <c r="Y3" s="797" t="s">
        <v>12</v>
      </c>
      <c r="Z3" s="797" t="s">
        <v>87</v>
      </c>
      <c r="AA3" s="797" t="s">
        <v>88</v>
      </c>
      <c r="AB3" s="797" t="s">
        <v>12</v>
      </c>
      <c r="AC3" s="797" t="s">
        <v>87</v>
      </c>
      <c r="AD3" s="797" t="s">
        <v>88</v>
      </c>
      <c r="AE3" s="797" t="s">
        <v>12</v>
      </c>
    </row>
    <row r="4" spans="1:31" s="800" customFormat="1">
      <c r="A4" s="799">
        <v>1</v>
      </c>
      <c r="B4" s="799">
        <v>2</v>
      </c>
      <c r="C4" s="799">
        <v>3</v>
      </c>
      <c r="D4" s="799">
        <v>4</v>
      </c>
      <c r="E4" s="799">
        <v>5</v>
      </c>
      <c r="F4" s="799">
        <v>6</v>
      </c>
      <c r="G4" s="799">
        <v>7</v>
      </c>
      <c r="H4" s="799">
        <v>8</v>
      </c>
      <c r="I4" s="799">
        <v>9</v>
      </c>
      <c r="J4" s="799">
        <v>10</v>
      </c>
      <c r="K4" s="799">
        <v>11</v>
      </c>
      <c r="L4" s="799">
        <v>12</v>
      </c>
      <c r="M4" s="799">
        <v>13</v>
      </c>
      <c r="N4" s="799">
        <v>14</v>
      </c>
      <c r="O4" s="799">
        <v>15</v>
      </c>
      <c r="P4" s="799">
        <v>16</v>
      </c>
      <c r="Q4" s="799">
        <v>17</v>
      </c>
      <c r="R4" s="799">
        <v>18</v>
      </c>
      <c r="S4" s="799">
        <v>19</v>
      </c>
      <c r="T4" s="799">
        <v>20</v>
      </c>
      <c r="U4" s="799">
        <v>21</v>
      </c>
      <c r="V4" s="799">
        <v>22</v>
      </c>
      <c r="W4" s="799">
        <v>23</v>
      </c>
      <c r="X4" s="799">
        <v>24</v>
      </c>
      <c r="Y4" s="799">
        <v>25</v>
      </c>
      <c r="Z4" s="799">
        <v>26</v>
      </c>
      <c r="AA4" s="799">
        <v>27</v>
      </c>
      <c r="AB4" s="799">
        <v>28</v>
      </c>
      <c r="AC4" s="799">
        <v>29</v>
      </c>
      <c r="AD4" s="799">
        <v>30</v>
      </c>
      <c r="AE4" s="799">
        <v>31</v>
      </c>
    </row>
    <row r="5" spans="1:31" s="798" customFormat="1" ht="23.25" customHeight="1">
      <c r="A5" s="163">
        <v>1</v>
      </c>
      <c r="B5" s="801" t="s">
        <v>1061</v>
      </c>
      <c r="C5" s="148">
        <v>9</v>
      </c>
      <c r="D5" s="148">
        <v>9</v>
      </c>
      <c r="E5" s="148">
        <v>5</v>
      </c>
      <c r="F5" s="148">
        <v>9</v>
      </c>
      <c r="G5" s="148">
        <v>14</v>
      </c>
      <c r="H5" s="148"/>
      <c r="I5" s="148"/>
      <c r="J5" s="148"/>
      <c r="K5" s="148">
        <v>69</v>
      </c>
      <c r="L5" s="148">
        <v>283</v>
      </c>
      <c r="M5" s="148">
        <v>352</v>
      </c>
      <c r="N5" s="148">
        <v>2259</v>
      </c>
      <c r="O5" s="148">
        <v>3231</v>
      </c>
      <c r="P5" s="148">
        <v>5490</v>
      </c>
      <c r="Q5" s="148"/>
      <c r="R5" s="148">
        <v>0</v>
      </c>
      <c r="S5" s="148"/>
      <c r="T5" s="148">
        <v>515</v>
      </c>
      <c r="U5" s="148">
        <v>281</v>
      </c>
      <c r="V5" s="148">
        <v>796</v>
      </c>
      <c r="W5" s="148">
        <v>39</v>
      </c>
      <c r="X5" s="148">
        <v>33</v>
      </c>
      <c r="Y5" s="148">
        <v>72</v>
      </c>
      <c r="Z5" s="148">
        <v>193</v>
      </c>
      <c r="AA5" s="148">
        <v>355</v>
      </c>
      <c r="AB5" s="148">
        <v>548</v>
      </c>
      <c r="AC5" s="148">
        <v>3080</v>
      </c>
      <c r="AD5" s="148">
        <v>4192</v>
      </c>
      <c r="AE5" s="148">
        <v>7272</v>
      </c>
    </row>
    <row r="6" spans="1:31" s="798" customFormat="1" ht="21.75" customHeight="1">
      <c r="A6" s="163">
        <v>2</v>
      </c>
      <c r="B6" s="802" t="s">
        <v>15</v>
      </c>
      <c r="C6" s="148">
        <v>2602</v>
      </c>
      <c r="D6" s="148">
        <v>2582</v>
      </c>
      <c r="E6" s="148">
        <v>552</v>
      </c>
      <c r="F6" s="148">
        <v>459</v>
      </c>
      <c r="G6" s="148">
        <v>1011</v>
      </c>
      <c r="H6" s="148"/>
      <c r="I6" s="148"/>
      <c r="J6" s="148"/>
      <c r="K6" s="148">
        <v>55930</v>
      </c>
      <c r="L6" s="148">
        <v>56033</v>
      </c>
      <c r="M6" s="148">
        <v>111963</v>
      </c>
      <c r="N6" s="148">
        <v>660578</v>
      </c>
      <c r="O6" s="148">
        <v>607047</v>
      </c>
      <c r="P6" s="148">
        <v>1267625</v>
      </c>
      <c r="Q6" s="148">
        <v>79</v>
      </c>
      <c r="R6" s="148">
        <v>80</v>
      </c>
      <c r="S6" s="148">
        <v>159</v>
      </c>
      <c r="T6" s="148">
        <v>32084</v>
      </c>
      <c r="U6" s="148">
        <v>10531</v>
      </c>
      <c r="V6" s="148">
        <v>42615</v>
      </c>
      <c r="W6" s="148"/>
      <c r="X6" s="148"/>
      <c r="Y6" s="148"/>
      <c r="Z6" s="148">
        <v>4879</v>
      </c>
      <c r="AA6" s="148">
        <v>2067</v>
      </c>
      <c r="AB6" s="148">
        <v>6946</v>
      </c>
      <c r="AC6" s="148">
        <v>754102</v>
      </c>
      <c r="AD6" s="148">
        <v>676217</v>
      </c>
      <c r="AE6" s="148">
        <v>1430319</v>
      </c>
    </row>
    <row r="7" spans="1:31" s="798" customFormat="1" ht="21.75" customHeight="1">
      <c r="A7" s="163">
        <v>3</v>
      </c>
      <c r="B7" s="802" t="s">
        <v>16</v>
      </c>
      <c r="C7" s="148">
        <v>44</v>
      </c>
      <c r="D7" s="148">
        <v>43</v>
      </c>
      <c r="E7" s="148">
        <v>4</v>
      </c>
      <c r="F7" s="148">
        <v>2</v>
      </c>
      <c r="G7" s="148">
        <v>6</v>
      </c>
      <c r="H7" s="148"/>
      <c r="I7" s="148"/>
      <c r="J7" s="148"/>
      <c r="K7" s="148">
        <v>163</v>
      </c>
      <c r="L7" s="148">
        <v>296</v>
      </c>
      <c r="M7" s="148">
        <v>459</v>
      </c>
      <c r="N7" s="148">
        <v>13894</v>
      </c>
      <c r="O7" s="148">
        <v>13615</v>
      </c>
      <c r="P7" s="148">
        <v>27509</v>
      </c>
      <c r="Q7" s="148">
        <v>1</v>
      </c>
      <c r="R7" s="148">
        <v>3</v>
      </c>
      <c r="S7" s="148">
        <v>4</v>
      </c>
      <c r="T7" s="148"/>
      <c r="U7" s="148">
        <v>191</v>
      </c>
      <c r="V7" s="148">
        <v>191</v>
      </c>
      <c r="W7" s="148"/>
      <c r="X7" s="148"/>
      <c r="Y7" s="148"/>
      <c r="Z7" s="148">
        <v>272</v>
      </c>
      <c r="AA7" s="148">
        <v>179</v>
      </c>
      <c r="AB7" s="148">
        <v>451</v>
      </c>
      <c r="AC7" s="148">
        <v>14334</v>
      </c>
      <c r="AD7" s="148">
        <v>14286</v>
      </c>
      <c r="AE7" s="148">
        <v>28620</v>
      </c>
    </row>
    <row r="8" spans="1:31" s="798" customFormat="1" ht="21.75" customHeight="1">
      <c r="A8" s="163">
        <v>4</v>
      </c>
      <c r="B8" s="802" t="s">
        <v>17</v>
      </c>
      <c r="C8" s="148">
        <v>607</v>
      </c>
      <c r="D8" s="148">
        <v>553</v>
      </c>
      <c r="E8" s="148">
        <v>75</v>
      </c>
      <c r="F8" s="148">
        <v>65</v>
      </c>
      <c r="G8" s="148">
        <v>140</v>
      </c>
      <c r="H8" s="148">
        <v>4</v>
      </c>
      <c r="I8" s="148">
        <v>26</v>
      </c>
      <c r="J8" s="148">
        <v>30</v>
      </c>
      <c r="K8" s="148">
        <v>4275</v>
      </c>
      <c r="L8" s="148">
        <v>6773</v>
      </c>
      <c r="M8" s="148">
        <v>11048</v>
      </c>
      <c r="N8" s="148">
        <v>233924</v>
      </c>
      <c r="O8" s="148">
        <v>247756</v>
      </c>
      <c r="P8" s="148">
        <v>481680</v>
      </c>
      <c r="Q8" s="148">
        <v>203</v>
      </c>
      <c r="R8" s="148">
        <v>416</v>
      </c>
      <c r="S8" s="148">
        <v>619</v>
      </c>
      <c r="T8" s="148">
        <v>1931</v>
      </c>
      <c r="U8" s="148">
        <v>1689</v>
      </c>
      <c r="V8" s="148">
        <v>3620</v>
      </c>
      <c r="W8" s="148">
        <v>81</v>
      </c>
      <c r="X8" s="148">
        <v>641</v>
      </c>
      <c r="Y8" s="148">
        <v>722</v>
      </c>
      <c r="Z8" s="148">
        <v>1446</v>
      </c>
      <c r="AA8" s="148">
        <v>1569</v>
      </c>
      <c r="AB8" s="148">
        <v>3015</v>
      </c>
      <c r="AC8" s="148">
        <v>241939</v>
      </c>
      <c r="AD8" s="148">
        <v>258935</v>
      </c>
      <c r="AE8" s="148">
        <v>500874</v>
      </c>
    </row>
    <row r="9" spans="1:31" s="798" customFormat="1" ht="21.75" customHeight="1">
      <c r="A9" s="163">
        <v>5</v>
      </c>
      <c r="B9" s="802" t="s">
        <v>18</v>
      </c>
      <c r="C9" s="148">
        <v>1092</v>
      </c>
      <c r="D9" s="148">
        <v>1072</v>
      </c>
      <c r="E9" s="148">
        <v>37</v>
      </c>
      <c r="F9" s="148">
        <v>25</v>
      </c>
      <c r="G9" s="148">
        <v>62</v>
      </c>
      <c r="H9" s="148"/>
      <c r="I9" s="148"/>
      <c r="J9" s="148"/>
      <c r="K9" s="148">
        <v>31537</v>
      </c>
      <c r="L9" s="148">
        <v>33347</v>
      </c>
      <c r="M9" s="148">
        <v>64884</v>
      </c>
      <c r="N9" s="148">
        <v>1157363</v>
      </c>
      <c r="O9" s="148">
        <v>969362</v>
      </c>
      <c r="P9" s="148">
        <v>2126725</v>
      </c>
      <c r="Q9" s="148">
        <v>313</v>
      </c>
      <c r="R9" s="148">
        <v>192</v>
      </c>
      <c r="S9" s="148">
        <v>505</v>
      </c>
      <c r="T9" s="148">
        <v>19151</v>
      </c>
      <c r="U9" s="148">
        <v>22779</v>
      </c>
      <c r="V9" s="148">
        <v>41930</v>
      </c>
      <c r="W9" s="148">
        <v>1178</v>
      </c>
      <c r="X9" s="148">
        <v>969</v>
      </c>
      <c r="Y9" s="148">
        <v>2147</v>
      </c>
      <c r="Z9" s="148">
        <v>1506</v>
      </c>
      <c r="AA9" s="148">
        <v>820</v>
      </c>
      <c r="AB9" s="148">
        <v>2326</v>
      </c>
      <c r="AC9" s="148">
        <v>1211085</v>
      </c>
      <c r="AD9" s="148">
        <v>1027494</v>
      </c>
      <c r="AE9" s="148">
        <v>2238579</v>
      </c>
    </row>
    <row r="10" spans="1:31" s="798" customFormat="1" ht="21.75" customHeight="1">
      <c r="A10" s="163">
        <v>6</v>
      </c>
      <c r="B10" s="802" t="s">
        <v>19</v>
      </c>
      <c r="C10" s="148">
        <v>26</v>
      </c>
      <c r="D10" s="148">
        <v>26</v>
      </c>
      <c r="E10" s="148">
        <v>15</v>
      </c>
      <c r="F10" s="148">
        <v>40</v>
      </c>
      <c r="G10" s="148">
        <v>55</v>
      </c>
      <c r="H10" s="148"/>
      <c r="I10" s="148">
        <v>1</v>
      </c>
      <c r="J10" s="148">
        <v>1</v>
      </c>
      <c r="K10" s="148">
        <v>1440</v>
      </c>
      <c r="L10" s="148">
        <v>4154</v>
      </c>
      <c r="M10" s="148">
        <v>5594</v>
      </c>
      <c r="N10" s="148">
        <v>18022</v>
      </c>
      <c r="O10" s="148">
        <v>24382</v>
      </c>
      <c r="P10" s="148">
        <v>42404</v>
      </c>
      <c r="Q10" s="148">
        <v>143</v>
      </c>
      <c r="R10" s="148">
        <v>326</v>
      </c>
      <c r="S10" s="148">
        <v>469</v>
      </c>
      <c r="T10" s="148">
        <v>60</v>
      </c>
      <c r="U10" s="148">
        <v>162</v>
      </c>
      <c r="V10" s="148">
        <v>222</v>
      </c>
      <c r="W10" s="148">
        <v>110</v>
      </c>
      <c r="X10" s="148">
        <v>130</v>
      </c>
      <c r="Y10" s="148">
        <v>240</v>
      </c>
      <c r="Z10" s="148">
        <v>24</v>
      </c>
      <c r="AA10" s="148">
        <v>67</v>
      </c>
      <c r="AB10" s="148">
        <v>91</v>
      </c>
      <c r="AC10" s="148">
        <v>19814</v>
      </c>
      <c r="AD10" s="148">
        <v>29262</v>
      </c>
      <c r="AE10" s="148">
        <v>49076</v>
      </c>
    </row>
    <row r="11" spans="1:31" s="798" customFormat="1" ht="21.75" customHeight="1">
      <c r="A11" s="163">
        <v>7</v>
      </c>
      <c r="B11" s="802" t="s">
        <v>20</v>
      </c>
      <c r="C11" s="148">
        <v>917</v>
      </c>
      <c r="D11" s="148">
        <v>895</v>
      </c>
      <c r="E11" s="148">
        <v>168</v>
      </c>
      <c r="F11" s="148">
        <v>271</v>
      </c>
      <c r="G11" s="148">
        <v>439</v>
      </c>
      <c r="H11" s="148">
        <v>4</v>
      </c>
      <c r="I11" s="148">
        <v>8</v>
      </c>
      <c r="J11" s="148">
        <v>12</v>
      </c>
      <c r="K11" s="148">
        <v>20352</v>
      </c>
      <c r="L11" s="148">
        <v>37890</v>
      </c>
      <c r="M11" s="148">
        <v>58242</v>
      </c>
      <c r="N11" s="148">
        <v>191429</v>
      </c>
      <c r="O11" s="148">
        <v>251624</v>
      </c>
      <c r="P11" s="148">
        <v>443053</v>
      </c>
      <c r="Q11" s="148">
        <v>4772</v>
      </c>
      <c r="R11" s="148">
        <v>5574</v>
      </c>
      <c r="S11" s="148">
        <v>10346</v>
      </c>
      <c r="T11" s="148">
        <v>16987</v>
      </c>
      <c r="U11" s="148">
        <v>10500</v>
      </c>
      <c r="V11" s="148">
        <v>27487</v>
      </c>
      <c r="W11" s="148">
        <v>189</v>
      </c>
      <c r="X11" s="148">
        <v>352</v>
      </c>
      <c r="Y11" s="148">
        <v>541</v>
      </c>
      <c r="Z11" s="148">
        <v>1089</v>
      </c>
      <c r="AA11" s="148">
        <v>1034</v>
      </c>
      <c r="AB11" s="148">
        <v>2123</v>
      </c>
      <c r="AC11" s="148">
        <v>234990</v>
      </c>
      <c r="AD11" s="148">
        <v>307253</v>
      </c>
      <c r="AE11" s="148">
        <v>542243</v>
      </c>
    </row>
    <row r="12" spans="1:31" s="798" customFormat="1" ht="21.75" customHeight="1">
      <c r="A12" s="163">
        <v>8</v>
      </c>
      <c r="B12" s="802" t="s">
        <v>23</v>
      </c>
      <c r="C12" s="148">
        <v>188</v>
      </c>
      <c r="D12" s="148">
        <v>171</v>
      </c>
      <c r="E12" s="148">
        <v>47</v>
      </c>
      <c r="F12" s="148">
        <v>44</v>
      </c>
      <c r="G12" s="148">
        <v>91</v>
      </c>
      <c r="H12" s="148"/>
      <c r="I12" s="148"/>
      <c r="J12" s="148"/>
      <c r="K12" s="148">
        <v>5940</v>
      </c>
      <c r="L12" s="148">
        <v>8209</v>
      </c>
      <c r="M12" s="148">
        <v>14149</v>
      </c>
      <c r="N12" s="148">
        <v>133080</v>
      </c>
      <c r="O12" s="148">
        <v>143661</v>
      </c>
      <c r="P12" s="148">
        <v>276741</v>
      </c>
      <c r="Q12" s="148">
        <v>433</v>
      </c>
      <c r="R12" s="148">
        <v>349</v>
      </c>
      <c r="S12" s="148">
        <v>782</v>
      </c>
      <c r="T12" s="148">
        <v>1445</v>
      </c>
      <c r="U12" s="148">
        <v>2970</v>
      </c>
      <c r="V12" s="148">
        <v>4415</v>
      </c>
      <c r="W12" s="148">
        <v>157</v>
      </c>
      <c r="X12" s="148">
        <v>456</v>
      </c>
      <c r="Y12" s="148">
        <v>613</v>
      </c>
      <c r="Z12" s="148">
        <v>1659</v>
      </c>
      <c r="AA12" s="148">
        <v>1147</v>
      </c>
      <c r="AB12" s="148">
        <v>2806</v>
      </c>
      <c r="AC12" s="148">
        <v>142761</v>
      </c>
      <c r="AD12" s="148">
        <v>156836</v>
      </c>
      <c r="AE12" s="148">
        <v>299597</v>
      </c>
    </row>
    <row r="13" spans="1:31" s="798" customFormat="1" ht="21.75" customHeight="1">
      <c r="A13" s="163">
        <v>9</v>
      </c>
      <c r="B13" s="802" t="s">
        <v>24</v>
      </c>
      <c r="C13" s="148">
        <v>62</v>
      </c>
      <c r="D13" s="148">
        <v>62</v>
      </c>
      <c r="E13" s="148">
        <v>69</v>
      </c>
      <c r="F13" s="148">
        <v>101</v>
      </c>
      <c r="G13" s="148">
        <v>170</v>
      </c>
      <c r="H13" s="148">
        <v>10</v>
      </c>
      <c r="I13" s="148"/>
      <c r="J13" s="148">
        <v>10</v>
      </c>
      <c r="K13" s="148">
        <v>940</v>
      </c>
      <c r="L13" s="148">
        <v>1883</v>
      </c>
      <c r="M13" s="148">
        <v>2823</v>
      </c>
      <c r="N13" s="148">
        <v>16893</v>
      </c>
      <c r="O13" s="148">
        <v>20681</v>
      </c>
      <c r="P13" s="148">
        <v>37574</v>
      </c>
      <c r="Q13" s="148">
        <v>48</v>
      </c>
      <c r="R13" s="148">
        <v>56</v>
      </c>
      <c r="S13" s="148">
        <v>104</v>
      </c>
      <c r="T13" s="148">
        <v>33</v>
      </c>
      <c r="U13" s="148">
        <v>146</v>
      </c>
      <c r="V13" s="148">
        <v>179</v>
      </c>
      <c r="W13" s="148">
        <v>12</v>
      </c>
      <c r="X13" s="148"/>
      <c r="Y13" s="148">
        <v>12</v>
      </c>
      <c r="Z13" s="148">
        <v>319</v>
      </c>
      <c r="AA13" s="148">
        <v>944</v>
      </c>
      <c r="AB13" s="148">
        <v>1263</v>
      </c>
      <c r="AC13" s="148">
        <v>18324</v>
      </c>
      <c r="AD13" s="148">
        <v>23811</v>
      </c>
      <c r="AE13" s="148">
        <v>42135</v>
      </c>
    </row>
    <row r="14" spans="1:31" s="798" customFormat="1" ht="21.75" customHeight="1">
      <c r="A14" s="163">
        <v>10</v>
      </c>
      <c r="B14" s="802" t="s">
        <v>25</v>
      </c>
      <c r="C14" s="148">
        <v>2395</v>
      </c>
      <c r="D14" s="148">
        <v>2374</v>
      </c>
      <c r="E14" s="148">
        <v>350</v>
      </c>
      <c r="F14" s="148">
        <v>205</v>
      </c>
      <c r="G14" s="148">
        <v>555</v>
      </c>
      <c r="H14" s="148"/>
      <c r="I14" s="148"/>
      <c r="J14" s="148"/>
      <c r="K14" s="148">
        <v>46651</v>
      </c>
      <c r="L14" s="148">
        <v>61421</v>
      </c>
      <c r="M14" s="148">
        <v>108072</v>
      </c>
      <c r="N14" s="148">
        <v>574363</v>
      </c>
      <c r="O14" s="148">
        <v>469587</v>
      </c>
      <c r="P14" s="148">
        <v>1043950</v>
      </c>
      <c r="Q14" s="148">
        <v>1055</v>
      </c>
      <c r="R14" s="148">
        <v>1373</v>
      </c>
      <c r="S14" s="148">
        <v>2428</v>
      </c>
      <c r="T14" s="148">
        <v>83329</v>
      </c>
      <c r="U14" s="148">
        <v>28933</v>
      </c>
      <c r="V14" s="148">
        <v>112262</v>
      </c>
      <c r="W14" s="148">
        <v>2079</v>
      </c>
      <c r="X14" s="148">
        <v>1262</v>
      </c>
      <c r="Y14" s="148">
        <v>3341</v>
      </c>
      <c r="Z14" s="148">
        <v>2206</v>
      </c>
      <c r="AA14" s="148">
        <v>1707</v>
      </c>
      <c r="AB14" s="148">
        <v>3913</v>
      </c>
      <c r="AC14" s="148">
        <v>710033</v>
      </c>
      <c r="AD14" s="148">
        <v>564488</v>
      </c>
      <c r="AE14" s="148">
        <v>1274521</v>
      </c>
    </row>
    <row r="15" spans="1:31" s="798" customFormat="1" ht="21.75" customHeight="1">
      <c r="A15" s="163">
        <v>11</v>
      </c>
      <c r="B15" s="802" t="s">
        <v>26</v>
      </c>
      <c r="C15" s="148">
        <v>1090</v>
      </c>
      <c r="D15" s="148">
        <v>1089</v>
      </c>
      <c r="E15" s="148">
        <v>129</v>
      </c>
      <c r="F15" s="148">
        <v>115</v>
      </c>
      <c r="G15" s="148">
        <v>244</v>
      </c>
      <c r="H15" s="148">
        <v>4</v>
      </c>
      <c r="I15" s="148">
        <v>2</v>
      </c>
      <c r="J15" s="148">
        <v>6</v>
      </c>
      <c r="K15" s="148">
        <v>19194</v>
      </c>
      <c r="L15" s="148">
        <v>41249</v>
      </c>
      <c r="M15" s="148">
        <v>60443</v>
      </c>
      <c r="N15" s="148">
        <v>259503</v>
      </c>
      <c r="O15" s="148">
        <v>314478</v>
      </c>
      <c r="P15" s="148">
        <v>573981</v>
      </c>
      <c r="Q15" s="148">
        <v>414</v>
      </c>
      <c r="R15" s="148">
        <v>751</v>
      </c>
      <c r="S15" s="148">
        <v>1165</v>
      </c>
      <c r="T15" s="148">
        <v>13453</v>
      </c>
      <c r="U15" s="148">
        <v>12592</v>
      </c>
      <c r="V15" s="148">
        <v>26045</v>
      </c>
      <c r="W15" s="148">
        <v>122</v>
      </c>
      <c r="X15" s="148">
        <v>395</v>
      </c>
      <c r="Y15" s="148">
        <v>517</v>
      </c>
      <c r="Z15" s="148">
        <v>3550</v>
      </c>
      <c r="AA15" s="148">
        <v>2723</v>
      </c>
      <c r="AB15" s="148">
        <v>6273</v>
      </c>
      <c r="AC15" s="148">
        <v>296369</v>
      </c>
      <c r="AD15" s="148">
        <v>372305</v>
      </c>
      <c r="AE15" s="148">
        <v>668674</v>
      </c>
    </row>
    <row r="16" spans="1:31" s="798" customFormat="1" ht="21.75" customHeight="1">
      <c r="A16" s="163">
        <v>12</v>
      </c>
      <c r="B16" s="802" t="s">
        <v>27</v>
      </c>
      <c r="C16" s="148">
        <v>349</v>
      </c>
      <c r="D16" s="148">
        <v>348</v>
      </c>
      <c r="E16" s="148">
        <v>3</v>
      </c>
      <c r="F16" s="148">
        <v>3</v>
      </c>
      <c r="G16" s="148">
        <v>6</v>
      </c>
      <c r="H16" s="148"/>
      <c r="I16" s="148"/>
      <c r="J16" s="148"/>
      <c r="K16" s="148">
        <v>2623</v>
      </c>
      <c r="L16" s="148">
        <v>6498</v>
      </c>
      <c r="M16" s="148">
        <v>9121</v>
      </c>
      <c r="N16" s="148">
        <v>76614</v>
      </c>
      <c r="O16" s="148">
        <v>109947</v>
      </c>
      <c r="P16" s="148">
        <v>186561</v>
      </c>
      <c r="Q16" s="148">
        <v>254</v>
      </c>
      <c r="R16" s="148">
        <v>424</v>
      </c>
      <c r="S16" s="148">
        <v>678</v>
      </c>
      <c r="T16" s="148">
        <v>1447</v>
      </c>
      <c r="U16" s="148">
        <v>2515</v>
      </c>
      <c r="V16" s="148">
        <v>3962</v>
      </c>
      <c r="W16" s="148">
        <v>70</v>
      </c>
      <c r="X16" s="148">
        <v>49</v>
      </c>
      <c r="Y16" s="148">
        <v>119</v>
      </c>
      <c r="Z16" s="148">
        <v>77</v>
      </c>
      <c r="AA16" s="148">
        <v>133</v>
      </c>
      <c r="AB16" s="148">
        <v>210</v>
      </c>
      <c r="AC16" s="148">
        <v>81088</v>
      </c>
      <c r="AD16" s="148">
        <v>119569</v>
      </c>
      <c r="AE16" s="148">
        <v>200657</v>
      </c>
    </row>
    <row r="17" spans="1:31" s="798" customFormat="1" ht="21.75" customHeight="1">
      <c r="A17" s="163">
        <v>13</v>
      </c>
      <c r="B17" s="802" t="s">
        <v>57</v>
      </c>
      <c r="C17" s="148">
        <v>341</v>
      </c>
      <c r="D17" s="148">
        <v>337</v>
      </c>
      <c r="E17" s="148">
        <v>117</v>
      </c>
      <c r="F17" s="148">
        <v>129</v>
      </c>
      <c r="G17" s="148">
        <v>246</v>
      </c>
      <c r="H17" s="148"/>
      <c r="I17" s="148"/>
      <c r="J17" s="148"/>
      <c r="K17" s="148">
        <v>2073</v>
      </c>
      <c r="L17" s="148">
        <v>2678</v>
      </c>
      <c r="M17" s="148">
        <v>4751</v>
      </c>
      <c r="N17" s="148">
        <v>94363</v>
      </c>
      <c r="O17" s="148">
        <v>108720</v>
      </c>
      <c r="P17" s="148">
        <v>203083</v>
      </c>
      <c r="Q17" s="148">
        <v>163</v>
      </c>
      <c r="R17" s="148">
        <v>89</v>
      </c>
      <c r="S17" s="148">
        <v>252</v>
      </c>
      <c r="T17" s="148">
        <v>232</v>
      </c>
      <c r="U17" s="148">
        <v>458</v>
      </c>
      <c r="V17" s="148">
        <v>690</v>
      </c>
      <c r="W17" s="148"/>
      <c r="X17" s="148"/>
      <c r="Y17" s="148"/>
      <c r="Z17" s="148">
        <v>1923</v>
      </c>
      <c r="AA17" s="148">
        <v>2268</v>
      </c>
      <c r="AB17" s="148">
        <v>4191</v>
      </c>
      <c r="AC17" s="148">
        <v>98871</v>
      </c>
      <c r="AD17" s="148">
        <v>114342</v>
      </c>
      <c r="AE17" s="148">
        <v>213213</v>
      </c>
    </row>
    <row r="18" spans="1:31" s="798" customFormat="1" ht="21.75" customHeight="1">
      <c r="A18" s="163">
        <v>14</v>
      </c>
      <c r="B18" s="802" t="s">
        <v>29</v>
      </c>
      <c r="C18" s="148">
        <v>366</v>
      </c>
      <c r="D18" s="148">
        <v>365</v>
      </c>
      <c r="E18" s="148">
        <v>11</v>
      </c>
      <c r="F18" s="148">
        <v>8</v>
      </c>
      <c r="G18" s="148">
        <v>19</v>
      </c>
      <c r="H18" s="148">
        <v>14</v>
      </c>
      <c r="I18" s="148">
        <v>66</v>
      </c>
      <c r="J18" s="148">
        <v>80</v>
      </c>
      <c r="K18" s="148">
        <v>17465</v>
      </c>
      <c r="L18" s="148">
        <v>28631</v>
      </c>
      <c r="M18" s="148">
        <v>46096</v>
      </c>
      <c r="N18" s="148">
        <v>300222</v>
      </c>
      <c r="O18" s="148">
        <v>311739</v>
      </c>
      <c r="P18" s="148">
        <v>611961</v>
      </c>
      <c r="Q18" s="148">
        <v>59</v>
      </c>
      <c r="R18" s="148">
        <v>41</v>
      </c>
      <c r="S18" s="148">
        <v>100</v>
      </c>
      <c r="T18" s="148">
        <v>9634</v>
      </c>
      <c r="U18" s="148">
        <v>5147</v>
      </c>
      <c r="V18" s="148">
        <v>14781</v>
      </c>
      <c r="W18" s="148">
        <v>297</v>
      </c>
      <c r="X18" s="148">
        <v>285</v>
      </c>
      <c r="Y18" s="148">
        <v>582</v>
      </c>
      <c r="Z18" s="148">
        <v>534</v>
      </c>
      <c r="AA18" s="148">
        <v>210</v>
      </c>
      <c r="AB18" s="148">
        <v>744</v>
      </c>
      <c r="AC18" s="148">
        <v>328236</v>
      </c>
      <c r="AD18" s="148">
        <v>346127</v>
      </c>
      <c r="AE18" s="148">
        <v>674363</v>
      </c>
    </row>
    <row r="19" spans="1:31" s="798" customFormat="1" ht="21.75" customHeight="1">
      <c r="A19" s="163">
        <v>15</v>
      </c>
      <c r="B19" s="802" t="s">
        <v>30</v>
      </c>
      <c r="C19" s="148">
        <v>4430</v>
      </c>
      <c r="D19" s="148">
        <v>4283</v>
      </c>
      <c r="E19" s="148">
        <v>721</v>
      </c>
      <c r="F19" s="148">
        <v>670</v>
      </c>
      <c r="G19" s="148">
        <v>1391</v>
      </c>
      <c r="H19" s="148">
        <v>2</v>
      </c>
      <c r="I19" s="148">
        <v>8</v>
      </c>
      <c r="J19" s="148">
        <v>10</v>
      </c>
      <c r="K19" s="148">
        <v>51605</v>
      </c>
      <c r="L19" s="148">
        <v>69941</v>
      </c>
      <c r="M19" s="148">
        <v>121546</v>
      </c>
      <c r="N19" s="148">
        <v>818591</v>
      </c>
      <c r="O19" s="148">
        <v>800444</v>
      </c>
      <c r="P19" s="148">
        <v>1619035</v>
      </c>
      <c r="Q19" s="148">
        <v>596</v>
      </c>
      <c r="R19" s="148">
        <v>552</v>
      </c>
      <c r="S19" s="148">
        <v>1148</v>
      </c>
      <c r="T19" s="148">
        <v>8103</v>
      </c>
      <c r="U19" s="148">
        <v>8123</v>
      </c>
      <c r="V19" s="148">
        <v>16226</v>
      </c>
      <c r="W19" s="148">
        <v>1040</v>
      </c>
      <c r="X19" s="148">
        <v>468</v>
      </c>
      <c r="Y19" s="148">
        <v>1508</v>
      </c>
      <c r="Z19" s="148">
        <v>4133</v>
      </c>
      <c r="AA19" s="148">
        <v>4086</v>
      </c>
      <c r="AB19" s="148">
        <v>8219</v>
      </c>
      <c r="AC19" s="148">
        <v>884791</v>
      </c>
      <c r="AD19" s="148">
        <v>884292</v>
      </c>
      <c r="AE19" s="148">
        <v>1769083</v>
      </c>
    </row>
    <row r="20" spans="1:31" s="798" customFormat="1" ht="21.75" customHeight="1">
      <c r="A20" s="163">
        <v>16</v>
      </c>
      <c r="B20" s="802" t="s">
        <v>31</v>
      </c>
      <c r="C20" s="148">
        <v>1463</v>
      </c>
      <c r="D20" s="148">
        <v>1332</v>
      </c>
      <c r="E20" s="148">
        <v>1042</v>
      </c>
      <c r="F20" s="148">
        <v>2791</v>
      </c>
      <c r="G20" s="148">
        <v>3833</v>
      </c>
      <c r="H20" s="148"/>
      <c r="I20" s="148">
        <v>6</v>
      </c>
      <c r="J20" s="148">
        <v>6</v>
      </c>
      <c r="K20" s="148">
        <v>19160</v>
      </c>
      <c r="L20" s="148">
        <v>66329</v>
      </c>
      <c r="M20" s="148">
        <v>85489</v>
      </c>
      <c r="N20" s="148">
        <v>280805</v>
      </c>
      <c r="O20" s="148">
        <v>401353</v>
      </c>
      <c r="P20" s="148">
        <v>682158</v>
      </c>
      <c r="Q20" s="148">
        <v>91</v>
      </c>
      <c r="R20" s="148">
        <v>165</v>
      </c>
      <c r="S20" s="148">
        <v>256</v>
      </c>
      <c r="T20" s="148">
        <v>4424</v>
      </c>
      <c r="U20" s="148">
        <v>4376</v>
      </c>
      <c r="V20" s="148">
        <v>8800</v>
      </c>
      <c r="W20" s="148">
        <v>36</v>
      </c>
      <c r="X20" s="148">
        <v>293</v>
      </c>
      <c r="Y20" s="148">
        <v>329</v>
      </c>
      <c r="Z20" s="148">
        <v>4100</v>
      </c>
      <c r="AA20" s="148">
        <v>5689</v>
      </c>
      <c r="AB20" s="148">
        <v>9789</v>
      </c>
      <c r="AC20" s="148">
        <v>309658</v>
      </c>
      <c r="AD20" s="148">
        <v>481002</v>
      </c>
      <c r="AE20" s="148">
        <v>790660</v>
      </c>
    </row>
    <row r="21" spans="1:31" s="798" customFormat="1" ht="21.75" customHeight="1">
      <c r="A21" s="163">
        <v>17</v>
      </c>
      <c r="B21" s="140" t="s">
        <v>154</v>
      </c>
      <c r="C21" s="148">
        <v>6</v>
      </c>
      <c r="D21" s="148">
        <v>6</v>
      </c>
      <c r="E21" s="148"/>
      <c r="F21" s="148"/>
      <c r="G21" s="148"/>
      <c r="H21" s="148"/>
      <c r="I21" s="148"/>
      <c r="J21" s="148"/>
      <c r="K21" s="148"/>
      <c r="L21" s="148"/>
      <c r="M21" s="148"/>
      <c r="N21" s="148">
        <v>1102</v>
      </c>
      <c r="O21" s="148">
        <v>1979</v>
      </c>
      <c r="P21" s="148">
        <v>3081</v>
      </c>
      <c r="Q21" s="148"/>
      <c r="R21" s="148">
        <v>0</v>
      </c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>
        <v>1102</v>
      </c>
      <c r="AD21" s="148">
        <v>1979</v>
      </c>
      <c r="AE21" s="148">
        <v>3081</v>
      </c>
    </row>
    <row r="22" spans="1:31" s="798" customFormat="1" ht="21.75" customHeight="1">
      <c r="A22" s="163">
        <v>18</v>
      </c>
      <c r="B22" s="802" t="s">
        <v>32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</row>
    <row r="23" spans="1:31" s="798" customFormat="1" ht="21.75" customHeight="1">
      <c r="A23" s="163">
        <v>19</v>
      </c>
      <c r="B23" s="802" t="s">
        <v>33</v>
      </c>
      <c r="C23" s="148">
        <v>2742</v>
      </c>
      <c r="D23" s="148">
        <v>2464</v>
      </c>
      <c r="E23" s="148">
        <v>455</v>
      </c>
      <c r="F23" s="148">
        <v>592</v>
      </c>
      <c r="G23" s="148">
        <v>1047</v>
      </c>
      <c r="H23" s="148"/>
      <c r="I23" s="148"/>
      <c r="J23" s="148"/>
      <c r="K23" s="148">
        <v>126073</v>
      </c>
      <c r="L23" s="148">
        <v>177866</v>
      </c>
      <c r="M23" s="148">
        <v>303939</v>
      </c>
      <c r="N23" s="148">
        <v>812717</v>
      </c>
      <c r="O23" s="148">
        <v>772097</v>
      </c>
      <c r="P23" s="148">
        <v>1584814</v>
      </c>
      <c r="Q23" s="148">
        <v>4455</v>
      </c>
      <c r="R23" s="148">
        <v>4356</v>
      </c>
      <c r="S23" s="148">
        <v>8811</v>
      </c>
      <c r="T23" s="148">
        <v>44069</v>
      </c>
      <c r="U23" s="148">
        <v>24913</v>
      </c>
      <c r="V23" s="148">
        <v>68982</v>
      </c>
      <c r="W23" s="148">
        <v>944</v>
      </c>
      <c r="X23" s="148">
        <v>481</v>
      </c>
      <c r="Y23" s="148">
        <v>1425</v>
      </c>
      <c r="Z23" s="148">
        <v>10934</v>
      </c>
      <c r="AA23" s="148">
        <v>10340</v>
      </c>
      <c r="AB23" s="148">
        <v>21274</v>
      </c>
      <c r="AC23" s="148">
        <v>999647</v>
      </c>
      <c r="AD23" s="148">
        <v>990645</v>
      </c>
      <c r="AE23" s="148">
        <v>1990292</v>
      </c>
    </row>
    <row r="24" spans="1:31" s="798" customFormat="1" ht="21.75" customHeight="1">
      <c r="A24" s="163">
        <v>20</v>
      </c>
      <c r="B24" s="802" t="s">
        <v>34</v>
      </c>
      <c r="C24" s="148">
        <v>4692</v>
      </c>
      <c r="D24" s="148">
        <v>4685</v>
      </c>
      <c r="E24" s="148">
        <v>3543</v>
      </c>
      <c r="F24" s="148">
        <v>2934</v>
      </c>
      <c r="G24" s="148">
        <v>6477</v>
      </c>
      <c r="H24" s="148">
        <v>56</v>
      </c>
      <c r="I24" s="148">
        <v>24</v>
      </c>
      <c r="J24" s="148">
        <v>80</v>
      </c>
      <c r="K24" s="148">
        <v>150060</v>
      </c>
      <c r="L24" s="148">
        <v>183501</v>
      </c>
      <c r="M24" s="148">
        <v>333561</v>
      </c>
      <c r="N24" s="148">
        <v>1536337</v>
      </c>
      <c r="O24" s="148">
        <v>1272047</v>
      </c>
      <c r="P24" s="148">
        <v>2808384</v>
      </c>
      <c r="Q24" s="148">
        <v>2219</v>
      </c>
      <c r="R24" s="148">
        <v>2452</v>
      </c>
      <c r="S24" s="148">
        <v>4671</v>
      </c>
      <c r="T24" s="148">
        <v>23288</v>
      </c>
      <c r="U24" s="148">
        <v>14593</v>
      </c>
      <c r="V24" s="148">
        <v>37881</v>
      </c>
      <c r="W24" s="148">
        <v>1092</v>
      </c>
      <c r="X24" s="148">
        <v>1160</v>
      </c>
      <c r="Y24" s="148">
        <v>2252</v>
      </c>
      <c r="Z24" s="148">
        <v>6852</v>
      </c>
      <c r="AA24" s="148">
        <v>6761</v>
      </c>
      <c r="AB24" s="148">
        <v>13613</v>
      </c>
      <c r="AC24" s="148">
        <v>1723447</v>
      </c>
      <c r="AD24" s="148">
        <v>1483472</v>
      </c>
      <c r="AE24" s="148">
        <v>3206919</v>
      </c>
    </row>
    <row r="25" spans="1:31" s="798" customFormat="1" ht="21.75" customHeight="1">
      <c r="A25" s="163">
        <v>21</v>
      </c>
      <c r="B25" s="802" t="s">
        <v>35</v>
      </c>
      <c r="C25" s="148">
        <v>108</v>
      </c>
      <c r="D25" s="148">
        <v>103</v>
      </c>
      <c r="E25" s="148">
        <v>13</v>
      </c>
      <c r="F25" s="148">
        <v>4</v>
      </c>
      <c r="G25" s="148">
        <v>17</v>
      </c>
      <c r="H25" s="148"/>
      <c r="I25" s="148">
        <v>6</v>
      </c>
      <c r="J25" s="148">
        <v>6</v>
      </c>
      <c r="K25" s="148">
        <v>514</v>
      </c>
      <c r="L25" s="148">
        <v>939</v>
      </c>
      <c r="M25" s="148">
        <v>1453</v>
      </c>
      <c r="N25" s="148">
        <v>52012</v>
      </c>
      <c r="O25" s="148">
        <v>49610</v>
      </c>
      <c r="P25" s="148">
        <v>101622</v>
      </c>
      <c r="Q25" s="148">
        <v>48</v>
      </c>
      <c r="R25" s="148">
        <v>122</v>
      </c>
      <c r="S25" s="148">
        <v>170</v>
      </c>
      <c r="T25" s="148">
        <v>532</v>
      </c>
      <c r="U25" s="148">
        <v>478</v>
      </c>
      <c r="V25" s="148">
        <v>1010</v>
      </c>
      <c r="W25" s="148">
        <v>18</v>
      </c>
      <c r="X25" s="148">
        <v>12</v>
      </c>
      <c r="Y25" s="148">
        <v>30</v>
      </c>
      <c r="Z25" s="148"/>
      <c r="AA25" s="148"/>
      <c r="AB25" s="148"/>
      <c r="AC25" s="148">
        <v>53137</v>
      </c>
      <c r="AD25" s="148">
        <v>51171</v>
      </c>
      <c r="AE25" s="148">
        <v>104308</v>
      </c>
    </row>
    <row r="26" spans="1:31" s="798" customFormat="1" ht="21.75" customHeight="1">
      <c r="A26" s="163">
        <v>22</v>
      </c>
      <c r="B26" s="802" t="s">
        <v>36</v>
      </c>
      <c r="C26" s="148">
        <v>77</v>
      </c>
      <c r="D26" s="148">
        <v>69</v>
      </c>
      <c r="E26" s="148">
        <v>28</v>
      </c>
      <c r="F26" s="148">
        <v>27</v>
      </c>
      <c r="G26" s="148">
        <v>55</v>
      </c>
      <c r="H26" s="148"/>
      <c r="I26" s="148"/>
      <c r="J26" s="148"/>
      <c r="K26" s="148">
        <v>220</v>
      </c>
      <c r="L26" s="148">
        <v>413</v>
      </c>
      <c r="M26" s="148">
        <v>633</v>
      </c>
      <c r="N26" s="148">
        <v>28061</v>
      </c>
      <c r="O26" s="148">
        <v>33666</v>
      </c>
      <c r="P26" s="148">
        <v>61727</v>
      </c>
      <c r="Q26" s="148">
        <v>10</v>
      </c>
      <c r="R26" s="148">
        <v>9</v>
      </c>
      <c r="S26" s="148">
        <v>19</v>
      </c>
      <c r="T26" s="148"/>
      <c r="U26" s="148"/>
      <c r="V26" s="148"/>
      <c r="W26" s="148">
        <v>30</v>
      </c>
      <c r="X26" s="148">
        <v>52</v>
      </c>
      <c r="Y26" s="148">
        <v>82</v>
      </c>
      <c r="Z26" s="148">
        <v>70</v>
      </c>
      <c r="AA26" s="148">
        <v>104</v>
      </c>
      <c r="AB26" s="148">
        <v>174</v>
      </c>
      <c r="AC26" s="148">
        <v>28419</v>
      </c>
      <c r="AD26" s="148">
        <v>34271</v>
      </c>
      <c r="AE26" s="148">
        <v>62690</v>
      </c>
    </row>
    <row r="27" spans="1:31" s="798" customFormat="1" ht="21.75" customHeight="1">
      <c r="A27" s="163">
        <v>23</v>
      </c>
      <c r="B27" s="802" t="s">
        <v>37</v>
      </c>
      <c r="C27" s="148">
        <v>40</v>
      </c>
      <c r="D27" s="148">
        <v>40</v>
      </c>
      <c r="E27" s="148">
        <v>10</v>
      </c>
      <c r="F27" s="148">
        <v>14</v>
      </c>
      <c r="G27" s="148">
        <v>24</v>
      </c>
      <c r="H27" s="148"/>
      <c r="I27" s="148"/>
      <c r="J27" s="148"/>
      <c r="K27" s="148">
        <v>251</v>
      </c>
      <c r="L27" s="148">
        <v>208</v>
      </c>
      <c r="M27" s="148">
        <v>459</v>
      </c>
      <c r="N27" s="148">
        <v>13250</v>
      </c>
      <c r="O27" s="148">
        <v>12923</v>
      </c>
      <c r="P27" s="148">
        <v>26173</v>
      </c>
      <c r="Q27" s="148"/>
      <c r="R27" s="148">
        <v>0</v>
      </c>
      <c r="S27" s="148"/>
      <c r="T27" s="148">
        <v>85</v>
      </c>
      <c r="U27" s="148">
        <v>7</v>
      </c>
      <c r="V27" s="148">
        <v>92</v>
      </c>
      <c r="W27" s="148"/>
      <c r="X27" s="148"/>
      <c r="Y27" s="148"/>
      <c r="Z27" s="148"/>
      <c r="AA27" s="148"/>
      <c r="AB27" s="148"/>
      <c r="AC27" s="148">
        <v>13596</v>
      </c>
      <c r="AD27" s="148">
        <v>13152</v>
      </c>
      <c r="AE27" s="148">
        <v>26748</v>
      </c>
    </row>
    <row r="28" spans="1:31" s="798" customFormat="1" ht="21.75" customHeight="1">
      <c r="A28" s="163">
        <v>24</v>
      </c>
      <c r="B28" s="802" t="s">
        <v>38</v>
      </c>
      <c r="C28" s="148">
        <v>69</v>
      </c>
      <c r="D28" s="148">
        <v>68</v>
      </c>
      <c r="E28" s="148">
        <v>9</v>
      </c>
      <c r="F28" s="148">
        <v>8</v>
      </c>
      <c r="G28" s="148">
        <v>17</v>
      </c>
      <c r="H28" s="148"/>
      <c r="I28" s="148"/>
      <c r="J28" s="148"/>
      <c r="K28" s="148">
        <v>516</v>
      </c>
      <c r="L28" s="148">
        <v>822</v>
      </c>
      <c r="M28" s="148">
        <v>1338</v>
      </c>
      <c r="N28" s="148">
        <v>15721</v>
      </c>
      <c r="O28" s="148">
        <v>18331</v>
      </c>
      <c r="P28" s="148">
        <v>34052</v>
      </c>
      <c r="Q28" s="148"/>
      <c r="R28" s="148">
        <v>0</v>
      </c>
      <c r="S28" s="148"/>
      <c r="T28" s="148">
        <v>86</v>
      </c>
      <c r="U28" s="148">
        <v>179</v>
      </c>
      <c r="V28" s="148">
        <v>265</v>
      </c>
      <c r="W28" s="148">
        <v>305</v>
      </c>
      <c r="X28" s="148">
        <v>274</v>
      </c>
      <c r="Y28" s="148">
        <v>579</v>
      </c>
      <c r="Z28" s="148"/>
      <c r="AA28" s="148"/>
      <c r="AB28" s="148"/>
      <c r="AC28" s="148">
        <v>16637</v>
      </c>
      <c r="AD28" s="148">
        <v>19614</v>
      </c>
      <c r="AE28" s="148">
        <v>36251</v>
      </c>
    </row>
    <row r="29" spans="1:31" s="798" customFormat="1" ht="21.75" customHeight="1">
      <c r="A29" s="163">
        <v>25</v>
      </c>
      <c r="B29" s="802" t="s">
        <v>39</v>
      </c>
      <c r="C29" s="148">
        <v>1300</v>
      </c>
      <c r="D29" s="148">
        <v>1289</v>
      </c>
      <c r="E29" s="148">
        <v>29</v>
      </c>
      <c r="F29" s="148">
        <v>14</v>
      </c>
      <c r="G29" s="148">
        <v>43</v>
      </c>
      <c r="H29" s="148">
        <v>15</v>
      </c>
      <c r="I29" s="148">
        <v>36</v>
      </c>
      <c r="J29" s="148">
        <v>51</v>
      </c>
      <c r="K29" s="148">
        <v>26663</v>
      </c>
      <c r="L29" s="148">
        <v>22017</v>
      </c>
      <c r="M29" s="148">
        <v>48680</v>
      </c>
      <c r="N29" s="148">
        <v>342986</v>
      </c>
      <c r="O29" s="148">
        <v>332274</v>
      </c>
      <c r="P29" s="148">
        <v>675260</v>
      </c>
      <c r="Q29" s="148">
        <v>434</v>
      </c>
      <c r="R29" s="148">
        <v>340</v>
      </c>
      <c r="S29" s="148">
        <v>774</v>
      </c>
      <c r="T29" s="148">
        <v>9334</v>
      </c>
      <c r="U29" s="148">
        <v>3183</v>
      </c>
      <c r="V29" s="148">
        <v>12517</v>
      </c>
      <c r="W29" s="148">
        <v>423</v>
      </c>
      <c r="X29" s="148">
        <v>431</v>
      </c>
      <c r="Y29" s="148">
        <v>854</v>
      </c>
      <c r="Z29" s="148">
        <v>2168</v>
      </c>
      <c r="AA29" s="148">
        <v>2384</v>
      </c>
      <c r="AB29" s="148">
        <v>4552</v>
      </c>
      <c r="AC29" s="148">
        <v>382052</v>
      </c>
      <c r="AD29" s="148">
        <v>360679</v>
      </c>
      <c r="AE29" s="148">
        <v>742731</v>
      </c>
    </row>
    <row r="30" spans="1:31" s="798" customFormat="1" ht="21.75" customHeight="1">
      <c r="A30" s="163">
        <v>26</v>
      </c>
      <c r="B30" s="802" t="s">
        <v>40</v>
      </c>
      <c r="C30" s="148">
        <v>82</v>
      </c>
      <c r="D30" s="148">
        <v>68</v>
      </c>
      <c r="E30" s="148">
        <v>47</v>
      </c>
      <c r="F30" s="148">
        <v>50</v>
      </c>
      <c r="G30" s="148">
        <v>97</v>
      </c>
      <c r="H30" s="148"/>
      <c r="I30" s="148"/>
      <c r="J30" s="148"/>
      <c r="K30" s="148">
        <v>1959</v>
      </c>
      <c r="L30" s="148">
        <v>3033</v>
      </c>
      <c r="M30" s="148">
        <v>4992</v>
      </c>
      <c r="N30" s="148">
        <v>20844</v>
      </c>
      <c r="O30" s="148">
        <v>24416</v>
      </c>
      <c r="P30" s="148">
        <v>45260</v>
      </c>
      <c r="Q30" s="148">
        <v>21</v>
      </c>
      <c r="R30" s="148">
        <v>15</v>
      </c>
      <c r="S30" s="148">
        <v>36</v>
      </c>
      <c r="T30" s="148">
        <v>151</v>
      </c>
      <c r="U30" s="148">
        <v>516</v>
      </c>
      <c r="V30" s="148">
        <v>667</v>
      </c>
      <c r="W30" s="148">
        <v>7</v>
      </c>
      <c r="X30" s="148">
        <v>3</v>
      </c>
      <c r="Y30" s="148">
        <v>10</v>
      </c>
      <c r="Z30" s="148">
        <v>76</v>
      </c>
      <c r="AA30" s="148">
        <v>512</v>
      </c>
      <c r="AB30" s="148">
        <v>588</v>
      </c>
      <c r="AC30" s="148">
        <v>23105</v>
      </c>
      <c r="AD30" s="148">
        <v>28545</v>
      </c>
      <c r="AE30" s="148">
        <v>51650</v>
      </c>
    </row>
    <row r="31" spans="1:31" s="798" customFormat="1" ht="21.75" customHeight="1">
      <c r="A31" s="163">
        <v>27</v>
      </c>
      <c r="B31" s="802" t="s">
        <v>41</v>
      </c>
      <c r="C31" s="148">
        <v>1044</v>
      </c>
      <c r="D31" s="148">
        <v>1037</v>
      </c>
      <c r="E31" s="148">
        <v>4</v>
      </c>
      <c r="F31" s="148">
        <v>9</v>
      </c>
      <c r="G31" s="148">
        <v>13</v>
      </c>
      <c r="H31" s="148">
        <v>2</v>
      </c>
      <c r="I31" s="148">
        <v>23</v>
      </c>
      <c r="J31" s="148">
        <v>25</v>
      </c>
      <c r="K31" s="148">
        <v>14514</v>
      </c>
      <c r="L31" s="148">
        <v>29360</v>
      </c>
      <c r="M31" s="148">
        <v>43874</v>
      </c>
      <c r="N31" s="148">
        <v>204662</v>
      </c>
      <c r="O31" s="148">
        <v>224203</v>
      </c>
      <c r="P31" s="148">
        <v>428865</v>
      </c>
      <c r="Q31" s="148">
        <v>2039</v>
      </c>
      <c r="R31" s="148">
        <v>2492</v>
      </c>
      <c r="S31" s="148">
        <v>4531</v>
      </c>
      <c r="T31" s="148">
        <v>9509</v>
      </c>
      <c r="U31" s="148">
        <v>16114</v>
      </c>
      <c r="V31" s="148">
        <v>25623</v>
      </c>
      <c r="W31" s="148">
        <v>417</v>
      </c>
      <c r="X31" s="148">
        <v>655</v>
      </c>
      <c r="Y31" s="148">
        <v>1072</v>
      </c>
      <c r="Z31" s="148">
        <v>3572</v>
      </c>
      <c r="AA31" s="148">
        <v>5182</v>
      </c>
      <c r="AB31" s="148">
        <v>8754</v>
      </c>
      <c r="AC31" s="148">
        <v>234719</v>
      </c>
      <c r="AD31" s="148">
        <v>278038</v>
      </c>
      <c r="AE31" s="148">
        <v>512757</v>
      </c>
    </row>
    <row r="32" spans="1:31" s="798" customFormat="1" ht="21.75" customHeight="1">
      <c r="A32" s="163">
        <v>28</v>
      </c>
      <c r="B32" s="802" t="s">
        <v>42</v>
      </c>
      <c r="C32" s="148">
        <v>3934</v>
      </c>
      <c r="D32" s="148">
        <v>3521</v>
      </c>
      <c r="E32" s="148">
        <v>559</v>
      </c>
      <c r="F32" s="148">
        <v>407</v>
      </c>
      <c r="G32" s="148">
        <v>966</v>
      </c>
      <c r="H32" s="148"/>
      <c r="I32" s="148"/>
      <c r="J32" s="148"/>
      <c r="K32" s="148">
        <v>47809</v>
      </c>
      <c r="L32" s="148">
        <v>87923</v>
      </c>
      <c r="M32" s="148">
        <v>135732</v>
      </c>
      <c r="N32" s="148">
        <v>775251</v>
      </c>
      <c r="O32" s="148">
        <v>757969</v>
      </c>
      <c r="P32" s="148">
        <v>1533220</v>
      </c>
      <c r="Q32" s="148">
        <v>1568</v>
      </c>
      <c r="R32" s="148">
        <v>1518</v>
      </c>
      <c r="S32" s="148">
        <v>3086</v>
      </c>
      <c r="T32" s="148">
        <v>19287</v>
      </c>
      <c r="U32" s="148">
        <v>9216</v>
      </c>
      <c r="V32" s="148">
        <v>28503</v>
      </c>
      <c r="W32" s="148">
        <v>1257</v>
      </c>
      <c r="X32" s="148">
        <v>1100</v>
      </c>
      <c r="Y32" s="148">
        <v>2357</v>
      </c>
      <c r="Z32" s="148">
        <v>51838</v>
      </c>
      <c r="AA32" s="148">
        <v>51060</v>
      </c>
      <c r="AB32" s="148">
        <v>102898</v>
      </c>
      <c r="AC32" s="148">
        <v>897569</v>
      </c>
      <c r="AD32" s="148">
        <v>909193</v>
      </c>
      <c r="AE32" s="148">
        <v>1806762</v>
      </c>
    </row>
    <row r="33" spans="1:31" s="798" customFormat="1" ht="21.75" customHeight="1">
      <c r="A33" s="163">
        <v>29</v>
      </c>
      <c r="B33" s="802" t="s">
        <v>43</v>
      </c>
      <c r="C33" s="148">
        <v>24</v>
      </c>
      <c r="D33" s="148">
        <v>20</v>
      </c>
      <c r="E33" s="148">
        <v>9</v>
      </c>
      <c r="F33" s="148">
        <v>9</v>
      </c>
      <c r="G33" s="148">
        <v>18</v>
      </c>
      <c r="H33" s="148"/>
      <c r="I33" s="148"/>
      <c r="J33" s="148"/>
      <c r="K33" s="148">
        <v>189</v>
      </c>
      <c r="L33" s="148">
        <v>223</v>
      </c>
      <c r="M33" s="148">
        <v>412</v>
      </c>
      <c r="N33" s="148">
        <v>5906</v>
      </c>
      <c r="O33" s="148">
        <v>7453</v>
      </c>
      <c r="P33" s="148">
        <v>13359</v>
      </c>
      <c r="Q33" s="148"/>
      <c r="R33" s="148">
        <v>0</v>
      </c>
      <c r="S33" s="148"/>
      <c r="T33" s="148">
        <v>88</v>
      </c>
      <c r="U33" s="148">
        <v>31</v>
      </c>
      <c r="V33" s="148">
        <v>119</v>
      </c>
      <c r="W33" s="148">
        <v>45</v>
      </c>
      <c r="X33" s="148">
        <v>2</v>
      </c>
      <c r="Y33" s="148">
        <v>47</v>
      </c>
      <c r="Z33" s="148">
        <v>105</v>
      </c>
      <c r="AA33" s="148">
        <v>187</v>
      </c>
      <c r="AB33" s="148">
        <v>292</v>
      </c>
      <c r="AC33" s="148">
        <v>6342</v>
      </c>
      <c r="AD33" s="148">
        <v>7905</v>
      </c>
      <c r="AE33" s="148">
        <v>14247</v>
      </c>
    </row>
    <row r="34" spans="1:31" s="798" customFormat="1" ht="21.75" customHeight="1">
      <c r="A34" s="163">
        <v>30</v>
      </c>
      <c r="B34" s="802" t="s">
        <v>44</v>
      </c>
      <c r="C34" s="148">
        <v>2829</v>
      </c>
      <c r="D34" s="148">
        <v>2807</v>
      </c>
      <c r="E34" s="148">
        <v>3023</v>
      </c>
      <c r="F34" s="148">
        <v>5045</v>
      </c>
      <c r="G34" s="148">
        <v>8068</v>
      </c>
      <c r="H34" s="148">
        <v>804</v>
      </c>
      <c r="I34" s="148">
        <v>1752</v>
      </c>
      <c r="J34" s="148">
        <v>2556</v>
      </c>
      <c r="K34" s="148">
        <v>92826</v>
      </c>
      <c r="L34" s="148">
        <v>151538</v>
      </c>
      <c r="M34" s="148">
        <v>244364</v>
      </c>
      <c r="N34" s="148">
        <v>934768</v>
      </c>
      <c r="O34" s="148">
        <v>1044496</v>
      </c>
      <c r="P34" s="148">
        <v>1979264</v>
      </c>
      <c r="Q34" s="148">
        <v>919</v>
      </c>
      <c r="R34" s="148">
        <v>1059</v>
      </c>
      <c r="S34" s="148">
        <v>1978</v>
      </c>
      <c r="T34" s="148">
        <v>5846</v>
      </c>
      <c r="U34" s="148">
        <v>13180</v>
      </c>
      <c r="V34" s="148">
        <v>19026</v>
      </c>
      <c r="W34" s="148">
        <v>1168</v>
      </c>
      <c r="X34" s="148">
        <v>3280</v>
      </c>
      <c r="Y34" s="148">
        <v>4448</v>
      </c>
      <c r="Z34" s="148">
        <v>3546</v>
      </c>
      <c r="AA34" s="148">
        <v>4653</v>
      </c>
      <c r="AB34" s="148">
        <v>8199</v>
      </c>
      <c r="AC34" s="148">
        <v>1042900</v>
      </c>
      <c r="AD34" s="148">
        <v>1225003</v>
      </c>
      <c r="AE34" s="148">
        <v>2267903</v>
      </c>
    </row>
    <row r="35" spans="1:31" s="798" customFormat="1" ht="21.75" customHeight="1">
      <c r="A35" s="163">
        <v>31</v>
      </c>
      <c r="B35" s="802" t="s">
        <v>131</v>
      </c>
      <c r="C35" s="148">
        <v>2083</v>
      </c>
      <c r="D35" s="148">
        <v>1940</v>
      </c>
      <c r="E35" s="148">
        <v>15</v>
      </c>
      <c r="F35" s="148">
        <v>10</v>
      </c>
      <c r="G35" s="148">
        <v>25</v>
      </c>
      <c r="H35" s="148">
        <v>37</v>
      </c>
      <c r="I35" s="148">
        <v>34</v>
      </c>
      <c r="J35" s="148">
        <v>71</v>
      </c>
      <c r="K35" s="148">
        <v>51405</v>
      </c>
      <c r="L35" s="148">
        <v>71562</v>
      </c>
      <c r="M35" s="148">
        <v>122967</v>
      </c>
      <c r="N35" s="148">
        <v>524079</v>
      </c>
      <c r="O35" s="148">
        <v>524697</v>
      </c>
      <c r="P35" s="148">
        <v>1048776</v>
      </c>
      <c r="Q35" s="148">
        <v>294</v>
      </c>
      <c r="R35" s="148">
        <v>324</v>
      </c>
      <c r="S35" s="148">
        <v>618</v>
      </c>
      <c r="T35" s="148">
        <v>6968</v>
      </c>
      <c r="U35" s="148">
        <v>2924</v>
      </c>
      <c r="V35" s="148">
        <v>9892</v>
      </c>
      <c r="W35" s="148">
        <v>47</v>
      </c>
      <c r="X35" s="148">
        <v>199</v>
      </c>
      <c r="Y35" s="148">
        <v>246</v>
      </c>
      <c r="Z35" s="148">
        <v>2136</v>
      </c>
      <c r="AA35" s="148">
        <v>1345</v>
      </c>
      <c r="AB35" s="148">
        <v>3481</v>
      </c>
      <c r="AC35" s="148">
        <v>584981</v>
      </c>
      <c r="AD35" s="148">
        <v>601095</v>
      </c>
      <c r="AE35" s="148">
        <v>1186076</v>
      </c>
    </row>
    <row r="36" spans="1:31" s="798" customFormat="1" ht="28.5">
      <c r="A36" s="163">
        <v>32</v>
      </c>
      <c r="B36" s="803" t="s">
        <v>1062</v>
      </c>
      <c r="C36" s="148">
        <v>19</v>
      </c>
      <c r="D36" s="148">
        <v>19</v>
      </c>
      <c r="E36" s="148">
        <v>0</v>
      </c>
      <c r="F36" s="148">
        <v>0</v>
      </c>
      <c r="G36" s="148">
        <v>0</v>
      </c>
      <c r="H36" s="148"/>
      <c r="I36" s="148"/>
      <c r="J36" s="148"/>
      <c r="K36" s="148">
        <v>254</v>
      </c>
      <c r="L36" s="148">
        <v>500</v>
      </c>
      <c r="M36" s="148">
        <v>754</v>
      </c>
      <c r="N36" s="148">
        <v>4412</v>
      </c>
      <c r="O36" s="148">
        <v>5068</v>
      </c>
      <c r="P36" s="148">
        <v>9480</v>
      </c>
      <c r="Q36" s="148"/>
      <c r="R36" s="148">
        <v>0</v>
      </c>
      <c r="S36" s="148"/>
      <c r="T36" s="148">
        <v>1686</v>
      </c>
      <c r="U36" s="148">
        <v>422</v>
      </c>
      <c r="V36" s="148">
        <v>2108</v>
      </c>
      <c r="W36" s="148"/>
      <c r="X36" s="148"/>
      <c r="Y36" s="148"/>
      <c r="Z36" s="148">
        <v>36</v>
      </c>
      <c r="AA36" s="148">
        <v>54</v>
      </c>
      <c r="AB36" s="148">
        <v>90</v>
      </c>
      <c r="AC36" s="148">
        <v>6388</v>
      </c>
      <c r="AD36" s="148">
        <v>6044</v>
      </c>
      <c r="AE36" s="148">
        <v>12432</v>
      </c>
    </row>
    <row r="37" spans="1:31" s="798" customFormat="1" ht="21.75" customHeight="1">
      <c r="A37" s="163">
        <v>33</v>
      </c>
      <c r="B37" s="802" t="s">
        <v>45</v>
      </c>
      <c r="C37" s="148">
        <v>54</v>
      </c>
      <c r="D37" s="148">
        <v>54</v>
      </c>
      <c r="E37" s="148">
        <v>7</v>
      </c>
      <c r="F37" s="148">
        <v>4</v>
      </c>
      <c r="G37" s="148">
        <v>11</v>
      </c>
      <c r="H37" s="148"/>
      <c r="I37" s="148"/>
      <c r="J37" s="148"/>
      <c r="K37" s="148">
        <v>298</v>
      </c>
      <c r="L37" s="148">
        <v>240</v>
      </c>
      <c r="M37" s="148">
        <v>538</v>
      </c>
      <c r="N37" s="148">
        <v>37139</v>
      </c>
      <c r="O37" s="148">
        <v>33950</v>
      </c>
      <c r="P37" s="148">
        <v>71089</v>
      </c>
      <c r="Q37" s="148"/>
      <c r="R37" s="148">
        <v>0</v>
      </c>
      <c r="S37" s="148"/>
      <c r="T37" s="148">
        <v>1674</v>
      </c>
      <c r="U37" s="148">
        <v>1312</v>
      </c>
      <c r="V37" s="148">
        <v>2986</v>
      </c>
      <c r="W37" s="148">
        <v>6</v>
      </c>
      <c r="X37" s="148">
        <v>10</v>
      </c>
      <c r="Y37" s="148">
        <v>16</v>
      </c>
      <c r="Z37" s="148">
        <v>129</v>
      </c>
      <c r="AA37" s="148">
        <v>132</v>
      </c>
      <c r="AB37" s="148">
        <v>261</v>
      </c>
      <c r="AC37" s="148">
        <v>39253</v>
      </c>
      <c r="AD37" s="148">
        <v>35648</v>
      </c>
      <c r="AE37" s="148">
        <v>74901</v>
      </c>
    </row>
    <row r="38" spans="1:31" s="798" customFormat="1" ht="21.75" customHeight="1">
      <c r="A38" s="163">
        <v>34</v>
      </c>
      <c r="B38" s="802" t="s">
        <v>47</v>
      </c>
      <c r="C38" s="148">
        <v>8375</v>
      </c>
      <c r="D38" s="148">
        <v>7182</v>
      </c>
      <c r="E38" s="148">
        <v>747</v>
      </c>
      <c r="F38" s="148">
        <v>521</v>
      </c>
      <c r="G38" s="148">
        <v>1268</v>
      </c>
      <c r="H38" s="148"/>
      <c r="I38" s="148"/>
      <c r="J38" s="148"/>
      <c r="K38" s="148">
        <v>211277</v>
      </c>
      <c r="L38" s="148">
        <v>296639</v>
      </c>
      <c r="M38" s="148">
        <v>507916</v>
      </c>
      <c r="N38" s="148">
        <v>2470297</v>
      </c>
      <c r="O38" s="148">
        <v>2369740</v>
      </c>
      <c r="P38" s="148">
        <v>4840037</v>
      </c>
      <c r="Q38" s="148">
        <v>2774</v>
      </c>
      <c r="R38" s="148">
        <v>2237</v>
      </c>
      <c r="S38" s="148">
        <v>5011</v>
      </c>
      <c r="T38" s="148">
        <v>46420</v>
      </c>
      <c r="U38" s="148">
        <v>22748</v>
      </c>
      <c r="V38" s="148">
        <v>69168</v>
      </c>
      <c r="W38" s="148">
        <v>1271</v>
      </c>
      <c r="X38" s="148">
        <v>1342</v>
      </c>
      <c r="Y38" s="148">
        <v>2613</v>
      </c>
      <c r="Z38" s="148">
        <v>24192</v>
      </c>
      <c r="AA38" s="148">
        <v>13257</v>
      </c>
      <c r="AB38" s="148">
        <v>37449</v>
      </c>
      <c r="AC38" s="148">
        <v>2756978</v>
      </c>
      <c r="AD38" s="148">
        <v>2706484</v>
      </c>
      <c r="AE38" s="148">
        <v>5463462</v>
      </c>
    </row>
    <row r="39" spans="1:31" s="798" customFormat="1" ht="21.75" customHeight="1">
      <c r="A39" s="163">
        <v>35</v>
      </c>
      <c r="B39" s="802" t="s">
        <v>46</v>
      </c>
      <c r="C39" s="148">
        <v>500</v>
      </c>
      <c r="D39" s="148">
        <v>402</v>
      </c>
      <c r="E39" s="148">
        <v>453</v>
      </c>
      <c r="F39" s="148">
        <v>495</v>
      </c>
      <c r="G39" s="148">
        <v>948</v>
      </c>
      <c r="H39" s="148"/>
      <c r="I39" s="148"/>
      <c r="J39" s="148"/>
      <c r="K39" s="148">
        <v>12518</v>
      </c>
      <c r="L39" s="148">
        <v>20401</v>
      </c>
      <c r="M39" s="148">
        <v>32919</v>
      </c>
      <c r="N39" s="148">
        <v>99785</v>
      </c>
      <c r="O39" s="148">
        <v>119192</v>
      </c>
      <c r="P39" s="148">
        <v>218977</v>
      </c>
      <c r="Q39" s="148">
        <v>69</v>
      </c>
      <c r="R39" s="148">
        <v>129</v>
      </c>
      <c r="S39" s="148">
        <v>198</v>
      </c>
      <c r="T39" s="148">
        <v>3466</v>
      </c>
      <c r="U39" s="148">
        <v>2065</v>
      </c>
      <c r="V39" s="148">
        <v>5531</v>
      </c>
      <c r="W39" s="148">
        <v>2</v>
      </c>
      <c r="X39" s="148">
        <v>1</v>
      </c>
      <c r="Y39" s="148">
        <v>3</v>
      </c>
      <c r="Z39" s="148">
        <v>747</v>
      </c>
      <c r="AA39" s="148">
        <v>349</v>
      </c>
      <c r="AB39" s="148">
        <v>1096</v>
      </c>
      <c r="AC39" s="148">
        <v>117040</v>
      </c>
      <c r="AD39" s="148">
        <v>142632</v>
      </c>
      <c r="AE39" s="148">
        <v>259672</v>
      </c>
    </row>
    <row r="40" spans="1:31" s="798" customFormat="1" ht="21.75" customHeight="1">
      <c r="A40" s="163">
        <v>36</v>
      </c>
      <c r="B40" s="802" t="s">
        <v>48</v>
      </c>
      <c r="C40" s="148">
        <v>1514</v>
      </c>
      <c r="D40" s="148">
        <v>1510</v>
      </c>
      <c r="E40" s="148">
        <v>300</v>
      </c>
      <c r="F40" s="148">
        <v>101</v>
      </c>
      <c r="G40" s="148">
        <v>401</v>
      </c>
      <c r="H40" s="148">
        <v>41</v>
      </c>
      <c r="I40" s="148">
        <v>9</v>
      </c>
      <c r="J40" s="148">
        <v>50</v>
      </c>
      <c r="K40" s="148">
        <v>20611</v>
      </c>
      <c r="L40" s="148">
        <v>26925</v>
      </c>
      <c r="M40" s="148">
        <v>47536</v>
      </c>
      <c r="N40" s="148">
        <v>794424</v>
      </c>
      <c r="O40" s="148">
        <v>886245</v>
      </c>
      <c r="P40" s="148">
        <v>1680669</v>
      </c>
      <c r="Q40" s="148">
        <v>705</v>
      </c>
      <c r="R40" s="148">
        <v>412</v>
      </c>
      <c r="S40" s="148">
        <v>1117</v>
      </c>
      <c r="T40" s="148">
        <v>27552</v>
      </c>
      <c r="U40" s="148">
        <v>26879</v>
      </c>
      <c r="V40" s="148">
        <v>54431</v>
      </c>
      <c r="W40" s="148">
        <v>1065</v>
      </c>
      <c r="X40" s="148">
        <v>966</v>
      </c>
      <c r="Y40" s="148">
        <v>2031</v>
      </c>
      <c r="Z40" s="148">
        <v>4391</v>
      </c>
      <c r="AA40" s="148">
        <v>4632</v>
      </c>
      <c r="AB40" s="148">
        <v>9023</v>
      </c>
      <c r="AC40" s="148">
        <v>849089</v>
      </c>
      <c r="AD40" s="148">
        <v>946169</v>
      </c>
      <c r="AE40" s="148">
        <v>1795258</v>
      </c>
    </row>
    <row r="41" spans="1:31" s="800" customFormat="1" ht="21.75" customHeight="1">
      <c r="A41" s="997" t="s">
        <v>49</v>
      </c>
      <c r="B41" s="997"/>
      <c r="C41" s="148">
        <v>45473</v>
      </c>
      <c r="D41" s="148">
        <v>42825</v>
      </c>
      <c r="E41" s="148">
        <v>12596</v>
      </c>
      <c r="F41" s="148">
        <v>15181</v>
      </c>
      <c r="G41" s="148">
        <v>27777</v>
      </c>
      <c r="H41" s="148">
        <v>993</v>
      </c>
      <c r="I41" s="148">
        <v>2001</v>
      </c>
      <c r="J41" s="148">
        <v>2994</v>
      </c>
      <c r="K41" s="148">
        <v>1037374</v>
      </c>
      <c r="L41" s="148">
        <v>1499725</v>
      </c>
      <c r="M41" s="148">
        <v>2537099</v>
      </c>
      <c r="N41" s="148">
        <v>13505656</v>
      </c>
      <c r="O41" s="148">
        <v>13287983</v>
      </c>
      <c r="P41" s="148">
        <v>26793639</v>
      </c>
      <c r="Q41" s="148">
        <v>24179</v>
      </c>
      <c r="R41" s="148">
        <v>25856</v>
      </c>
      <c r="S41" s="148">
        <v>50035</v>
      </c>
      <c r="T41" s="148">
        <v>392869</v>
      </c>
      <c r="U41" s="148">
        <v>250153</v>
      </c>
      <c r="V41" s="148">
        <v>643022</v>
      </c>
      <c r="W41" s="148">
        <v>13507</v>
      </c>
      <c r="X41" s="148">
        <v>15301</v>
      </c>
      <c r="Y41" s="148">
        <v>28808</v>
      </c>
      <c r="Z41" s="148">
        <v>138702</v>
      </c>
      <c r="AA41" s="148">
        <v>125950</v>
      </c>
      <c r="AB41" s="148">
        <v>264652</v>
      </c>
      <c r="AC41" s="148">
        <v>15125876</v>
      </c>
      <c r="AD41" s="148">
        <v>15222150</v>
      </c>
      <c r="AE41" s="148">
        <v>30348026</v>
      </c>
    </row>
  </sheetData>
  <mergeCells count="16">
    <mergeCell ref="C1:M1"/>
    <mergeCell ref="N1:V1"/>
    <mergeCell ref="W1:AE1"/>
    <mergeCell ref="Z2:AB2"/>
    <mergeCell ref="AC2:AE2"/>
    <mergeCell ref="A41:B41"/>
    <mergeCell ref="N2:P2"/>
    <mergeCell ref="Q2:S2"/>
    <mergeCell ref="T2:V2"/>
    <mergeCell ref="W2:Y2"/>
    <mergeCell ref="A2:A3"/>
    <mergeCell ref="B2:B3"/>
    <mergeCell ref="C2:D2"/>
    <mergeCell ref="E2:G2"/>
    <mergeCell ref="H2:J2"/>
    <mergeCell ref="K2:M2"/>
  </mergeCells>
  <pageMargins left="0.43307086614173229" right="0.15748031496062992" top="0.51181102362204722" bottom="0.35433070866141736" header="0.19685039370078741" footer="0.15748031496062992"/>
  <pageSetup paperSize="9" scale="80" firstPageNumber="14" orientation="portrait" useFirstPageNumber="1" r:id="rId1"/>
  <headerFooter>
    <oddFooter>&amp;L&amp;"Arial,Italic"&amp;9AISHE 2021-22&amp;CT-8</oddFooter>
  </headerFooter>
  <colBreaks count="2" manualBreakCount="2">
    <brk id="13" max="38" man="1"/>
    <brk id="2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Y42"/>
  <sheetViews>
    <sheetView showZeros="0" view="pageBreakPreview" zoomScaleSheetLayoutView="100" workbookViewId="0">
      <pane xSplit="2" ySplit="5" topLeftCell="AA24" activePane="bottomRight" state="frozen"/>
      <selection activeCell="F15" sqref="F15"/>
      <selection pane="topRight" activeCell="F15" sqref="F15"/>
      <selection pane="bottomLeft" activeCell="F15" sqref="F15"/>
      <selection pane="bottomRight" activeCell="AS25" sqref="AS25"/>
    </sheetView>
  </sheetViews>
  <sheetFormatPr defaultColWidth="9.28515625" defaultRowHeight="15"/>
  <cols>
    <col min="1" max="1" width="5.28515625" style="489" customWidth="1"/>
    <col min="2" max="2" width="20.42578125" style="54" customWidth="1"/>
    <col min="3" max="3" width="7.28515625" style="54" customWidth="1"/>
    <col min="4" max="4" width="9.28515625" style="54" customWidth="1"/>
    <col min="5" max="5" width="9" style="54" customWidth="1"/>
    <col min="6" max="6" width="7.7109375" style="54" customWidth="1"/>
    <col min="7" max="7" width="8.7109375" style="54" customWidth="1"/>
    <col min="8" max="8" width="7.7109375" style="54" customWidth="1"/>
    <col min="9" max="9" width="6.7109375" style="54" customWidth="1"/>
    <col min="10" max="10" width="9.5703125" style="54" customWidth="1"/>
    <col min="11" max="11" width="6.5703125" style="54" customWidth="1"/>
    <col min="12" max="12" width="7.5703125" style="54" customWidth="1"/>
    <col min="13" max="13" width="6.7109375" style="54" customWidth="1"/>
    <col min="14" max="14" width="9" style="54" customWidth="1"/>
    <col min="15" max="15" width="6.7109375" style="54" customWidth="1"/>
    <col min="16" max="16" width="9.42578125" style="54" customWidth="1"/>
    <col min="17" max="17" width="7.28515625" style="54" customWidth="1"/>
    <col min="18" max="18" width="7.5703125" style="54" customWidth="1"/>
    <col min="19" max="19" width="8.7109375" style="54" customWidth="1"/>
    <col min="20" max="20" width="8" style="54" customWidth="1"/>
    <col min="21" max="21" width="6.5703125" style="54" customWidth="1"/>
    <col min="22" max="22" width="9.42578125" style="54" customWidth="1"/>
    <col min="23" max="23" width="7.5703125" style="54" customWidth="1"/>
    <col min="24" max="24" width="7.7109375" style="54" customWidth="1"/>
    <col min="25" max="25" width="9.140625" style="54" customWidth="1"/>
    <col min="26" max="26" width="7.7109375" style="54" customWidth="1"/>
    <col min="27" max="27" width="6.5703125" style="54" customWidth="1"/>
    <col min="28" max="28" width="9.42578125" style="54" customWidth="1"/>
    <col min="29" max="29" width="7.28515625" style="54" customWidth="1"/>
    <col min="30" max="30" width="7.7109375" style="54" customWidth="1"/>
    <col min="31" max="31" width="7.28515625" style="54" customWidth="1"/>
    <col min="32" max="33" width="7.7109375" style="54" customWidth="1"/>
    <col min="34" max="34" width="10.28515625" style="54" customWidth="1"/>
    <col min="35" max="37" width="7.7109375" style="54" customWidth="1"/>
    <col min="38" max="38" width="8.5703125" style="54" customWidth="1"/>
    <col min="39" max="39" width="7.7109375" style="54" customWidth="1"/>
    <col min="40" max="40" width="8.42578125" style="54" bestFit="1" customWidth="1"/>
    <col min="41" max="41" width="7.7109375" style="54" customWidth="1"/>
    <col min="42" max="42" width="6.5703125" style="54" bestFit="1" customWidth="1"/>
    <col min="43" max="43" width="6.7109375" style="54" bestFit="1" customWidth="1"/>
    <col min="44" max="44" width="7.7109375" style="54" customWidth="1"/>
    <col min="45" max="45" width="6.5703125" style="54" customWidth="1"/>
    <col min="46" max="47" width="9.42578125" style="54" customWidth="1"/>
    <col min="48" max="48" width="7.7109375" style="54" customWidth="1"/>
    <col min="49" max="49" width="9.7109375" style="54" customWidth="1"/>
    <col min="50" max="50" width="7.7109375" style="54" customWidth="1"/>
    <col min="51" max="16384" width="9.28515625" style="54"/>
  </cols>
  <sheetData>
    <row r="1" spans="1:50" s="55" customFormat="1" ht="42" customHeight="1">
      <c r="A1" s="488"/>
      <c r="B1" s="80" t="s">
        <v>153</v>
      </c>
      <c r="C1" s="1003" t="s">
        <v>908</v>
      </c>
      <c r="D1" s="1003"/>
      <c r="E1" s="1003"/>
      <c r="F1" s="1003"/>
      <c r="G1" s="1003"/>
      <c r="H1" s="1003"/>
      <c r="I1" s="1003"/>
      <c r="J1" s="1003"/>
      <c r="K1" s="1003"/>
      <c r="L1" s="1003"/>
      <c r="M1" s="1003"/>
      <c r="N1" s="1003"/>
      <c r="O1" s="991" t="str">
        <f>C1</f>
        <v>Number and Enrolment in different types of Standalone Institutions
(Based on Actual Response)</v>
      </c>
      <c r="P1" s="991"/>
      <c r="Q1" s="991"/>
      <c r="R1" s="991"/>
      <c r="S1" s="991"/>
      <c r="T1" s="991"/>
      <c r="U1" s="991"/>
      <c r="V1" s="991"/>
      <c r="W1" s="991"/>
      <c r="X1" s="991"/>
      <c r="Y1" s="991"/>
      <c r="Z1" s="991"/>
      <c r="AA1" s="991" t="str">
        <f>O1</f>
        <v>Number and Enrolment in different types of Standalone Institutions
(Based on Actual Response)</v>
      </c>
      <c r="AB1" s="991"/>
      <c r="AC1" s="991"/>
      <c r="AD1" s="991"/>
      <c r="AE1" s="991"/>
      <c r="AF1" s="991"/>
      <c r="AG1" s="991"/>
      <c r="AH1" s="991"/>
      <c r="AI1" s="991"/>
      <c r="AJ1" s="991"/>
      <c r="AK1" s="991"/>
      <c r="AL1" s="991"/>
      <c r="AM1" s="991" t="str">
        <f>AA1</f>
        <v>Number and Enrolment in different types of Standalone Institutions
(Based on Actual Response)</v>
      </c>
      <c r="AN1" s="991"/>
      <c r="AO1" s="991"/>
      <c r="AP1" s="991"/>
      <c r="AQ1" s="991"/>
      <c r="AR1" s="991"/>
      <c r="AS1" s="991"/>
      <c r="AT1" s="991"/>
      <c r="AU1" s="991"/>
      <c r="AV1" s="991"/>
      <c r="AW1" s="991"/>
      <c r="AX1" s="991"/>
    </row>
    <row r="2" spans="1:50" s="240" customFormat="1" ht="14.25">
      <c r="A2" s="984" t="s">
        <v>84</v>
      </c>
      <c r="B2" s="984" t="s">
        <v>1087</v>
      </c>
      <c r="C2" s="1004" t="s">
        <v>100</v>
      </c>
      <c r="D2" s="1004"/>
      <c r="E2" s="1004"/>
      <c r="F2" s="1004"/>
      <c r="G2" s="1004"/>
      <c r="H2" s="1004"/>
      <c r="I2" s="1004" t="s">
        <v>77</v>
      </c>
      <c r="J2" s="1004"/>
      <c r="K2" s="1004"/>
      <c r="L2" s="1004"/>
      <c r="M2" s="1004"/>
      <c r="N2" s="1004"/>
      <c r="O2" s="1004" t="s">
        <v>76</v>
      </c>
      <c r="P2" s="1004"/>
      <c r="Q2" s="1004"/>
      <c r="R2" s="1004"/>
      <c r="S2" s="1004"/>
      <c r="T2" s="1004"/>
      <c r="U2" s="1004" t="s">
        <v>75</v>
      </c>
      <c r="V2" s="1004"/>
      <c r="W2" s="1004"/>
      <c r="X2" s="1004"/>
      <c r="Y2" s="1004"/>
      <c r="Z2" s="1004"/>
      <c r="AA2" s="1004" t="s">
        <v>118</v>
      </c>
      <c r="AB2" s="1004"/>
      <c r="AC2" s="1004"/>
      <c r="AD2" s="1004"/>
      <c r="AE2" s="1004"/>
      <c r="AF2" s="1004"/>
      <c r="AG2" s="1005" t="s">
        <v>165</v>
      </c>
      <c r="AH2" s="1006"/>
      <c r="AI2" s="1006"/>
      <c r="AJ2" s="1006"/>
      <c r="AK2" s="1006"/>
      <c r="AL2" s="1007"/>
      <c r="AM2" s="1005" t="s">
        <v>166</v>
      </c>
      <c r="AN2" s="1006"/>
      <c r="AO2" s="1006"/>
      <c r="AP2" s="1006"/>
      <c r="AQ2" s="1006"/>
      <c r="AR2" s="1007"/>
      <c r="AS2" s="1004" t="s">
        <v>101</v>
      </c>
      <c r="AT2" s="1004"/>
      <c r="AU2" s="1004"/>
      <c r="AV2" s="1004"/>
      <c r="AW2" s="1004"/>
      <c r="AX2" s="1004"/>
    </row>
    <row r="3" spans="1:50" s="241" customFormat="1" ht="33.75" customHeight="1">
      <c r="A3" s="984"/>
      <c r="B3" s="984"/>
      <c r="C3" s="984" t="s">
        <v>102</v>
      </c>
      <c r="D3" s="984"/>
      <c r="E3" s="984" t="s">
        <v>103</v>
      </c>
      <c r="F3" s="984"/>
      <c r="G3" s="984"/>
      <c r="H3" s="1008" t="s">
        <v>104</v>
      </c>
      <c r="I3" s="984" t="s">
        <v>102</v>
      </c>
      <c r="J3" s="984"/>
      <c r="K3" s="984" t="s">
        <v>103</v>
      </c>
      <c r="L3" s="984"/>
      <c r="M3" s="984"/>
      <c r="N3" s="1008" t="s">
        <v>104</v>
      </c>
      <c r="O3" s="984" t="s">
        <v>102</v>
      </c>
      <c r="P3" s="984"/>
      <c r="Q3" s="984" t="s">
        <v>103</v>
      </c>
      <c r="R3" s="984"/>
      <c r="S3" s="984"/>
      <c r="T3" s="1008" t="s">
        <v>104</v>
      </c>
      <c r="U3" s="984" t="s">
        <v>102</v>
      </c>
      <c r="V3" s="984"/>
      <c r="W3" s="984" t="s">
        <v>103</v>
      </c>
      <c r="X3" s="984"/>
      <c r="Y3" s="984"/>
      <c r="Z3" s="1008" t="s">
        <v>104</v>
      </c>
      <c r="AA3" s="984" t="s">
        <v>102</v>
      </c>
      <c r="AB3" s="984"/>
      <c r="AC3" s="984" t="s">
        <v>103</v>
      </c>
      <c r="AD3" s="984"/>
      <c r="AE3" s="984"/>
      <c r="AF3" s="1008" t="s">
        <v>104</v>
      </c>
      <c r="AG3" s="984" t="s">
        <v>102</v>
      </c>
      <c r="AH3" s="984"/>
      <c r="AI3" s="984" t="s">
        <v>103</v>
      </c>
      <c r="AJ3" s="984"/>
      <c r="AK3" s="984"/>
      <c r="AL3" s="1008" t="s">
        <v>104</v>
      </c>
      <c r="AM3" s="984" t="s">
        <v>102</v>
      </c>
      <c r="AN3" s="984"/>
      <c r="AO3" s="984" t="s">
        <v>103</v>
      </c>
      <c r="AP3" s="984"/>
      <c r="AQ3" s="984"/>
      <c r="AR3" s="1008" t="s">
        <v>104</v>
      </c>
      <c r="AS3" s="984" t="s">
        <v>102</v>
      </c>
      <c r="AT3" s="984"/>
      <c r="AU3" s="984" t="s">
        <v>103</v>
      </c>
      <c r="AV3" s="984"/>
      <c r="AW3" s="984"/>
      <c r="AX3" s="1008" t="s">
        <v>104</v>
      </c>
    </row>
    <row r="4" spans="1:50" s="248" customFormat="1" ht="24.75" customHeight="1">
      <c r="A4" s="984"/>
      <c r="B4" s="984"/>
      <c r="C4" s="246" t="s">
        <v>12</v>
      </c>
      <c r="D4" s="246" t="s">
        <v>99</v>
      </c>
      <c r="E4" s="247" t="s">
        <v>87</v>
      </c>
      <c r="F4" s="247" t="s">
        <v>88</v>
      </c>
      <c r="G4" s="246" t="s">
        <v>12</v>
      </c>
      <c r="H4" s="1009"/>
      <c r="I4" s="246" t="s">
        <v>12</v>
      </c>
      <c r="J4" s="246" t="s">
        <v>99</v>
      </c>
      <c r="K4" s="247" t="s">
        <v>87</v>
      </c>
      <c r="L4" s="247" t="s">
        <v>88</v>
      </c>
      <c r="M4" s="246" t="s">
        <v>12</v>
      </c>
      <c r="N4" s="1009"/>
      <c r="O4" s="246" t="s">
        <v>12</v>
      </c>
      <c r="P4" s="246" t="s">
        <v>99</v>
      </c>
      <c r="Q4" s="247" t="s">
        <v>87</v>
      </c>
      <c r="R4" s="247" t="s">
        <v>88</v>
      </c>
      <c r="S4" s="246" t="s">
        <v>12</v>
      </c>
      <c r="T4" s="1009"/>
      <c r="U4" s="246" t="s">
        <v>12</v>
      </c>
      <c r="V4" s="246" t="s">
        <v>99</v>
      </c>
      <c r="W4" s="247" t="s">
        <v>87</v>
      </c>
      <c r="X4" s="247" t="s">
        <v>88</v>
      </c>
      <c r="Y4" s="246" t="s">
        <v>12</v>
      </c>
      <c r="Z4" s="1009"/>
      <c r="AA4" s="246" t="s">
        <v>12</v>
      </c>
      <c r="AB4" s="246" t="s">
        <v>99</v>
      </c>
      <c r="AC4" s="247" t="s">
        <v>87</v>
      </c>
      <c r="AD4" s="247" t="s">
        <v>88</v>
      </c>
      <c r="AE4" s="246" t="s">
        <v>12</v>
      </c>
      <c r="AF4" s="1009"/>
      <c r="AG4" s="246" t="s">
        <v>12</v>
      </c>
      <c r="AH4" s="246" t="s">
        <v>99</v>
      </c>
      <c r="AI4" s="247" t="s">
        <v>87</v>
      </c>
      <c r="AJ4" s="247" t="s">
        <v>88</v>
      </c>
      <c r="AK4" s="246" t="s">
        <v>12</v>
      </c>
      <c r="AL4" s="1009"/>
      <c r="AM4" s="246" t="s">
        <v>12</v>
      </c>
      <c r="AN4" s="246" t="s">
        <v>99</v>
      </c>
      <c r="AO4" s="247" t="s">
        <v>87</v>
      </c>
      <c r="AP4" s="247" t="s">
        <v>88</v>
      </c>
      <c r="AQ4" s="246" t="s">
        <v>12</v>
      </c>
      <c r="AR4" s="1009"/>
      <c r="AS4" s="246" t="s">
        <v>12</v>
      </c>
      <c r="AT4" s="246" t="s">
        <v>99</v>
      </c>
      <c r="AU4" s="247" t="s">
        <v>87</v>
      </c>
      <c r="AV4" s="247" t="s">
        <v>88</v>
      </c>
      <c r="AW4" s="246" t="s">
        <v>12</v>
      </c>
      <c r="AX4" s="1009"/>
    </row>
    <row r="5" spans="1:50" s="242" customFormat="1" ht="11.25" customHeight="1">
      <c r="A5" s="450">
        <v>1</v>
      </c>
      <c r="B5" s="450">
        <v>2</v>
      </c>
      <c r="C5" s="450">
        <v>3</v>
      </c>
      <c r="D5" s="450">
        <v>4</v>
      </c>
      <c r="E5" s="450">
        <v>5</v>
      </c>
      <c r="F5" s="450">
        <v>6</v>
      </c>
      <c r="G5" s="450">
        <v>7</v>
      </c>
      <c r="H5" s="450">
        <v>8</v>
      </c>
      <c r="I5" s="450">
        <v>9</v>
      </c>
      <c r="J5" s="450">
        <v>10</v>
      </c>
      <c r="K5" s="450">
        <v>11</v>
      </c>
      <c r="L5" s="450">
        <v>12</v>
      </c>
      <c r="M5" s="450">
        <v>13</v>
      </c>
      <c r="N5" s="450">
        <v>14</v>
      </c>
      <c r="O5" s="450">
        <v>15</v>
      </c>
      <c r="P5" s="450">
        <v>16</v>
      </c>
      <c r="Q5" s="450">
        <v>17</v>
      </c>
      <c r="R5" s="450">
        <v>18</v>
      </c>
      <c r="S5" s="450">
        <v>19</v>
      </c>
      <c r="T5" s="450">
        <v>20</v>
      </c>
      <c r="U5" s="450">
        <v>21</v>
      </c>
      <c r="V5" s="450">
        <v>22</v>
      </c>
      <c r="W5" s="450">
        <v>23</v>
      </c>
      <c r="X5" s="450">
        <v>24</v>
      </c>
      <c r="Y5" s="450">
        <v>25</v>
      </c>
      <c r="Z5" s="450">
        <v>26</v>
      </c>
      <c r="AA5" s="450">
        <v>27</v>
      </c>
      <c r="AB5" s="450">
        <v>28</v>
      </c>
      <c r="AC5" s="450">
        <v>29</v>
      </c>
      <c r="AD5" s="450">
        <v>30</v>
      </c>
      <c r="AE5" s="450">
        <v>31</v>
      </c>
      <c r="AF5" s="450">
        <v>32</v>
      </c>
      <c r="AG5" s="450">
        <v>33</v>
      </c>
      <c r="AH5" s="450">
        <v>34</v>
      </c>
      <c r="AI5" s="450">
        <v>35</v>
      </c>
      <c r="AJ5" s="450">
        <v>36</v>
      </c>
      <c r="AK5" s="450">
        <v>37</v>
      </c>
      <c r="AL5" s="450">
        <v>38</v>
      </c>
      <c r="AM5" s="450">
        <v>39</v>
      </c>
      <c r="AN5" s="450">
        <v>40</v>
      </c>
      <c r="AO5" s="450">
        <v>41</v>
      </c>
      <c r="AP5" s="450">
        <v>42</v>
      </c>
      <c r="AQ5" s="450">
        <v>43</v>
      </c>
      <c r="AR5" s="450">
        <v>44</v>
      </c>
      <c r="AS5" s="450">
        <v>45</v>
      </c>
      <c r="AT5" s="450">
        <v>46</v>
      </c>
      <c r="AU5" s="450">
        <v>47</v>
      </c>
      <c r="AV5" s="450">
        <v>48</v>
      </c>
      <c r="AW5" s="450">
        <v>49</v>
      </c>
      <c r="AX5" s="450">
        <v>50</v>
      </c>
    </row>
    <row r="6" spans="1:50" s="211" customFormat="1" ht="23.25" customHeight="1">
      <c r="A6" s="245">
        <v>1</v>
      </c>
      <c r="B6" s="243" t="s">
        <v>1061</v>
      </c>
      <c r="C6" s="148"/>
      <c r="D6" s="148"/>
      <c r="E6" s="148">
        <v>0</v>
      </c>
      <c r="F6" s="148"/>
      <c r="G6" s="148"/>
      <c r="H6" s="148"/>
      <c r="I6" s="148"/>
      <c r="J6" s="148"/>
      <c r="K6" s="148">
        <v>0</v>
      </c>
      <c r="L6" s="148"/>
      <c r="M6" s="148"/>
      <c r="N6" s="805"/>
      <c r="O6" s="148"/>
      <c r="P6" s="148"/>
      <c r="Q6" s="148">
        <v>0</v>
      </c>
      <c r="R6" s="148"/>
      <c r="S6" s="148"/>
      <c r="T6" s="805"/>
      <c r="U6" s="148">
        <v>1</v>
      </c>
      <c r="V6" s="148">
        <v>1</v>
      </c>
      <c r="W6" s="148">
        <v>29</v>
      </c>
      <c r="X6" s="148">
        <v>96</v>
      </c>
      <c r="Y6" s="148">
        <v>125</v>
      </c>
      <c r="Z6" s="805">
        <v>125</v>
      </c>
      <c r="AA6" s="148"/>
      <c r="AB6" s="148"/>
      <c r="AC6" s="148">
        <v>0</v>
      </c>
      <c r="AD6" s="148"/>
      <c r="AE6" s="148"/>
      <c r="AF6" s="805"/>
      <c r="AG6" s="148"/>
      <c r="AH6" s="148"/>
      <c r="AI6" s="148">
        <v>0</v>
      </c>
      <c r="AJ6" s="148"/>
      <c r="AK6" s="148"/>
      <c r="AL6" s="148"/>
      <c r="AM6" s="148"/>
      <c r="AN6" s="148"/>
      <c r="AO6" s="148">
        <v>0</v>
      </c>
      <c r="AP6" s="148"/>
      <c r="AQ6" s="148"/>
      <c r="AR6" s="148"/>
      <c r="AS6" s="148">
        <v>1</v>
      </c>
      <c r="AT6" s="148">
        <v>1</v>
      </c>
      <c r="AU6" s="148">
        <v>29</v>
      </c>
      <c r="AV6" s="148">
        <v>96</v>
      </c>
      <c r="AW6" s="148">
        <v>125</v>
      </c>
      <c r="AX6" s="805">
        <v>125</v>
      </c>
    </row>
    <row r="7" spans="1:50" s="211" customFormat="1" ht="21.75" customHeight="1">
      <c r="A7" s="245">
        <v>2</v>
      </c>
      <c r="B7" s="244" t="s">
        <v>15</v>
      </c>
      <c r="C7" s="148">
        <v>152</v>
      </c>
      <c r="D7" s="148">
        <v>145</v>
      </c>
      <c r="E7" s="148">
        <v>54762</v>
      </c>
      <c r="F7" s="148">
        <v>16684</v>
      </c>
      <c r="G7" s="148">
        <v>71446</v>
      </c>
      <c r="H7" s="805">
        <v>470.03947368421052</v>
      </c>
      <c r="I7" s="148">
        <v>5</v>
      </c>
      <c r="J7" s="148">
        <v>4</v>
      </c>
      <c r="K7" s="148">
        <v>132</v>
      </c>
      <c r="L7" s="148">
        <v>62</v>
      </c>
      <c r="M7" s="148">
        <v>194</v>
      </c>
      <c r="N7" s="805">
        <v>38.799999999999997</v>
      </c>
      <c r="O7" s="148">
        <v>264</v>
      </c>
      <c r="P7" s="148">
        <v>258</v>
      </c>
      <c r="Q7" s="148">
        <v>2011</v>
      </c>
      <c r="R7" s="148">
        <v>24487</v>
      </c>
      <c r="S7" s="148">
        <v>26498</v>
      </c>
      <c r="T7" s="805">
        <v>100.37121212121212</v>
      </c>
      <c r="U7" s="148">
        <v>295</v>
      </c>
      <c r="V7" s="148">
        <v>221</v>
      </c>
      <c r="W7" s="148">
        <v>5744</v>
      </c>
      <c r="X7" s="148">
        <v>9505</v>
      </c>
      <c r="Y7" s="148">
        <v>15249</v>
      </c>
      <c r="Z7" s="805">
        <v>51.691525423728812</v>
      </c>
      <c r="AA7" s="148">
        <v>4</v>
      </c>
      <c r="AB7" s="148">
        <v>4</v>
      </c>
      <c r="AC7" s="148">
        <v>620</v>
      </c>
      <c r="AD7" s="148">
        <v>131</v>
      </c>
      <c r="AE7" s="148">
        <v>751</v>
      </c>
      <c r="AF7" s="805">
        <v>187.75</v>
      </c>
      <c r="AG7" s="148">
        <v>2</v>
      </c>
      <c r="AH7" s="148">
        <v>1</v>
      </c>
      <c r="AI7" s="148">
        <v>2</v>
      </c>
      <c r="AJ7" s="148">
        <v>3</v>
      </c>
      <c r="AK7" s="148">
        <v>5</v>
      </c>
      <c r="AL7" s="805">
        <v>2.5</v>
      </c>
      <c r="AM7" s="148"/>
      <c r="AN7" s="148"/>
      <c r="AO7" s="148">
        <v>0</v>
      </c>
      <c r="AP7" s="148"/>
      <c r="AQ7" s="148"/>
      <c r="AR7" s="148"/>
      <c r="AS7" s="148">
        <v>722</v>
      </c>
      <c r="AT7" s="148">
        <v>633</v>
      </c>
      <c r="AU7" s="148">
        <v>63271</v>
      </c>
      <c r="AV7" s="148">
        <v>50872</v>
      </c>
      <c r="AW7" s="148">
        <v>114143</v>
      </c>
      <c r="AX7" s="805">
        <v>158.09279778393352</v>
      </c>
    </row>
    <row r="8" spans="1:50" s="211" customFormat="1" ht="21.75" customHeight="1">
      <c r="A8" s="245">
        <v>3</v>
      </c>
      <c r="B8" s="244" t="s">
        <v>16</v>
      </c>
      <c r="C8" s="148">
        <v>8</v>
      </c>
      <c r="D8" s="148">
        <v>8</v>
      </c>
      <c r="E8" s="148">
        <v>549</v>
      </c>
      <c r="F8" s="148">
        <v>94</v>
      </c>
      <c r="G8" s="148">
        <v>643</v>
      </c>
      <c r="H8" s="805">
        <v>80.375</v>
      </c>
      <c r="I8" s="148"/>
      <c r="J8" s="148"/>
      <c r="K8" s="148">
        <v>0</v>
      </c>
      <c r="L8" s="148"/>
      <c r="M8" s="148"/>
      <c r="N8" s="805"/>
      <c r="O8" s="148">
        <v>5</v>
      </c>
      <c r="P8" s="148">
        <v>5</v>
      </c>
      <c r="Q8" s="148">
        <v>0</v>
      </c>
      <c r="R8" s="148">
        <v>187</v>
      </c>
      <c r="S8" s="148">
        <v>187</v>
      </c>
      <c r="T8" s="805">
        <v>37.4</v>
      </c>
      <c r="U8" s="148">
        <v>7</v>
      </c>
      <c r="V8" s="148">
        <v>7</v>
      </c>
      <c r="W8" s="148">
        <v>167</v>
      </c>
      <c r="X8" s="148">
        <v>274</v>
      </c>
      <c r="Y8" s="148">
        <v>441</v>
      </c>
      <c r="Z8" s="805">
        <v>63</v>
      </c>
      <c r="AA8" s="148"/>
      <c r="AB8" s="148"/>
      <c r="AC8" s="148">
        <v>0</v>
      </c>
      <c r="AD8" s="148"/>
      <c r="AE8" s="148"/>
      <c r="AF8" s="805"/>
      <c r="AG8" s="148"/>
      <c r="AH8" s="148"/>
      <c r="AI8" s="148">
        <v>0</v>
      </c>
      <c r="AJ8" s="148"/>
      <c r="AK8" s="148"/>
      <c r="AL8" s="148"/>
      <c r="AM8" s="148"/>
      <c r="AN8" s="148"/>
      <c r="AO8" s="148">
        <v>0</v>
      </c>
      <c r="AP8" s="148"/>
      <c r="AQ8" s="148"/>
      <c r="AR8" s="148"/>
      <c r="AS8" s="148">
        <v>20</v>
      </c>
      <c r="AT8" s="148">
        <v>20</v>
      </c>
      <c r="AU8" s="148">
        <v>716</v>
      </c>
      <c r="AV8" s="148">
        <v>555</v>
      </c>
      <c r="AW8" s="148">
        <v>1271</v>
      </c>
      <c r="AX8" s="805">
        <v>63.55</v>
      </c>
    </row>
    <row r="9" spans="1:50" s="211" customFormat="1" ht="21.75" customHeight="1">
      <c r="A9" s="245">
        <v>4</v>
      </c>
      <c r="B9" s="244" t="s">
        <v>17</v>
      </c>
      <c r="C9" s="148">
        <v>28</v>
      </c>
      <c r="D9" s="148">
        <v>28</v>
      </c>
      <c r="E9" s="148">
        <v>7801</v>
      </c>
      <c r="F9" s="148">
        <v>2130</v>
      </c>
      <c r="G9" s="148">
        <v>9931</v>
      </c>
      <c r="H9" s="805">
        <v>354.67857142857144</v>
      </c>
      <c r="I9" s="148">
        <v>1</v>
      </c>
      <c r="J9" s="148">
        <v>1</v>
      </c>
      <c r="K9" s="148">
        <v>83</v>
      </c>
      <c r="L9" s="148">
        <v>51</v>
      </c>
      <c r="M9" s="148">
        <v>134</v>
      </c>
      <c r="N9" s="805">
        <v>134</v>
      </c>
      <c r="O9" s="148">
        <v>28</v>
      </c>
      <c r="P9" s="148">
        <v>22</v>
      </c>
      <c r="Q9" s="148">
        <v>173</v>
      </c>
      <c r="R9" s="148">
        <v>2612</v>
      </c>
      <c r="S9" s="148">
        <v>2785</v>
      </c>
      <c r="T9" s="805">
        <v>99.464285714285708</v>
      </c>
      <c r="U9" s="148">
        <v>37</v>
      </c>
      <c r="V9" s="148">
        <v>37</v>
      </c>
      <c r="W9" s="148">
        <v>2576</v>
      </c>
      <c r="X9" s="148">
        <v>3234</v>
      </c>
      <c r="Y9" s="148">
        <v>5810</v>
      </c>
      <c r="Z9" s="805">
        <v>157.02702702702703</v>
      </c>
      <c r="AA9" s="148">
        <v>3</v>
      </c>
      <c r="AB9" s="148">
        <v>1</v>
      </c>
      <c r="AC9" s="148">
        <v>38</v>
      </c>
      <c r="AD9" s="148">
        <v>81</v>
      </c>
      <c r="AE9" s="148">
        <v>119</v>
      </c>
      <c r="AF9" s="805">
        <v>39.666666666666664</v>
      </c>
      <c r="AG9" s="148">
        <v>1</v>
      </c>
      <c r="AH9" s="148"/>
      <c r="AI9" s="148">
        <v>0</v>
      </c>
      <c r="AJ9" s="148"/>
      <c r="AK9" s="148"/>
      <c r="AL9" s="148">
        <v>0</v>
      </c>
      <c r="AM9" s="148">
        <v>1</v>
      </c>
      <c r="AN9" s="148"/>
      <c r="AO9" s="148">
        <v>0</v>
      </c>
      <c r="AP9" s="148"/>
      <c r="AQ9" s="148"/>
      <c r="AR9" s="148">
        <v>0</v>
      </c>
      <c r="AS9" s="148">
        <v>99</v>
      </c>
      <c r="AT9" s="148">
        <v>89</v>
      </c>
      <c r="AU9" s="148">
        <v>10671</v>
      </c>
      <c r="AV9" s="148">
        <v>8108</v>
      </c>
      <c r="AW9" s="148">
        <v>18779</v>
      </c>
      <c r="AX9" s="805">
        <v>189.68686868686868</v>
      </c>
    </row>
    <row r="10" spans="1:50" s="211" customFormat="1" ht="21.75" customHeight="1">
      <c r="A10" s="245">
        <v>5</v>
      </c>
      <c r="B10" s="244" t="s">
        <v>18</v>
      </c>
      <c r="C10" s="148">
        <v>64</v>
      </c>
      <c r="D10" s="148">
        <v>64</v>
      </c>
      <c r="E10" s="148">
        <v>32625</v>
      </c>
      <c r="F10" s="148">
        <v>6418</v>
      </c>
      <c r="G10" s="148">
        <v>39043</v>
      </c>
      <c r="H10" s="805">
        <v>610.046875</v>
      </c>
      <c r="I10" s="148">
        <v>4</v>
      </c>
      <c r="J10" s="148">
        <v>4</v>
      </c>
      <c r="K10" s="148">
        <v>658</v>
      </c>
      <c r="L10" s="148">
        <v>248</v>
      </c>
      <c r="M10" s="148">
        <v>906</v>
      </c>
      <c r="N10" s="805">
        <v>226.5</v>
      </c>
      <c r="O10" s="148">
        <v>175</v>
      </c>
      <c r="P10" s="148">
        <v>138</v>
      </c>
      <c r="Q10" s="148">
        <v>2607</v>
      </c>
      <c r="R10" s="148">
        <v>14652</v>
      </c>
      <c r="S10" s="148">
        <v>17259</v>
      </c>
      <c r="T10" s="805">
        <v>98.622857142857143</v>
      </c>
      <c r="U10" s="148">
        <v>63</v>
      </c>
      <c r="V10" s="148">
        <v>63</v>
      </c>
      <c r="W10" s="148">
        <v>7973</v>
      </c>
      <c r="X10" s="148">
        <v>8998</v>
      </c>
      <c r="Y10" s="148">
        <v>16971</v>
      </c>
      <c r="Z10" s="805">
        <v>269.38095238095241</v>
      </c>
      <c r="AA10" s="148">
        <v>1</v>
      </c>
      <c r="AB10" s="148">
        <v>1</v>
      </c>
      <c r="AC10" s="148">
        <v>104</v>
      </c>
      <c r="AD10" s="148">
        <v>8</v>
      </c>
      <c r="AE10" s="148">
        <v>112</v>
      </c>
      <c r="AF10" s="805">
        <v>112</v>
      </c>
      <c r="AG10" s="148">
        <v>6</v>
      </c>
      <c r="AH10" s="148">
        <v>6</v>
      </c>
      <c r="AI10" s="148">
        <v>878</v>
      </c>
      <c r="AJ10" s="148">
        <v>316</v>
      </c>
      <c r="AK10" s="148">
        <v>1194</v>
      </c>
      <c r="AL10" s="148">
        <v>199</v>
      </c>
      <c r="AM10" s="148">
        <v>2</v>
      </c>
      <c r="AN10" s="148">
        <v>2</v>
      </c>
      <c r="AO10" s="148">
        <v>101</v>
      </c>
      <c r="AP10" s="148">
        <v>15</v>
      </c>
      <c r="AQ10" s="148">
        <v>116</v>
      </c>
      <c r="AR10" s="148">
        <v>58</v>
      </c>
      <c r="AS10" s="148">
        <v>315</v>
      </c>
      <c r="AT10" s="148">
        <v>278</v>
      </c>
      <c r="AU10" s="148">
        <v>44946</v>
      </c>
      <c r="AV10" s="148">
        <v>30655</v>
      </c>
      <c r="AW10" s="148">
        <v>75601</v>
      </c>
      <c r="AX10" s="805">
        <v>240.00317460317461</v>
      </c>
    </row>
    <row r="11" spans="1:50" s="211" customFormat="1" ht="21.75" customHeight="1">
      <c r="A11" s="245">
        <v>6</v>
      </c>
      <c r="B11" s="244" t="s">
        <v>19</v>
      </c>
      <c r="C11" s="148">
        <v>3</v>
      </c>
      <c r="D11" s="148">
        <v>3</v>
      </c>
      <c r="E11" s="148">
        <v>1026</v>
      </c>
      <c r="F11" s="148">
        <v>644</v>
      </c>
      <c r="G11" s="148">
        <v>1670</v>
      </c>
      <c r="H11" s="805">
        <v>556.66666666666663</v>
      </c>
      <c r="I11" s="148">
        <v>1</v>
      </c>
      <c r="J11" s="148">
        <v>1</v>
      </c>
      <c r="K11" s="148">
        <v>31</v>
      </c>
      <c r="L11" s="148">
        <v>34</v>
      </c>
      <c r="M11" s="148">
        <v>65</v>
      </c>
      <c r="N11" s="805">
        <v>65</v>
      </c>
      <c r="O11" s="148"/>
      <c r="P11" s="148"/>
      <c r="Q11" s="148">
        <v>0</v>
      </c>
      <c r="R11" s="148"/>
      <c r="S11" s="148"/>
      <c r="T11" s="805"/>
      <c r="U11" s="148">
        <v>3</v>
      </c>
      <c r="V11" s="148">
        <v>3</v>
      </c>
      <c r="W11" s="148">
        <v>18</v>
      </c>
      <c r="X11" s="148">
        <v>423</v>
      </c>
      <c r="Y11" s="148">
        <v>441</v>
      </c>
      <c r="Z11" s="805">
        <v>147</v>
      </c>
      <c r="AA11" s="148">
        <v>1</v>
      </c>
      <c r="AB11" s="148">
        <v>1</v>
      </c>
      <c r="AC11" s="148">
        <v>443</v>
      </c>
      <c r="AD11" s="148">
        <v>59</v>
      </c>
      <c r="AE11" s="148">
        <v>502</v>
      </c>
      <c r="AF11" s="805">
        <v>502</v>
      </c>
      <c r="AG11" s="148"/>
      <c r="AH11" s="148"/>
      <c r="AI11" s="148">
        <v>0</v>
      </c>
      <c r="AJ11" s="148"/>
      <c r="AK11" s="148"/>
      <c r="AL11" s="148"/>
      <c r="AM11" s="148">
        <v>2</v>
      </c>
      <c r="AN11" s="148">
        <v>2</v>
      </c>
      <c r="AO11" s="148">
        <v>975</v>
      </c>
      <c r="AP11" s="148">
        <v>284</v>
      </c>
      <c r="AQ11" s="148">
        <v>1259</v>
      </c>
      <c r="AR11" s="805">
        <v>629.5</v>
      </c>
      <c r="AS11" s="148">
        <v>10</v>
      </c>
      <c r="AT11" s="148">
        <v>10</v>
      </c>
      <c r="AU11" s="148">
        <v>2493</v>
      </c>
      <c r="AV11" s="148">
        <v>1444</v>
      </c>
      <c r="AW11" s="148">
        <v>3937</v>
      </c>
      <c r="AX11" s="805">
        <v>393.7</v>
      </c>
    </row>
    <row r="12" spans="1:50" s="211" customFormat="1" ht="21.75" customHeight="1">
      <c r="A12" s="245">
        <v>7</v>
      </c>
      <c r="B12" s="244" t="s">
        <v>20</v>
      </c>
      <c r="C12" s="148">
        <v>3</v>
      </c>
      <c r="D12" s="148">
        <v>2</v>
      </c>
      <c r="E12" s="148">
        <v>119</v>
      </c>
      <c r="F12" s="148">
        <v>31</v>
      </c>
      <c r="G12" s="148">
        <v>150</v>
      </c>
      <c r="H12" s="805">
        <v>50</v>
      </c>
      <c r="I12" s="148">
        <v>3</v>
      </c>
      <c r="J12" s="148">
        <v>3</v>
      </c>
      <c r="K12" s="148">
        <v>212</v>
      </c>
      <c r="L12" s="148">
        <v>158</v>
      </c>
      <c r="M12" s="148">
        <v>370</v>
      </c>
      <c r="N12" s="805">
        <v>123.33333333333333</v>
      </c>
      <c r="O12" s="148">
        <v>40</v>
      </c>
      <c r="P12" s="148">
        <v>37</v>
      </c>
      <c r="Q12" s="148">
        <v>160</v>
      </c>
      <c r="R12" s="148">
        <v>2445</v>
      </c>
      <c r="S12" s="148">
        <v>2605</v>
      </c>
      <c r="T12" s="805">
        <v>65.125</v>
      </c>
      <c r="U12" s="148">
        <v>33</v>
      </c>
      <c r="V12" s="148">
        <v>27</v>
      </c>
      <c r="W12" s="148">
        <v>1531</v>
      </c>
      <c r="X12" s="148">
        <v>2384</v>
      </c>
      <c r="Y12" s="148">
        <v>3915</v>
      </c>
      <c r="Z12" s="805">
        <v>118.63636363636364</v>
      </c>
      <c r="AA12" s="148">
        <v>1</v>
      </c>
      <c r="AB12" s="148">
        <v>1</v>
      </c>
      <c r="AC12" s="148">
        <v>68</v>
      </c>
      <c r="AD12" s="148">
        <v>17</v>
      </c>
      <c r="AE12" s="148">
        <v>85</v>
      </c>
      <c r="AF12" s="805">
        <v>85</v>
      </c>
      <c r="AG12" s="148"/>
      <c r="AH12" s="148"/>
      <c r="AI12" s="148">
        <v>0</v>
      </c>
      <c r="AJ12" s="148"/>
      <c r="AK12" s="148"/>
      <c r="AL12" s="148"/>
      <c r="AM12" s="148"/>
      <c r="AN12" s="148"/>
      <c r="AO12" s="148">
        <v>0</v>
      </c>
      <c r="AP12" s="148"/>
      <c r="AQ12" s="148"/>
      <c r="AR12" s="148"/>
      <c r="AS12" s="148">
        <v>80</v>
      </c>
      <c r="AT12" s="148">
        <v>70</v>
      </c>
      <c r="AU12" s="148">
        <v>2090</v>
      </c>
      <c r="AV12" s="148">
        <v>5035</v>
      </c>
      <c r="AW12" s="148">
        <v>7125</v>
      </c>
      <c r="AX12" s="805">
        <v>89.0625</v>
      </c>
    </row>
    <row r="13" spans="1:50" s="211" customFormat="1" ht="21.75" customHeight="1">
      <c r="A13" s="245">
        <v>8</v>
      </c>
      <c r="B13" s="244" t="s">
        <v>23</v>
      </c>
      <c r="C13" s="148">
        <v>16</v>
      </c>
      <c r="D13" s="148">
        <v>15</v>
      </c>
      <c r="E13" s="148">
        <v>10588</v>
      </c>
      <c r="F13" s="148">
        <v>1260</v>
      </c>
      <c r="G13" s="148">
        <v>11848</v>
      </c>
      <c r="H13" s="805">
        <v>740.5</v>
      </c>
      <c r="I13" s="148">
        <v>20</v>
      </c>
      <c r="J13" s="148">
        <v>13</v>
      </c>
      <c r="K13" s="148">
        <v>2605</v>
      </c>
      <c r="L13" s="148">
        <v>1772</v>
      </c>
      <c r="M13" s="148">
        <v>4377</v>
      </c>
      <c r="N13" s="805">
        <v>218.85</v>
      </c>
      <c r="O13" s="148">
        <v>24</v>
      </c>
      <c r="P13" s="148">
        <v>23</v>
      </c>
      <c r="Q13" s="148">
        <v>52</v>
      </c>
      <c r="R13" s="148">
        <v>2094</v>
      </c>
      <c r="S13" s="148">
        <v>2146</v>
      </c>
      <c r="T13" s="805">
        <v>89.416666666666671</v>
      </c>
      <c r="U13" s="148">
        <v>41</v>
      </c>
      <c r="V13" s="148">
        <v>35</v>
      </c>
      <c r="W13" s="148">
        <v>864</v>
      </c>
      <c r="X13" s="148">
        <v>5205</v>
      </c>
      <c r="Y13" s="148">
        <v>6069</v>
      </c>
      <c r="Z13" s="805">
        <v>148.02439024390245</v>
      </c>
      <c r="AA13" s="148">
        <v>2</v>
      </c>
      <c r="AB13" s="148"/>
      <c r="AC13" s="148">
        <v>0</v>
      </c>
      <c r="AD13" s="148"/>
      <c r="AE13" s="148"/>
      <c r="AF13" s="805">
        <v>0</v>
      </c>
      <c r="AG13" s="148">
        <v>1</v>
      </c>
      <c r="AH13" s="148">
        <v>1</v>
      </c>
      <c r="AI13" s="148">
        <v>445</v>
      </c>
      <c r="AJ13" s="148">
        <v>324</v>
      </c>
      <c r="AK13" s="148">
        <v>769</v>
      </c>
      <c r="AL13" s="148">
        <v>769</v>
      </c>
      <c r="AM13" s="148">
        <v>3</v>
      </c>
      <c r="AN13" s="148"/>
      <c r="AO13" s="148">
        <v>0</v>
      </c>
      <c r="AP13" s="148"/>
      <c r="AQ13" s="148"/>
      <c r="AR13" s="148">
        <v>0</v>
      </c>
      <c r="AS13" s="148">
        <v>107</v>
      </c>
      <c r="AT13" s="148">
        <v>87</v>
      </c>
      <c r="AU13" s="148">
        <v>14554</v>
      </c>
      <c r="AV13" s="148">
        <v>10655</v>
      </c>
      <c r="AW13" s="148">
        <v>25209</v>
      </c>
      <c r="AX13" s="805">
        <v>235.5981308411215</v>
      </c>
    </row>
    <row r="14" spans="1:50" s="211" customFormat="1" ht="21.75" customHeight="1">
      <c r="A14" s="245">
        <v>9</v>
      </c>
      <c r="B14" s="244" t="s">
        <v>24</v>
      </c>
      <c r="C14" s="148">
        <v>8</v>
      </c>
      <c r="D14" s="148">
        <v>8</v>
      </c>
      <c r="E14" s="148">
        <v>6353</v>
      </c>
      <c r="F14" s="148">
        <v>258</v>
      </c>
      <c r="G14" s="148">
        <v>6611</v>
      </c>
      <c r="H14" s="805">
        <v>826.375</v>
      </c>
      <c r="I14" s="148">
        <v>1</v>
      </c>
      <c r="J14" s="148">
        <v>1</v>
      </c>
      <c r="K14" s="148">
        <v>598</v>
      </c>
      <c r="L14" s="148">
        <v>321</v>
      </c>
      <c r="M14" s="148">
        <v>919</v>
      </c>
      <c r="N14" s="805">
        <v>919</v>
      </c>
      <c r="O14" s="148">
        <v>1</v>
      </c>
      <c r="P14" s="148">
        <v>1</v>
      </c>
      <c r="Q14" s="148">
        <v>0</v>
      </c>
      <c r="R14" s="148">
        <v>79</v>
      </c>
      <c r="S14" s="148">
        <v>79</v>
      </c>
      <c r="T14" s="805">
        <v>79</v>
      </c>
      <c r="U14" s="148">
        <v>3</v>
      </c>
      <c r="V14" s="148">
        <v>3</v>
      </c>
      <c r="W14" s="148">
        <v>14</v>
      </c>
      <c r="X14" s="148">
        <v>333</v>
      </c>
      <c r="Y14" s="148">
        <v>347</v>
      </c>
      <c r="Z14" s="805">
        <v>115.66666666666667</v>
      </c>
      <c r="AA14" s="148">
        <v>1</v>
      </c>
      <c r="AB14" s="148">
        <v>1</v>
      </c>
      <c r="AC14" s="148">
        <v>30</v>
      </c>
      <c r="AD14" s="148">
        <v>10</v>
      </c>
      <c r="AE14" s="148">
        <v>40</v>
      </c>
      <c r="AF14" s="805">
        <v>40</v>
      </c>
      <c r="AG14" s="148">
        <v>2</v>
      </c>
      <c r="AH14" s="148">
        <v>2</v>
      </c>
      <c r="AI14" s="148">
        <v>25</v>
      </c>
      <c r="AJ14" s="148">
        <v>104</v>
      </c>
      <c r="AK14" s="148">
        <v>129</v>
      </c>
      <c r="AL14" s="805">
        <v>64.5</v>
      </c>
      <c r="AM14" s="148">
        <v>1</v>
      </c>
      <c r="AN14" s="148">
        <v>1</v>
      </c>
      <c r="AO14" s="148">
        <v>953</v>
      </c>
      <c r="AP14" s="148">
        <v>197</v>
      </c>
      <c r="AQ14" s="148">
        <v>1150</v>
      </c>
      <c r="AR14" s="148">
        <v>1150</v>
      </c>
      <c r="AS14" s="148">
        <v>17</v>
      </c>
      <c r="AT14" s="148">
        <v>17</v>
      </c>
      <c r="AU14" s="148">
        <v>7973</v>
      </c>
      <c r="AV14" s="148">
        <v>1302</v>
      </c>
      <c r="AW14" s="148">
        <v>9275</v>
      </c>
      <c r="AX14" s="805">
        <v>545.58823529411768</v>
      </c>
    </row>
    <row r="15" spans="1:50" s="211" customFormat="1" ht="21.75" customHeight="1">
      <c r="A15" s="245">
        <v>10</v>
      </c>
      <c r="B15" s="244" t="s">
        <v>25</v>
      </c>
      <c r="C15" s="148">
        <v>10</v>
      </c>
      <c r="D15" s="148">
        <v>10</v>
      </c>
      <c r="E15" s="148">
        <v>1215</v>
      </c>
      <c r="F15" s="148">
        <v>162</v>
      </c>
      <c r="G15" s="148">
        <v>1377</v>
      </c>
      <c r="H15" s="805">
        <v>137.69999999999999</v>
      </c>
      <c r="I15" s="148">
        <v>9</v>
      </c>
      <c r="J15" s="148">
        <v>9</v>
      </c>
      <c r="K15" s="148">
        <v>1505</v>
      </c>
      <c r="L15" s="148">
        <v>911</v>
      </c>
      <c r="M15" s="148">
        <v>2416</v>
      </c>
      <c r="N15" s="805">
        <v>268.44444444444446</v>
      </c>
      <c r="O15" s="148">
        <v>193</v>
      </c>
      <c r="P15" s="148">
        <v>193</v>
      </c>
      <c r="Q15" s="148">
        <v>3601</v>
      </c>
      <c r="R15" s="148">
        <v>17655</v>
      </c>
      <c r="S15" s="148">
        <v>21256</v>
      </c>
      <c r="T15" s="805">
        <v>110.13471502590673</v>
      </c>
      <c r="U15" s="148">
        <v>108</v>
      </c>
      <c r="V15" s="148">
        <v>108</v>
      </c>
      <c r="W15" s="148">
        <v>1701</v>
      </c>
      <c r="X15" s="148">
        <v>4681</v>
      </c>
      <c r="Y15" s="148">
        <v>6382</v>
      </c>
      <c r="Z15" s="805">
        <v>59.092592592592595</v>
      </c>
      <c r="AA15" s="148">
        <v>6</v>
      </c>
      <c r="AB15" s="148">
        <v>6</v>
      </c>
      <c r="AC15" s="148">
        <v>341</v>
      </c>
      <c r="AD15" s="148">
        <v>566</v>
      </c>
      <c r="AE15" s="148">
        <v>907</v>
      </c>
      <c r="AF15" s="805">
        <v>151.16666666666666</v>
      </c>
      <c r="AG15" s="148"/>
      <c r="AH15" s="148"/>
      <c r="AI15" s="148">
        <v>0</v>
      </c>
      <c r="AJ15" s="148"/>
      <c r="AK15" s="148"/>
      <c r="AL15" s="148"/>
      <c r="AM15" s="148">
        <v>1</v>
      </c>
      <c r="AN15" s="148">
        <v>1</v>
      </c>
      <c r="AO15" s="148">
        <v>585</v>
      </c>
      <c r="AP15" s="148">
        <v>208</v>
      </c>
      <c r="AQ15" s="148">
        <v>793</v>
      </c>
      <c r="AR15" s="148">
        <v>793</v>
      </c>
      <c r="AS15" s="148">
        <v>327</v>
      </c>
      <c r="AT15" s="148">
        <v>327</v>
      </c>
      <c r="AU15" s="148">
        <v>8948</v>
      </c>
      <c r="AV15" s="148">
        <v>24183</v>
      </c>
      <c r="AW15" s="148">
        <v>33131</v>
      </c>
      <c r="AX15" s="805">
        <v>101.31804281345566</v>
      </c>
    </row>
    <row r="16" spans="1:50" s="211" customFormat="1" ht="21.75" customHeight="1">
      <c r="A16" s="245">
        <v>11</v>
      </c>
      <c r="B16" s="244" t="s">
        <v>26</v>
      </c>
      <c r="C16" s="148">
        <v>123</v>
      </c>
      <c r="D16" s="148">
        <v>123</v>
      </c>
      <c r="E16" s="148">
        <v>43602</v>
      </c>
      <c r="F16" s="148">
        <v>8913</v>
      </c>
      <c r="G16" s="148">
        <v>52515</v>
      </c>
      <c r="H16" s="805">
        <v>426.95121951219511</v>
      </c>
      <c r="I16" s="148">
        <v>5</v>
      </c>
      <c r="J16" s="148">
        <v>5</v>
      </c>
      <c r="K16" s="148">
        <v>440</v>
      </c>
      <c r="L16" s="148">
        <v>263</v>
      </c>
      <c r="M16" s="148">
        <v>703</v>
      </c>
      <c r="N16" s="805">
        <v>140.6</v>
      </c>
      <c r="O16" s="148">
        <v>64</v>
      </c>
      <c r="P16" s="148">
        <v>63</v>
      </c>
      <c r="Q16" s="148">
        <v>1530</v>
      </c>
      <c r="R16" s="148">
        <v>5617</v>
      </c>
      <c r="S16" s="148">
        <v>7147</v>
      </c>
      <c r="T16" s="805">
        <v>111.671875</v>
      </c>
      <c r="U16" s="148">
        <v>57</v>
      </c>
      <c r="V16" s="148">
        <v>57</v>
      </c>
      <c r="W16" s="148">
        <v>2144</v>
      </c>
      <c r="X16" s="148">
        <v>2464</v>
      </c>
      <c r="Y16" s="148">
        <v>4608</v>
      </c>
      <c r="Z16" s="805">
        <v>80.84210526315789</v>
      </c>
      <c r="AA16" s="148">
        <v>2</v>
      </c>
      <c r="AB16" s="148">
        <v>2</v>
      </c>
      <c r="AC16" s="148">
        <v>37</v>
      </c>
      <c r="AD16" s="148">
        <v>10</v>
      </c>
      <c r="AE16" s="148">
        <v>47</v>
      </c>
      <c r="AF16" s="805">
        <v>23.5</v>
      </c>
      <c r="AG16" s="148"/>
      <c r="AH16" s="148"/>
      <c r="AI16" s="148">
        <v>0</v>
      </c>
      <c r="AJ16" s="148"/>
      <c r="AK16" s="148"/>
      <c r="AL16" s="148"/>
      <c r="AM16" s="148">
        <v>7</v>
      </c>
      <c r="AN16" s="148">
        <v>7</v>
      </c>
      <c r="AO16" s="148">
        <v>1117</v>
      </c>
      <c r="AP16" s="148">
        <v>191</v>
      </c>
      <c r="AQ16" s="148">
        <v>1308</v>
      </c>
      <c r="AR16" s="805">
        <v>186.85714285714286</v>
      </c>
      <c r="AS16" s="148">
        <v>258</v>
      </c>
      <c r="AT16" s="148">
        <v>257</v>
      </c>
      <c r="AU16" s="148">
        <v>48870</v>
      </c>
      <c r="AV16" s="148">
        <v>17458</v>
      </c>
      <c r="AW16" s="148">
        <v>66328</v>
      </c>
      <c r="AX16" s="805">
        <v>257.08527131782944</v>
      </c>
    </row>
    <row r="17" spans="1:50" s="211" customFormat="1" ht="21.75" customHeight="1">
      <c r="A17" s="245">
        <v>12</v>
      </c>
      <c r="B17" s="244" t="s">
        <v>27</v>
      </c>
      <c r="C17" s="148">
        <v>38</v>
      </c>
      <c r="D17" s="148">
        <v>34</v>
      </c>
      <c r="E17" s="148">
        <v>5524</v>
      </c>
      <c r="F17" s="148">
        <v>1796</v>
      </c>
      <c r="G17" s="148">
        <v>7320</v>
      </c>
      <c r="H17" s="805">
        <v>192.63157894736841</v>
      </c>
      <c r="I17" s="148"/>
      <c r="J17" s="148"/>
      <c r="K17" s="148">
        <v>0</v>
      </c>
      <c r="L17" s="148"/>
      <c r="M17" s="148"/>
      <c r="N17" s="805"/>
      <c r="O17" s="148">
        <v>25</v>
      </c>
      <c r="P17" s="148">
        <v>25</v>
      </c>
      <c r="Q17" s="148">
        <v>0</v>
      </c>
      <c r="R17" s="148">
        <v>2484</v>
      </c>
      <c r="S17" s="148">
        <v>2484</v>
      </c>
      <c r="T17" s="805">
        <v>99.36</v>
      </c>
      <c r="U17" s="148">
        <v>19</v>
      </c>
      <c r="V17" s="148">
        <v>19</v>
      </c>
      <c r="W17" s="148">
        <v>834</v>
      </c>
      <c r="X17" s="148">
        <v>1237</v>
      </c>
      <c r="Y17" s="148">
        <v>2071</v>
      </c>
      <c r="Z17" s="805">
        <v>109</v>
      </c>
      <c r="AA17" s="148">
        <v>1</v>
      </c>
      <c r="AB17" s="148">
        <v>1</v>
      </c>
      <c r="AC17" s="148">
        <v>161</v>
      </c>
      <c r="AD17" s="148">
        <v>1</v>
      </c>
      <c r="AE17" s="148">
        <v>162</v>
      </c>
      <c r="AF17" s="805">
        <v>162</v>
      </c>
      <c r="AG17" s="148">
        <v>1</v>
      </c>
      <c r="AH17" s="148">
        <v>1</v>
      </c>
      <c r="AI17" s="148">
        <v>45</v>
      </c>
      <c r="AJ17" s="148">
        <v>6</v>
      </c>
      <c r="AK17" s="148">
        <v>51</v>
      </c>
      <c r="AL17" s="148">
        <v>51</v>
      </c>
      <c r="AM17" s="148">
        <v>2</v>
      </c>
      <c r="AN17" s="148">
        <v>2</v>
      </c>
      <c r="AO17" s="148">
        <v>970</v>
      </c>
      <c r="AP17" s="148">
        <v>160</v>
      </c>
      <c r="AQ17" s="148">
        <v>1130</v>
      </c>
      <c r="AR17" s="148">
        <v>565</v>
      </c>
      <c r="AS17" s="148">
        <v>86</v>
      </c>
      <c r="AT17" s="148">
        <v>82</v>
      </c>
      <c r="AU17" s="148">
        <v>7534</v>
      </c>
      <c r="AV17" s="148">
        <v>5684</v>
      </c>
      <c r="AW17" s="148">
        <v>13218</v>
      </c>
      <c r="AX17" s="805">
        <v>153.69767441860466</v>
      </c>
    </row>
    <row r="18" spans="1:50" s="211" customFormat="1">
      <c r="A18" s="245">
        <v>13</v>
      </c>
      <c r="B18" s="243" t="s">
        <v>57</v>
      </c>
      <c r="C18" s="148">
        <v>66</v>
      </c>
      <c r="D18" s="148">
        <v>58</v>
      </c>
      <c r="E18" s="148">
        <v>6330</v>
      </c>
      <c r="F18" s="148">
        <v>3896</v>
      </c>
      <c r="G18" s="148">
        <v>10226</v>
      </c>
      <c r="H18" s="805">
        <v>154.93939393939394</v>
      </c>
      <c r="I18" s="148"/>
      <c r="J18" s="148"/>
      <c r="K18" s="148">
        <v>0</v>
      </c>
      <c r="L18" s="148"/>
      <c r="M18" s="148"/>
      <c r="N18" s="805"/>
      <c r="O18" s="148">
        <v>31</v>
      </c>
      <c r="P18" s="148">
        <v>29</v>
      </c>
      <c r="Q18" s="148">
        <v>1087</v>
      </c>
      <c r="R18" s="148">
        <v>2791</v>
      </c>
      <c r="S18" s="148">
        <v>3878</v>
      </c>
      <c r="T18" s="805">
        <v>125.09677419354838</v>
      </c>
      <c r="U18" s="148">
        <v>19</v>
      </c>
      <c r="V18" s="148">
        <v>19</v>
      </c>
      <c r="W18" s="148">
        <v>56</v>
      </c>
      <c r="X18" s="148">
        <v>42</v>
      </c>
      <c r="Y18" s="148">
        <v>98</v>
      </c>
      <c r="Z18" s="805">
        <v>5.1578947368421053</v>
      </c>
      <c r="AA18" s="148">
        <v>1</v>
      </c>
      <c r="AB18" s="148">
        <v>1</v>
      </c>
      <c r="AC18" s="148">
        <v>71</v>
      </c>
      <c r="AD18" s="148">
        <v>143</v>
      </c>
      <c r="AE18" s="148">
        <v>214</v>
      </c>
      <c r="AF18" s="805">
        <v>214</v>
      </c>
      <c r="AG18" s="148">
        <v>45</v>
      </c>
      <c r="AH18" s="148">
        <v>36</v>
      </c>
      <c r="AI18" s="148">
        <v>1404</v>
      </c>
      <c r="AJ18" s="148">
        <v>3882</v>
      </c>
      <c r="AK18" s="148">
        <v>5286</v>
      </c>
      <c r="AL18" s="805">
        <v>117.46666666666667</v>
      </c>
      <c r="AM18" s="148">
        <v>2</v>
      </c>
      <c r="AN18" s="148">
        <v>2</v>
      </c>
      <c r="AO18" s="148">
        <v>184</v>
      </c>
      <c r="AP18" s="148">
        <v>29</v>
      </c>
      <c r="AQ18" s="148">
        <v>213</v>
      </c>
      <c r="AR18" s="148">
        <v>106.5</v>
      </c>
      <c r="AS18" s="148">
        <v>164</v>
      </c>
      <c r="AT18" s="148">
        <v>145</v>
      </c>
      <c r="AU18" s="148">
        <v>9132</v>
      </c>
      <c r="AV18" s="148">
        <v>10783</v>
      </c>
      <c r="AW18" s="148">
        <v>19915</v>
      </c>
      <c r="AX18" s="805">
        <v>121.4329268292683</v>
      </c>
    </row>
    <row r="19" spans="1:50" s="211" customFormat="1" ht="21.75" customHeight="1">
      <c r="A19" s="245">
        <v>14</v>
      </c>
      <c r="B19" s="244" t="s">
        <v>29</v>
      </c>
      <c r="C19" s="148">
        <v>40</v>
      </c>
      <c r="D19" s="148">
        <v>38</v>
      </c>
      <c r="E19" s="148">
        <v>13973</v>
      </c>
      <c r="F19" s="148">
        <v>2888</v>
      </c>
      <c r="G19" s="148">
        <v>16861</v>
      </c>
      <c r="H19" s="805">
        <v>421.52499999999998</v>
      </c>
      <c r="I19" s="148">
        <v>6</v>
      </c>
      <c r="J19" s="148">
        <v>5</v>
      </c>
      <c r="K19" s="148">
        <v>844</v>
      </c>
      <c r="L19" s="148">
        <v>695</v>
      </c>
      <c r="M19" s="148">
        <v>1539</v>
      </c>
      <c r="N19" s="805">
        <v>256.5</v>
      </c>
      <c r="O19" s="148">
        <v>48</v>
      </c>
      <c r="P19" s="148">
        <v>41</v>
      </c>
      <c r="Q19" s="148">
        <v>1619</v>
      </c>
      <c r="R19" s="148">
        <v>5329</v>
      </c>
      <c r="S19" s="148">
        <v>6948</v>
      </c>
      <c r="T19" s="805">
        <v>144.75</v>
      </c>
      <c r="U19" s="148">
        <v>5</v>
      </c>
      <c r="V19" s="148">
        <v>5</v>
      </c>
      <c r="W19" s="148">
        <v>247</v>
      </c>
      <c r="X19" s="148">
        <v>645</v>
      </c>
      <c r="Y19" s="148">
        <v>892</v>
      </c>
      <c r="Z19" s="805">
        <v>178.4</v>
      </c>
      <c r="AA19" s="148">
        <v>2</v>
      </c>
      <c r="AB19" s="148">
        <v>2</v>
      </c>
      <c r="AC19" s="148">
        <v>269</v>
      </c>
      <c r="AD19" s="148">
        <v>34</v>
      </c>
      <c r="AE19" s="148">
        <v>303</v>
      </c>
      <c r="AF19" s="805">
        <v>151.5</v>
      </c>
      <c r="AG19" s="148">
        <v>12</v>
      </c>
      <c r="AH19" s="148">
        <v>10</v>
      </c>
      <c r="AI19" s="148">
        <v>1231</v>
      </c>
      <c r="AJ19" s="148">
        <v>431</v>
      </c>
      <c r="AK19" s="148">
        <v>1662</v>
      </c>
      <c r="AL19" s="805">
        <v>138.5</v>
      </c>
      <c r="AM19" s="148">
        <v>2</v>
      </c>
      <c r="AN19" s="148">
        <v>1</v>
      </c>
      <c r="AO19" s="148">
        <v>104</v>
      </c>
      <c r="AP19" s="148">
        <v>29</v>
      </c>
      <c r="AQ19" s="148">
        <v>133</v>
      </c>
      <c r="AR19" s="148">
        <v>66.5</v>
      </c>
      <c r="AS19" s="148">
        <v>115</v>
      </c>
      <c r="AT19" s="148">
        <v>102</v>
      </c>
      <c r="AU19" s="148">
        <v>18287</v>
      </c>
      <c r="AV19" s="148">
        <v>10051</v>
      </c>
      <c r="AW19" s="148">
        <v>28338</v>
      </c>
      <c r="AX19" s="805">
        <v>246.41739130434783</v>
      </c>
    </row>
    <row r="20" spans="1:50" s="211" customFormat="1" ht="21.75" customHeight="1">
      <c r="A20" s="245">
        <v>15</v>
      </c>
      <c r="B20" s="244" t="s">
        <v>30</v>
      </c>
      <c r="C20" s="148">
        <v>436</v>
      </c>
      <c r="D20" s="148">
        <v>375</v>
      </c>
      <c r="E20" s="148">
        <v>92595</v>
      </c>
      <c r="F20" s="148">
        <v>26734</v>
      </c>
      <c r="G20" s="148">
        <v>119329</v>
      </c>
      <c r="H20" s="805">
        <v>273.69036697247708</v>
      </c>
      <c r="I20" s="148">
        <v>28</v>
      </c>
      <c r="J20" s="148">
        <v>20</v>
      </c>
      <c r="K20" s="148">
        <v>2816</v>
      </c>
      <c r="L20" s="148">
        <v>2026</v>
      </c>
      <c r="M20" s="148">
        <v>4842</v>
      </c>
      <c r="N20" s="805">
        <v>172.92857142857142</v>
      </c>
      <c r="O20" s="148">
        <v>628</v>
      </c>
      <c r="P20" s="148">
        <v>549</v>
      </c>
      <c r="Q20" s="148">
        <v>26478</v>
      </c>
      <c r="R20" s="148">
        <v>49529</v>
      </c>
      <c r="S20" s="148">
        <v>76007</v>
      </c>
      <c r="T20" s="805">
        <v>121.03025477707007</v>
      </c>
      <c r="U20" s="148">
        <v>223</v>
      </c>
      <c r="V20" s="148">
        <v>187</v>
      </c>
      <c r="W20" s="148">
        <v>939</v>
      </c>
      <c r="X20" s="148">
        <v>3265</v>
      </c>
      <c r="Y20" s="148">
        <v>4204</v>
      </c>
      <c r="Z20" s="805">
        <v>18.852017937219731</v>
      </c>
      <c r="AA20" s="148">
        <v>3</v>
      </c>
      <c r="AB20" s="148">
        <v>3</v>
      </c>
      <c r="AC20" s="148">
        <v>601</v>
      </c>
      <c r="AD20" s="148">
        <v>154</v>
      </c>
      <c r="AE20" s="148">
        <v>755</v>
      </c>
      <c r="AF20" s="805">
        <v>251.66666666666666</v>
      </c>
      <c r="AG20" s="148">
        <v>395</v>
      </c>
      <c r="AH20" s="148">
        <v>143</v>
      </c>
      <c r="AI20" s="148">
        <v>6046</v>
      </c>
      <c r="AJ20" s="148">
        <v>7783</v>
      </c>
      <c r="AK20" s="148">
        <v>13829</v>
      </c>
      <c r="AL20" s="805">
        <v>35.010126582278481</v>
      </c>
      <c r="AM20" s="148">
        <v>2</v>
      </c>
      <c r="AN20" s="148">
        <v>1</v>
      </c>
      <c r="AO20" s="148">
        <v>0</v>
      </c>
      <c r="AP20" s="148">
        <v>0</v>
      </c>
      <c r="AQ20" s="148">
        <v>0</v>
      </c>
      <c r="AR20" s="148">
        <v>0</v>
      </c>
      <c r="AS20" s="148">
        <v>1715</v>
      </c>
      <c r="AT20" s="148">
        <v>1278</v>
      </c>
      <c r="AU20" s="148">
        <v>129475</v>
      </c>
      <c r="AV20" s="148">
        <v>89491</v>
      </c>
      <c r="AW20" s="148">
        <v>218966</v>
      </c>
      <c r="AX20" s="805">
        <v>127.67696793002915</v>
      </c>
    </row>
    <row r="21" spans="1:50" s="211" customFormat="1" ht="21.75" customHeight="1">
      <c r="A21" s="245">
        <v>16</v>
      </c>
      <c r="B21" s="244" t="s">
        <v>31</v>
      </c>
      <c r="C21" s="148">
        <v>91</v>
      </c>
      <c r="D21" s="148">
        <v>89</v>
      </c>
      <c r="E21" s="148">
        <v>45571</v>
      </c>
      <c r="F21" s="148">
        <v>12032</v>
      </c>
      <c r="G21" s="148">
        <v>57603</v>
      </c>
      <c r="H21" s="805">
        <v>633</v>
      </c>
      <c r="I21" s="148">
        <v>7</v>
      </c>
      <c r="J21" s="148">
        <v>4</v>
      </c>
      <c r="K21" s="148">
        <v>381</v>
      </c>
      <c r="L21" s="148">
        <v>352</v>
      </c>
      <c r="M21" s="148">
        <v>733</v>
      </c>
      <c r="N21" s="805">
        <v>104.71428571428571</v>
      </c>
      <c r="O21" s="148">
        <v>135</v>
      </c>
      <c r="P21" s="148">
        <v>127</v>
      </c>
      <c r="Q21" s="148">
        <v>507</v>
      </c>
      <c r="R21" s="148">
        <v>8522</v>
      </c>
      <c r="S21" s="148">
        <v>9029</v>
      </c>
      <c r="T21" s="805">
        <v>66.881481481481487</v>
      </c>
      <c r="U21" s="148">
        <v>153</v>
      </c>
      <c r="V21" s="148">
        <v>148</v>
      </c>
      <c r="W21" s="148">
        <v>2482</v>
      </c>
      <c r="X21" s="148">
        <v>9654</v>
      </c>
      <c r="Y21" s="148">
        <v>12136</v>
      </c>
      <c r="Z21" s="805">
        <v>79.320261437908499</v>
      </c>
      <c r="AA21" s="148">
        <v>14</v>
      </c>
      <c r="AB21" s="148">
        <v>10</v>
      </c>
      <c r="AC21" s="148">
        <v>534</v>
      </c>
      <c r="AD21" s="148">
        <v>822</v>
      </c>
      <c r="AE21" s="148">
        <v>1356</v>
      </c>
      <c r="AF21" s="805">
        <v>96.857142857142861</v>
      </c>
      <c r="AG21" s="148">
        <v>6</v>
      </c>
      <c r="AH21" s="148">
        <v>5</v>
      </c>
      <c r="AI21" s="148">
        <v>36</v>
      </c>
      <c r="AJ21" s="148">
        <v>125</v>
      </c>
      <c r="AK21" s="148">
        <v>161</v>
      </c>
      <c r="AL21" s="805">
        <v>26.833333333333332</v>
      </c>
      <c r="AM21" s="148">
        <v>2</v>
      </c>
      <c r="AN21" s="148">
        <v>1</v>
      </c>
      <c r="AO21" s="148">
        <v>189</v>
      </c>
      <c r="AP21" s="148">
        <v>11</v>
      </c>
      <c r="AQ21" s="148">
        <v>200</v>
      </c>
      <c r="AR21" s="148">
        <v>100</v>
      </c>
      <c r="AS21" s="148">
        <v>408</v>
      </c>
      <c r="AT21" s="148">
        <v>384</v>
      </c>
      <c r="AU21" s="148">
        <v>49700</v>
      </c>
      <c r="AV21" s="148">
        <v>31518</v>
      </c>
      <c r="AW21" s="148">
        <v>81218</v>
      </c>
      <c r="AX21" s="805">
        <v>199.06372549019608</v>
      </c>
    </row>
    <row r="22" spans="1:50" s="211" customFormat="1" ht="21.75" customHeight="1">
      <c r="A22" s="245">
        <v>17</v>
      </c>
      <c r="B22" s="89" t="s">
        <v>154</v>
      </c>
      <c r="C22" s="148">
        <v>4</v>
      </c>
      <c r="D22" s="148">
        <v>3</v>
      </c>
      <c r="E22" s="148">
        <v>173</v>
      </c>
      <c r="F22" s="148">
        <v>165</v>
      </c>
      <c r="G22" s="148">
        <v>338</v>
      </c>
      <c r="H22" s="805">
        <v>84.5</v>
      </c>
      <c r="I22" s="148"/>
      <c r="J22" s="148"/>
      <c r="K22" s="148">
        <v>0</v>
      </c>
      <c r="L22" s="148"/>
      <c r="M22" s="148"/>
      <c r="N22" s="805"/>
      <c r="O22" s="148"/>
      <c r="P22" s="148"/>
      <c r="Q22" s="148">
        <v>0</v>
      </c>
      <c r="R22" s="148"/>
      <c r="S22" s="148"/>
      <c r="T22" s="805"/>
      <c r="U22" s="148">
        <v>2</v>
      </c>
      <c r="V22" s="148">
        <v>2</v>
      </c>
      <c r="W22" s="148">
        <v>23</v>
      </c>
      <c r="X22" s="148">
        <v>144</v>
      </c>
      <c r="Y22" s="148">
        <v>167</v>
      </c>
      <c r="Z22" s="805">
        <v>83.5</v>
      </c>
      <c r="AA22" s="148"/>
      <c r="AB22" s="148"/>
      <c r="AC22" s="148">
        <v>0</v>
      </c>
      <c r="AD22" s="148"/>
      <c r="AE22" s="148"/>
      <c r="AF22" s="805"/>
      <c r="AG22" s="148">
        <v>1</v>
      </c>
      <c r="AH22" s="148">
        <v>1</v>
      </c>
      <c r="AI22" s="148">
        <v>18</v>
      </c>
      <c r="AJ22" s="148">
        <v>136</v>
      </c>
      <c r="AK22" s="148">
        <v>154</v>
      </c>
      <c r="AL22" s="805">
        <v>154</v>
      </c>
      <c r="AM22" s="148"/>
      <c r="AN22" s="148"/>
      <c r="AO22" s="148">
        <v>0</v>
      </c>
      <c r="AP22" s="148"/>
      <c r="AQ22" s="148"/>
      <c r="AR22" s="148"/>
      <c r="AS22" s="148">
        <v>7</v>
      </c>
      <c r="AT22" s="148">
        <v>6</v>
      </c>
      <c r="AU22" s="148">
        <v>214</v>
      </c>
      <c r="AV22" s="148">
        <v>445</v>
      </c>
      <c r="AW22" s="148">
        <v>659</v>
      </c>
      <c r="AX22" s="805">
        <v>94.142857142857139</v>
      </c>
    </row>
    <row r="23" spans="1:50" s="211" customFormat="1" ht="21.75" customHeight="1">
      <c r="A23" s="245">
        <v>18</v>
      </c>
      <c r="B23" s="244" t="s">
        <v>32</v>
      </c>
      <c r="C23" s="148"/>
      <c r="D23" s="148"/>
      <c r="E23" s="148"/>
      <c r="F23" s="148"/>
      <c r="G23" s="148"/>
      <c r="H23" s="805"/>
      <c r="I23" s="148"/>
      <c r="J23" s="148"/>
      <c r="K23" s="148"/>
      <c r="L23" s="148"/>
      <c r="M23" s="148"/>
      <c r="N23" s="805"/>
      <c r="O23" s="148"/>
      <c r="P23" s="148"/>
      <c r="Q23" s="148"/>
      <c r="R23" s="148"/>
      <c r="S23" s="148"/>
      <c r="T23" s="805"/>
      <c r="U23" s="148"/>
      <c r="V23" s="148"/>
      <c r="W23" s="148"/>
      <c r="X23" s="148"/>
      <c r="Y23" s="148"/>
      <c r="Z23" s="805"/>
      <c r="AA23" s="148"/>
      <c r="AB23" s="148"/>
      <c r="AC23" s="148"/>
      <c r="AD23" s="148"/>
      <c r="AE23" s="148"/>
      <c r="AF23" s="805"/>
      <c r="AG23" s="148"/>
      <c r="AH23" s="148"/>
      <c r="AI23" s="148"/>
      <c r="AJ23" s="148"/>
      <c r="AK23" s="148"/>
      <c r="AL23" s="805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805"/>
    </row>
    <row r="24" spans="1:50" s="211" customFormat="1" ht="21.75" customHeight="1">
      <c r="A24" s="245">
        <v>19</v>
      </c>
      <c r="B24" s="244" t="s">
        <v>33</v>
      </c>
      <c r="C24" s="148">
        <v>64</v>
      </c>
      <c r="D24" s="148">
        <v>61</v>
      </c>
      <c r="E24" s="148">
        <v>20663</v>
      </c>
      <c r="F24" s="148">
        <v>5219</v>
      </c>
      <c r="G24" s="148">
        <v>25882</v>
      </c>
      <c r="H24" s="805">
        <v>404.40625</v>
      </c>
      <c r="I24" s="148">
        <v>76</v>
      </c>
      <c r="J24" s="148">
        <v>32</v>
      </c>
      <c r="K24" s="148">
        <v>3957</v>
      </c>
      <c r="L24" s="148">
        <v>2495</v>
      </c>
      <c r="M24" s="148">
        <v>6452</v>
      </c>
      <c r="N24" s="805">
        <v>84.89473684210526</v>
      </c>
      <c r="O24" s="148">
        <v>126</v>
      </c>
      <c r="P24" s="148">
        <v>87</v>
      </c>
      <c r="Q24" s="148">
        <v>5058</v>
      </c>
      <c r="R24" s="148">
        <v>10413</v>
      </c>
      <c r="S24" s="148">
        <v>15471</v>
      </c>
      <c r="T24" s="805">
        <v>122.78571428571429</v>
      </c>
      <c r="U24" s="148">
        <v>123</v>
      </c>
      <c r="V24" s="148">
        <v>101</v>
      </c>
      <c r="W24" s="148">
        <v>5758</v>
      </c>
      <c r="X24" s="148">
        <v>7278</v>
      </c>
      <c r="Y24" s="148">
        <v>13036</v>
      </c>
      <c r="Z24" s="805">
        <v>105.98373983739837</v>
      </c>
      <c r="AA24" s="148">
        <v>2</v>
      </c>
      <c r="AB24" s="148">
        <v>2</v>
      </c>
      <c r="AC24" s="148">
        <v>516</v>
      </c>
      <c r="AD24" s="148">
        <v>305</v>
      </c>
      <c r="AE24" s="148">
        <v>821</v>
      </c>
      <c r="AF24" s="805">
        <v>410.5</v>
      </c>
      <c r="AG24" s="148">
        <v>5</v>
      </c>
      <c r="AH24" s="148">
        <v>3</v>
      </c>
      <c r="AI24" s="148">
        <v>202</v>
      </c>
      <c r="AJ24" s="148">
        <v>97</v>
      </c>
      <c r="AK24" s="148">
        <v>299</v>
      </c>
      <c r="AL24" s="805">
        <v>59.8</v>
      </c>
      <c r="AM24" s="148">
        <v>5</v>
      </c>
      <c r="AN24" s="148">
        <v>4</v>
      </c>
      <c r="AO24" s="148">
        <v>716</v>
      </c>
      <c r="AP24" s="148">
        <v>260</v>
      </c>
      <c r="AQ24" s="148">
        <v>976</v>
      </c>
      <c r="AR24" s="805">
        <v>195.2</v>
      </c>
      <c r="AS24" s="148">
        <v>401</v>
      </c>
      <c r="AT24" s="148">
        <v>290</v>
      </c>
      <c r="AU24" s="148">
        <v>36870</v>
      </c>
      <c r="AV24" s="148">
        <v>26067</v>
      </c>
      <c r="AW24" s="148">
        <v>62937</v>
      </c>
      <c r="AX24" s="805">
        <v>156.95012468827929</v>
      </c>
    </row>
    <row r="25" spans="1:50" s="211" customFormat="1" ht="21.75" customHeight="1">
      <c r="A25" s="245">
        <v>20</v>
      </c>
      <c r="B25" s="244" t="s">
        <v>34</v>
      </c>
      <c r="C25" s="148">
        <v>737</v>
      </c>
      <c r="D25" s="148">
        <v>706</v>
      </c>
      <c r="E25" s="148">
        <v>184253</v>
      </c>
      <c r="F25" s="148">
        <v>74319</v>
      </c>
      <c r="G25" s="148">
        <v>258572</v>
      </c>
      <c r="H25" s="805">
        <v>350.84396200814109</v>
      </c>
      <c r="I25" s="148">
        <v>60</v>
      </c>
      <c r="J25" s="148">
        <v>56</v>
      </c>
      <c r="K25" s="148">
        <v>7423</v>
      </c>
      <c r="L25" s="148">
        <v>5073</v>
      </c>
      <c r="M25" s="148">
        <v>12496</v>
      </c>
      <c r="N25" s="805">
        <v>208.26666666666668</v>
      </c>
      <c r="O25" s="148">
        <v>676</v>
      </c>
      <c r="P25" s="148">
        <v>649</v>
      </c>
      <c r="Q25" s="148">
        <v>4952</v>
      </c>
      <c r="R25" s="148">
        <v>40534</v>
      </c>
      <c r="S25" s="148">
        <v>45486</v>
      </c>
      <c r="T25" s="805">
        <v>67.286982248520715</v>
      </c>
      <c r="U25" s="148">
        <v>748</v>
      </c>
      <c r="V25" s="148">
        <v>661</v>
      </c>
      <c r="W25" s="148">
        <v>7578</v>
      </c>
      <c r="X25" s="148">
        <v>20664</v>
      </c>
      <c r="Y25" s="148">
        <v>28242</v>
      </c>
      <c r="Z25" s="805">
        <v>37.756684491978611</v>
      </c>
      <c r="AA25" s="148">
        <v>14</v>
      </c>
      <c r="AB25" s="148">
        <v>14</v>
      </c>
      <c r="AC25" s="148">
        <v>3790</v>
      </c>
      <c r="AD25" s="148">
        <v>781</v>
      </c>
      <c r="AE25" s="148">
        <v>4571</v>
      </c>
      <c r="AF25" s="805">
        <v>326.5</v>
      </c>
      <c r="AG25" s="148"/>
      <c r="AH25" s="148"/>
      <c r="AI25" s="148">
        <v>0</v>
      </c>
      <c r="AJ25" s="148"/>
      <c r="AK25" s="148"/>
      <c r="AL25" s="148"/>
      <c r="AM25" s="148">
        <v>2</v>
      </c>
      <c r="AN25" s="148">
        <v>1</v>
      </c>
      <c r="AO25" s="148">
        <v>926</v>
      </c>
      <c r="AP25" s="148">
        <v>337</v>
      </c>
      <c r="AQ25" s="148">
        <v>1263</v>
      </c>
      <c r="AR25" s="805">
        <v>631.5</v>
      </c>
      <c r="AS25" s="148">
        <v>2237</v>
      </c>
      <c r="AT25" s="148">
        <v>2087</v>
      </c>
      <c r="AU25" s="148">
        <v>208922</v>
      </c>
      <c r="AV25" s="148">
        <v>141708</v>
      </c>
      <c r="AW25" s="148">
        <v>350630</v>
      </c>
      <c r="AX25" s="805">
        <v>156.74117121144388</v>
      </c>
    </row>
    <row r="26" spans="1:50" s="211" customFormat="1" ht="21.75" customHeight="1">
      <c r="A26" s="245">
        <v>21</v>
      </c>
      <c r="B26" s="244" t="s">
        <v>35</v>
      </c>
      <c r="C26" s="148">
        <v>5</v>
      </c>
      <c r="D26" s="148">
        <v>5</v>
      </c>
      <c r="E26" s="148">
        <v>907</v>
      </c>
      <c r="F26" s="148">
        <v>612</v>
      </c>
      <c r="G26" s="148">
        <v>1519</v>
      </c>
      <c r="H26" s="805">
        <v>303.8</v>
      </c>
      <c r="I26" s="148"/>
      <c r="J26" s="148"/>
      <c r="K26" s="148">
        <v>0</v>
      </c>
      <c r="L26" s="148"/>
      <c r="M26" s="148"/>
      <c r="N26" s="805"/>
      <c r="O26" s="148">
        <v>16</v>
      </c>
      <c r="P26" s="148">
        <v>14</v>
      </c>
      <c r="Q26" s="148">
        <v>115</v>
      </c>
      <c r="R26" s="148">
        <v>1059</v>
      </c>
      <c r="S26" s="148">
        <v>1174</v>
      </c>
      <c r="T26" s="805">
        <v>73.375</v>
      </c>
      <c r="U26" s="148">
        <v>11</v>
      </c>
      <c r="V26" s="148">
        <v>11</v>
      </c>
      <c r="W26" s="148">
        <v>387</v>
      </c>
      <c r="X26" s="148">
        <v>898</v>
      </c>
      <c r="Y26" s="148">
        <v>1285</v>
      </c>
      <c r="Z26" s="805">
        <v>116.81818181818181</v>
      </c>
      <c r="AA26" s="148">
        <v>1</v>
      </c>
      <c r="AB26" s="148">
        <v>1</v>
      </c>
      <c r="AC26" s="148">
        <v>138</v>
      </c>
      <c r="AD26" s="148">
        <v>45</v>
      </c>
      <c r="AE26" s="148">
        <v>183</v>
      </c>
      <c r="AF26" s="805">
        <v>183</v>
      </c>
      <c r="AG26" s="148">
        <v>3</v>
      </c>
      <c r="AH26" s="148">
        <v>3</v>
      </c>
      <c r="AI26" s="148">
        <v>60</v>
      </c>
      <c r="AJ26" s="148">
        <v>137</v>
      </c>
      <c r="AK26" s="148">
        <v>197</v>
      </c>
      <c r="AL26" s="805">
        <v>65.666666666666671</v>
      </c>
      <c r="AM26" s="148"/>
      <c r="AN26" s="148"/>
      <c r="AO26" s="148">
        <v>0</v>
      </c>
      <c r="AP26" s="148"/>
      <c r="AQ26" s="148"/>
      <c r="AR26" s="148"/>
      <c r="AS26" s="148">
        <v>36</v>
      </c>
      <c r="AT26" s="148">
        <v>34</v>
      </c>
      <c r="AU26" s="148">
        <v>1607</v>
      </c>
      <c r="AV26" s="148">
        <v>2751</v>
      </c>
      <c r="AW26" s="148">
        <v>4358</v>
      </c>
      <c r="AX26" s="805">
        <v>121.05555555555556</v>
      </c>
    </row>
    <row r="27" spans="1:50" s="211" customFormat="1" ht="21.75" customHeight="1">
      <c r="A27" s="245">
        <v>22</v>
      </c>
      <c r="B27" s="244" t="s">
        <v>36</v>
      </c>
      <c r="C27" s="148">
        <v>3</v>
      </c>
      <c r="D27" s="148">
        <v>3</v>
      </c>
      <c r="E27" s="148">
        <v>497</v>
      </c>
      <c r="F27" s="148">
        <v>334</v>
      </c>
      <c r="G27" s="148">
        <v>831</v>
      </c>
      <c r="H27" s="805">
        <v>277</v>
      </c>
      <c r="I27" s="148"/>
      <c r="J27" s="148"/>
      <c r="K27" s="148">
        <v>0</v>
      </c>
      <c r="L27" s="148"/>
      <c r="M27" s="148"/>
      <c r="N27" s="805"/>
      <c r="O27" s="148">
        <v>9</v>
      </c>
      <c r="P27" s="148">
        <v>9</v>
      </c>
      <c r="Q27" s="148">
        <v>57</v>
      </c>
      <c r="R27" s="148">
        <v>887</v>
      </c>
      <c r="S27" s="148">
        <v>944</v>
      </c>
      <c r="T27" s="805">
        <v>104.88888888888889</v>
      </c>
      <c r="U27" s="148">
        <v>9</v>
      </c>
      <c r="V27" s="148">
        <v>8</v>
      </c>
      <c r="W27" s="148">
        <v>307</v>
      </c>
      <c r="X27" s="148">
        <v>781</v>
      </c>
      <c r="Y27" s="148">
        <v>1088</v>
      </c>
      <c r="Z27" s="805">
        <v>120.88888888888889</v>
      </c>
      <c r="AA27" s="148">
        <v>1</v>
      </c>
      <c r="AB27" s="148">
        <v>1</v>
      </c>
      <c r="AC27" s="148">
        <v>232</v>
      </c>
      <c r="AD27" s="148">
        <v>339</v>
      </c>
      <c r="AE27" s="148">
        <v>571</v>
      </c>
      <c r="AF27" s="805">
        <v>571</v>
      </c>
      <c r="AG27" s="148"/>
      <c r="AH27" s="148"/>
      <c r="AI27" s="148">
        <v>0</v>
      </c>
      <c r="AJ27" s="148"/>
      <c r="AK27" s="148"/>
      <c r="AL27" s="805"/>
      <c r="AM27" s="148">
        <v>1</v>
      </c>
      <c r="AN27" s="148">
        <v>1</v>
      </c>
      <c r="AO27" s="148">
        <v>214</v>
      </c>
      <c r="AP27" s="148">
        <v>112</v>
      </c>
      <c r="AQ27" s="148">
        <v>326</v>
      </c>
      <c r="AR27" s="148">
        <v>326</v>
      </c>
      <c r="AS27" s="148">
        <v>23</v>
      </c>
      <c r="AT27" s="148">
        <v>22</v>
      </c>
      <c r="AU27" s="148">
        <v>1307</v>
      </c>
      <c r="AV27" s="148">
        <v>2453</v>
      </c>
      <c r="AW27" s="148">
        <v>3760</v>
      </c>
      <c r="AX27" s="805">
        <v>163.47826086956522</v>
      </c>
    </row>
    <row r="28" spans="1:50" s="211" customFormat="1" ht="21.75" customHeight="1">
      <c r="A28" s="245">
        <v>23</v>
      </c>
      <c r="B28" s="244" t="s">
        <v>37</v>
      </c>
      <c r="C28" s="148">
        <v>28</v>
      </c>
      <c r="D28" s="148">
        <v>27</v>
      </c>
      <c r="E28" s="148">
        <v>2397</v>
      </c>
      <c r="F28" s="148">
        <v>1714</v>
      </c>
      <c r="G28" s="148">
        <v>4111</v>
      </c>
      <c r="H28" s="805">
        <v>146.82142857142858</v>
      </c>
      <c r="I28" s="148"/>
      <c r="J28" s="148"/>
      <c r="K28" s="148">
        <v>0</v>
      </c>
      <c r="L28" s="148"/>
      <c r="M28" s="148"/>
      <c r="N28" s="805"/>
      <c r="O28" s="148">
        <v>8</v>
      </c>
      <c r="P28" s="148">
        <v>7</v>
      </c>
      <c r="Q28" s="148">
        <v>80</v>
      </c>
      <c r="R28" s="148">
        <v>440</v>
      </c>
      <c r="S28" s="148">
        <v>520</v>
      </c>
      <c r="T28" s="805">
        <v>65</v>
      </c>
      <c r="U28" s="148">
        <v>9</v>
      </c>
      <c r="V28" s="148">
        <v>9</v>
      </c>
      <c r="W28" s="148">
        <v>502</v>
      </c>
      <c r="X28" s="148">
        <v>878</v>
      </c>
      <c r="Y28" s="148">
        <v>1380</v>
      </c>
      <c r="Z28" s="805">
        <v>153.33333333333334</v>
      </c>
      <c r="AA28" s="148"/>
      <c r="AB28" s="148"/>
      <c r="AC28" s="148">
        <v>0</v>
      </c>
      <c r="AD28" s="148"/>
      <c r="AE28" s="148"/>
      <c r="AF28" s="805"/>
      <c r="AG28" s="148">
        <v>7</v>
      </c>
      <c r="AH28" s="148">
        <v>7</v>
      </c>
      <c r="AI28" s="148">
        <v>217</v>
      </c>
      <c r="AJ28" s="148">
        <v>633</v>
      </c>
      <c r="AK28" s="148">
        <v>850</v>
      </c>
      <c r="AL28" s="805">
        <v>121.42857142857143</v>
      </c>
      <c r="AM28" s="148"/>
      <c r="AN28" s="148"/>
      <c r="AO28" s="148">
        <v>0</v>
      </c>
      <c r="AP28" s="148"/>
      <c r="AQ28" s="148"/>
      <c r="AR28" s="148"/>
      <c r="AS28" s="148">
        <v>52</v>
      </c>
      <c r="AT28" s="148">
        <v>50</v>
      </c>
      <c r="AU28" s="148">
        <v>3196</v>
      </c>
      <c r="AV28" s="148">
        <v>3665</v>
      </c>
      <c r="AW28" s="148">
        <v>6861</v>
      </c>
      <c r="AX28" s="805">
        <v>131.94230769230768</v>
      </c>
    </row>
    <row r="29" spans="1:50" s="211" customFormat="1" ht="21.75" customHeight="1">
      <c r="A29" s="245">
        <v>24</v>
      </c>
      <c r="B29" s="244" t="s">
        <v>38</v>
      </c>
      <c r="C29" s="148">
        <v>10</v>
      </c>
      <c r="D29" s="148">
        <v>9</v>
      </c>
      <c r="E29" s="148">
        <v>531</v>
      </c>
      <c r="F29" s="148">
        <v>230</v>
      </c>
      <c r="G29" s="148">
        <v>761</v>
      </c>
      <c r="H29" s="805">
        <v>76.099999999999994</v>
      </c>
      <c r="I29" s="148"/>
      <c r="J29" s="148"/>
      <c r="K29" s="148">
        <v>0</v>
      </c>
      <c r="L29" s="148"/>
      <c r="M29" s="148"/>
      <c r="N29" s="805"/>
      <c r="O29" s="148">
        <v>3</v>
      </c>
      <c r="P29" s="148">
        <v>3</v>
      </c>
      <c r="Q29" s="148">
        <v>14</v>
      </c>
      <c r="R29" s="148">
        <v>306</v>
      </c>
      <c r="S29" s="148">
        <v>320</v>
      </c>
      <c r="T29" s="805">
        <v>106.66666666666667</v>
      </c>
      <c r="U29" s="148">
        <v>9</v>
      </c>
      <c r="V29" s="148">
        <v>9</v>
      </c>
      <c r="W29" s="148">
        <v>208</v>
      </c>
      <c r="X29" s="148">
        <v>563</v>
      </c>
      <c r="Y29" s="148">
        <v>771</v>
      </c>
      <c r="Z29" s="805">
        <v>85.666666666666671</v>
      </c>
      <c r="AA29" s="148"/>
      <c r="AB29" s="148"/>
      <c r="AC29" s="148">
        <v>0</v>
      </c>
      <c r="AD29" s="148"/>
      <c r="AE29" s="148"/>
      <c r="AF29" s="805"/>
      <c r="AG29" s="148">
        <v>1</v>
      </c>
      <c r="AH29" s="148">
        <v>1</v>
      </c>
      <c r="AI29" s="148">
        <v>12</v>
      </c>
      <c r="AJ29" s="148">
        <v>30</v>
      </c>
      <c r="AK29" s="148">
        <v>42</v>
      </c>
      <c r="AL29" s="805">
        <v>42</v>
      </c>
      <c r="AM29" s="148"/>
      <c r="AN29" s="148"/>
      <c r="AO29" s="148">
        <v>0</v>
      </c>
      <c r="AP29" s="148"/>
      <c r="AQ29" s="148"/>
      <c r="AR29" s="148"/>
      <c r="AS29" s="148">
        <v>23</v>
      </c>
      <c r="AT29" s="148">
        <v>22</v>
      </c>
      <c r="AU29" s="148">
        <v>765</v>
      </c>
      <c r="AV29" s="148">
        <v>1129</v>
      </c>
      <c r="AW29" s="148">
        <v>1894</v>
      </c>
      <c r="AX29" s="805">
        <v>82.347826086956516</v>
      </c>
    </row>
    <row r="30" spans="1:50" s="211" customFormat="1" ht="21.75" customHeight="1">
      <c r="A30" s="245">
        <v>25</v>
      </c>
      <c r="B30" s="244" t="s">
        <v>39</v>
      </c>
      <c r="C30" s="148">
        <v>137</v>
      </c>
      <c r="D30" s="148">
        <v>137</v>
      </c>
      <c r="E30" s="148">
        <v>84546</v>
      </c>
      <c r="F30" s="148">
        <v>17498</v>
      </c>
      <c r="G30" s="148">
        <v>102044</v>
      </c>
      <c r="H30" s="805">
        <v>744.8467153284671</v>
      </c>
      <c r="I30" s="148">
        <v>12</v>
      </c>
      <c r="J30" s="148">
        <v>12</v>
      </c>
      <c r="K30" s="148">
        <v>1573</v>
      </c>
      <c r="L30" s="148">
        <v>1014</v>
      </c>
      <c r="M30" s="148">
        <v>2587</v>
      </c>
      <c r="N30" s="805">
        <v>215.58333333333334</v>
      </c>
      <c r="O30" s="148">
        <v>215</v>
      </c>
      <c r="P30" s="148">
        <v>215</v>
      </c>
      <c r="Q30" s="148">
        <v>3739</v>
      </c>
      <c r="R30" s="148">
        <v>20092</v>
      </c>
      <c r="S30" s="148">
        <v>23831</v>
      </c>
      <c r="T30" s="805">
        <v>110.84186046511628</v>
      </c>
      <c r="U30" s="148">
        <v>68</v>
      </c>
      <c r="V30" s="148">
        <v>68</v>
      </c>
      <c r="W30" s="148">
        <v>2614</v>
      </c>
      <c r="X30" s="148">
        <v>4117</v>
      </c>
      <c r="Y30" s="148">
        <v>6731</v>
      </c>
      <c r="Z30" s="805">
        <v>98.985294117647058</v>
      </c>
      <c r="AA30" s="148">
        <v>4</v>
      </c>
      <c r="AB30" s="148">
        <v>4</v>
      </c>
      <c r="AC30" s="148">
        <v>174</v>
      </c>
      <c r="AD30" s="148">
        <v>40</v>
      </c>
      <c r="AE30" s="148">
        <v>214</v>
      </c>
      <c r="AF30" s="805">
        <v>53.5</v>
      </c>
      <c r="AG30" s="148">
        <v>84</v>
      </c>
      <c r="AH30" s="148">
        <v>84</v>
      </c>
      <c r="AI30" s="148">
        <v>3418</v>
      </c>
      <c r="AJ30" s="148">
        <v>2162</v>
      </c>
      <c r="AK30" s="148">
        <v>5580</v>
      </c>
      <c r="AL30" s="805">
        <v>66.428571428571431</v>
      </c>
      <c r="AM30" s="148">
        <v>1</v>
      </c>
      <c r="AN30" s="148">
        <v>1</v>
      </c>
      <c r="AO30" s="148">
        <v>588</v>
      </c>
      <c r="AP30" s="148">
        <v>219</v>
      </c>
      <c r="AQ30" s="148">
        <v>807</v>
      </c>
      <c r="AR30" s="148">
        <v>807</v>
      </c>
      <c r="AS30" s="148">
        <v>521</v>
      </c>
      <c r="AT30" s="148">
        <v>521</v>
      </c>
      <c r="AU30" s="148">
        <v>96652</v>
      </c>
      <c r="AV30" s="148">
        <v>45142</v>
      </c>
      <c r="AW30" s="148">
        <v>141794</v>
      </c>
      <c r="AX30" s="805">
        <v>272.15738963531669</v>
      </c>
    </row>
    <row r="31" spans="1:50" s="211" customFormat="1" ht="21.75" customHeight="1">
      <c r="A31" s="245">
        <v>26</v>
      </c>
      <c r="B31" s="244" t="s">
        <v>40</v>
      </c>
      <c r="C31" s="148">
        <v>9</v>
      </c>
      <c r="D31" s="148">
        <v>8</v>
      </c>
      <c r="E31" s="148">
        <v>2351</v>
      </c>
      <c r="F31" s="148">
        <v>548</v>
      </c>
      <c r="G31" s="148">
        <v>2899</v>
      </c>
      <c r="H31" s="805">
        <v>322.11111111111109</v>
      </c>
      <c r="I31" s="148"/>
      <c r="J31" s="148"/>
      <c r="K31" s="148">
        <v>0</v>
      </c>
      <c r="L31" s="148"/>
      <c r="M31" s="148"/>
      <c r="N31" s="805"/>
      <c r="O31" s="148">
        <v>1</v>
      </c>
      <c r="P31" s="148">
        <v>1</v>
      </c>
      <c r="Q31" s="148">
        <v>0</v>
      </c>
      <c r="R31" s="148">
        <v>141</v>
      </c>
      <c r="S31" s="148">
        <v>141</v>
      </c>
      <c r="T31" s="805">
        <v>141</v>
      </c>
      <c r="U31" s="148">
        <v>2</v>
      </c>
      <c r="V31" s="148">
        <v>2</v>
      </c>
      <c r="W31" s="148">
        <v>10</v>
      </c>
      <c r="X31" s="148">
        <v>166</v>
      </c>
      <c r="Y31" s="148">
        <v>176</v>
      </c>
      <c r="Z31" s="805">
        <v>88</v>
      </c>
      <c r="AA31" s="148"/>
      <c r="AB31" s="148"/>
      <c r="AC31" s="148">
        <v>0</v>
      </c>
      <c r="AD31" s="148"/>
      <c r="AE31" s="148"/>
      <c r="AF31" s="805"/>
      <c r="AG31" s="148"/>
      <c r="AH31" s="148"/>
      <c r="AI31" s="148">
        <v>0</v>
      </c>
      <c r="AJ31" s="148"/>
      <c r="AK31" s="148"/>
      <c r="AL31" s="805"/>
      <c r="AM31" s="148"/>
      <c r="AN31" s="148"/>
      <c r="AO31" s="148">
        <v>0</v>
      </c>
      <c r="AP31" s="148"/>
      <c r="AQ31" s="148"/>
      <c r="AR31" s="148"/>
      <c r="AS31" s="148">
        <v>12</v>
      </c>
      <c r="AT31" s="148">
        <v>11</v>
      </c>
      <c r="AU31" s="148">
        <v>2361</v>
      </c>
      <c r="AV31" s="148">
        <v>855</v>
      </c>
      <c r="AW31" s="148">
        <v>3216</v>
      </c>
      <c r="AX31" s="805">
        <v>268</v>
      </c>
    </row>
    <row r="32" spans="1:50" s="211" customFormat="1" ht="21.75" customHeight="1">
      <c r="A32" s="245">
        <v>27</v>
      </c>
      <c r="B32" s="244" t="s">
        <v>41</v>
      </c>
      <c r="C32" s="148">
        <v>172</v>
      </c>
      <c r="D32" s="148">
        <v>168</v>
      </c>
      <c r="E32" s="148">
        <v>27963</v>
      </c>
      <c r="F32" s="148">
        <v>6236</v>
      </c>
      <c r="G32" s="148">
        <v>34199</v>
      </c>
      <c r="H32" s="805">
        <v>198.83139534883722</v>
      </c>
      <c r="I32" s="148"/>
      <c r="J32" s="148"/>
      <c r="K32" s="148">
        <v>0</v>
      </c>
      <c r="L32" s="148"/>
      <c r="M32" s="148"/>
      <c r="N32" s="805"/>
      <c r="O32" s="148">
        <v>129</v>
      </c>
      <c r="P32" s="148">
        <v>126</v>
      </c>
      <c r="Q32" s="148">
        <v>3973</v>
      </c>
      <c r="R32" s="148">
        <v>13218</v>
      </c>
      <c r="S32" s="148">
        <v>17191</v>
      </c>
      <c r="T32" s="805">
        <v>133.26356589147287</v>
      </c>
      <c r="U32" s="148">
        <v>56</v>
      </c>
      <c r="V32" s="148">
        <v>55</v>
      </c>
      <c r="W32" s="148">
        <v>1577</v>
      </c>
      <c r="X32" s="148">
        <v>3538</v>
      </c>
      <c r="Y32" s="148">
        <v>5115</v>
      </c>
      <c r="Z32" s="805">
        <v>91.339285714285708</v>
      </c>
      <c r="AA32" s="148">
        <v>3</v>
      </c>
      <c r="AB32" s="148">
        <v>2</v>
      </c>
      <c r="AC32" s="148">
        <v>239</v>
      </c>
      <c r="AD32" s="148">
        <v>15</v>
      </c>
      <c r="AE32" s="148">
        <v>254</v>
      </c>
      <c r="AF32" s="805">
        <v>84.666666666666671</v>
      </c>
      <c r="AG32" s="148">
        <v>5</v>
      </c>
      <c r="AH32" s="148">
        <v>4</v>
      </c>
      <c r="AI32" s="148">
        <v>186</v>
      </c>
      <c r="AJ32" s="148">
        <v>107</v>
      </c>
      <c r="AK32" s="148">
        <v>293</v>
      </c>
      <c r="AL32" s="805">
        <v>58.6</v>
      </c>
      <c r="AM32" s="148">
        <v>2</v>
      </c>
      <c r="AN32" s="148">
        <v>2</v>
      </c>
      <c r="AO32" s="148">
        <v>434</v>
      </c>
      <c r="AP32" s="148">
        <v>73</v>
      </c>
      <c r="AQ32" s="148">
        <v>507</v>
      </c>
      <c r="AR32" s="805">
        <v>253.5</v>
      </c>
      <c r="AS32" s="148">
        <v>367</v>
      </c>
      <c r="AT32" s="148">
        <v>357</v>
      </c>
      <c r="AU32" s="148">
        <v>34372</v>
      </c>
      <c r="AV32" s="148">
        <v>23187</v>
      </c>
      <c r="AW32" s="148">
        <v>57559</v>
      </c>
      <c r="AX32" s="805">
        <v>156.8365122615804</v>
      </c>
    </row>
    <row r="33" spans="1:51" s="211" customFormat="1" ht="21.75" customHeight="1">
      <c r="A33" s="245">
        <v>28</v>
      </c>
      <c r="B33" s="244" t="s">
        <v>42</v>
      </c>
      <c r="C33" s="148">
        <v>142</v>
      </c>
      <c r="D33" s="148">
        <v>130</v>
      </c>
      <c r="E33" s="148">
        <v>24092</v>
      </c>
      <c r="F33" s="148">
        <v>4094</v>
      </c>
      <c r="G33" s="148">
        <v>28186</v>
      </c>
      <c r="H33" s="805">
        <v>198.49295774647888</v>
      </c>
      <c r="I33" s="148">
        <v>5</v>
      </c>
      <c r="J33" s="148">
        <v>4</v>
      </c>
      <c r="K33" s="148">
        <v>477</v>
      </c>
      <c r="L33" s="148">
        <v>388</v>
      </c>
      <c r="M33" s="148">
        <v>865</v>
      </c>
      <c r="N33" s="805">
        <v>173</v>
      </c>
      <c r="O33" s="148">
        <v>69</v>
      </c>
      <c r="P33" s="148">
        <v>54</v>
      </c>
      <c r="Q33" s="148">
        <v>4045</v>
      </c>
      <c r="R33" s="148">
        <v>2685</v>
      </c>
      <c r="S33" s="148">
        <v>6730</v>
      </c>
      <c r="T33" s="805">
        <v>97.536231884057969</v>
      </c>
      <c r="U33" s="148">
        <v>277</v>
      </c>
      <c r="V33" s="148">
        <v>229</v>
      </c>
      <c r="W33" s="148">
        <v>12476</v>
      </c>
      <c r="X33" s="148">
        <v>13782</v>
      </c>
      <c r="Y33" s="148">
        <v>26258</v>
      </c>
      <c r="Z33" s="805">
        <v>94.794223826714799</v>
      </c>
      <c r="AA33" s="148">
        <v>1</v>
      </c>
      <c r="AB33" s="148">
        <v>1</v>
      </c>
      <c r="AC33" s="148">
        <v>327</v>
      </c>
      <c r="AD33" s="148">
        <v>56</v>
      </c>
      <c r="AE33" s="148">
        <v>383</v>
      </c>
      <c r="AF33" s="805">
        <v>383</v>
      </c>
      <c r="AG33" s="148">
        <v>73</v>
      </c>
      <c r="AH33" s="148">
        <v>45</v>
      </c>
      <c r="AI33" s="148">
        <v>3042</v>
      </c>
      <c r="AJ33" s="148">
        <v>1128</v>
      </c>
      <c r="AK33" s="148">
        <v>4170</v>
      </c>
      <c r="AL33" s="805">
        <v>57.123287671232873</v>
      </c>
      <c r="AM33" s="148">
        <v>7</v>
      </c>
      <c r="AN33" s="148">
        <v>2</v>
      </c>
      <c r="AO33" s="148">
        <v>509</v>
      </c>
      <c r="AP33" s="148">
        <v>149</v>
      </c>
      <c r="AQ33" s="148">
        <v>658</v>
      </c>
      <c r="AR33" s="805">
        <v>94</v>
      </c>
      <c r="AS33" s="148">
        <v>574</v>
      </c>
      <c r="AT33" s="148">
        <v>465</v>
      </c>
      <c r="AU33" s="148">
        <v>44968</v>
      </c>
      <c r="AV33" s="148">
        <v>22282</v>
      </c>
      <c r="AW33" s="148">
        <v>67250</v>
      </c>
      <c r="AX33" s="805">
        <v>117.1602787456446</v>
      </c>
    </row>
    <row r="34" spans="1:51" s="211" customFormat="1" ht="21.75" customHeight="1">
      <c r="A34" s="245">
        <v>29</v>
      </c>
      <c r="B34" s="244" t="s">
        <v>43</v>
      </c>
      <c r="C34" s="148">
        <v>2</v>
      </c>
      <c r="D34" s="148">
        <v>2</v>
      </c>
      <c r="E34" s="148">
        <v>850</v>
      </c>
      <c r="F34" s="148">
        <v>420</v>
      </c>
      <c r="G34" s="148">
        <v>1270</v>
      </c>
      <c r="H34" s="805">
        <v>635</v>
      </c>
      <c r="I34" s="148"/>
      <c r="J34" s="148"/>
      <c r="K34" s="148">
        <v>0</v>
      </c>
      <c r="L34" s="148"/>
      <c r="M34" s="148"/>
      <c r="N34" s="805"/>
      <c r="O34" s="148">
        <v>1</v>
      </c>
      <c r="P34" s="148">
        <v>1</v>
      </c>
      <c r="Q34" s="148">
        <v>0</v>
      </c>
      <c r="R34" s="148"/>
      <c r="S34" s="148"/>
      <c r="T34" s="805">
        <v>0</v>
      </c>
      <c r="U34" s="148">
        <v>4</v>
      </c>
      <c r="V34" s="148">
        <v>4</v>
      </c>
      <c r="W34" s="148">
        <v>47</v>
      </c>
      <c r="X34" s="148">
        <v>253</v>
      </c>
      <c r="Y34" s="148">
        <v>300</v>
      </c>
      <c r="Z34" s="805">
        <v>75</v>
      </c>
      <c r="AA34" s="148"/>
      <c r="AB34" s="148"/>
      <c r="AC34" s="148">
        <v>0</v>
      </c>
      <c r="AD34" s="148"/>
      <c r="AE34" s="148"/>
      <c r="AF34" s="805"/>
      <c r="AG34" s="148"/>
      <c r="AH34" s="148"/>
      <c r="AI34" s="148">
        <v>0</v>
      </c>
      <c r="AJ34" s="148"/>
      <c r="AK34" s="148"/>
      <c r="AL34" s="805"/>
      <c r="AM34" s="148">
        <v>1</v>
      </c>
      <c r="AN34" s="148">
        <v>1</v>
      </c>
      <c r="AO34" s="148">
        <v>56</v>
      </c>
      <c r="AP34" s="148">
        <v>22</v>
      </c>
      <c r="AQ34" s="148">
        <v>78</v>
      </c>
      <c r="AR34" s="805">
        <v>78</v>
      </c>
      <c r="AS34" s="148">
        <v>8</v>
      </c>
      <c r="AT34" s="148">
        <v>8</v>
      </c>
      <c r="AU34" s="148">
        <v>953</v>
      </c>
      <c r="AV34" s="148">
        <v>695</v>
      </c>
      <c r="AW34" s="148">
        <v>1648</v>
      </c>
      <c r="AX34" s="805">
        <v>206</v>
      </c>
    </row>
    <row r="35" spans="1:51" s="211" customFormat="1" ht="21.75" customHeight="1">
      <c r="A35" s="245">
        <v>30</v>
      </c>
      <c r="B35" s="244" t="s">
        <v>44</v>
      </c>
      <c r="C35" s="148">
        <v>498</v>
      </c>
      <c r="D35" s="148">
        <v>497</v>
      </c>
      <c r="E35" s="148">
        <v>201704</v>
      </c>
      <c r="F35" s="148">
        <v>19988</v>
      </c>
      <c r="G35" s="148">
        <v>221692</v>
      </c>
      <c r="H35" s="805">
        <v>445.16465863453817</v>
      </c>
      <c r="I35" s="148">
        <v>9</v>
      </c>
      <c r="J35" s="148">
        <v>7</v>
      </c>
      <c r="K35" s="148">
        <v>711</v>
      </c>
      <c r="L35" s="148">
        <v>399</v>
      </c>
      <c r="M35" s="148">
        <v>1110</v>
      </c>
      <c r="N35" s="805">
        <v>123.33333333333333</v>
      </c>
      <c r="O35" s="148">
        <v>106</v>
      </c>
      <c r="P35" s="148">
        <v>106</v>
      </c>
      <c r="Q35" s="148">
        <v>70</v>
      </c>
      <c r="R35" s="148">
        <v>7071</v>
      </c>
      <c r="S35" s="148">
        <v>7141</v>
      </c>
      <c r="T35" s="805">
        <v>67.367924528301884</v>
      </c>
      <c r="U35" s="148">
        <v>280</v>
      </c>
      <c r="V35" s="148">
        <v>251</v>
      </c>
      <c r="W35" s="148">
        <v>332</v>
      </c>
      <c r="X35" s="148">
        <v>4118</v>
      </c>
      <c r="Y35" s="148">
        <v>4450</v>
      </c>
      <c r="Z35" s="805">
        <v>15.892857142857142</v>
      </c>
      <c r="AA35" s="148">
        <v>4</v>
      </c>
      <c r="AB35" s="148">
        <v>4</v>
      </c>
      <c r="AC35" s="148">
        <v>644</v>
      </c>
      <c r="AD35" s="148">
        <v>63</v>
      </c>
      <c r="AE35" s="148">
        <v>707</v>
      </c>
      <c r="AF35" s="805">
        <v>176.75</v>
      </c>
      <c r="AG35" s="148"/>
      <c r="AH35" s="148"/>
      <c r="AI35" s="148">
        <v>0</v>
      </c>
      <c r="AJ35" s="148"/>
      <c r="AK35" s="148"/>
      <c r="AL35" s="805"/>
      <c r="AM35" s="148">
        <v>2</v>
      </c>
      <c r="AN35" s="148">
        <v>2</v>
      </c>
      <c r="AO35" s="148">
        <v>1170</v>
      </c>
      <c r="AP35" s="148">
        <v>235</v>
      </c>
      <c r="AQ35" s="148">
        <v>1405</v>
      </c>
      <c r="AR35" s="805">
        <v>702.5</v>
      </c>
      <c r="AS35" s="148">
        <v>899</v>
      </c>
      <c r="AT35" s="148">
        <v>867</v>
      </c>
      <c r="AU35" s="148">
        <v>204631</v>
      </c>
      <c r="AV35" s="148">
        <v>31874</v>
      </c>
      <c r="AW35" s="148">
        <v>236505</v>
      </c>
      <c r="AX35" s="805">
        <v>263.07563959955507</v>
      </c>
    </row>
    <row r="36" spans="1:51" s="211" customFormat="1" ht="21.75" customHeight="1">
      <c r="A36" s="245">
        <v>31</v>
      </c>
      <c r="B36" s="244" t="s">
        <v>131</v>
      </c>
      <c r="C36" s="148">
        <v>135</v>
      </c>
      <c r="D36" s="148">
        <v>122</v>
      </c>
      <c r="E36" s="148">
        <v>38628</v>
      </c>
      <c r="F36" s="148">
        <v>18798</v>
      </c>
      <c r="G36" s="148">
        <v>57426</v>
      </c>
      <c r="H36" s="805">
        <v>425.37777777777779</v>
      </c>
      <c r="I36" s="148">
        <v>17</v>
      </c>
      <c r="J36" s="148">
        <v>12</v>
      </c>
      <c r="K36" s="148">
        <v>1927</v>
      </c>
      <c r="L36" s="148">
        <v>1459</v>
      </c>
      <c r="M36" s="148">
        <v>3386</v>
      </c>
      <c r="N36" s="805">
        <v>199.1764705882353</v>
      </c>
      <c r="O36" s="148">
        <v>126</v>
      </c>
      <c r="P36" s="148">
        <v>119</v>
      </c>
      <c r="Q36" s="148">
        <v>1045</v>
      </c>
      <c r="R36" s="148">
        <v>12639</v>
      </c>
      <c r="S36" s="148">
        <v>13684</v>
      </c>
      <c r="T36" s="805">
        <v>108.60317460317461</v>
      </c>
      <c r="U36" s="148">
        <v>177</v>
      </c>
      <c r="V36" s="148">
        <v>137</v>
      </c>
      <c r="W36" s="148">
        <v>1724</v>
      </c>
      <c r="X36" s="148">
        <v>6023</v>
      </c>
      <c r="Y36" s="148">
        <v>7747</v>
      </c>
      <c r="Z36" s="805">
        <v>43.768361581920907</v>
      </c>
      <c r="AA36" s="148">
        <v>3</v>
      </c>
      <c r="AB36" s="148"/>
      <c r="AC36" s="148">
        <v>0</v>
      </c>
      <c r="AD36" s="148"/>
      <c r="AE36" s="148"/>
      <c r="AF36" s="805">
        <v>0</v>
      </c>
      <c r="AG36" s="148"/>
      <c r="AH36" s="148"/>
      <c r="AI36" s="148">
        <v>0</v>
      </c>
      <c r="AJ36" s="148"/>
      <c r="AK36" s="148"/>
      <c r="AL36" s="805"/>
      <c r="AM36" s="148">
        <v>1</v>
      </c>
      <c r="AN36" s="148">
        <v>1</v>
      </c>
      <c r="AO36" s="148">
        <v>570</v>
      </c>
      <c r="AP36" s="148">
        <v>174</v>
      </c>
      <c r="AQ36" s="148">
        <v>744</v>
      </c>
      <c r="AR36" s="805">
        <v>744</v>
      </c>
      <c r="AS36" s="148">
        <v>459</v>
      </c>
      <c r="AT36" s="148">
        <v>391</v>
      </c>
      <c r="AU36" s="148">
        <v>43894</v>
      </c>
      <c r="AV36" s="148">
        <v>39093</v>
      </c>
      <c r="AW36" s="148">
        <v>82987</v>
      </c>
      <c r="AX36" s="805">
        <v>180.7995642701525</v>
      </c>
    </row>
    <row r="37" spans="1:51" s="211" customFormat="1" ht="31.5">
      <c r="A37" s="245">
        <v>32</v>
      </c>
      <c r="B37" s="87" t="s">
        <v>1062</v>
      </c>
      <c r="C37" s="148"/>
      <c r="D37" s="148"/>
      <c r="E37" s="148">
        <v>0</v>
      </c>
      <c r="F37" s="148"/>
      <c r="G37" s="148"/>
      <c r="H37" s="805"/>
      <c r="I37" s="148"/>
      <c r="J37" s="148"/>
      <c r="K37" s="148">
        <v>0</v>
      </c>
      <c r="L37" s="148"/>
      <c r="M37" s="148"/>
      <c r="N37" s="805"/>
      <c r="O37" s="148"/>
      <c r="P37" s="148"/>
      <c r="Q37" s="148">
        <v>0</v>
      </c>
      <c r="R37" s="148"/>
      <c r="S37" s="148"/>
      <c r="T37" s="805"/>
      <c r="U37" s="148"/>
      <c r="V37" s="148"/>
      <c r="W37" s="148">
        <v>0</v>
      </c>
      <c r="X37" s="148"/>
      <c r="Y37" s="148"/>
      <c r="Z37" s="805"/>
      <c r="AA37" s="148"/>
      <c r="AB37" s="148"/>
      <c r="AC37" s="148">
        <v>0</v>
      </c>
      <c r="AD37" s="148"/>
      <c r="AE37" s="148"/>
      <c r="AF37" s="805"/>
      <c r="AG37" s="148"/>
      <c r="AH37" s="148"/>
      <c r="AI37" s="148">
        <v>0</v>
      </c>
      <c r="AJ37" s="148"/>
      <c r="AK37" s="148"/>
      <c r="AL37" s="805"/>
      <c r="AM37" s="148">
        <v>1</v>
      </c>
      <c r="AN37" s="148">
        <v>1</v>
      </c>
      <c r="AO37" s="148">
        <v>87</v>
      </c>
      <c r="AP37" s="148">
        <v>20</v>
      </c>
      <c r="AQ37" s="148">
        <v>107</v>
      </c>
      <c r="AR37" s="805">
        <v>107</v>
      </c>
      <c r="AS37" s="148">
        <v>1</v>
      </c>
      <c r="AT37" s="148">
        <v>1</v>
      </c>
      <c r="AU37" s="148">
        <v>87</v>
      </c>
      <c r="AV37" s="148">
        <v>20</v>
      </c>
      <c r="AW37" s="148">
        <v>107</v>
      </c>
      <c r="AX37" s="805">
        <v>107</v>
      </c>
    </row>
    <row r="38" spans="1:51" s="211" customFormat="1" ht="21.75" customHeight="1">
      <c r="A38" s="245">
        <v>33</v>
      </c>
      <c r="B38" s="244" t="s">
        <v>45</v>
      </c>
      <c r="C38" s="148"/>
      <c r="D38" s="148"/>
      <c r="E38" s="148">
        <v>0</v>
      </c>
      <c r="F38" s="148"/>
      <c r="G38" s="148"/>
      <c r="H38" s="805"/>
      <c r="I38" s="148"/>
      <c r="J38" s="148"/>
      <c r="K38" s="148">
        <v>0</v>
      </c>
      <c r="L38" s="148"/>
      <c r="M38" s="148"/>
      <c r="N38" s="805"/>
      <c r="O38" s="148">
        <v>8</v>
      </c>
      <c r="P38" s="148">
        <v>7</v>
      </c>
      <c r="Q38" s="148">
        <v>215</v>
      </c>
      <c r="R38" s="148">
        <v>465</v>
      </c>
      <c r="S38" s="148">
        <v>680</v>
      </c>
      <c r="T38" s="805">
        <v>85</v>
      </c>
      <c r="U38" s="148">
        <v>4</v>
      </c>
      <c r="V38" s="148">
        <v>4</v>
      </c>
      <c r="W38" s="148">
        <v>421</v>
      </c>
      <c r="X38" s="148">
        <v>460</v>
      </c>
      <c r="Y38" s="148">
        <v>881</v>
      </c>
      <c r="Z38" s="805">
        <v>220.25</v>
      </c>
      <c r="AA38" s="148">
        <v>2</v>
      </c>
      <c r="AB38" s="148">
        <v>2</v>
      </c>
      <c r="AC38" s="148">
        <v>91</v>
      </c>
      <c r="AD38" s="148">
        <v>29</v>
      </c>
      <c r="AE38" s="148">
        <v>120</v>
      </c>
      <c r="AF38" s="805">
        <v>60</v>
      </c>
      <c r="AG38" s="148"/>
      <c r="AH38" s="148"/>
      <c r="AI38" s="148">
        <v>0</v>
      </c>
      <c r="AJ38" s="148"/>
      <c r="AK38" s="148"/>
      <c r="AL38" s="805"/>
      <c r="AM38" s="148"/>
      <c r="AN38" s="148"/>
      <c r="AO38" s="148">
        <v>0</v>
      </c>
      <c r="AP38" s="148"/>
      <c r="AQ38" s="148"/>
      <c r="AR38" s="805"/>
      <c r="AS38" s="148">
        <v>14</v>
      </c>
      <c r="AT38" s="148">
        <v>13</v>
      </c>
      <c r="AU38" s="148">
        <v>727</v>
      </c>
      <c r="AV38" s="148">
        <v>954</v>
      </c>
      <c r="AW38" s="148">
        <v>1681</v>
      </c>
      <c r="AX38" s="805">
        <v>120.07142857142857</v>
      </c>
    </row>
    <row r="39" spans="1:51" s="211" customFormat="1" ht="21.75" customHeight="1">
      <c r="A39" s="245">
        <v>34</v>
      </c>
      <c r="B39" s="244" t="s">
        <v>47</v>
      </c>
      <c r="C39" s="148">
        <v>553</v>
      </c>
      <c r="D39" s="148">
        <v>446</v>
      </c>
      <c r="E39" s="148">
        <v>138458</v>
      </c>
      <c r="F39" s="148">
        <v>24064</v>
      </c>
      <c r="G39" s="148">
        <v>162522</v>
      </c>
      <c r="H39" s="805">
        <v>293.89150090415916</v>
      </c>
      <c r="I39" s="148">
        <v>40</v>
      </c>
      <c r="J39" s="148">
        <v>32</v>
      </c>
      <c r="K39" s="148">
        <v>7880</v>
      </c>
      <c r="L39" s="148">
        <v>4157</v>
      </c>
      <c r="M39" s="148">
        <v>12037</v>
      </c>
      <c r="N39" s="805">
        <v>300.92500000000001</v>
      </c>
      <c r="O39" s="148">
        <v>293</v>
      </c>
      <c r="P39" s="148">
        <v>269</v>
      </c>
      <c r="Q39" s="148">
        <v>10969</v>
      </c>
      <c r="R39" s="148">
        <v>51152</v>
      </c>
      <c r="S39" s="148">
        <v>62121</v>
      </c>
      <c r="T39" s="805">
        <v>212.01706484641639</v>
      </c>
      <c r="U39" s="148">
        <v>202</v>
      </c>
      <c r="V39" s="148">
        <v>140</v>
      </c>
      <c r="W39" s="148">
        <v>6128</v>
      </c>
      <c r="X39" s="148">
        <v>7389</v>
      </c>
      <c r="Y39" s="148">
        <v>13517</v>
      </c>
      <c r="Z39" s="805">
        <v>66.915841584158414</v>
      </c>
      <c r="AA39" s="148">
        <v>6</v>
      </c>
      <c r="AB39" s="148">
        <v>3</v>
      </c>
      <c r="AC39" s="148">
        <v>548</v>
      </c>
      <c r="AD39" s="148">
        <v>6</v>
      </c>
      <c r="AE39" s="148">
        <v>554</v>
      </c>
      <c r="AF39" s="805">
        <v>92.333333333333329</v>
      </c>
      <c r="AG39" s="148">
        <v>94</v>
      </c>
      <c r="AH39" s="148">
        <v>45</v>
      </c>
      <c r="AI39" s="148">
        <v>2413</v>
      </c>
      <c r="AJ39" s="148">
        <v>1393</v>
      </c>
      <c r="AK39" s="148">
        <v>3806</v>
      </c>
      <c r="AL39" s="805">
        <v>40.48936170212766</v>
      </c>
      <c r="AM39" s="148">
        <v>6</v>
      </c>
      <c r="AN39" s="148">
        <v>4</v>
      </c>
      <c r="AO39" s="148">
        <v>1100</v>
      </c>
      <c r="AP39" s="148">
        <v>278</v>
      </c>
      <c r="AQ39" s="148">
        <v>1378</v>
      </c>
      <c r="AR39" s="805">
        <v>229.66666666666666</v>
      </c>
      <c r="AS39" s="148">
        <v>1194</v>
      </c>
      <c r="AT39" s="148">
        <v>939</v>
      </c>
      <c r="AU39" s="148">
        <v>167496</v>
      </c>
      <c r="AV39" s="148">
        <v>88439</v>
      </c>
      <c r="AW39" s="148">
        <v>255935</v>
      </c>
      <c r="AX39" s="805">
        <v>214.35092127303182</v>
      </c>
    </row>
    <row r="40" spans="1:51" s="211" customFormat="1" ht="21.75" customHeight="1">
      <c r="A40" s="245">
        <v>35</v>
      </c>
      <c r="B40" s="244" t="s">
        <v>46</v>
      </c>
      <c r="C40" s="148">
        <v>113</v>
      </c>
      <c r="D40" s="148">
        <v>108</v>
      </c>
      <c r="E40" s="148">
        <v>13583</v>
      </c>
      <c r="F40" s="148">
        <v>3393</v>
      </c>
      <c r="G40" s="148">
        <v>16976</v>
      </c>
      <c r="H40" s="805">
        <v>150.23008849557522</v>
      </c>
      <c r="I40" s="148">
        <v>2</v>
      </c>
      <c r="J40" s="148">
        <v>1</v>
      </c>
      <c r="K40" s="148">
        <v>124</v>
      </c>
      <c r="L40" s="148">
        <v>67</v>
      </c>
      <c r="M40" s="148">
        <v>191</v>
      </c>
      <c r="N40" s="805">
        <v>95.5</v>
      </c>
      <c r="O40" s="148">
        <v>24</v>
      </c>
      <c r="P40" s="148">
        <v>19</v>
      </c>
      <c r="Q40" s="148">
        <v>873</v>
      </c>
      <c r="R40" s="148">
        <v>1681</v>
      </c>
      <c r="S40" s="148">
        <v>2554</v>
      </c>
      <c r="T40" s="805">
        <v>106.41666666666667</v>
      </c>
      <c r="U40" s="148">
        <v>11</v>
      </c>
      <c r="V40" s="148">
        <v>10</v>
      </c>
      <c r="W40" s="148">
        <v>73</v>
      </c>
      <c r="X40" s="148">
        <v>34</v>
      </c>
      <c r="Y40" s="148">
        <v>107</v>
      </c>
      <c r="Z40" s="805">
        <v>9.7272727272727266</v>
      </c>
      <c r="AA40" s="148">
        <v>3</v>
      </c>
      <c r="AB40" s="148">
        <v>3</v>
      </c>
      <c r="AC40" s="148">
        <v>544</v>
      </c>
      <c r="AD40" s="148">
        <v>70</v>
      </c>
      <c r="AE40" s="148">
        <v>614</v>
      </c>
      <c r="AF40" s="805">
        <v>204.66666666666666</v>
      </c>
      <c r="AG40" s="148">
        <v>2</v>
      </c>
      <c r="AH40" s="148"/>
      <c r="AI40" s="148">
        <v>0</v>
      </c>
      <c r="AJ40" s="148"/>
      <c r="AK40" s="148"/>
      <c r="AL40" s="805">
        <v>0</v>
      </c>
      <c r="AM40" s="148">
        <v>1</v>
      </c>
      <c r="AN40" s="148"/>
      <c r="AO40" s="148">
        <v>0</v>
      </c>
      <c r="AP40" s="148"/>
      <c r="AQ40" s="148"/>
      <c r="AR40" s="805">
        <v>0</v>
      </c>
      <c r="AS40" s="148">
        <v>156</v>
      </c>
      <c r="AT40" s="148">
        <v>141</v>
      </c>
      <c r="AU40" s="148">
        <v>15197</v>
      </c>
      <c r="AV40" s="148">
        <v>5245</v>
      </c>
      <c r="AW40" s="148">
        <v>20442</v>
      </c>
      <c r="AX40" s="805">
        <v>131.03846153846155</v>
      </c>
    </row>
    <row r="41" spans="1:51" s="211" customFormat="1" ht="21.75" customHeight="1">
      <c r="A41" s="245">
        <v>36</v>
      </c>
      <c r="B41" s="244" t="s">
        <v>48</v>
      </c>
      <c r="C41" s="148">
        <v>167</v>
      </c>
      <c r="D41" s="148">
        <v>167</v>
      </c>
      <c r="E41" s="148">
        <v>71125</v>
      </c>
      <c r="F41" s="148">
        <v>11620</v>
      </c>
      <c r="G41" s="148">
        <v>82745</v>
      </c>
      <c r="H41" s="805">
        <v>495.47904191616766</v>
      </c>
      <c r="I41" s="148">
        <v>16</v>
      </c>
      <c r="J41" s="148">
        <v>16</v>
      </c>
      <c r="K41" s="148">
        <v>3328</v>
      </c>
      <c r="L41" s="148">
        <v>1714</v>
      </c>
      <c r="M41" s="148">
        <v>5042</v>
      </c>
      <c r="N41" s="805">
        <v>315.125</v>
      </c>
      <c r="O41" s="148">
        <v>121</v>
      </c>
      <c r="P41" s="148">
        <v>120</v>
      </c>
      <c r="Q41" s="148">
        <v>579</v>
      </c>
      <c r="R41" s="148">
        <v>16572</v>
      </c>
      <c r="S41" s="148">
        <v>17151</v>
      </c>
      <c r="T41" s="805">
        <v>141.74380165289256</v>
      </c>
      <c r="U41" s="148">
        <v>242</v>
      </c>
      <c r="V41" s="148">
        <v>241</v>
      </c>
      <c r="W41" s="148">
        <v>19855</v>
      </c>
      <c r="X41" s="148">
        <v>21888</v>
      </c>
      <c r="Y41" s="148">
        <v>41743</v>
      </c>
      <c r="Z41" s="805">
        <v>172.4917355371901</v>
      </c>
      <c r="AA41" s="148">
        <v>14</v>
      </c>
      <c r="AB41" s="148">
        <v>14</v>
      </c>
      <c r="AC41" s="148">
        <v>3937</v>
      </c>
      <c r="AD41" s="148">
        <v>2594</v>
      </c>
      <c r="AE41" s="148">
        <v>6531</v>
      </c>
      <c r="AF41" s="805">
        <v>466.5</v>
      </c>
      <c r="AG41" s="148">
        <v>12</v>
      </c>
      <c r="AH41" s="148">
        <v>11</v>
      </c>
      <c r="AI41" s="148">
        <v>222</v>
      </c>
      <c r="AJ41" s="148">
        <v>187</v>
      </c>
      <c r="AK41" s="148">
        <v>409</v>
      </c>
      <c r="AL41" s="805">
        <v>34.083333333333336</v>
      </c>
      <c r="AM41" s="148">
        <v>2</v>
      </c>
      <c r="AN41" s="148">
        <v>2</v>
      </c>
      <c r="AO41" s="148">
        <v>207</v>
      </c>
      <c r="AP41" s="148">
        <v>114</v>
      </c>
      <c r="AQ41" s="148">
        <v>321</v>
      </c>
      <c r="AR41" s="805">
        <v>160.5</v>
      </c>
      <c r="AS41" s="148">
        <v>574</v>
      </c>
      <c r="AT41" s="148">
        <v>571</v>
      </c>
      <c r="AU41" s="148">
        <v>99253</v>
      </c>
      <c r="AV41" s="148">
        <v>54689</v>
      </c>
      <c r="AW41" s="148">
        <v>153942</v>
      </c>
      <c r="AX41" s="805">
        <v>268.191637630662</v>
      </c>
    </row>
    <row r="42" spans="1:51" s="213" customFormat="1" ht="21.75" customHeight="1">
      <c r="A42" s="985" t="s">
        <v>49</v>
      </c>
      <c r="B42" s="985"/>
      <c r="C42" s="115">
        <v>3865</v>
      </c>
      <c r="D42" s="115">
        <v>3599</v>
      </c>
      <c r="E42" s="115">
        <v>1135354</v>
      </c>
      <c r="F42" s="115">
        <v>273192</v>
      </c>
      <c r="G42" s="115">
        <v>1408546</v>
      </c>
      <c r="H42" s="116">
        <v>364.43622250970247</v>
      </c>
      <c r="I42" s="115">
        <v>327</v>
      </c>
      <c r="J42" s="115">
        <v>242</v>
      </c>
      <c r="K42" s="115">
        <v>37705</v>
      </c>
      <c r="L42" s="115">
        <v>23659</v>
      </c>
      <c r="M42" s="115">
        <v>61364</v>
      </c>
      <c r="N42" s="116">
        <v>187.65749235474007</v>
      </c>
      <c r="O42" s="115">
        <v>3592</v>
      </c>
      <c r="P42" s="115">
        <v>3317</v>
      </c>
      <c r="Q42" s="115">
        <v>75609</v>
      </c>
      <c r="R42" s="115">
        <v>317838</v>
      </c>
      <c r="S42" s="115">
        <v>393447</v>
      </c>
      <c r="T42" s="116">
        <v>109.53424276169265</v>
      </c>
      <c r="U42" s="115">
        <v>3301</v>
      </c>
      <c r="V42" s="115">
        <v>2882</v>
      </c>
      <c r="W42" s="115">
        <v>87339</v>
      </c>
      <c r="X42" s="115">
        <v>145414</v>
      </c>
      <c r="Y42" s="115">
        <v>232753</v>
      </c>
      <c r="Z42" s="116">
        <v>70.50984550136323</v>
      </c>
      <c r="AA42" s="115">
        <v>100</v>
      </c>
      <c r="AB42" s="115">
        <v>85</v>
      </c>
      <c r="AC42" s="115">
        <v>14497</v>
      </c>
      <c r="AD42" s="115">
        <v>6379</v>
      </c>
      <c r="AE42" s="115">
        <v>20876</v>
      </c>
      <c r="AF42" s="116">
        <v>208.76</v>
      </c>
      <c r="AG42" s="115">
        <v>758</v>
      </c>
      <c r="AH42" s="115">
        <v>409</v>
      </c>
      <c r="AI42" s="115">
        <v>19902</v>
      </c>
      <c r="AJ42" s="115">
        <v>18984</v>
      </c>
      <c r="AK42" s="115">
        <v>38886</v>
      </c>
      <c r="AL42" s="116">
        <v>51.300791556728235</v>
      </c>
      <c r="AM42" s="115">
        <v>59</v>
      </c>
      <c r="AN42" s="115">
        <v>42</v>
      </c>
      <c r="AO42" s="115">
        <v>11755</v>
      </c>
      <c r="AP42" s="115">
        <v>3117</v>
      </c>
      <c r="AQ42" s="115">
        <v>14872</v>
      </c>
      <c r="AR42" s="116">
        <v>252.06779661016949</v>
      </c>
      <c r="AS42" s="115">
        <v>12002</v>
      </c>
      <c r="AT42" s="115">
        <v>10576</v>
      </c>
      <c r="AU42" s="115">
        <v>1382161</v>
      </c>
      <c r="AV42" s="115">
        <v>788583</v>
      </c>
      <c r="AW42" s="115">
        <v>2170744</v>
      </c>
      <c r="AX42" s="116">
        <v>180.86518913514413</v>
      </c>
      <c r="AY42" s="211"/>
    </row>
  </sheetData>
  <mergeCells count="39">
    <mergeCell ref="U3:V3"/>
    <mergeCell ref="W3:Y3"/>
    <mergeCell ref="Z3:Z4"/>
    <mergeCell ref="AU3:AW3"/>
    <mergeCell ref="AX3:AX4"/>
    <mergeCell ref="AF3:AF4"/>
    <mergeCell ref="AS3:AT3"/>
    <mergeCell ref="AG3:AH3"/>
    <mergeCell ref="AI3:AK3"/>
    <mergeCell ref="AL3:AL4"/>
    <mergeCell ref="AM3:AN3"/>
    <mergeCell ref="AO3:AQ3"/>
    <mergeCell ref="AR3:AR4"/>
    <mergeCell ref="A42:B42"/>
    <mergeCell ref="AS2:AX2"/>
    <mergeCell ref="C3:D3"/>
    <mergeCell ref="E3:G3"/>
    <mergeCell ref="H3:H4"/>
    <mergeCell ref="I3:J3"/>
    <mergeCell ref="K3:M3"/>
    <mergeCell ref="N3:N4"/>
    <mergeCell ref="O3:P3"/>
    <mergeCell ref="Q3:S3"/>
    <mergeCell ref="T3:T4"/>
    <mergeCell ref="A2:A4"/>
    <mergeCell ref="B2:B4"/>
    <mergeCell ref="C2:H2"/>
    <mergeCell ref="AA3:AB3"/>
    <mergeCell ref="AC3:AE3"/>
    <mergeCell ref="C1:N1"/>
    <mergeCell ref="O1:Z1"/>
    <mergeCell ref="AA1:AL1"/>
    <mergeCell ref="AM1:AX1"/>
    <mergeCell ref="AA2:AF2"/>
    <mergeCell ref="AG2:AL2"/>
    <mergeCell ref="AM2:AR2"/>
    <mergeCell ref="I2:N2"/>
    <mergeCell ref="O2:T2"/>
    <mergeCell ref="U2:Z2"/>
  </mergeCells>
  <pageMargins left="0.36" right="0.16" top="0.51181102362204722" bottom="0.27559055118110237" header="0.19685039370078741" footer="0.15748031496062992"/>
  <pageSetup paperSize="9" scale="79" firstPageNumber="17" orientation="portrait" useFirstPageNumber="1" r:id="rId1"/>
  <headerFooter>
    <oddFooter>&amp;L&amp;"Arial,Italic"&amp;9AISHE 2021-22&amp;CT-9</oddFooter>
  </headerFooter>
  <colBreaks count="3" manualBreakCount="3">
    <brk id="14" max="38" man="1"/>
    <brk id="26" max="41" man="1"/>
    <brk id="38" max="41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AC41"/>
  <sheetViews>
    <sheetView view="pageBreakPreview" zoomScaleSheetLayoutView="100" workbookViewId="0">
      <pane xSplit="2" ySplit="4" topLeftCell="K23" activePane="bottomRight" state="frozen"/>
      <selection activeCell="F15" sqref="F15"/>
      <selection pane="topRight" activeCell="F15" sqref="F15"/>
      <selection pane="bottomLeft" activeCell="F15" sqref="F15"/>
      <selection pane="bottomRight" activeCell="Z24" sqref="Z24"/>
    </sheetView>
  </sheetViews>
  <sheetFormatPr defaultColWidth="9.28515625" defaultRowHeight="15.75"/>
  <cols>
    <col min="1" max="1" width="6.28515625" style="94" customWidth="1"/>
    <col min="2" max="2" width="22.28515625" style="94" customWidth="1"/>
    <col min="3" max="5" width="10.7109375" style="94" customWidth="1"/>
    <col min="6" max="8" width="7.7109375" style="94" customWidth="1"/>
    <col min="9" max="11" width="10.7109375" style="94" customWidth="1"/>
    <col min="12" max="17" width="9.7109375" style="94" customWidth="1"/>
    <col min="18" max="20" width="10.7109375" style="94" customWidth="1"/>
    <col min="21" max="26" width="9.42578125" style="94" customWidth="1"/>
    <col min="27" max="29" width="10.5703125" style="94" customWidth="1"/>
    <col min="30" max="16384" width="9.28515625" style="94"/>
  </cols>
  <sheetData>
    <row r="1" spans="1:29" s="171" customFormat="1" ht="27" customHeight="1">
      <c r="B1" s="80" t="s">
        <v>875</v>
      </c>
      <c r="C1" s="177" t="s">
        <v>1072</v>
      </c>
      <c r="L1" s="177" t="str">
        <f>C1</f>
        <v>Level-wise Enrolment in Standalone Institutions (Based on Actual Response)</v>
      </c>
      <c r="U1" s="177" t="str">
        <f>C1</f>
        <v>Level-wise Enrolment in Standalone Institutions (Based on Actual Response)</v>
      </c>
    </row>
    <row r="2" spans="1:29" s="172" customFormat="1" ht="24.75" customHeight="1">
      <c r="A2" s="967" t="s">
        <v>988</v>
      </c>
      <c r="B2" s="968" t="s">
        <v>168</v>
      </c>
      <c r="C2" s="1011" t="s">
        <v>89</v>
      </c>
      <c r="D2" s="1012"/>
      <c r="E2" s="1013"/>
      <c r="F2" s="1011" t="s">
        <v>90</v>
      </c>
      <c r="G2" s="1012"/>
      <c r="H2" s="1013"/>
      <c r="I2" s="1011" t="s">
        <v>85</v>
      </c>
      <c r="J2" s="1012"/>
      <c r="K2" s="1013"/>
      <c r="L2" s="1011" t="s">
        <v>86</v>
      </c>
      <c r="M2" s="1012"/>
      <c r="N2" s="1013"/>
      <c r="O2" s="1011" t="s">
        <v>91</v>
      </c>
      <c r="P2" s="1012"/>
      <c r="Q2" s="1013"/>
      <c r="R2" s="1011" t="s">
        <v>92</v>
      </c>
      <c r="S2" s="1012"/>
      <c r="T2" s="1013"/>
      <c r="U2" s="1011" t="s">
        <v>93</v>
      </c>
      <c r="V2" s="1012"/>
      <c r="W2" s="1013"/>
      <c r="X2" s="1011" t="s">
        <v>94</v>
      </c>
      <c r="Y2" s="1012"/>
      <c r="Z2" s="1013"/>
      <c r="AA2" s="1011" t="s">
        <v>60</v>
      </c>
      <c r="AB2" s="1012"/>
      <c r="AC2" s="1013"/>
    </row>
    <row r="3" spans="1:29" s="135" customFormat="1" ht="24.75" customHeight="1">
      <c r="A3" s="967"/>
      <c r="B3" s="968"/>
      <c r="C3" s="167" t="s">
        <v>87</v>
      </c>
      <c r="D3" s="167" t="s">
        <v>88</v>
      </c>
      <c r="E3" s="167" t="s">
        <v>12</v>
      </c>
      <c r="F3" s="167" t="s">
        <v>87</v>
      </c>
      <c r="G3" s="167" t="s">
        <v>88</v>
      </c>
      <c r="H3" s="167" t="s">
        <v>12</v>
      </c>
      <c r="I3" s="167" t="s">
        <v>87</v>
      </c>
      <c r="J3" s="167" t="s">
        <v>88</v>
      </c>
      <c r="K3" s="167" t="s">
        <v>12</v>
      </c>
      <c r="L3" s="167" t="s">
        <v>87</v>
      </c>
      <c r="M3" s="167" t="s">
        <v>88</v>
      </c>
      <c r="N3" s="167" t="s">
        <v>12</v>
      </c>
      <c r="O3" s="167" t="s">
        <v>87</v>
      </c>
      <c r="P3" s="167" t="s">
        <v>88</v>
      </c>
      <c r="Q3" s="167" t="s">
        <v>12</v>
      </c>
      <c r="R3" s="167" t="s">
        <v>87</v>
      </c>
      <c r="S3" s="167" t="s">
        <v>88</v>
      </c>
      <c r="T3" s="167" t="s">
        <v>12</v>
      </c>
      <c r="U3" s="167" t="s">
        <v>87</v>
      </c>
      <c r="V3" s="167" t="s">
        <v>88</v>
      </c>
      <c r="W3" s="167" t="s">
        <v>12</v>
      </c>
      <c r="X3" s="167" t="s">
        <v>87</v>
      </c>
      <c r="Y3" s="167" t="s">
        <v>88</v>
      </c>
      <c r="Z3" s="167" t="s">
        <v>12</v>
      </c>
      <c r="AA3" s="167" t="s">
        <v>87</v>
      </c>
      <c r="AB3" s="167" t="s">
        <v>88</v>
      </c>
      <c r="AC3" s="167" t="s">
        <v>12</v>
      </c>
    </row>
    <row r="4" spans="1:29" s="96" customFormat="1">
      <c r="A4" s="487">
        <v>1</v>
      </c>
      <c r="B4" s="487">
        <v>2</v>
      </c>
      <c r="C4" s="487">
        <v>3</v>
      </c>
      <c r="D4" s="487">
        <v>4</v>
      </c>
      <c r="E4" s="487">
        <v>5</v>
      </c>
      <c r="F4" s="487">
        <v>6</v>
      </c>
      <c r="G4" s="487">
        <v>7</v>
      </c>
      <c r="H4" s="487">
        <v>8</v>
      </c>
      <c r="I4" s="487">
        <v>9</v>
      </c>
      <c r="J4" s="487">
        <v>10</v>
      </c>
      <c r="K4" s="487">
        <v>11</v>
      </c>
      <c r="L4" s="487">
        <v>12</v>
      </c>
      <c r="M4" s="487">
        <v>13</v>
      </c>
      <c r="N4" s="487">
        <v>14</v>
      </c>
      <c r="O4" s="487">
        <v>15</v>
      </c>
      <c r="P4" s="487">
        <v>16</v>
      </c>
      <c r="Q4" s="487">
        <v>17</v>
      </c>
      <c r="R4" s="487">
        <v>18</v>
      </c>
      <c r="S4" s="487">
        <v>19</v>
      </c>
      <c r="T4" s="487">
        <v>20</v>
      </c>
      <c r="U4" s="487">
        <v>21</v>
      </c>
      <c r="V4" s="487">
        <v>22</v>
      </c>
      <c r="W4" s="487">
        <v>23</v>
      </c>
      <c r="X4" s="487">
        <v>24</v>
      </c>
      <c r="Y4" s="487">
        <v>25</v>
      </c>
      <c r="Z4" s="487">
        <v>26</v>
      </c>
      <c r="AA4" s="487">
        <v>27</v>
      </c>
      <c r="AB4" s="487">
        <v>28</v>
      </c>
      <c r="AC4" s="487">
        <v>29</v>
      </c>
    </row>
    <row r="5" spans="1:29" s="135" customFormat="1" ht="24.75" customHeight="1">
      <c r="A5" s="165">
        <v>1</v>
      </c>
      <c r="B5" s="173" t="s">
        <v>1061</v>
      </c>
      <c r="C5" s="148">
        <v>0</v>
      </c>
      <c r="D5" s="148">
        <v>0</v>
      </c>
      <c r="E5" s="148">
        <v>0</v>
      </c>
      <c r="F5" s="175"/>
      <c r="G5" s="175"/>
      <c r="H5" s="175">
        <v>0</v>
      </c>
      <c r="I5" s="148">
        <v>0</v>
      </c>
      <c r="J5" s="148">
        <v>0</v>
      </c>
      <c r="K5" s="148">
        <v>0</v>
      </c>
      <c r="L5" s="148">
        <v>0</v>
      </c>
      <c r="M5" s="148">
        <v>0</v>
      </c>
      <c r="N5" s="148">
        <v>0</v>
      </c>
      <c r="O5" s="148">
        <v>0</v>
      </c>
      <c r="P5" s="148">
        <v>0</v>
      </c>
      <c r="Q5" s="148">
        <v>0</v>
      </c>
      <c r="R5" s="148">
        <v>29</v>
      </c>
      <c r="S5" s="148">
        <v>96</v>
      </c>
      <c r="T5" s="148">
        <v>125</v>
      </c>
      <c r="U5" s="148">
        <v>0</v>
      </c>
      <c r="V5" s="148">
        <v>0</v>
      </c>
      <c r="W5" s="148">
        <v>0</v>
      </c>
      <c r="X5" s="148">
        <v>0</v>
      </c>
      <c r="Y5" s="148">
        <v>0</v>
      </c>
      <c r="Z5" s="148">
        <v>0</v>
      </c>
      <c r="AA5" s="148">
        <v>29</v>
      </c>
      <c r="AB5" s="148">
        <v>96</v>
      </c>
      <c r="AC5" s="148">
        <v>125</v>
      </c>
    </row>
    <row r="6" spans="1:29" s="135" customFormat="1" ht="21.75" customHeight="1">
      <c r="A6" s="165">
        <v>2</v>
      </c>
      <c r="B6" s="174" t="s">
        <v>15</v>
      </c>
      <c r="C6" s="148">
        <v>0</v>
      </c>
      <c r="D6" s="148">
        <v>0</v>
      </c>
      <c r="E6" s="148">
        <v>0</v>
      </c>
      <c r="F6" s="175"/>
      <c r="G6" s="175"/>
      <c r="H6" s="175">
        <v>0</v>
      </c>
      <c r="I6" s="148">
        <v>118</v>
      </c>
      <c r="J6" s="148">
        <v>117</v>
      </c>
      <c r="K6" s="148">
        <v>235</v>
      </c>
      <c r="L6" s="148">
        <v>324</v>
      </c>
      <c r="M6" s="148">
        <v>619</v>
      </c>
      <c r="N6" s="148">
        <v>943</v>
      </c>
      <c r="O6" s="148">
        <v>72</v>
      </c>
      <c r="P6" s="148">
        <v>23</v>
      </c>
      <c r="Q6" s="148">
        <v>95</v>
      </c>
      <c r="R6" s="148">
        <v>62601</v>
      </c>
      <c r="S6" s="148">
        <v>50099</v>
      </c>
      <c r="T6" s="148">
        <v>112700</v>
      </c>
      <c r="U6" s="148">
        <v>156</v>
      </c>
      <c r="V6" s="148">
        <v>14</v>
      </c>
      <c r="W6" s="148">
        <v>170</v>
      </c>
      <c r="X6" s="148">
        <v>0</v>
      </c>
      <c r="Y6" s="148">
        <v>0</v>
      </c>
      <c r="Z6" s="148">
        <v>0</v>
      </c>
      <c r="AA6" s="148">
        <v>63271</v>
      </c>
      <c r="AB6" s="148">
        <v>50872</v>
      </c>
      <c r="AC6" s="148">
        <v>114143</v>
      </c>
    </row>
    <row r="7" spans="1:29" s="135" customFormat="1" ht="21.75" customHeight="1">
      <c r="A7" s="165">
        <v>3</v>
      </c>
      <c r="B7" s="174" t="s">
        <v>16</v>
      </c>
      <c r="C7" s="148">
        <v>0</v>
      </c>
      <c r="D7" s="148">
        <v>0</v>
      </c>
      <c r="E7" s="148">
        <v>0</v>
      </c>
      <c r="F7" s="175"/>
      <c r="G7" s="175"/>
      <c r="H7" s="175">
        <v>0</v>
      </c>
      <c r="I7" s="148">
        <v>0</v>
      </c>
      <c r="J7" s="148">
        <v>0</v>
      </c>
      <c r="K7" s="148">
        <v>0</v>
      </c>
      <c r="L7" s="148">
        <v>0</v>
      </c>
      <c r="M7" s="148">
        <v>0</v>
      </c>
      <c r="N7" s="148">
        <v>0</v>
      </c>
      <c r="O7" s="148">
        <v>0</v>
      </c>
      <c r="P7" s="148">
        <v>0</v>
      </c>
      <c r="Q7" s="148">
        <v>0</v>
      </c>
      <c r="R7" s="148">
        <v>716</v>
      </c>
      <c r="S7" s="148">
        <v>555</v>
      </c>
      <c r="T7" s="148">
        <v>1271</v>
      </c>
      <c r="U7" s="148">
        <v>0</v>
      </c>
      <c r="V7" s="148">
        <v>0</v>
      </c>
      <c r="W7" s="148">
        <v>0</v>
      </c>
      <c r="X7" s="148">
        <v>0</v>
      </c>
      <c r="Y7" s="148">
        <v>0</v>
      </c>
      <c r="Z7" s="148">
        <v>0</v>
      </c>
      <c r="AA7" s="148">
        <v>716</v>
      </c>
      <c r="AB7" s="148">
        <v>555</v>
      </c>
      <c r="AC7" s="148">
        <v>1271</v>
      </c>
    </row>
    <row r="8" spans="1:29" s="135" customFormat="1" ht="21.75" customHeight="1">
      <c r="A8" s="165">
        <v>4</v>
      </c>
      <c r="B8" s="174" t="s">
        <v>17</v>
      </c>
      <c r="C8" s="148">
        <v>0</v>
      </c>
      <c r="D8" s="148">
        <v>0</v>
      </c>
      <c r="E8" s="148">
        <v>0</v>
      </c>
      <c r="F8" s="175"/>
      <c r="G8" s="175"/>
      <c r="H8" s="175">
        <v>0</v>
      </c>
      <c r="I8" s="148">
        <v>83</v>
      </c>
      <c r="J8" s="148">
        <v>51</v>
      </c>
      <c r="K8" s="148">
        <v>134</v>
      </c>
      <c r="L8" s="148">
        <v>758</v>
      </c>
      <c r="M8" s="148">
        <v>918</v>
      </c>
      <c r="N8" s="148">
        <v>1676</v>
      </c>
      <c r="O8" s="148">
        <v>13</v>
      </c>
      <c r="P8" s="148">
        <v>4</v>
      </c>
      <c r="Q8" s="148">
        <v>17</v>
      </c>
      <c r="R8" s="148">
        <v>9817</v>
      </c>
      <c r="S8" s="148">
        <v>7109</v>
      </c>
      <c r="T8" s="148">
        <v>16926</v>
      </c>
      <c r="U8" s="148">
        <v>0</v>
      </c>
      <c r="V8" s="148">
        <v>26</v>
      </c>
      <c r="W8" s="148">
        <v>26</v>
      </c>
      <c r="X8" s="148">
        <v>0</v>
      </c>
      <c r="Y8" s="148">
        <v>0</v>
      </c>
      <c r="Z8" s="148">
        <v>0</v>
      </c>
      <c r="AA8" s="148">
        <v>10671</v>
      </c>
      <c r="AB8" s="148">
        <v>8108</v>
      </c>
      <c r="AC8" s="148">
        <v>18779</v>
      </c>
    </row>
    <row r="9" spans="1:29" s="135" customFormat="1" ht="21.75" customHeight="1">
      <c r="A9" s="165">
        <v>5</v>
      </c>
      <c r="B9" s="174" t="s">
        <v>18</v>
      </c>
      <c r="C9" s="148">
        <v>2</v>
      </c>
      <c r="D9" s="148">
        <v>2</v>
      </c>
      <c r="E9" s="148">
        <v>4</v>
      </c>
      <c r="F9" s="175"/>
      <c r="G9" s="175"/>
      <c r="H9" s="175">
        <v>0</v>
      </c>
      <c r="I9" s="148">
        <v>54</v>
      </c>
      <c r="J9" s="148">
        <v>69</v>
      </c>
      <c r="K9" s="148">
        <v>123</v>
      </c>
      <c r="L9" s="148">
        <v>1575</v>
      </c>
      <c r="M9" s="148">
        <v>1470</v>
      </c>
      <c r="N9" s="148">
        <v>3045</v>
      </c>
      <c r="O9" s="148">
        <v>366</v>
      </c>
      <c r="P9" s="148">
        <v>146</v>
      </c>
      <c r="Q9" s="148">
        <v>512</v>
      </c>
      <c r="R9" s="148">
        <v>42737</v>
      </c>
      <c r="S9" s="148">
        <v>28650</v>
      </c>
      <c r="T9" s="148">
        <v>71387</v>
      </c>
      <c r="U9" s="148">
        <v>212</v>
      </c>
      <c r="V9" s="148">
        <v>318</v>
      </c>
      <c r="W9" s="148">
        <v>530</v>
      </c>
      <c r="X9" s="148">
        <v>0</v>
      </c>
      <c r="Y9" s="148">
        <v>0</v>
      </c>
      <c r="Z9" s="148">
        <v>0</v>
      </c>
      <c r="AA9" s="148">
        <v>44946</v>
      </c>
      <c r="AB9" s="148">
        <v>30655</v>
      </c>
      <c r="AC9" s="148">
        <v>75601</v>
      </c>
    </row>
    <row r="10" spans="1:29" s="135" customFormat="1" ht="21.75" customHeight="1">
      <c r="A10" s="165">
        <v>6</v>
      </c>
      <c r="B10" s="174" t="s">
        <v>19</v>
      </c>
      <c r="C10" s="148">
        <v>0</v>
      </c>
      <c r="D10" s="148">
        <v>0</v>
      </c>
      <c r="E10" s="148">
        <v>0</v>
      </c>
      <c r="F10" s="175"/>
      <c r="G10" s="175"/>
      <c r="H10" s="175">
        <v>0</v>
      </c>
      <c r="I10" s="148">
        <v>15</v>
      </c>
      <c r="J10" s="148">
        <v>9</v>
      </c>
      <c r="K10" s="148">
        <v>24</v>
      </c>
      <c r="L10" s="148">
        <v>831</v>
      </c>
      <c r="M10" s="148">
        <v>252</v>
      </c>
      <c r="N10" s="148">
        <v>1083</v>
      </c>
      <c r="O10" s="148">
        <v>31</v>
      </c>
      <c r="P10" s="148">
        <v>34</v>
      </c>
      <c r="Q10" s="148">
        <v>65</v>
      </c>
      <c r="R10" s="148">
        <v>1616</v>
      </c>
      <c r="S10" s="148">
        <v>1149</v>
      </c>
      <c r="T10" s="148">
        <v>2765</v>
      </c>
      <c r="U10" s="148">
        <v>0</v>
      </c>
      <c r="V10" s="148">
        <v>0</v>
      </c>
      <c r="W10" s="148">
        <v>0</v>
      </c>
      <c r="X10" s="148">
        <v>0</v>
      </c>
      <c r="Y10" s="148">
        <v>0</v>
      </c>
      <c r="Z10" s="148">
        <v>0</v>
      </c>
      <c r="AA10" s="148">
        <v>2493</v>
      </c>
      <c r="AB10" s="148">
        <v>1444</v>
      </c>
      <c r="AC10" s="148">
        <v>3937</v>
      </c>
    </row>
    <row r="11" spans="1:29" s="135" customFormat="1" ht="21.75" customHeight="1">
      <c r="A11" s="165">
        <v>7</v>
      </c>
      <c r="B11" s="174" t="s">
        <v>20</v>
      </c>
      <c r="C11" s="148">
        <v>0</v>
      </c>
      <c r="D11" s="148">
        <v>0</v>
      </c>
      <c r="E11" s="148">
        <v>0</v>
      </c>
      <c r="F11" s="175"/>
      <c r="G11" s="175"/>
      <c r="H11" s="175">
        <v>0</v>
      </c>
      <c r="I11" s="148">
        <v>12</v>
      </c>
      <c r="J11" s="148">
        <v>75</v>
      </c>
      <c r="K11" s="148">
        <v>87</v>
      </c>
      <c r="L11" s="148">
        <v>87</v>
      </c>
      <c r="M11" s="148">
        <v>768</v>
      </c>
      <c r="N11" s="148">
        <v>855</v>
      </c>
      <c r="O11" s="148">
        <v>202</v>
      </c>
      <c r="P11" s="148">
        <v>128</v>
      </c>
      <c r="Q11" s="148">
        <v>330</v>
      </c>
      <c r="R11" s="148">
        <v>1785</v>
      </c>
      <c r="S11" s="148">
        <v>4031</v>
      </c>
      <c r="T11" s="148">
        <v>5816</v>
      </c>
      <c r="U11" s="148">
        <v>4</v>
      </c>
      <c r="V11" s="148">
        <v>33</v>
      </c>
      <c r="W11" s="148">
        <v>37</v>
      </c>
      <c r="X11" s="148">
        <v>0</v>
      </c>
      <c r="Y11" s="148">
        <v>0</v>
      </c>
      <c r="Z11" s="148">
        <v>0</v>
      </c>
      <c r="AA11" s="148">
        <v>2090</v>
      </c>
      <c r="AB11" s="148">
        <v>5035</v>
      </c>
      <c r="AC11" s="148">
        <v>7125</v>
      </c>
    </row>
    <row r="12" spans="1:29" s="135" customFormat="1" ht="21.75" customHeight="1">
      <c r="A12" s="165">
        <v>8</v>
      </c>
      <c r="B12" s="174" t="s">
        <v>23</v>
      </c>
      <c r="C12" s="148">
        <v>18</v>
      </c>
      <c r="D12" s="148">
        <v>7</v>
      </c>
      <c r="E12" s="148">
        <v>25</v>
      </c>
      <c r="F12" s="175"/>
      <c r="G12" s="175"/>
      <c r="H12" s="175">
        <v>0</v>
      </c>
      <c r="I12" s="148">
        <v>123</v>
      </c>
      <c r="J12" s="148">
        <v>202</v>
      </c>
      <c r="K12" s="148">
        <v>325</v>
      </c>
      <c r="L12" s="148">
        <v>596</v>
      </c>
      <c r="M12" s="148">
        <v>622</v>
      </c>
      <c r="N12" s="148">
        <v>1218</v>
      </c>
      <c r="O12" s="148">
        <v>2464</v>
      </c>
      <c r="P12" s="148">
        <v>1563</v>
      </c>
      <c r="Q12" s="148">
        <v>4027</v>
      </c>
      <c r="R12" s="148">
        <v>10985</v>
      </c>
      <c r="S12" s="148">
        <v>8078</v>
      </c>
      <c r="T12" s="148">
        <v>19063</v>
      </c>
      <c r="U12" s="148">
        <v>368</v>
      </c>
      <c r="V12" s="148">
        <v>183</v>
      </c>
      <c r="W12" s="148">
        <v>551</v>
      </c>
      <c r="X12" s="148">
        <v>0</v>
      </c>
      <c r="Y12" s="148">
        <v>0</v>
      </c>
      <c r="Z12" s="148">
        <v>0</v>
      </c>
      <c r="AA12" s="148">
        <v>14554</v>
      </c>
      <c r="AB12" s="148">
        <v>10655</v>
      </c>
      <c r="AC12" s="148">
        <v>25209</v>
      </c>
    </row>
    <row r="13" spans="1:29" s="135" customFormat="1" ht="21.75" customHeight="1">
      <c r="A13" s="165">
        <v>9</v>
      </c>
      <c r="B13" s="174" t="s">
        <v>24</v>
      </c>
      <c r="C13" s="148">
        <v>4</v>
      </c>
      <c r="D13" s="148">
        <v>0</v>
      </c>
      <c r="E13" s="148">
        <v>4</v>
      </c>
      <c r="F13" s="175"/>
      <c r="G13" s="175"/>
      <c r="H13" s="175">
        <v>0</v>
      </c>
      <c r="I13" s="148">
        <v>624</v>
      </c>
      <c r="J13" s="148">
        <v>331</v>
      </c>
      <c r="K13" s="148">
        <v>955</v>
      </c>
      <c r="L13" s="148">
        <v>893</v>
      </c>
      <c r="M13" s="148">
        <v>192</v>
      </c>
      <c r="N13" s="148">
        <v>1085</v>
      </c>
      <c r="O13" s="148">
        <v>0</v>
      </c>
      <c r="P13" s="148">
        <v>0</v>
      </c>
      <c r="Q13" s="148">
        <v>0</v>
      </c>
      <c r="R13" s="148">
        <v>6452</v>
      </c>
      <c r="S13" s="148">
        <v>779</v>
      </c>
      <c r="T13" s="148">
        <v>7231</v>
      </c>
      <c r="U13" s="148">
        <v>0</v>
      </c>
      <c r="V13" s="148">
        <v>0</v>
      </c>
      <c r="W13" s="148">
        <v>0</v>
      </c>
      <c r="X13" s="148">
        <v>0</v>
      </c>
      <c r="Y13" s="148">
        <v>0</v>
      </c>
      <c r="Z13" s="148">
        <v>0</v>
      </c>
      <c r="AA13" s="148">
        <v>7973</v>
      </c>
      <c r="AB13" s="148">
        <v>1302</v>
      </c>
      <c r="AC13" s="148">
        <v>9275</v>
      </c>
    </row>
    <row r="14" spans="1:29" s="135" customFormat="1" ht="21.75" customHeight="1">
      <c r="A14" s="165">
        <v>10</v>
      </c>
      <c r="B14" s="174" t="s">
        <v>25</v>
      </c>
      <c r="C14" s="148">
        <v>50</v>
      </c>
      <c r="D14" s="148">
        <v>49</v>
      </c>
      <c r="E14" s="148">
        <v>99</v>
      </c>
      <c r="F14" s="175"/>
      <c r="G14" s="175"/>
      <c r="H14" s="175">
        <v>0</v>
      </c>
      <c r="I14" s="148">
        <v>616</v>
      </c>
      <c r="J14" s="148">
        <v>575</v>
      </c>
      <c r="K14" s="148">
        <v>1191</v>
      </c>
      <c r="L14" s="148">
        <v>1872</v>
      </c>
      <c r="M14" s="148">
        <v>2144</v>
      </c>
      <c r="N14" s="148">
        <v>4016</v>
      </c>
      <c r="O14" s="148">
        <v>676</v>
      </c>
      <c r="P14" s="148">
        <v>362</v>
      </c>
      <c r="Q14" s="148">
        <v>1038</v>
      </c>
      <c r="R14" s="148">
        <v>5318</v>
      </c>
      <c r="S14" s="148">
        <v>20226</v>
      </c>
      <c r="T14" s="148">
        <v>25544</v>
      </c>
      <c r="U14" s="148">
        <v>416</v>
      </c>
      <c r="V14" s="148">
        <v>827</v>
      </c>
      <c r="W14" s="148">
        <v>1243</v>
      </c>
      <c r="X14" s="148">
        <v>0</v>
      </c>
      <c r="Y14" s="148">
        <v>0</v>
      </c>
      <c r="Z14" s="148">
        <v>0</v>
      </c>
      <c r="AA14" s="148">
        <v>8948</v>
      </c>
      <c r="AB14" s="148">
        <v>24183</v>
      </c>
      <c r="AC14" s="148">
        <v>33131</v>
      </c>
    </row>
    <row r="15" spans="1:29" s="135" customFormat="1" ht="21.75" customHeight="1">
      <c r="A15" s="165">
        <v>11</v>
      </c>
      <c r="B15" s="174" t="s">
        <v>26</v>
      </c>
      <c r="C15" s="148">
        <v>6</v>
      </c>
      <c r="D15" s="148">
        <v>8</v>
      </c>
      <c r="E15" s="148">
        <v>14</v>
      </c>
      <c r="F15" s="175"/>
      <c r="G15" s="175"/>
      <c r="H15" s="175">
        <v>0</v>
      </c>
      <c r="I15" s="148">
        <v>267</v>
      </c>
      <c r="J15" s="148">
        <v>252</v>
      </c>
      <c r="K15" s="148">
        <v>519</v>
      </c>
      <c r="L15" s="148">
        <v>1237</v>
      </c>
      <c r="M15" s="148">
        <v>966</v>
      </c>
      <c r="N15" s="148">
        <v>2203</v>
      </c>
      <c r="O15" s="148">
        <v>336</v>
      </c>
      <c r="P15" s="148">
        <v>126</v>
      </c>
      <c r="Q15" s="148">
        <v>462</v>
      </c>
      <c r="R15" s="148">
        <v>47024</v>
      </c>
      <c r="S15" s="148">
        <v>16106</v>
      </c>
      <c r="T15" s="148">
        <v>63130</v>
      </c>
      <c r="U15" s="148">
        <v>0</v>
      </c>
      <c r="V15" s="148">
        <v>0</v>
      </c>
      <c r="W15" s="148">
        <v>0</v>
      </c>
      <c r="X15" s="148">
        <v>0</v>
      </c>
      <c r="Y15" s="148">
        <v>0</v>
      </c>
      <c r="Z15" s="148">
        <v>0</v>
      </c>
      <c r="AA15" s="148">
        <v>48870</v>
      </c>
      <c r="AB15" s="148">
        <v>17458</v>
      </c>
      <c r="AC15" s="148">
        <v>66328</v>
      </c>
    </row>
    <row r="16" spans="1:29" s="135" customFormat="1" ht="21.75" customHeight="1">
      <c r="A16" s="165">
        <v>12</v>
      </c>
      <c r="B16" s="174" t="s">
        <v>27</v>
      </c>
      <c r="C16" s="148">
        <v>0</v>
      </c>
      <c r="D16" s="148">
        <v>0</v>
      </c>
      <c r="E16" s="148">
        <v>0</v>
      </c>
      <c r="F16" s="175"/>
      <c r="G16" s="175"/>
      <c r="H16" s="175">
        <v>0</v>
      </c>
      <c r="I16" s="148">
        <v>12</v>
      </c>
      <c r="J16" s="148">
        <v>16</v>
      </c>
      <c r="K16" s="148">
        <v>28</v>
      </c>
      <c r="L16" s="148">
        <v>951</v>
      </c>
      <c r="M16" s="148">
        <v>1112</v>
      </c>
      <c r="N16" s="148">
        <v>2063</v>
      </c>
      <c r="O16" s="148">
        <v>31</v>
      </c>
      <c r="P16" s="148">
        <v>27</v>
      </c>
      <c r="Q16" s="148">
        <v>58</v>
      </c>
      <c r="R16" s="148">
        <v>6375</v>
      </c>
      <c r="S16" s="148">
        <v>4442</v>
      </c>
      <c r="T16" s="148">
        <v>10817</v>
      </c>
      <c r="U16" s="148">
        <v>165</v>
      </c>
      <c r="V16" s="148">
        <v>87</v>
      </c>
      <c r="W16" s="148">
        <v>252</v>
      </c>
      <c r="X16" s="148">
        <v>0</v>
      </c>
      <c r="Y16" s="148">
        <v>0</v>
      </c>
      <c r="Z16" s="148">
        <v>0</v>
      </c>
      <c r="AA16" s="148">
        <v>7534</v>
      </c>
      <c r="AB16" s="148">
        <v>5684</v>
      </c>
      <c r="AC16" s="148">
        <v>13218</v>
      </c>
    </row>
    <row r="17" spans="1:29" s="135" customFormat="1" ht="21.75" customHeight="1">
      <c r="A17" s="165">
        <v>13</v>
      </c>
      <c r="B17" s="174" t="s">
        <v>57</v>
      </c>
      <c r="C17" s="148">
        <v>0</v>
      </c>
      <c r="D17" s="148">
        <v>0</v>
      </c>
      <c r="E17" s="148">
        <v>0</v>
      </c>
      <c r="F17" s="175"/>
      <c r="G17" s="175"/>
      <c r="H17" s="175">
        <v>0</v>
      </c>
      <c r="I17" s="148">
        <v>0</v>
      </c>
      <c r="J17" s="148">
        <v>0</v>
      </c>
      <c r="K17" s="148">
        <v>0</v>
      </c>
      <c r="L17" s="148">
        <v>363</v>
      </c>
      <c r="M17" s="148">
        <v>492</v>
      </c>
      <c r="N17" s="148">
        <v>855</v>
      </c>
      <c r="O17" s="148">
        <v>0</v>
      </c>
      <c r="P17" s="148">
        <v>0</v>
      </c>
      <c r="Q17" s="148">
        <v>0</v>
      </c>
      <c r="R17" s="148">
        <v>8474</v>
      </c>
      <c r="S17" s="148">
        <v>9985</v>
      </c>
      <c r="T17" s="148">
        <v>18459</v>
      </c>
      <c r="U17" s="148">
        <v>295</v>
      </c>
      <c r="V17" s="148">
        <v>306</v>
      </c>
      <c r="W17" s="148">
        <v>601</v>
      </c>
      <c r="X17" s="148">
        <v>0</v>
      </c>
      <c r="Y17" s="148">
        <v>0</v>
      </c>
      <c r="Z17" s="148">
        <v>0</v>
      </c>
      <c r="AA17" s="148">
        <v>9132</v>
      </c>
      <c r="AB17" s="148">
        <v>10783</v>
      </c>
      <c r="AC17" s="148">
        <v>19915</v>
      </c>
    </row>
    <row r="18" spans="1:29" s="135" customFormat="1" ht="21.75" customHeight="1">
      <c r="A18" s="165">
        <v>14</v>
      </c>
      <c r="B18" s="174" t="s">
        <v>29</v>
      </c>
      <c r="C18" s="148">
        <v>24</v>
      </c>
      <c r="D18" s="148">
        <v>11</v>
      </c>
      <c r="E18" s="148">
        <v>35</v>
      </c>
      <c r="F18" s="175"/>
      <c r="G18" s="175"/>
      <c r="H18" s="175">
        <v>0</v>
      </c>
      <c r="I18" s="148">
        <v>302</v>
      </c>
      <c r="J18" s="148">
        <v>335</v>
      </c>
      <c r="K18" s="148">
        <v>637</v>
      </c>
      <c r="L18" s="148">
        <v>502</v>
      </c>
      <c r="M18" s="148">
        <v>1412</v>
      </c>
      <c r="N18" s="148">
        <v>1914</v>
      </c>
      <c r="O18" s="148">
        <v>507</v>
      </c>
      <c r="P18" s="148">
        <v>404</v>
      </c>
      <c r="Q18" s="148">
        <v>911</v>
      </c>
      <c r="R18" s="148">
        <v>16434</v>
      </c>
      <c r="S18" s="148">
        <v>7759</v>
      </c>
      <c r="T18" s="148">
        <v>24193</v>
      </c>
      <c r="U18" s="148">
        <v>518</v>
      </c>
      <c r="V18" s="148">
        <v>130</v>
      </c>
      <c r="W18" s="148">
        <v>648</v>
      </c>
      <c r="X18" s="148">
        <v>0</v>
      </c>
      <c r="Y18" s="148">
        <v>0</v>
      </c>
      <c r="Z18" s="148">
        <v>0</v>
      </c>
      <c r="AA18" s="148">
        <v>18287</v>
      </c>
      <c r="AB18" s="148">
        <v>10051</v>
      </c>
      <c r="AC18" s="148">
        <v>28338</v>
      </c>
    </row>
    <row r="19" spans="1:29" s="135" customFormat="1" ht="21.75" customHeight="1">
      <c r="A19" s="165">
        <v>15</v>
      </c>
      <c r="B19" s="174" t="s">
        <v>30</v>
      </c>
      <c r="C19" s="148">
        <v>4</v>
      </c>
      <c r="D19" s="148">
        <v>11</v>
      </c>
      <c r="E19" s="148">
        <v>15</v>
      </c>
      <c r="F19" s="175"/>
      <c r="G19" s="175"/>
      <c r="H19" s="175">
        <v>0</v>
      </c>
      <c r="I19" s="148">
        <v>2024</v>
      </c>
      <c r="J19" s="148">
        <v>1382</v>
      </c>
      <c r="K19" s="148">
        <v>3406</v>
      </c>
      <c r="L19" s="148">
        <v>499</v>
      </c>
      <c r="M19" s="148">
        <v>1239</v>
      </c>
      <c r="N19" s="148">
        <v>1738</v>
      </c>
      <c r="O19" s="148">
        <v>1043</v>
      </c>
      <c r="P19" s="148">
        <v>895</v>
      </c>
      <c r="Q19" s="148">
        <v>1938</v>
      </c>
      <c r="R19" s="148">
        <v>125739</v>
      </c>
      <c r="S19" s="148">
        <v>85773</v>
      </c>
      <c r="T19" s="148">
        <v>211512</v>
      </c>
      <c r="U19" s="148">
        <v>166</v>
      </c>
      <c r="V19" s="148">
        <v>191</v>
      </c>
      <c r="W19" s="148">
        <v>357</v>
      </c>
      <c r="X19" s="148">
        <v>0</v>
      </c>
      <c r="Y19" s="148">
        <v>0</v>
      </c>
      <c r="Z19" s="148">
        <v>0</v>
      </c>
      <c r="AA19" s="148">
        <v>129475</v>
      </c>
      <c r="AB19" s="148">
        <v>89491</v>
      </c>
      <c r="AC19" s="148">
        <v>218966</v>
      </c>
    </row>
    <row r="20" spans="1:29" s="135" customFormat="1" ht="21.75" customHeight="1">
      <c r="A20" s="165">
        <v>16</v>
      </c>
      <c r="B20" s="174" t="s">
        <v>31</v>
      </c>
      <c r="C20" s="148">
        <v>2</v>
      </c>
      <c r="D20" s="148">
        <v>4</v>
      </c>
      <c r="E20" s="148">
        <v>6</v>
      </c>
      <c r="F20" s="175"/>
      <c r="G20" s="175"/>
      <c r="H20" s="175">
        <v>0</v>
      </c>
      <c r="I20" s="148">
        <v>164</v>
      </c>
      <c r="J20" s="148">
        <v>175</v>
      </c>
      <c r="K20" s="148">
        <v>339</v>
      </c>
      <c r="L20" s="148">
        <v>236</v>
      </c>
      <c r="M20" s="148">
        <v>313</v>
      </c>
      <c r="N20" s="148">
        <v>549</v>
      </c>
      <c r="O20" s="148">
        <v>314</v>
      </c>
      <c r="P20" s="148">
        <v>508</v>
      </c>
      <c r="Q20" s="148">
        <v>822</v>
      </c>
      <c r="R20" s="148">
        <v>48811</v>
      </c>
      <c r="S20" s="148">
        <v>30254</v>
      </c>
      <c r="T20" s="148">
        <v>79065</v>
      </c>
      <c r="U20" s="148">
        <v>173</v>
      </c>
      <c r="V20" s="148">
        <v>264</v>
      </c>
      <c r="W20" s="148">
        <v>437</v>
      </c>
      <c r="X20" s="148">
        <v>0</v>
      </c>
      <c r="Y20" s="148">
        <v>0</v>
      </c>
      <c r="Z20" s="148">
        <v>0</v>
      </c>
      <c r="AA20" s="148">
        <v>49700</v>
      </c>
      <c r="AB20" s="148">
        <v>31518</v>
      </c>
      <c r="AC20" s="148">
        <v>81218</v>
      </c>
    </row>
    <row r="21" spans="1:29" s="135" customFormat="1" ht="21.75" customHeight="1">
      <c r="A21" s="165">
        <v>17</v>
      </c>
      <c r="B21" s="89" t="s">
        <v>154</v>
      </c>
      <c r="C21" s="148">
        <v>0</v>
      </c>
      <c r="D21" s="148">
        <v>0</v>
      </c>
      <c r="E21" s="148">
        <v>0</v>
      </c>
      <c r="F21" s="175"/>
      <c r="G21" s="175"/>
      <c r="H21" s="175">
        <v>0</v>
      </c>
      <c r="I21" s="148">
        <v>0</v>
      </c>
      <c r="J21" s="148">
        <v>0</v>
      </c>
      <c r="K21" s="148">
        <v>0</v>
      </c>
      <c r="L21" s="148">
        <v>0</v>
      </c>
      <c r="M21" s="148">
        <v>0</v>
      </c>
      <c r="N21" s="148">
        <v>0</v>
      </c>
      <c r="O21" s="148">
        <v>0</v>
      </c>
      <c r="P21" s="148">
        <v>0</v>
      </c>
      <c r="Q21" s="148">
        <v>0</v>
      </c>
      <c r="R21" s="148">
        <v>195</v>
      </c>
      <c r="S21" s="148">
        <v>314</v>
      </c>
      <c r="T21" s="148">
        <v>509</v>
      </c>
      <c r="U21" s="148">
        <v>19</v>
      </c>
      <c r="V21" s="148">
        <v>131</v>
      </c>
      <c r="W21" s="148">
        <v>150</v>
      </c>
      <c r="X21" s="148">
        <v>0</v>
      </c>
      <c r="Y21" s="148">
        <v>0</v>
      </c>
      <c r="Z21" s="148">
        <v>0</v>
      </c>
      <c r="AA21" s="148">
        <v>214</v>
      </c>
      <c r="AB21" s="148">
        <v>445</v>
      </c>
      <c r="AC21" s="148">
        <v>659</v>
      </c>
    </row>
    <row r="22" spans="1:29" s="135" customFormat="1" ht="21.75" customHeight="1">
      <c r="A22" s="165">
        <v>18</v>
      </c>
      <c r="B22" s="174" t="s">
        <v>32</v>
      </c>
      <c r="C22" s="148"/>
      <c r="D22" s="148"/>
      <c r="E22" s="148"/>
      <c r="F22" s="175"/>
      <c r="G22" s="175"/>
      <c r="H22" s="175">
        <v>0</v>
      </c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</row>
    <row r="23" spans="1:29" s="135" customFormat="1" ht="21.75" customHeight="1">
      <c r="A23" s="165">
        <v>19</v>
      </c>
      <c r="B23" s="174" t="s">
        <v>33</v>
      </c>
      <c r="C23" s="148">
        <v>1</v>
      </c>
      <c r="D23" s="148">
        <v>5</v>
      </c>
      <c r="E23" s="148">
        <v>6</v>
      </c>
      <c r="F23" s="175"/>
      <c r="G23" s="175"/>
      <c r="H23" s="175">
        <v>0</v>
      </c>
      <c r="I23" s="148">
        <v>1543</v>
      </c>
      <c r="J23" s="148">
        <v>1236</v>
      </c>
      <c r="K23" s="148">
        <v>2779</v>
      </c>
      <c r="L23" s="148">
        <v>3537</v>
      </c>
      <c r="M23" s="148">
        <v>5103</v>
      </c>
      <c r="N23" s="148">
        <v>8640</v>
      </c>
      <c r="O23" s="148">
        <v>2982</v>
      </c>
      <c r="P23" s="148">
        <v>1758</v>
      </c>
      <c r="Q23" s="148">
        <v>4740</v>
      </c>
      <c r="R23" s="148">
        <v>28474</v>
      </c>
      <c r="S23" s="148">
        <v>17622</v>
      </c>
      <c r="T23" s="148">
        <v>46096</v>
      </c>
      <c r="U23" s="148">
        <v>233</v>
      </c>
      <c r="V23" s="148">
        <v>244</v>
      </c>
      <c r="W23" s="148">
        <v>477</v>
      </c>
      <c r="X23" s="148">
        <v>100</v>
      </c>
      <c r="Y23" s="148">
        <v>99</v>
      </c>
      <c r="Z23" s="148">
        <v>199</v>
      </c>
      <c r="AA23" s="148">
        <v>36870</v>
      </c>
      <c r="AB23" s="148">
        <v>26067</v>
      </c>
      <c r="AC23" s="148">
        <v>62937</v>
      </c>
    </row>
    <row r="24" spans="1:29" s="135" customFormat="1" ht="21.75" customHeight="1">
      <c r="A24" s="165">
        <v>20</v>
      </c>
      <c r="B24" s="174" t="s">
        <v>34</v>
      </c>
      <c r="C24" s="148">
        <v>6</v>
      </c>
      <c r="D24" s="148">
        <v>2</v>
      </c>
      <c r="E24" s="148">
        <v>8</v>
      </c>
      <c r="F24" s="175"/>
      <c r="G24" s="175"/>
      <c r="H24" s="175">
        <v>0</v>
      </c>
      <c r="I24" s="148">
        <v>2056</v>
      </c>
      <c r="J24" s="148">
        <v>1291</v>
      </c>
      <c r="K24" s="148">
        <v>3347</v>
      </c>
      <c r="L24" s="148">
        <v>8344</v>
      </c>
      <c r="M24" s="148">
        <v>6213</v>
      </c>
      <c r="N24" s="148">
        <v>14557</v>
      </c>
      <c r="O24" s="148">
        <v>6525</v>
      </c>
      <c r="P24" s="148">
        <v>4041</v>
      </c>
      <c r="Q24" s="148">
        <v>10566</v>
      </c>
      <c r="R24" s="148">
        <v>191001</v>
      </c>
      <c r="S24" s="148">
        <v>129710</v>
      </c>
      <c r="T24" s="148">
        <v>320711</v>
      </c>
      <c r="U24" s="148">
        <v>990</v>
      </c>
      <c r="V24" s="148">
        <v>451</v>
      </c>
      <c r="W24" s="148">
        <v>1441</v>
      </c>
      <c r="X24" s="148">
        <v>0</v>
      </c>
      <c r="Y24" s="148">
        <v>0</v>
      </c>
      <c r="Z24" s="148">
        <v>0</v>
      </c>
      <c r="AA24" s="148">
        <v>208922</v>
      </c>
      <c r="AB24" s="148">
        <v>141708</v>
      </c>
      <c r="AC24" s="148">
        <v>350630</v>
      </c>
    </row>
    <row r="25" spans="1:29" s="135" customFormat="1" ht="21.75" customHeight="1">
      <c r="A25" s="165">
        <v>21</v>
      </c>
      <c r="B25" s="174" t="s">
        <v>35</v>
      </c>
      <c r="C25" s="148">
        <v>0</v>
      </c>
      <c r="D25" s="148">
        <v>0</v>
      </c>
      <c r="E25" s="148">
        <v>0</v>
      </c>
      <c r="F25" s="175"/>
      <c r="G25" s="175"/>
      <c r="H25" s="175">
        <v>0</v>
      </c>
      <c r="I25" s="148">
        <v>0</v>
      </c>
      <c r="J25" s="148">
        <v>0</v>
      </c>
      <c r="K25" s="148">
        <v>0</v>
      </c>
      <c r="L25" s="148">
        <v>9</v>
      </c>
      <c r="M25" s="148">
        <v>59</v>
      </c>
      <c r="N25" s="148">
        <v>68</v>
      </c>
      <c r="O25" s="148">
        <v>420</v>
      </c>
      <c r="P25" s="148">
        <v>226</v>
      </c>
      <c r="Q25" s="148">
        <v>646</v>
      </c>
      <c r="R25" s="148">
        <v>1035</v>
      </c>
      <c r="S25" s="148">
        <v>2353</v>
      </c>
      <c r="T25" s="148">
        <v>3388</v>
      </c>
      <c r="U25" s="148">
        <v>143</v>
      </c>
      <c r="V25" s="148">
        <v>113</v>
      </c>
      <c r="W25" s="148">
        <v>256</v>
      </c>
      <c r="X25" s="148">
        <v>0</v>
      </c>
      <c r="Y25" s="148">
        <v>0</v>
      </c>
      <c r="Z25" s="148">
        <v>0</v>
      </c>
      <c r="AA25" s="148">
        <v>1607</v>
      </c>
      <c r="AB25" s="148">
        <v>2751</v>
      </c>
      <c r="AC25" s="148">
        <v>4358</v>
      </c>
    </row>
    <row r="26" spans="1:29" s="135" customFormat="1" ht="21.75" customHeight="1">
      <c r="A26" s="165">
        <v>22</v>
      </c>
      <c r="B26" s="174" t="s">
        <v>36</v>
      </c>
      <c r="C26" s="148">
        <v>0</v>
      </c>
      <c r="D26" s="148">
        <v>0</v>
      </c>
      <c r="E26" s="148">
        <v>0</v>
      </c>
      <c r="F26" s="175"/>
      <c r="G26" s="175"/>
      <c r="H26" s="175">
        <v>0</v>
      </c>
      <c r="I26" s="148">
        <v>0</v>
      </c>
      <c r="J26" s="148">
        <v>0</v>
      </c>
      <c r="K26" s="148">
        <v>0</v>
      </c>
      <c r="L26" s="148">
        <v>448</v>
      </c>
      <c r="M26" s="148">
        <v>670</v>
      </c>
      <c r="N26" s="148">
        <v>1118</v>
      </c>
      <c r="O26" s="148">
        <v>0</v>
      </c>
      <c r="P26" s="148">
        <v>0</v>
      </c>
      <c r="Q26" s="148">
        <v>0</v>
      </c>
      <c r="R26" s="148">
        <v>859</v>
      </c>
      <c r="S26" s="148">
        <v>1783</v>
      </c>
      <c r="T26" s="148">
        <v>2642</v>
      </c>
      <c r="U26" s="148">
        <v>0</v>
      </c>
      <c r="V26" s="148">
        <v>0</v>
      </c>
      <c r="W26" s="148">
        <v>0</v>
      </c>
      <c r="X26" s="148">
        <v>0</v>
      </c>
      <c r="Y26" s="148">
        <v>0</v>
      </c>
      <c r="Z26" s="148">
        <v>0</v>
      </c>
      <c r="AA26" s="148">
        <v>1307</v>
      </c>
      <c r="AB26" s="148">
        <v>2453</v>
      </c>
      <c r="AC26" s="148">
        <v>3760</v>
      </c>
    </row>
    <row r="27" spans="1:29" s="135" customFormat="1" ht="21.75" customHeight="1">
      <c r="A27" s="165">
        <v>23</v>
      </c>
      <c r="B27" s="174" t="s">
        <v>37</v>
      </c>
      <c r="C27" s="148">
        <v>0</v>
      </c>
      <c r="D27" s="148">
        <v>0</v>
      </c>
      <c r="E27" s="148">
        <v>0</v>
      </c>
      <c r="F27" s="175"/>
      <c r="G27" s="175"/>
      <c r="H27" s="175">
        <v>0</v>
      </c>
      <c r="I27" s="148">
        <v>0</v>
      </c>
      <c r="J27" s="148">
        <v>0</v>
      </c>
      <c r="K27" s="148">
        <v>0</v>
      </c>
      <c r="L27" s="148">
        <v>102</v>
      </c>
      <c r="M27" s="148">
        <v>156</v>
      </c>
      <c r="N27" s="148">
        <v>258</v>
      </c>
      <c r="O27" s="148">
        <v>0</v>
      </c>
      <c r="P27" s="148">
        <v>0</v>
      </c>
      <c r="Q27" s="148">
        <v>0</v>
      </c>
      <c r="R27" s="148">
        <v>3094</v>
      </c>
      <c r="S27" s="148">
        <v>3509</v>
      </c>
      <c r="T27" s="148">
        <v>6603</v>
      </c>
      <c r="U27" s="148">
        <v>0</v>
      </c>
      <c r="V27" s="148">
        <v>0</v>
      </c>
      <c r="W27" s="148">
        <v>0</v>
      </c>
      <c r="X27" s="148">
        <v>0</v>
      </c>
      <c r="Y27" s="148">
        <v>0</v>
      </c>
      <c r="Z27" s="148">
        <v>0</v>
      </c>
      <c r="AA27" s="148">
        <v>3196</v>
      </c>
      <c r="AB27" s="148">
        <v>3665</v>
      </c>
      <c r="AC27" s="148">
        <v>6861</v>
      </c>
    </row>
    <row r="28" spans="1:29" s="135" customFormat="1" ht="21.75" customHeight="1">
      <c r="A28" s="165">
        <v>24</v>
      </c>
      <c r="B28" s="174" t="s">
        <v>38</v>
      </c>
      <c r="C28" s="148">
        <v>0</v>
      </c>
      <c r="D28" s="148">
        <v>0</v>
      </c>
      <c r="E28" s="148">
        <v>0</v>
      </c>
      <c r="F28" s="175"/>
      <c r="G28" s="175"/>
      <c r="H28" s="175">
        <v>0</v>
      </c>
      <c r="I28" s="148">
        <v>0</v>
      </c>
      <c r="J28" s="148">
        <v>0</v>
      </c>
      <c r="K28" s="148">
        <v>0</v>
      </c>
      <c r="L28" s="148">
        <v>0</v>
      </c>
      <c r="M28" s="148">
        <v>0</v>
      </c>
      <c r="N28" s="148">
        <v>0</v>
      </c>
      <c r="O28" s="148">
        <v>0</v>
      </c>
      <c r="P28" s="148">
        <v>0</v>
      </c>
      <c r="Q28" s="148">
        <v>0</v>
      </c>
      <c r="R28" s="148">
        <v>765</v>
      </c>
      <c r="S28" s="148">
        <v>1129</v>
      </c>
      <c r="T28" s="148">
        <v>1894</v>
      </c>
      <c r="U28" s="148">
        <v>0</v>
      </c>
      <c r="V28" s="148">
        <v>0</v>
      </c>
      <c r="W28" s="148">
        <v>0</v>
      </c>
      <c r="X28" s="148">
        <v>0</v>
      </c>
      <c r="Y28" s="148">
        <v>0</v>
      </c>
      <c r="Z28" s="148">
        <v>0</v>
      </c>
      <c r="AA28" s="148">
        <v>765</v>
      </c>
      <c r="AB28" s="148">
        <v>1129</v>
      </c>
      <c r="AC28" s="148">
        <v>1894</v>
      </c>
    </row>
    <row r="29" spans="1:29" s="135" customFormat="1" ht="21.75" customHeight="1">
      <c r="A29" s="165">
        <v>25</v>
      </c>
      <c r="B29" s="174" t="s">
        <v>39</v>
      </c>
      <c r="C29" s="148">
        <v>6</v>
      </c>
      <c r="D29" s="148">
        <v>12</v>
      </c>
      <c r="E29" s="148">
        <v>18</v>
      </c>
      <c r="F29" s="175"/>
      <c r="G29" s="175"/>
      <c r="H29" s="175">
        <v>0</v>
      </c>
      <c r="I29" s="148">
        <v>725</v>
      </c>
      <c r="J29" s="148">
        <v>562</v>
      </c>
      <c r="K29" s="148">
        <v>1287</v>
      </c>
      <c r="L29" s="148">
        <v>1490</v>
      </c>
      <c r="M29" s="148">
        <v>2113</v>
      </c>
      <c r="N29" s="148">
        <v>3603</v>
      </c>
      <c r="O29" s="148">
        <v>1137</v>
      </c>
      <c r="P29" s="148">
        <v>611</v>
      </c>
      <c r="Q29" s="148">
        <v>1748</v>
      </c>
      <c r="R29" s="148">
        <v>93082</v>
      </c>
      <c r="S29" s="148">
        <v>41460</v>
      </c>
      <c r="T29" s="148">
        <v>134542</v>
      </c>
      <c r="U29" s="148">
        <v>212</v>
      </c>
      <c r="V29" s="148">
        <v>384</v>
      </c>
      <c r="W29" s="148">
        <v>596</v>
      </c>
      <c r="X29" s="148">
        <v>0</v>
      </c>
      <c r="Y29" s="148">
        <v>0</v>
      </c>
      <c r="Z29" s="148">
        <v>0</v>
      </c>
      <c r="AA29" s="148">
        <v>96652</v>
      </c>
      <c r="AB29" s="148">
        <v>45142</v>
      </c>
      <c r="AC29" s="148">
        <v>141794</v>
      </c>
    </row>
    <row r="30" spans="1:29" s="135" customFormat="1" ht="21.75" customHeight="1">
      <c r="A30" s="165">
        <v>26</v>
      </c>
      <c r="B30" s="174" t="s">
        <v>40</v>
      </c>
      <c r="C30" s="148">
        <v>0</v>
      </c>
      <c r="D30" s="148">
        <v>0</v>
      </c>
      <c r="E30" s="148">
        <v>0</v>
      </c>
      <c r="F30" s="175"/>
      <c r="G30" s="175"/>
      <c r="H30" s="175">
        <v>0</v>
      </c>
      <c r="I30" s="148">
        <v>0</v>
      </c>
      <c r="J30" s="148">
        <v>0</v>
      </c>
      <c r="K30" s="148">
        <v>0</v>
      </c>
      <c r="L30" s="148">
        <v>78</v>
      </c>
      <c r="M30" s="148">
        <v>14</v>
      </c>
      <c r="N30" s="148">
        <v>92</v>
      </c>
      <c r="O30" s="148">
        <v>0</v>
      </c>
      <c r="P30" s="148">
        <v>0</v>
      </c>
      <c r="Q30" s="148">
        <v>0</v>
      </c>
      <c r="R30" s="148">
        <v>2283</v>
      </c>
      <c r="S30" s="148">
        <v>841</v>
      </c>
      <c r="T30" s="148">
        <v>3124</v>
      </c>
      <c r="U30" s="148">
        <v>0</v>
      </c>
      <c r="V30" s="148">
        <v>0</v>
      </c>
      <c r="W30" s="148">
        <v>0</v>
      </c>
      <c r="X30" s="148">
        <v>0</v>
      </c>
      <c r="Y30" s="148">
        <v>0</v>
      </c>
      <c r="Z30" s="148">
        <v>0</v>
      </c>
      <c r="AA30" s="148">
        <v>2361</v>
      </c>
      <c r="AB30" s="148">
        <v>855</v>
      </c>
      <c r="AC30" s="148">
        <v>3216</v>
      </c>
    </row>
    <row r="31" spans="1:29" s="135" customFormat="1" ht="21.75" customHeight="1">
      <c r="A31" s="165">
        <v>27</v>
      </c>
      <c r="B31" s="174" t="s">
        <v>41</v>
      </c>
      <c r="C31" s="148">
        <v>0</v>
      </c>
      <c r="D31" s="148">
        <v>0</v>
      </c>
      <c r="E31" s="148">
        <v>0</v>
      </c>
      <c r="F31" s="175"/>
      <c r="G31" s="175"/>
      <c r="H31" s="175">
        <v>0</v>
      </c>
      <c r="I31" s="148">
        <v>0</v>
      </c>
      <c r="J31" s="148">
        <v>32</v>
      </c>
      <c r="K31" s="148">
        <v>32</v>
      </c>
      <c r="L31" s="148">
        <v>981</v>
      </c>
      <c r="M31" s="148">
        <v>1510</v>
      </c>
      <c r="N31" s="148">
        <v>2491</v>
      </c>
      <c r="O31" s="148">
        <v>49</v>
      </c>
      <c r="P31" s="148">
        <v>3</v>
      </c>
      <c r="Q31" s="148">
        <v>52</v>
      </c>
      <c r="R31" s="148">
        <v>33323</v>
      </c>
      <c r="S31" s="148">
        <v>21567</v>
      </c>
      <c r="T31" s="148">
        <v>54890</v>
      </c>
      <c r="U31" s="148">
        <v>19</v>
      </c>
      <c r="V31" s="148">
        <v>75</v>
      </c>
      <c r="W31" s="148">
        <v>94</v>
      </c>
      <c r="X31" s="148">
        <v>0</v>
      </c>
      <c r="Y31" s="148">
        <v>0</v>
      </c>
      <c r="Z31" s="148">
        <v>0</v>
      </c>
      <c r="AA31" s="148">
        <v>34372</v>
      </c>
      <c r="AB31" s="148">
        <v>23187</v>
      </c>
      <c r="AC31" s="148">
        <v>57559</v>
      </c>
    </row>
    <row r="32" spans="1:29" s="135" customFormat="1" ht="21.75" customHeight="1">
      <c r="A32" s="165">
        <v>28</v>
      </c>
      <c r="B32" s="174" t="s">
        <v>42</v>
      </c>
      <c r="C32" s="148">
        <v>0</v>
      </c>
      <c r="D32" s="148">
        <v>0</v>
      </c>
      <c r="E32" s="148">
        <v>0</v>
      </c>
      <c r="F32" s="175"/>
      <c r="G32" s="175"/>
      <c r="H32" s="175">
        <v>0</v>
      </c>
      <c r="I32" s="148">
        <v>27</v>
      </c>
      <c r="J32" s="148">
        <v>14</v>
      </c>
      <c r="K32" s="148">
        <v>41</v>
      </c>
      <c r="L32" s="148">
        <v>1535</v>
      </c>
      <c r="M32" s="148">
        <v>1802</v>
      </c>
      <c r="N32" s="148">
        <v>3337</v>
      </c>
      <c r="O32" s="148">
        <v>497</v>
      </c>
      <c r="P32" s="148">
        <v>388</v>
      </c>
      <c r="Q32" s="148">
        <v>885</v>
      </c>
      <c r="R32" s="148">
        <v>42344</v>
      </c>
      <c r="S32" s="148">
        <v>18935</v>
      </c>
      <c r="T32" s="148">
        <v>61279</v>
      </c>
      <c r="U32" s="148">
        <v>406</v>
      </c>
      <c r="V32" s="148">
        <v>634</v>
      </c>
      <c r="W32" s="148">
        <v>1040</v>
      </c>
      <c r="X32" s="148">
        <v>159</v>
      </c>
      <c r="Y32" s="148">
        <v>509</v>
      </c>
      <c r="Z32" s="148">
        <v>668</v>
      </c>
      <c r="AA32" s="148">
        <v>44968</v>
      </c>
      <c r="AB32" s="148">
        <v>22282</v>
      </c>
      <c r="AC32" s="148">
        <v>67250</v>
      </c>
    </row>
    <row r="33" spans="1:29" s="135" customFormat="1" ht="21.75" customHeight="1">
      <c r="A33" s="165">
        <v>29</v>
      </c>
      <c r="B33" s="174" t="s">
        <v>43</v>
      </c>
      <c r="C33" s="148">
        <v>0</v>
      </c>
      <c r="D33" s="148">
        <v>0</v>
      </c>
      <c r="E33" s="148">
        <v>0</v>
      </c>
      <c r="F33" s="175"/>
      <c r="G33" s="175"/>
      <c r="H33" s="175">
        <v>0</v>
      </c>
      <c r="I33" s="148">
        <v>0</v>
      </c>
      <c r="J33" s="148">
        <v>0</v>
      </c>
      <c r="K33" s="148">
        <v>0</v>
      </c>
      <c r="L33" s="148">
        <v>56</v>
      </c>
      <c r="M33" s="148">
        <v>22</v>
      </c>
      <c r="N33" s="148">
        <v>78</v>
      </c>
      <c r="O33" s="148">
        <v>0</v>
      </c>
      <c r="P33" s="148">
        <v>0</v>
      </c>
      <c r="Q33" s="148">
        <v>0</v>
      </c>
      <c r="R33" s="148">
        <v>897</v>
      </c>
      <c r="S33" s="148">
        <v>673</v>
      </c>
      <c r="T33" s="148">
        <v>1570</v>
      </c>
      <c r="U33" s="148">
        <v>0</v>
      </c>
      <c r="V33" s="148">
        <v>0</v>
      </c>
      <c r="W33" s="148">
        <v>0</v>
      </c>
      <c r="X33" s="148">
        <v>0</v>
      </c>
      <c r="Y33" s="148">
        <v>0</v>
      </c>
      <c r="Z33" s="148">
        <v>0</v>
      </c>
      <c r="AA33" s="148">
        <v>953</v>
      </c>
      <c r="AB33" s="148">
        <v>695</v>
      </c>
      <c r="AC33" s="148">
        <v>1648</v>
      </c>
    </row>
    <row r="34" spans="1:29" s="135" customFormat="1" ht="21.75" customHeight="1">
      <c r="A34" s="165">
        <v>30</v>
      </c>
      <c r="B34" s="174" t="s">
        <v>44</v>
      </c>
      <c r="C34" s="148">
        <v>0</v>
      </c>
      <c r="D34" s="148">
        <v>0</v>
      </c>
      <c r="E34" s="148">
        <v>0</v>
      </c>
      <c r="F34" s="175"/>
      <c r="G34" s="175"/>
      <c r="H34" s="175">
        <v>0</v>
      </c>
      <c r="I34" s="148">
        <v>222</v>
      </c>
      <c r="J34" s="148">
        <v>115</v>
      </c>
      <c r="K34" s="148">
        <v>337</v>
      </c>
      <c r="L34" s="148">
        <v>981</v>
      </c>
      <c r="M34" s="148">
        <v>200</v>
      </c>
      <c r="N34" s="148">
        <v>1181</v>
      </c>
      <c r="O34" s="148">
        <v>510</v>
      </c>
      <c r="P34" s="148">
        <v>304</v>
      </c>
      <c r="Q34" s="148">
        <v>814</v>
      </c>
      <c r="R34" s="148">
        <v>202537</v>
      </c>
      <c r="S34" s="148">
        <v>31191</v>
      </c>
      <c r="T34" s="148">
        <v>233728</v>
      </c>
      <c r="U34" s="148">
        <v>381</v>
      </c>
      <c r="V34" s="148">
        <v>64</v>
      </c>
      <c r="W34" s="148">
        <v>445</v>
      </c>
      <c r="X34" s="148">
        <v>0</v>
      </c>
      <c r="Y34" s="148">
        <v>0</v>
      </c>
      <c r="Z34" s="148">
        <v>0</v>
      </c>
      <c r="AA34" s="148">
        <v>204631</v>
      </c>
      <c r="AB34" s="148">
        <v>31874</v>
      </c>
      <c r="AC34" s="148">
        <v>236505</v>
      </c>
    </row>
    <row r="35" spans="1:29" s="135" customFormat="1" ht="21.75" customHeight="1">
      <c r="A35" s="165">
        <v>31</v>
      </c>
      <c r="B35" s="174" t="s">
        <v>131</v>
      </c>
      <c r="C35" s="148">
        <v>0</v>
      </c>
      <c r="D35" s="148">
        <v>0</v>
      </c>
      <c r="E35" s="148">
        <v>0</v>
      </c>
      <c r="F35" s="175"/>
      <c r="G35" s="175"/>
      <c r="H35" s="175">
        <v>0</v>
      </c>
      <c r="I35" s="148">
        <v>170</v>
      </c>
      <c r="J35" s="148">
        <v>118</v>
      </c>
      <c r="K35" s="148">
        <v>288</v>
      </c>
      <c r="L35" s="148">
        <v>515</v>
      </c>
      <c r="M35" s="148">
        <v>528</v>
      </c>
      <c r="N35" s="148">
        <v>1043</v>
      </c>
      <c r="O35" s="148">
        <v>1846</v>
      </c>
      <c r="P35" s="148">
        <v>1480</v>
      </c>
      <c r="Q35" s="148">
        <v>3326</v>
      </c>
      <c r="R35" s="148">
        <v>41243</v>
      </c>
      <c r="S35" s="148">
        <v>36944</v>
      </c>
      <c r="T35" s="148">
        <v>78187</v>
      </c>
      <c r="U35" s="148">
        <v>120</v>
      </c>
      <c r="V35" s="148">
        <v>23</v>
      </c>
      <c r="W35" s="148">
        <v>143</v>
      </c>
      <c r="X35" s="148">
        <v>0</v>
      </c>
      <c r="Y35" s="148">
        <v>0</v>
      </c>
      <c r="Z35" s="148">
        <v>0</v>
      </c>
      <c r="AA35" s="148">
        <v>43894</v>
      </c>
      <c r="AB35" s="148">
        <v>39093</v>
      </c>
      <c r="AC35" s="148">
        <v>82987</v>
      </c>
    </row>
    <row r="36" spans="1:29" s="135" customFormat="1" ht="31.5">
      <c r="A36" s="165">
        <v>32</v>
      </c>
      <c r="B36" s="87" t="s">
        <v>1062</v>
      </c>
      <c r="C36" s="148">
        <v>0</v>
      </c>
      <c r="D36" s="148">
        <v>0</v>
      </c>
      <c r="E36" s="148">
        <v>0</v>
      </c>
      <c r="F36" s="175"/>
      <c r="G36" s="175"/>
      <c r="H36" s="175">
        <v>0</v>
      </c>
      <c r="I36" s="148">
        <v>0</v>
      </c>
      <c r="J36" s="148">
        <v>0</v>
      </c>
      <c r="K36" s="148">
        <v>0</v>
      </c>
      <c r="L36" s="148">
        <v>87</v>
      </c>
      <c r="M36" s="148">
        <v>20</v>
      </c>
      <c r="N36" s="148">
        <v>107</v>
      </c>
      <c r="O36" s="148">
        <v>0</v>
      </c>
      <c r="P36" s="148">
        <v>0</v>
      </c>
      <c r="Q36" s="148">
        <v>0</v>
      </c>
      <c r="R36" s="148">
        <v>0</v>
      </c>
      <c r="S36" s="148">
        <v>0</v>
      </c>
      <c r="T36" s="148">
        <v>0</v>
      </c>
      <c r="U36" s="148">
        <v>0</v>
      </c>
      <c r="V36" s="148">
        <v>0</v>
      </c>
      <c r="W36" s="148">
        <v>0</v>
      </c>
      <c r="X36" s="148">
        <v>0</v>
      </c>
      <c r="Y36" s="148">
        <v>0</v>
      </c>
      <c r="Z36" s="148">
        <v>0</v>
      </c>
      <c r="AA36" s="148">
        <v>87</v>
      </c>
      <c r="AB36" s="148">
        <v>20</v>
      </c>
      <c r="AC36" s="148">
        <v>107</v>
      </c>
    </row>
    <row r="37" spans="1:29" s="135" customFormat="1" ht="21.75" customHeight="1">
      <c r="A37" s="165">
        <v>33</v>
      </c>
      <c r="B37" s="174" t="s">
        <v>45</v>
      </c>
      <c r="C37" s="148">
        <v>0</v>
      </c>
      <c r="D37" s="148">
        <v>0</v>
      </c>
      <c r="E37" s="148">
        <v>0</v>
      </c>
      <c r="F37" s="175"/>
      <c r="G37" s="175"/>
      <c r="H37" s="175">
        <v>0</v>
      </c>
      <c r="I37" s="148">
        <v>0</v>
      </c>
      <c r="J37" s="148">
        <v>0</v>
      </c>
      <c r="K37" s="148">
        <v>0</v>
      </c>
      <c r="L37" s="148">
        <v>11</v>
      </c>
      <c r="M37" s="148">
        <v>32</v>
      </c>
      <c r="N37" s="148">
        <v>43</v>
      </c>
      <c r="O37" s="148">
        <v>0</v>
      </c>
      <c r="P37" s="148">
        <v>0</v>
      </c>
      <c r="Q37" s="148">
        <v>0</v>
      </c>
      <c r="R37" s="148">
        <v>704</v>
      </c>
      <c r="S37" s="148">
        <v>914</v>
      </c>
      <c r="T37" s="148">
        <v>1618</v>
      </c>
      <c r="U37" s="148">
        <v>12</v>
      </c>
      <c r="V37" s="148">
        <v>8</v>
      </c>
      <c r="W37" s="148">
        <v>20</v>
      </c>
      <c r="X37" s="148">
        <v>0</v>
      </c>
      <c r="Y37" s="148">
        <v>0</v>
      </c>
      <c r="Z37" s="148">
        <v>0</v>
      </c>
      <c r="AA37" s="148">
        <v>727</v>
      </c>
      <c r="AB37" s="148">
        <v>954</v>
      </c>
      <c r="AC37" s="148">
        <v>1681</v>
      </c>
    </row>
    <row r="38" spans="1:29" s="135" customFormat="1" ht="21.75" customHeight="1">
      <c r="A38" s="165">
        <v>34</v>
      </c>
      <c r="B38" s="174" t="s">
        <v>47</v>
      </c>
      <c r="C38" s="148">
        <v>6</v>
      </c>
      <c r="D38" s="148">
        <v>6</v>
      </c>
      <c r="E38" s="148">
        <v>12</v>
      </c>
      <c r="F38" s="175"/>
      <c r="G38" s="175"/>
      <c r="H38" s="175">
        <v>0</v>
      </c>
      <c r="I38" s="148">
        <v>2491</v>
      </c>
      <c r="J38" s="148">
        <v>1344</v>
      </c>
      <c r="K38" s="148">
        <v>3835</v>
      </c>
      <c r="L38" s="148">
        <v>7887</v>
      </c>
      <c r="M38" s="148">
        <v>9980</v>
      </c>
      <c r="N38" s="148">
        <v>17867</v>
      </c>
      <c r="O38" s="148">
        <v>5992</v>
      </c>
      <c r="P38" s="148">
        <v>3210</v>
      </c>
      <c r="Q38" s="148">
        <v>9202</v>
      </c>
      <c r="R38" s="148">
        <v>150322</v>
      </c>
      <c r="S38" s="148">
        <v>73262</v>
      </c>
      <c r="T38" s="148">
        <v>223584</v>
      </c>
      <c r="U38" s="148">
        <v>786</v>
      </c>
      <c r="V38" s="148">
        <v>594</v>
      </c>
      <c r="W38" s="148">
        <v>1380</v>
      </c>
      <c r="X38" s="148">
        <v>12</v>
      </c>
      <c r="Y38" s="148">
        <v>43</v>
      </c>
      <c r="Z38" s="148">
        <v>55</v>
      </c>
      <c r="AA38" s="148">
        <v>167496</v>
      </c>
      <c r="AB38" s="148">
        <v>88439</v>
      </c>
      <c r="AC38" s="148">
        <v>255935</v>
      </c>
    </row>
    <row r="39" spans="1:29" s="135" customFormat="1" ht="21.75" customHeight="1">
      <c r="A39" s="165">
        <v>35</v>
      </c>
      <c r="B39" s="174" t="s">
        <v>46</v>
      </c>
      <c r="C39" s="148">
        <v>41</v>
      </c>
      <c r="D39" s="148">
        <v>19</v>
      </c>
      <c r="E39" s="148">
        <v>60</v>
      </c>
      <c r="F39" s="175"/>
      <c r="G39" s="175"/>
      <c r="H39" s="175">
        <v>0</v>
      </c>
      <c r="I39" s="148">
        <v>124</v>
      </c>
      <c r="J39" s="148">
        <v>67</v>
      </c>
      <c r="K39" s="148">
        <v>191</v>
      </c>
      <c r="L39" s="148">
        <v>686</v>
      </c>
      <c r="M39" s="148">
        <v>633</v>
      </c>
      <c r="N39" s="148">
        <v>1319</v>
      </c>
      <c r="O39" s="148">
        <v>2</v>
      </c>
      <c r="P39" s="148">
        <v>5</v>
      </c>
      <c r="Q39" s="148">
        <v>7</v>
      </c>
      <c r="R39" s="148">
        <v>14175</v>
      </c>
      <c r="S39" s="148">
        <v>4501</v>
      </c>
      <c r="T39" s="148">
        <v>18676</v>
      </c>
      <c r="U39" s="148">
        <v>169</v>
      </c>
      <c r="V39" s="148">
        <v>20</v>
      </c>
      <c r="W39" s="148">
        <v>189</v>
      </c>
      <c r="X39" s="148">
        <v>0</v>
      </c>
      <c r="Y39" s="148">
        <v>0</v>
      </c>
      <c r="Z39" s="148">
        <v>0</v>
      </c>
      <c r="AA39" s="148">
        <v>15197</v>
      </c>
      <c r="AB39" s="148">
        <v>5245</v>
      </c>
      <c r="AC39" s="148">
        <v>20442</v>
      </c>
    </row>
    <row r="40" spans="1:29" s="135" customFormat="1" ht="21.75" customHeight="1">
      <c r="A40" s="165">
        <v>36</v>
      </c>
      <c r="B40" s="174" t="s">
        <v>48</v>
      </c>
      <c r="C40" s="148">
        <v>9</v>
      </c>
      <c r="D40" s="148">
        <v>6</v>
      </c>
      <c r="E40" s="148">
        <v>15</v>
      </c>
      <c r="F40" s="175"/>
      <c r="G40" s="175"/>
      <c r="H40" s="175">
        <v>0</v>
      </c>
      <c r="I40" s="148">
        <v>368</v>
      </c>
      <c r="J40" s="148">
        <v>372</v>
      </c>
      <c r="K40" s="148">
        <v>740</v>
      </c>
      <c r="L40" s="148">
        <v>9709</v>
      </c>
      <c r="M40" s="148">
        <v>9971</v>
      </c>
      <c r="N40" s="148">
        <v>19680</v>
      </c>
      <c r="O40" s="148">
        <v>1226</v>
      </c>
      <c r="P40" s="148">
        <v>651</v>
      </c>
      <c r="Q40" s="148">
        <v>1877</v>
      </c>
      <c r="R40" s="148">
        <v>87820</v>
      </c>
      <c r="S40" s="148">
        <v>43663</v>
      </c>
      <c r="T40" s="148">
        <v>131483</v>
      </c>
      <c r="U40" s="148">
        <v>106</v>
      </c>
      <c r="V40" s="148">
        <v>14</v>
      </c>
      <c r="W40" s="148">
        <v>120</v>
      </c>
      <c r="X40" s="148">
        <v>15</v>
      </c>
      <c r="Y40" s="148">
        <v>12</v>
      </c>
      <c r="Z40" s="148">
        <v>27</v>
      </c>
      <c r="AA40" s="148">
        <v>99253</v>
      </c>
      <c r="AB40" s="148">
        <v>54689</v>
      </c>
      <c r="AC40" s="148">
        <v>153942</v>
      </c>
    </row>
    <row r="41" spans="1:29" s="96" customFormat="1" ht="21.75" customHeight="1">
      <c r="A41" s="1010" t="s">
        <v>49</v>
      </c>
      <c r="B41" s="1010"/>
      <c r="C41" s="163">
        <v>179</v>
      </c>
      <c r="D41" s="163">
        <v>142</v>
      </c>
      <c r="E41" s="163">
        <v>321</v>
      </c>
      <c r="F41" s="163"/>
      <c r="G41" s="163"/>
      <c r="H41" s="176">
        <v>0</v>
      </c>
      <c r="I41" s="163">
        <v>12140</v>
      </c>
      <c r="J41" s="163">
        <v>8740</v>
      </c>
      <c r="K41" s="163">
        <v>20880</v>
      </c>
      <c r="L41" s="163">
        <v>47180</v>
      </c>
      <c r="M41" s="163">
        <v>51545</v>
      </c>
      <c r="N41" s="163">
        <v>98725</v>
      </c>
      <c r="O41" s="163">
        <v>27241</v>
      </c>
      <c r="P41" s="163">
        <v>16897</v>
      </c>
      <c r="Q41" s="163">
        <v>44138</v>
      </c>
      <c r="R41" s="163">
        <v>1289066</v>
      </c>
      <c r="S41" s="163">
        <v>705462</v>
      </c>
      <c r="T41" s="163">
        <v>1994528</v>
      </c>
      <c r="U41" s="163">
        <v>6069</v>
      </c>
      <c r="V41" s="163">
        <v>5134</v>
      </c>
      <c r="W41" s="163">
        <v>11203</v>
      </c>
      <c r="X41" s="163">
        <v>286</v>
      </c>
      <c r="Y41" s="163">
        <v>663</v>
      </c>
      <c r="Z41" s="163">
        <v>949</v>
      </c>
      <c r="AA41" s="163">
        <v>1382161</v>
      </c>
      <c r="AB41" s="163">
        <v>788583</v>
      </c>
      <c r="AC41" s="163">
        <v>2170744</v>
      </c>
    </row>
  </sheetData>
  <mergeCells count="12">
    <mergeCell ref="X2:Z2"/>
    <mergeCell ref="AA2:AC2"/>
    <mergeCell ref="A2:A3"/>
    <mergeCell ref="B2:B3"/>
    <mergeCell ref="C2:E2"/>
    <mergeCell ref="F2:H2"/>
    <mergeCell ref="I2:K2"/>
    <mergeCell ref="A41:B41"/>
    <mergeCell ref="L2:N2"/>
    <mergeCell ref="O2:Q2"/>
    <mergeCell ref="R2:T2"/>
    <mergeCell ref="U2:W2"/>
  </mergeCells>
  <pageMargins left="0.34" right="0.15748031496062992" top="0.51181102362204722" bottom="0.27559055118110237" header="0.19685039370078741" footer="0.15748031496062992"/>
  <pageSetup paperSize="9" scale="80" firstPageNumber="14" orientation="portrait" useFirstPageNumber="1" r:id="rId1"/>
  <headerFooter>
    <oddFooter>&amp;L&amp;"Arial,Italic"&amp;9AISHE 2021-22&amp;CT-9a</oddFooter>
  </headerFooter>
  <colBreaks count="2" manualBreakCount="2">
    <brk id="11" max="38" man="1"/>
    <brk id="2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Q41"/>
  <sheetViews>
    <sheetView view="pageBreakPreview" topLeftCell="A34" zoomScaleSheetLayoutView="100" workbookViewId="0"/>
  </sheetViews>
  <sheetFormatPr defaultColWidth="9.28515625" defaultRowHeight="15"/>
  <cols>
    <col min="1" max="1" width="5.28515625" style="128" customWidth="1"/>
    <col min="2" max="2" width="30.42578125" style="128" customWidth="1"/>
    <col min="3" max="8" width="11.28515625" style="128" customWidth="1"/>
    <col min="9" max="11" width="9.28515625" style="128"/>
    <col min="12" max="12" width="11.28515625" style="128" customWidth="1"/>
    <col min="13" max="13" width="11.5703125" style="128" customWidth="1"/>
    <col min="14" max="14" width="11.7109375" style="128" customWidth="1"/>
    <col min="15" max="16384" width="9.28515625" style="128"/>
  </cols>
  <sheetData>
    <row r="1" spans="1:14" s="807" customFormat="1" ht="27" customHeight="1">
      <c r="A1" s="806" t="s">
        <v>1073</v>
      </c>
      <c r="C1" s="806"/>
      <c r="F1" s="806"/>
    </row>
    <row r="2" spans="1:14" s="137" customFormat="1" ht="29.25" customHeight="1">
      <c r="A2" s="1014" t="s">
        <v>1066</v>
      </c>
      <c r="B2" s="967" t="s">
        <v>168</v>
      </c>
      <c r="C2" s="967" t="s">
        <v>917</v>
      </c>
      <c r="D2" s="967"/>
      <c r="E2" s="967"/>
      <c r="F2" s="967" t="s">
        <v>170</v>
      </c>
      <c r="G2" s="967"/>
      <c r="H2" s="967"/>
      <c r="I2" s="967" t="s">
        <v>918</v>
      </c>
      <c r="J2" s="967"/>
      <c r="K2" s="967"/>
      <c r="L2" s="979" t="s">
        <v>60</v>
      </c>
      <c r="M2" s="980"/>
      <c r="N2" s="981"/>
    </row>
    <row r="3" spans="1:14" s="124" customFormat="1" ht="24.75" customHeight="1">
      <c r="A3" s="1015"/>
      <c r="B3" s="967"/>
      <c r="C3" s="772" t="s">
        <v>87</v>
      </c>
      <c r="D3" s="772" t="s">
        <v>88</v>
      </c>
      <c r="E3" s="772" t="s">
        <v>12</v>
      </c>
      <c r="F3" s="772" t="s">
        <v>87</v>
      </c>
      <c r="G3" s="772" t="s">
        <v>88</v>
      </c>
      <c r="H3" s="772" t="s">
        <v>12</v>
      </c>
      <c r="I3" s="772" t="s">
        <v>87</v>
      </c>
      <c r="J3" s="772" t="s">
        <v>88</v>
      </c>
      <c r="K3" s="772" t="s">
        <v>12</v>
      </c>
      <c r="L3" s="772" t="s">
        <v>87</v>
      </c>
      <c r="M3" s="772" t="s">
        <v>88</v>
      </c>
      <c r="N3" s="772" t="s">
        <v>12</v>
      </c>
    </row>
    <row r="4" spans="1:14" s="127" customFormat="1">
      <c r="A4" s="799">
        <v>1</v>
      </c>
      <c r="B4" s="799">
        <v>2</v>
      </c>
      <c r="C4" s="808">
        <v>3</v>
      </c>
      <c r="D4" s="808">
        <v>4</v>
      </c>
      <c r="E4" s="808">
        <v>5</v>
      </c>
      <c r="F4" s="808">
        <v>6</v>
      </c>
      <c r="G4" s="808">
        <v>7</v>
      </c>
      <c r="H4" s="808">
        <v>8</v>
      </c>
      <c r="I4" s="808">
        <v>9</v>
      </c>
      <c r="J4" s="808">
        <v>10</v>
      </c>
      <c r="K4" s="808">
        <v>11</v>
      </c>
      <c r="L4" s="808">
        <v>12</v>
      </c>
      <c r="M4" s="808">
        <v>13</v>
      </c>
      <c r="N4" s="808">
        <v>14</v>
      </c>
    </row>
    <row r="5" spans="1:14" s="124" customFormat="1" ht="34.5" customHeight="1">
      <c r="A5" s="125">
        <v>1</v>
      </c>
      <c r="B5" s="121" t="s">
        <v>1061</v>
      </c>
      <c r="C5" s="805">
        <v>2091</v>
      </c>
      <c r="D5" s="805">
        <v>1939</v>
      </c>
      <c r="E5" s="805">
        <v>4030</v>
      </c>
      <c r="F5" s="805">
        <v>3080</v>
      </c>
      <c r="G5" s="805">
        <v>4192</v>
      </c>
      <c r="H5" s="805">
        <v>7272</v>
      </c>
      <c r="I5" s="805">
        <v>29</v>
      </c>
      <c r="J5" s="805">
        <v>96</v>
      </c>
      <c r="K5" s="805">
        <v>125</v>
      </c>
      <c r="L5" s="805">
        <v>5200</v>
      </c>
      <c r="M5" s="805">
        <v>6227</v>
      </c>
      <c r="N5" s="805">
        <v>11427</v>
      </c>
    </row>
    <row r="6" spans="1:14" s="124" customFormat="1" ht="34.5" customHeight="1">
      <c r="A6" s="125">
        <v>2</v>
      </c>
      <c r="B6" s="140" t="s">
        <v>15</v>
      </c>
      <c r="C6" s="805">
        <v>202165</v>
      </c>
      <c r="D6" s="805">
        <v>161796</v>
      </c>
      <c r="E6" s="805">
        <v>363961</v>
      </c>
      <c r="F6" s="805">
        <v>763303</v>
      </c>
      <c r="G6" s="805">
        <v>687752</v>
      </c>
      <c r="H6" s="805">
        <v>1451055</v>
      </c>
      <c r="I6" s="805">
        <v>63271</v>
      </c>
      <c r="J6" s="805">
        <v>50872</v>
      </c>
      <c r="K6" s="805">
        <v>114143</v>
      </c>
      <c r="L6" s="805">
        <v>1028739</v>
      </c>
      <c r="M6" s="805">
        <v>900420</v>
      </c>
      <c r="N6" s="805">
        <v>1929159</v>
      </c>
    </row>
    <row r="7" spans="1:14" s="124" customFormat="1" ht="34.5" customHeight="1">
      <c r="A7" s="125">
        <v>3</v>
      </c>
      <c r="B7" s="140" t="s">
        <v>16</v>
      </c>
      <c r="C7" s="805">
        <v>19945</v>
      </c>
      <c r="D7" s="805">
        <v>15054</v>
      </c>
      <c r="E7" s="805">
        <v>34999</v>
      </c>
      <c r="F7" s="805">
        <v>14334</v>
      </c>
      <c r="G7" s="805">
        <v>14286</v>
      </c>
      <c r="H7" s="805">
        <v>28620</v>
      </c>
      <c r="I7" s="805">
        <v>716</v>
      </c>
      <c r="J7" s="805">
        <v>555</v>
      </c>
      <c r="K7" s="805">
        <v>1271</v>
      </c>
      <c r="L7" s="805">
        <v>34995</v>
      </c>
      <c r="M7" s="805">
        <v>29895</v>
      </c>
      <c r="N7" s="805">
        <v>64890</v>
      </c>
    </row>
    <row r="8" spans="1:14" s="124" customFormat="1" ht="34.5" customHeight="1">
      <c r="A8" s="125">
        <v>4</v>
      </c>
      <c r="B8" s="140" t="s">
        <v>17</v>
      </c>
      <c r="C8" s="805">
        <v>65031</v>
      </c>
      <c r="D8" s="805">
        <v>57744</v>
      </c>
      <c r="E8" s="805">
        <v>122775</v>
      </c>
      <c r="F8" s="805">
        <v>258224</v>
      </c>
      <c r="G8" s="805">
        <v>278234</v>
      </c>
      <c r="H8" s="805">
        <v>536458</v>
      </c>
      <c r="I8" s="805">
        <v>10671</v>
      </c>
      <c r="J8" s="805">
        <v>8108</v>
      </c>
      <c r="K8" s="805">
        <v>18779</v>
      </c>
      <c r="L8" s="805">
        <v>333926</v>
      </c>
      <c r="M8" s="805">
        <v>344086</v>
      </c>
      <c r="N8" s="805">
        <v>678012</v>
      </c>
    </row>
    <row r="9" spans="1:14" s="124" customFormat="1" ht="34.5" customHeight="1">
      <c r="A9" s="125">
        <v>5</v>
      </c>
      <c r="B9" s="140" t="s">
        <v>18</v>
      </c>
      <c r="C9" s="805">
        <v>191429</v>
      </c>
      <c r="D9" s="805">
        <v>117337</v>
      </c>
      <c r="E9" s="805">
        <v>308766</v>
      </c>
      <c r="F9" s="805">
        <v>1211085</v>
      </c>
      <c r="G9" s="805">
        <v>1027494</v>
      </c>
      <c r="H9" s="805">
        <v>2238579</v>
      </c>
      <c r="I9" s="805">
        <v>44946</v>
      </c>
      <c r="J9" s="805">
        <v>30655</v>
      </c>
      <c r="K9" s="805">
        <v>75601</v>
      </c>
      <c r="L9" s="805">
        <v>1447460</v>
      </c>
      <c r="M9" s="805">
        <v>1175486</v>
      </c>
      <c r="N9" s="805">
        <v>2622946</v>
      </c>
    </row>
    <row r="10" spans="1:14" s="124" customFormat="1" ht="34.5" customHeight="1">
      <c r="A10" s="125">
        <v>6</v>
      </c>
      <c r="B10" s="140" t="s">
        <v>19</v>
      </c>
      <c r="C10" s="805">
        <v>32984</v>
      </c>
      <c r="D10" s="805">
        <v>25006</v>
      </c>
      <c r="E10" s="805">
        <v>57990</v>
      </c>
      <c r="F10" s="805">
        <v>19814</v>
      </c>
      <c r="G10" s="805">
        <v>29262</v>
      </c>
      <c r="H10" s="805">
        <v>49076</v>
      </c>
      <c r="I10" s="805">
        <v>2493</v>
      </c>
      <c r="J10" s="805">
        <v>1444</v>
      </c>
      <c r="K10" s="805">
        <v>3937</v>
      </c>
      <c r="L10" s="805">
        <v>55291</v>
      </c>
      <c r="M10" s="805">
        <v>55712</v>
      </c>
      <c r="N10" s="805">
        <v>111003</v>
      </c>
    </row>
    <row r="11" spans="1:14" s="124" customFormat="1" ht="34.5" customHeight="1">
      <c r="A11" s="125">
        <v>7</v>
      </c>
      <c r="B11" s="140" t="s">
        <v>20</v>
      </c>
      <c r="C11" s="805">
        <v>57842</v>
      </c>
      <c r="D11" s="805">
        <v>41505</v>
      </c>
      <c r="E11" s="805">
        <v>99347</v>
      </c>
      <c r="F11" s="805">
        <v>238669</v>
      </c>
      <c r="G11" s="805">
        <v>311200</v>
      </c>
      <c r="H11" s="805">
        <v>549869</v>
      </c>
      <c r="I11" s="805">
        <v>2090</v>
      </c>
      <c r="J11" s="805">
        <v>5035</v>
      </c>
      <c r="K11" s="805">
        <v>7125</v>
      </c>
      <c r="L11" s="805">
        <v>298601</v>
      </c>
      <c r="M11" s="805">
        <v>357740</v>
      </c>
      <c r="N11" s="805">
        <v>656341</v>
      </c>
    </row>
    <row r="12" spans="1:14" s="124" customFormat="1" ht="34.5" customHeight="1">
      <c r="A12" s="125">
        <v>8</v>
      </c>
      <c r="B12" s="140" t="s">
        <v>23</v>
      </c>
      <c r="C12" s="805">
        <v>423990</v>
      </c>
      <c r="D12" s="805">
        <v>390723</v>
      </c>
      <c r="E12" s="805">
        <v>814713</v>
      </c>
      <c r="F12" s="805">
        <v>146809</v>
      </c>
      <c r="G12" s="805">
        <v>158659</v>
      </c>
      <c r="H12" s="805">
        <v>305468</v>
      </c>
      <c r="I12" s="805">
        <v>14554</v>
      </c>
      <c r="J12" s="805">
        <v>10655</v>
      </c>
      <c r="K12" s="805">
        <v>25209</v>
      </c>
      <c r="L12" s="805">
        <v>585353</v>
      </c>
      <c r="M12" s="805">
        <v>560037</v>
      </c>
      <c r="N12" s="805">
        <v>1145390</v>
      </c>
    </row>
    <row r="13" spans="1:14" s="124" customFormat="1" ht="34.5" customHeight="1">
      <c r="A13" s="125">
        <v>9</v>
      </c>
      <c r="B13" s="140" t="s">
        <v>24</v>
      </c>
      <c r="C13" s="805">
        <v>9101</v>
      </c>
      <c r="D13" s="805">
        <v>4904</v>
      </c>
      <c r="E13" s="805">
        <v>14005</v>
      </c>
      <c r="F13" s="805">
        <v>18324</v>
      </c>
      <c r="G13" s="805">
        <v>23811</v>
      </c>
      <c r="H13" s="805">
        <v>42135</v>
      </c>
      <c r="I13" s="805">
        <v>7973</v>
      </c>
      <c r="J13" s="805">
        <v>1302</v>
      </c>
      <c r="K13" s="805">
        <v>9275</v>
      </c>
      <c r="L13" s="805">
        <v>35398</v>
      </c>
      <c r="M13" s="805">
        <v>30017</v>
      </c>
      <c r="N13" s="805">
        <v>65415</v>
      </c>
    </row>
    <row r="14" spans="1:14" s="124" customFormat="1" ht="34.5" customHeight="1">
      <c r="A14" s="125">
        <v>10</v>
      </c>
      <c r="B14" s="140" t="s">
        <v>25</v>
      </c>
      <c r="C14" s="805">
        <v>290685</v>
      </c>
      <c r="D14" s="805">
        <v>199325</v>
      </c>
      <c r="E14" s="805">
        <v>490010</v>
      </c>
      <c r="F14" s="805">
        <v>710033</v>
      </c>
      <c r="G14" s="805">
        <v>564488</v>
      </c>
      <c r="H14" s="805">
        <v>1274521</v>
      </c>
      <c r="I14" s="805">
        <v>8948</v>
      </c>
      <c r="J14" s="805">
        <v>24183</v>
      </c>
      <c r="K14" s="805">
        <v>33131</v>
      </c>
      <c r="L14" s="805">
        <v>1009666</v>
      </c>
      <c r="M14" s="805">
        <v>787996</v>
      </c>
      <c r="N14" s="805">
        <v>1797662</v>
      </c>
    </row>
    <row r="15" spans="1:14" s="124" customFormat="1" ht="34.5" customHeight="1">
      <c r="A15" s="125">
        <v>11</v>
      </c>
      <c r="B15" s="140" t="s">
        <v>26</v>
      </c>
      <c r="C15" s="805">
        <v>196907</v>
      </c>
      <c r="D15" s="805">
        <v>172623</v>
      </c>
      <c r="E15" s="805">
        <v>369530</v>
      </c>
      <c r="F15" s="805">
        <v>296369</v>
      </c>
      <c r="G15" s="805">
        <v>372305</v>
      </c>
      <c r="H15" s="805">
        <v>668674</v>
      </c>
      <c r="I15" s="805">
        <v>48870</v>
      </c>
      <c r="J15" s="805">
        <v>17458</v>
      </c>
      <c r="K15" s="805">
        <v>66328</v>
      </c>
      <c r="L15" s="805">
        <v>542146</v>
      </c>
      <c r="M15" s="805">
        <v>562386</v>
      </c>
      <c r="N15" s="805">
        <v>1104532</v>
      </c>
    </row>
    <row r="16" spans="1:14" s="124" customFormat="1" ht="34.5" customHeight="1">
      <c r="A16" s="125">
        <v>12</v>
      </c>
      <c r="B16" s="140" t="s">
        <v>27</v>
      </c>
      <c r="C16" s="805">
        <v>58521</v>
      </c>
      <c r="D16" s="805">
        <v>47255</v>
      </c>
      <c r="E16" s="805">
        <v>105776</v>
      </c>
      <c r="F16" s="805">
        <v>81088</v>
      </c>
      <c r="G16" s="805">
        <v>119569</v>
      </c>
      <c r="H16" s="805">
        <v>200657</v>
      </c>
      <c r="I16" s="805">
        <v>7534</v>
      </c>
      <c r="J16" s="805">
        <v>5684</v>
      </c>
      <c r="K16" s="805">
        <v>13218</v>
      </c>
      <c r="L16" s="805">
        <v>147143</v>
      </c>
      <c r="M16" s="805">
        <v>172508</v>
      </c>
      <c r="N16" s="805">
        <v>319651</v>
      </c>
    </row>
    <row r="17" spans="1:14" s="124" customFormat="1" ht="34.5" customHeight="1">
      <c r="A17" s="125">
        <v>13</v>
      </c>
      <c r="B17" s="140" t="s">
        <v>57</v>
      </c>
      <c r="C17" s="805">
        <v>83978</v>
      </c>
      <c r="D17" s="805">
        <v>81005</v>
      </c>
      <c r="E17" s="805">
        <v>164983</v>
      </c>
      <c r="F17" s="805">
        <v>99844</v>
      </c>
      <c r="G17" s="805">
        <v>115681</v>
      </c>
      <c r="H17" s="805">
        <v>215525</v>
      </c>
      <c r="I17" s="805">
        <v>9132</v>
      </c>
      <c r="J17" s="805">
        <v>10783</v>
      </c>
      <c r="K17" s="805">
        <v>19915</v>
      </c>
      <c r="L17" s="805">
        <v>192954</v>
      </c>
      <c r="M17" s="805">
        <v>207469</v>
      </c>
      <c r="N17" s="805">
        <v>400423</v>
      </c>
    </row>
    <row r="18" spans="1:14" s="124" customFormat="1" ht="34.5" customHeight="1">
      <c r="A18" s="125">
        <v>14</v>
      </c>
      <c r="B18" s="140" t="s">
        <v>29</v>
      </c>
      <c r="C18" s="805">
        <v>103583</v>
      </c>
      <c r="D18" s="805">
        <v>73681</v>
      </c>
      <c r="E18" s="805">
        <v>177264</v>
      </c>
      <c r="F18" s="805">
        <v>328236</v>
      </c>
      <c r="G18" s="805">
        <v>346127</v>
      </c>
      <c r="H18" s="805">
        <v>674363</v>
      </c>
      <c r="I18" s="805">
        <v>18287</v>
      </c>
      <c r="J18" s="805">
        <v>10051</v>
      </c>
      <c r="K18" s="805">
        <v>28338</v>
      </c>
      <c r="L18" s="805">
        <v>450106</v>
      </c>
      <c r="M18" s="805">
        <v>429859</v>
      </c>
      <c r="N18" s="805">
        <v>879965</v>
      </c>
    </row>
    <row r="19" spans="1:14" s="124" customFormat="1" ht="34.5" customHeight="1">
      <c r="A19" s="125">
        <v>15</v>
      </c>
      <c r="B19" s="140" t="s">
        <v>30</v>
      </c>
      <c r="C19" s="805">
        <v>218223</v>
      </c>
      <c r="D19" s="805">
        <v>176291</v>
      </c>
      <c r="E19" s="805">
        <v>394514</v>
      </c>
      <c r="F19" s="805">
        <v>910306</v>
      </c>
      <c r="G19" s="805">
        <v>912754</v>
      </c>
      <c r="H19" s="805">
        <v>1823060</v>
      </c>
      <c r="I19" s="805">
        <v>129475</v>
      </c>
      <c r="J19" s="805">
        <v>89491</v>
      </c>
      <c r="K19" s="805">
        <v>218966</v>
      </c>
      <c r="L19" s="805">
        <v>1258004</v>
      </c>
      <c r="M19" s="805">
        <v>1178536</v>
      </c>
      <c r="N19" s="805">
        <v>2436540</v>
      </c>
    </row>
    <row r="20" spans="1:14" s="124" customFormat="1" ht="34.5" customHeight="1">
      <c r="A20" s="125">
        <v>16</v>
      </c>
      <c r="B20" s="140" t="s">
        <v>31</v>
      </c>
      <c r="C20" s="805">
        <v>162832</v>
      </c>
      <c r="D20" s="805">
        <v>190414</v>
      </c>
      <c r="E20" s="805">
        <v>353246</v>
      </c>
      <c r="F20" s="805">
        <v>342040</v>
      </c>
      <c r="G20" s="805">
        <v>527941</v>
      </c>
      <c r="H20" s="805">
        <v>869981</v>
      </c>
      <c r="I20" s="805">
        <v>49700</v>
      </c>
      <c r="J20" s="805">
        <v>31518</v>
      </c>
      <c r="K20" s="805">
        <v>81218</v>
      </c>
      <c r="L20" s="805">
        <v>554572</v>
      </c>
      <c r="M20" s="805">
        <v>749873</v>
      </c>
      <c r="N20" s="805">
        <v>1304445</v>
      </c>
    </row>
    <row r="21" spans="1:14" s="124" customFormat="1" ht="34.5" customHeight="1">
      <c r="A21" s="125">
        <v>17</v>
      </c>
      <c r="B21" s="140" t="s">
        <v>154</v>
      </c>
      <c r="C21" s="805">
        <v>255</v>
      </c>
      <c r="D21" s="805">
        <v>445</v>
      </c>
      <c r="E21" s="805">
        <v>700</v>
      </c>
      <c r="F21" s="805">
        <v>1102</v>
      </c>
      <c r="G21" s="805">
        <v>1979</v>
      </c>
      <c r="H21" s="805">
        <v>3081</v>
      </c>
      <c r="I21" s="805">
        <v>214</v>
      </c>
      <c r="J21" s="805">
        <v>445</v>
      </c>
      <c r="K21" s="805">
        <v>659</v>
      </c>
      <c r="L21" s="805">
        <v>1571</v>
      </c>
      <c r="M21" s="805">
        <v>2869</v>
      </c>
      <c r="N21" s="805">
        <v>4440</v>
      </c>
    </row>
    <row r="22" spans="1:14" s="124" customFormat="1" ht="34.5" customHeight="1">
      <c r="A22" s="125">
        <v>18</v>
      </c>
      <c r="B22" s="140" t="s">
        <v>32</v>
      </c>
      <c r="C22" s="805">
        <v>14</v>
      </c>
      <c r="D22" s="805">
        <v>74</v>
      </c>
      <c r="E22" s="805">
        <v>88</v>
      </c>
      <c r="F22" s="805" t="s">
        <v>925</v>
      </c>
      <c r="G22" s="805" t="s">
        <v>925</v>
      </c>
      <c r="H22" s="805"/>
      <c r="I22" s="805" t="s">
        <v>925</v>
      </c>
      <c r="J22" s="805" t="s">
        <v>925</v>
      </c>
      <c r="K22" s="805" t="s">
        <v>925</v>
      </c>
      <c r="L22" s="805">
        <v>14</v>
      </c>
      <c r="M22" s="805">
        <v>74</v>
      </c>
      <c r="N22" s="805">
        <v>88</v>
      </c>
    </row>
    <row r="23" spans="1:14" s="124" customFormat="1" ht="34.5" customHeight="1">
      <c r="A23" s="125">
        <v>19</v>
      </c>
      <c r="B23" s="140" t="s">
        <v>33</v>
      </c>
      <c r="C23" s="805">
        <v>409767</v>
      </c>
      <c r="D23" s="805">
        <v>231447</v>
      </c>
      <c r="E23" s="805">
        <v>641214</v>
      </c>
      <c r="F23" s="805">
        <v>1059271</v>
      </c>
      <c r="G23" s="805">
        <v>1036743</v>
      </c>
      <c r="H23" s="805">
        <v>2096014</v>
      </c>
      <c r="I23" s="805">
        <v>36870</v>
      </c>
      <c r="J23" s="805">
        <v>26067</v>
      </c>
      <c r="K23" s="805">
        <v>62937</v>
      </c>
      <c r="L23" s="805">
        <v>1505908</v>
      </c>
      <c r="M23" s="805">
        <v>1294257</v>
      </c>
      <c r="N23" s="805">
        <v>2800165</v>
      </c>
    </row>
    <row r="24" spans="1:14" s="124" customFormat="1" ht="34.5" customHeight="1">
      <c r="A24" s="125">
        <v>20</v>
      </c>
      <c r="B24" s="140" t="s">
        <v>34</v>
      </c>
      <c r="C24" s="805">
        <v>610462</v>
      </c>
      <c r="D24" s="805">
        <v>409832</v>
      </c>
      <c r="E24" s="805">
        <v>1020294</v>
      </c>
      <c r="F24" s="805">
        <v>1723447</v>
      </c>
      <c r="G24" s="805">
        <v>1483472</v>
      </c>
      <c r="H24" s="805">
        <v>3206919</v>
      </c>
      <c r="I24" s="805">
        <v>208922</v>
      </c>
      <c r="J24" s="805">
        <v>141708</v>
      </c>
      <c r="K24" s="805">
        <v>350630</v>
      </c>
      <c r="L24" s="805">
        <v>2542831</v>
      </c>
      <c r="M24" s="805">
        <v>2035012</v>
      </c>
      <c r="N24" s="805">
        <v>4577843</v>
      </c>
    </row>
    <row r="25" spans="1:14" s="124" customFormat="1" ht="34.5" customHeight="1">
      <c r="A25" s="125">
        <v>21</v>
      </c>
      <c r="B25" s="140" t="s">
        <v>35</v>
      </c>
      <c r="C25" s="805">
        <v>9482</v>
      </c>
      <c r="D25" s="805">
        <v>8211</v>
      </c>
      <c r="E25" s="805">
        <v>17693</v>
      </c>
      <c r="F25" s="805">
        <v>55145</v>
      </c>
      <c r="G25" s="805">
        <v>53192</v>
      </c>
      <c r="H25" s="805">
        <v>108337</v>
      </c>
      <c r="I25" s="805">
        <v>1607</v>
      </c>
      <c r="J25" s="805">
        <v>2751</v>
      </c>
      <c r="K25" s="805">
        <v>4358</v>
      </c>
      <c r="L25" s="805">
        <v>66234</v>
      </c>
      <c r="M25" s="805">
        <v>64154</v>
      </c>
      <c r="N25" s="805">
        <v>130388</v>
      </c>
    </row>
    <row r="26" spans="1:14" s="124" customFormat="1" ht="34.5" customHeight="1">
      <c r="A26" s="125">
        <v>22</v>
      </c>
      <c r="B26" s="140" t="s">
        <v>36</v>
      </c>
      <c r="C26" s="805">
        <v>11708</v>
      </c>
      <c r="D26" s="805">
        <v>13276</v>
      </c>
      <c r="E26" s="805">
        <v>24984</v>
      </c>
      <c r="F26" s="805">
        <v>30573</v>
      </c>
      <c r="G26" s="805">
        <v>37136</v>
      </c>
      <c r="H26" s="805">
        <v>67709</v>
      </c>
      <c r="I26" s="805">
        <v>1307</v>
      </c>
      <c r="J26" s="805">
        <v>2453</v>
      </c>
      <c r="K26" s="805">
        <v>3760</v>
      </c>
      <c r="L26" s="805">
        <v>43588</v>
      </c>
      <c r="M26" s="805">
        <v>52865</v>
      </c>
      <c r="N26" s="805">
        <v>96453</v>
      </c>
    </row>
    <row r="27" spans="1:14" s="124" customFormat="1" ht="34.5" customHeight="1">
      <c r="A27" s="125">
        <v>23</v>
      </c>
      <c r="B27" s="140" t="s">
        <v>37</v>
      </c>
      <c r="C27" s="805">
        <v>6399</v>
      </c>
      <c r="D27" s="805">
        <v>6763</v>
      </c>
      <c r="E27" s="805">
        <v>13162</v>
      </c>
      <c r="F27" s="805">
        <v>13596</v>
      </c>
      <c r="G27" s="805">
        <v>13152</v>
      </c>
      <c r="H27" s="805">
        <v>26748</v>
      </c>
      <c r="I27" s="805">
        <v>3196</v>
      </c>
      <c r="J27" s="805">
        <v>3665</v>
      </c>
      <c r="K27" s="805">
        <v>6861</v>
      </c>
      <c r="L27" s="805">
        <v>23191</v>
      </c>
      <c r="M27" s="805">
        <v>23580</v>
      </c>
      <c r="N27" s="805">
        <v>46771</v>
      </c>
    </row>
    <row r="28" spans="1:14" s="124" customFormat="1" ht="34.5" customHeight="1">
      <c r="A28" s="125">
        <v>24</v>
      </c>
      <c r="B28" s="140" t="s">
        <v>38</v>
      </c>
      <c r="C28" s="805">
        <v>6155</v>
      </c>
      <c r="D28" s="805">
        <v>6923</v>
      </c>
      <c r="E28" s="805">
        <v>13078</v>
      </c>
      <c r="F28" s="805">
        <v>16637</v>
      </c>
      <c r="G28" s="805">
        <v>19614</v>
      </c>
      <c r="H28" s="805">
        <v>36251</v>
      </c>
      <c r="I28" s="805">
        <v>765</v>
      </c>
      <c r="J28" s="805">
        <v>1129</v>
      </c>
      <c r="K28" s="805">
        <v>1894</v>
      </c>
      <c r="L28" s="805">
        <v>23557</v>
      </c>
      <c r="M28" s="805">
        <v>27666</v>
      </c>
      <c r="N28" s="805">
        <v>51223</v>
      </c>
    </row>
    <row r="29" spans="1:14" s="124" customFormat="1" ht="34.5" customHeight="1">
      <c r="A29" s="125">
        <v>25</v>
      </c>
      <c r="B29" s="140" t="s">
        <v>39</v>
      </c>
      <c r="C29" s="805">
        <v>102463</v>
      </c>
      <c r="D29" s="805">
        <v>86891</v>
      </c>
      <c r="E29" s="805">
        <v>189354</v>
      </c>
      <c r="F29" s="805">
        <v>382052</v>
      </c>
      <c r="G29" s="805">
        <v>360679</v>
      </c>
      <c r="H29" s="805">
        <v>742731</v>
      </c>
      <c r="I29" s="805">
        <v>96652</v>
      </c>
      <c r="J29" s="805">
        <v>45142</v>
      </c>
      <c r="K29" s="805">
        <v>141794</v>
      </c>
      <c r="L29" s="805">
        <v>581167</v>
      </c>
      <c r="M29" s="805">
        <v>492712</v>
      </c>
      <c r="N29" s="805">
        <v>1073879</v>
      </c>
    </row>
    <row r="30" spans="1:14" s="124" customFormat="1" ht="34.5" customHeight="1">
      <c r="A30" s="125">
        <v>26</v>
      </c>
      <c r="B30" s="140" t="s">
        <v>40</v>
      </c>
      <c r="C30" s="805">
        <v>16247</v>
      </c>
      <c r="D30" s="805">
        <v>16138</v>
      </c>
      <c r="E30" s="805">
        <v>32385</v>
      </c>
      <c r="F30" s="805">
        <v>26213</v>
      </c>
      <c r="G30" s="805">
        <v>32829</v>
      </c>
      <c r="H30" s="805">
        <v>59042</v>
      </c>
      <c r="I30" s="805">
        <v>2361</v>
      </c>
      <c r="J30" s="805">
        <v>855</v>
      </c>
      <c r="K30" s="805">
        <v>3216</v>
      </c>
      <c r="L30" s="805">
        <v>44821</v>
      </c>
      <c r="M30" s="805">
        <v>49822</v>
      </c>
      <c r="N30" s="805">
        <v>94643</v>
      </c>
    </row>
    <row r="31" spans="1:14" s="124" customFormat="1" ht="34.5" customHeight="1">
      <c r="A31" s="125">
        <v>27</v>
      </c>
      <c r="B31" s="140" t="s">
        <v>41</v>
      </c>
      <c r="C31" s="805">
        <v>163732</v>
      </c>
      <c r="D31" s="805">
        <v>118539</v>
      </c>
      <c r="E31" s="805">
        <v>282271</v>
      </c>
      <c r="F31" s="805">
        <v>236512</v>
      </c>
      <c r="G31" s="805">
        <v>282402</v>
      </c>
      <c r="H31" s="805">
        <v>518914</v>
      </c>
      <c r="I31" s="805">
        <v>34372</v>
      </c>
      <c r="J31" s="805">
        <v>23187</v>
      </c>
      <c r="K31" s="805">
        <v>57559</v>
      </c>
      <c r="L31" s="805">
        <v>434616</v>
      </c>
      <c r="M31" s="805">
        <v>424128</v>
      </c>
      <c r="N31" s="805">
        <v>858744</v>
      </c>
    </row>
    <row r="32" spans="1:14" s="124" customFormat="1" ht="34.5" customHeight="1">
      <c r="A32" s="125">
        <v>28</v>
      </c>
      <c r="B32" s="140" t="s">
        <v>42</v>
      </c>
      <c r="C32" s="805">
        <v>424404</v>
      </c>
      <c r="D32" s="805">
        <v>260852</v>
      </c>
      <c r="E32" s="805">
        <v>685256</v>
      </c>
      <c r="F32" s="805">
        <v>960911</v>
      </c>
      <c r="G32" s="805">
        <v>975923</v>
      </c>
      <c r="H32" s="805">
        <v>1936834</v>
      </c>
      <c r="I32" s="805">
        <v>44968</v>
      </c>
      <c r="J32" s="805">
        <v>22282</v>
      </c>
      <c r="K32" s="805">
        <v>67250</v>
      </c>
      <c r="L32" s="805">
        <v>1430283</v>
      </c>
      <c r="M32" s="805">
        <v>1259057</v>
      </c>
      <c r="N32" s="805">
        <v>2689340</v>
      </c>
    </row>
    <row r="33" spans="1:17" s="124" customFormat="1" ht="34.5" customHeight="1">
      <c r="A33" s="125">
        <v>29</v>
      </c>
      <c r="B33" s="140" t="s">
        <v>43</v>
      </c>
      <c r="C33" s="805">
        <v>8450</v>
      </c>
      <c r="D33" s="805">
        <v>8297</v>
      </c>
      <c r="E33" s="805">
        <v>16747</v>
      </c>
      <c r="F33" s="805">
        <v>6871</v>
      </c>
      <c r="G33" s="805">
        <v>8495</v>
      </c>
      <c r="H33" s="805">
        <v>15366</v>
      </c>
      <c r="I33" s="805">
        <v>953</v>
      </c>
      <c r="J33" s="805">
        <v>695</v>
      </c>
      <c r="K33" s="805">
        <v>1648</v>
      </c>
      <c r="L33" s="805">
        <v>16274</v>
      </c>
      <c r="M33" s="805">
        <v>17487</v>
      </c>
      <c r="N33" s="805">
        <v>33761</v>
      </c>
    </row>
    <row r="34" spans="1:17" s="124" customFormat="1" ht="34.5" customHeight="1">
      <c r="A34" s="125">
        <v>30</v>
      </c>
      <c r="B34" s="140" t="s">
        <v>44</v>
      </c>
      <c r="C34" s="805">
        <v>444622</v>
      </c>
      <c r="D34" s="805">
        <v>341320</v>
      </c>
      <c r="E34" s="805">
        <v>785942</v>
      </c>
      <c r="F34" s="805">
        <v>1048859</v>
      </c>
      <c r="G34" s="805">
        <v>1238021</v>
      </c>
      <c r="H34" s="805">
        <v>2286880</v>
      </c>
      <c r="I34" s="805">
        <v>204631</v>
      </c>
      <c r="J34" s="805">
        <v>31874</v>
      </c>
      <c r="K34" s="805">
        <v>236505</v>
      </c>
      <c r="L34" s="805">
        <v>1698112</v>
      </c>
      <c r="M34" s="805">
        <v>1611215</v>
      </c>
      <c r="N34" s="805">
        <v>3309327</v>
      </c>
    </row>
    <row r="35" spans="1:17" s="124" customFormat="1" ht="34.5" customHeight="1">
      <c r="A35" s="125">
        <v>31</v>
      </c>
      <c r="B35" s="140" t="s">
        <v>131</v>
      </c>
      <c r="C35" s="805">
        <v>132085</v>
      </c>
      <c r="D35" s="805">
        <v>117404</v>
      </c>
      <c r="E35" s="805">
        <v>249489</v>
      </c>
      <c r="F35" s="805">
        <v>617374</v>
      </c>
      <c r="G35" s="805">
        <v>646830</v>
      </c>
      <c r="H35" s="805">
        <v>1264204</v>
      </c>
      <c r="I35" s="805">
        <v>43894</v>
      </c>
      <c r="J35" s="805">
        <v>39093</v>
      </c>
      <c r="K35" s="805">
        <v>82987</v>
      </c>
      <c r="L35" s="805">
        <v>793353</v>
      </c>
      <c r="M35" s="805">
        <v>803327</v>
      </c>
      <c r="N35" s="805">
        <v>1596680</v>
      </c>
    </row>
    <row r="36" spans="1:17" s="124" customFormat="1" ht="34.5" customHeight="1">
      <c r="A36" s="125">
        <v>32</v>
      </c>
      <c r="B36" s="803" t="s">
        <v>1062</v>
      </c>
      <c r="C36" s="805">
        <v>208</v>
      </c>
      <c r="D36" s="805">
        <v>58</v>
      </c>
      <c r="E36" s="805">
        <v>266</v>
      </c>
      <c r="F36" s="805">
        <v>6388</v>
      </c>
      <c r="G36" s="805">
        <v>6044</v>
      </c>
      <c r="H36" s="805">
        <v>12432</v>
      </c>
      <c r="I36" s="805">
        <v>87</v>
      </c>
      <c r="J36" s="805">
        <v>20</v>
      </c>
      <c r="K36" s="805">
        <v>107</v>
      </c>
      <c r="L36" s="805">
        <v>6683</v>
      </c>
      <c r="M36" s="805">
        <v>6122</v>
      </c>
      <c r="N36" s="805">
        <v>12805</v>
      </c>
    </row>
    <row r="37" spans="1:17" s="124" customFormat="1" ht="34.5" customHeight="1">
      <c r="A37" s="125">
        <v>33</v>
      </c>
      <c r="B37" s="140" t="s">
        <v>45</v>
      </c>
      <c r="C37" s="805">
        <v>13558</v>
      </c>
      <c r="D37" s="805">
        <v>10411</v>
      </c>
      <c r="E37" s="805">
        <v>23969</v>
      </c>
      <c r="F37" s="805">
        <v>39253</v>
      </c>
      <c r="G37" s="805">
        <v>35648</v>
      </c>
      <c r="H37" s="805">
        <v>74901</v>
      </c>
      <c r="I37" s="805">
        <v>727</v>
      </c>
      <c r="J37" s="805">
        <v>954</v>
      </c>
      <c r="K37" s="805">
        <v>1681</v>
      </c>
      <c r="L37" s="805">
        <v>53538</v>
      </c>
      <c r="M37" s="805">
        <v>47013</v>
      </c>
      <c r="N37" s="805">
        <v>100551</v>
      </c>
    </row>
    <row r="38" spans="1:17" s="124" customFormat="1" ht="34.5" customHeight="1">
      <c r="A38" s="125">
        <v>34</v>
      </c>
      <c r="B38" s="140" t="s">
        <v>47</v>
      </c>
      <c r="C38" s="805">
        <v>477835</v>
      </c>
      <c r="D38" s="805">
        <v>267952</v>
      </c>
      <c r="E38" s="805">
        <v>745787</v>
      </c>
      <c r="F38" s="805">
        <v>3023987</v>
      </c>
      <c r="G38" s="805">
        <v>2947715</v>
      </c>
      <c r="H38" s="805">
        <v>5971702</v>
      </c>
      <c r="I38" s="805">
        <v>167496</v>
      </c>
      <c r="J38" s="805">
        <v>88439</v>
      </c>
      <c r="K38" s="805">
        <v>255935</v>
      </c>
      <c r="L38" s="805">
        <v>3669318</v>
      </c>
      <c r="M38" s="805">
        <v>3304106</v>
      </c>
      <c r="N38" s="805">
        <v>6973424</v>
      </c>
    </row>
    <row r="39" spans="1:17" s="124" customFormat="1" ht="34.5" customHeight="1">
      <c r="A39" s="125">
        <v>35</v>
      </c>
      <c r="B39" s="140" t="s">
        <v>46</v>
      </c>
      <c r="C39" s="805">
        <v>136517</v>
      </c>
      <c r="D39" s="805">
        <v>110289</v>
      </c>
      <c r="E39" s="805">
        <v>246806</v>
      </c>
      <c r="F39" s="805">
        <v>134435</v>
      </c>
      <c r="G39" s="805">
        <v>166021</v>
      </c>
      <c r="H39" s="805">
        <v>300456</v>
      </c>
      <c r="I39" s="805">
        <v>15197</v>
      </c>
      <c r="J39" s="805">
        <v>5245</v>
      </c>
      <c r="K39" s="805">
        <v>20442</v>
      </c>
      <c r="L39" s="805">
        <v>286149</v>
      </c>
      <c r="M39" s="805">
        <v>281555</v>
      </c>
      <c r="N39" s="805">
        <v>567704</v>
      </c>
    </row>
    <row r="40" spans="1:17" s="124" customFormat="1" ht="34.5" customHeight="1">
      <c r="A40" s="125">
        <v>36</v>
      </c>
      <c r="B40" s="140" t="s">
        <v>48</v>
      </c>
      <c r="C40" s="805">
        <v>427285</v>
      </c>
      <c r="D40" s="805">
        <v>345666</v>
      </c>
      <c r="E40" s="805">
        <v>772951</v>
      </c>
      <c r="F40" s="805">
        <v>849089</v>
      </c>
      <c r="G40" s="805">
        <v>946169</v>
      </c>
      <c r="H40" s="805">
        <v>1795258</v>
      </c>
      <c r="I40" s="805">
        <v>99253</v>
      </c>
      <c r="J40" s="805">
        <v>54689</v>
      </c>
      <c r="K40" s="805">
        <v>153942</v>
      </c>
      <c r="L40" s="805">
        <v>1375627</v>
      </c>
      <c r="M40" s="805">
        <v>1346524</v>
      </c>
      <c r="N40" s="805">
        <v>2722151</v>
      </c>
    </row>
    <row r="41" spans="1:17" s="127" customFormat="1" ht="34.5" customHeight="1">
      <c r="A41" s="973" t="s">
        <v>49</v>
      </c>
      <c r="B41" s="973"/>
      <c r="C41" s="809">
        <v>5520955</v>
      </c>
      <c r="D41" s="809">
        <v>4117390</v>
      </c>
      <c r="E41" s="809">
        <v>9638345</v>
      </c>
      <c r="F41" s="809">
        <v>15673273</v>
      </c>
      <c r="G41" s="809">
        <v>15785819</v>
      </c>
      <c r="H41" s="809">
        <v>31459092</v>
      </c>
      <c r="I41" s="809">
        <v>1382161</v>
      </c>
      <c r="J41" s="809">
        <v>788583</v>
      </c>
      <c r="K41" s="809">
        <v>2170744</v>
      </c>
      <c r="L41" s="809">
        <v>22576389</v>
      </c>
      <c r="M41" s="809">
        <v>20691792</v>
      </c>
      <c r="N41" s="809">
        <v>43268181</v>
      </c>
      <c r="O41" s="124"/>
      <c r="P41" s="124"/>
      <c r="Q41" s="124"/>
    </row>
  </sheetData>
  <mergeCells count="7">
    <mergeCell ref="I2:K2"/>
    <mergeCell ref="L2:N2"/>
    <mergeCell ref="A41:B41"/>
    <mergeCell ref="A2:A3"/>
    <mergeCell ref="B2:B3"/>
    <mergeCell ref="C2:E2"/>
    <mergeCell ref="F2:H2"/>
  </mergeCells>
  <printOptions horizontalCentered="1"/>
  <pageMargins left="0.27559055118110237" right="0.15748031496062992" top="0.51181102362204722" bottom="0.35433070866141736" header="0.19685039370078741" footer="0.15748031496062992"/>
  <pageSetup paperSize="9" scale="57" firstPageNumber="20" orientation="portrait" useFirstPageNumber="1" r:id="rId1"/>
  <headerFooter>
    <oddFooter>&amp;L&amp;"Arial,Italic"&amp;9AISHE 2021-22&amp;CT-10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Z241"/>
  <sheetViews>
    <sheetView view="pageBreakPreview" zoomScaleSheetLayoutView="100" workbookViewId="0">
      <pane ySplit="4" topLeftCell="A5" activePane="bottomLeft" state="frozen"/>
      <selection activeCell="F15" sqref="F15"/>
      <selection pane="bottomLeft" activeCell="F15" sqref="F15"/>
    </sheetView>
  </sheetViews>
  <sheetFormatPr defaultColWidth="7.5703125" defaultRowHeight="15"/>
  <cols>
    <col min="1" max="1" width="7.140625" style="256" bestFit="1" customWidth="1"/>
    <col min="2" max="2" width="30.5703125" style="258" bestFit="1" customWidth="1"/>
    <col min="3" max="20" width="10.7109375" style="256" customWidth="1"/>
    <col min="21" max="26" width="15" style="256" customWidth="1"/>
    <col min="27" max="16384" width="7.5703125" style="256"/>
  </cols>
  <sheetData>
    <row r="1" spans="1:26" s="249" customFormat="1" ht="42" customHeight="1">
      <c r="A1" s="1019" t="s">
        <v>273</v>
      </c>
      <c r="B1" s="1019"/>
      <c r="C1" s="1017" t="s">
        <v>894</v>
      </c>
      <c r="D1" s="1017"/>
      <c r="E1" s="1017"/>
      <c r="F1" s="1017"/>
      <c r="G1" s="1017"/>
      <c r="H1" s="1017"/>
      <c r="I1" s="1017"/>
      <c r="J1" s="1017"/>
      <c r="K1" s="1017"/>
      <c r="L1" s="1017" t="str">
        <f>C1</f>
        <v>Programme-wise Enrolment (Based on Actual Response)</v>
      </c>
      <c r="M1" s="1017"/>
      <c r="N1" s="1017"/>
      <c r="O1" s="1017"/>
      <c r="P1" s="1017"/>
      <c r="Q1" s="1017"/>
      <c r="R1" s="1017"/>
      <c r="S1" s="1017"/>
      <c r="T1" s="1017"/>
      <c r="U1" s="524" t="str">
        <f>L1</f>
        <v>Programme-wise Enrolment (Based on Actual Response)</v>
      </c>
      <c r="V1" s="524"/>
      <c r="W1" s="524"/>
      <c r="X1" s="524"/>
      <c r="Y1" s="524"/>
      <c r="Z1" s="524"/>
    </row>
    <row r="2" spans="1:26" s="250" customFormat="1" ht="31.5" customHeight="1">
      <c r="A2" s="1020" t="s">
        <v>167</v>
      </c>
      <c r="B2" s="1022" t="s">
        <v>274</v>
      </c>
      <c r="C2" s="1016" t="s">
        <v>130</v>
      </c>
      <c r="D2" s="1016"/>
      <c r="E2" s="1016"/>
      <c r="F2" s="1016" t="s">
        <v>460</v>
      </c>
      <c r="G2" s="1016"/>
      <c r="H2" s="1016"/>
      <c r="I2" s="1016" t="s">
        <v>242</v>
      </c>
      <c r="J2" s="1016"/>
      <c r="K2" s="1016"/>
      <c r="L2" s="1016" t="s">
        <v>1074</v>
      </c>
      <c r="M2" s="1016"/>
      <c r="N2" s="1016"/>
      <c r="O2" s="1016" t="s">
        <v>105</v>
      </c>
      <c r="P2" s="1016"/>
      <c r="Q2" s="1016"/>
      <c r="R2" s="1016" t="s">
        <v>106</v>
      </c>
      <c r="S2" s="1016"/>
      <c r="T2" s="1016"/>
      <c r="U2" s="1016" t="s">
        <v>107</v>
      </c>
      <c r="V2" s="1016"/>
      <c r="W2" s="1016"/>
      <c r="X2" s="1016" t="s">
        <v>225</v>
      </c>
      <c r="Y2" s="1016"/>
      <c r="Z2" s="1016"/>
    </row>
    <row r="3" spans="1:26" s="252" customFormat="1" ht="23.25" customHeight="1">
      <c r="A3" s="1021"/>
      <c r="B3" s="1022"/>
      <c r="C3" s="251" t="s">
        <v>87</v>
      </c>
      <c r="D3" s="251" t="s">
        <v>88</v>
      </c>
      <c r="E3" s="251" t="s">
        <v>12</v>
      </c>
      <c r="F3" s="251" t="s">
        <v>87</v>
      </c>
      <c r="G3" s="251" t="s">
        <v>88</v>
      </c>
      <c r="H3" s="251" t="s">
        <v>12</v>
      </c>
      <c r="I3" s="251" t="s">
        <v>87</v>
      </c>
      <c r="J3" s="251" t="s">
        <v>88</v>
      </c>
      <c r="K3" s="251" t="s">
        <v>12</v>
      </c>
      <c r="L3" s="251" t="s">
        <v>87</v>
      </c>
      <c r="M3" s="251" t="s">
        <v>88</v>
      </c>
      <c r="N3" s="251" t="s">
        <v>12</v>
      </c>
      <c r="O3" s="251" t="s">
        <v>87</v>
      </c>
      <c r="P3" s="251" t="s">
        <v>88</v>
      </c>
      <c r="Q3" s="251" t="s">
        <v>12</v>
      </c>
      <c r="R3" s="251" t="s">
        <v>87</v>
      </c>
      <c r="S3" s="251" t="s">
        <v>88</v>
      </c>
      <c r="T3" s="251" t="s">
        <v>12</v>
      </c>
      <c r="U3" s="251" t="s">
        <v>87</v>
      </c>
      <c r="V3" s="251" t="s">
        <v>88</v>
      </c>
      <c r="W3" s="251" t="s">
        <v>12</v>
      </c>
      <c r="X3" s="251" t="s">
        <v>87</v>
      </c>
      <c r="Y3" s="251" t="s">
        <v>88</v>
      </c>
      <c r="Z3" s="251" t="s">
        <v>12</v>
      </c>
    </row>
    <row r="4" spans="1:26" s="486" customFormat="1" ht="12">
      <c r="A4" s="269">
        <v>1</v>
      </c>
      <c r="B4" s="269">
        <v>2</v>
      </c>
      <c r="C4" s="269">
        <v>3</v>
      </c>
      <c r="D4" s="269">
        <v>4</v>
      </c>
      <c r="E4" s="269">
        <v>5</v>
      </c>
      <c r="F4" s="269">
        <v>6</v>
      </c>
      <c r="G4" s="269">
        <v>7</v>
      </c>
      <c r="H4" s="269">
        <v>8</v>
      </c>
      <c r="I4" s="269">
        <v>9</v>
      </c>
      <c r="J4" s="269">
        <v>10</v>
      </c>
      <c r="K4" s="269">
        <v>11</v>
      </c>
      <c r="L4" s="269">
        <v>12</v>
      </c>
      <c r="M4" s="269">
        <v>13</v>
      </c>
      <c r="N4" s="269">
        <v>14</v>
      </c>
      <c r="O4" s="269">
        <v>15</v>
      </c>
      <c r="P4" s="269">
        <v>16</v>
      </c>
      <c r="Q4" s="269">
        <v>17</v>
      </c>
      <c r="R4" s="269">
        <v>18</v>
      </c>
      <c r="S4" s="269">
        <v>19</v>
      </c>
      <c r="T4" s="269">
        <v>20</v>
      </c>
      <c r="U4" s="269">
        <v>21</v>
      </c>
      <c r="V4" s="269">
        <v>22</v>
      </c>
      <c r="W4" s="269">
        <v>23</v>
      </c>
      <c r="X4" s="269">
        <v>24</v>
      </c>
      <c r="Y4" s="269">
        <v>25</v>
      </c>
      <c r="Z4" s="269">
        <v>26</v>
      </c>
    </row>
    <row r="5" spans="1:26">
      <c r="A5" s="115">
        <v>1</v>
      </c>
      <c r="B5" s="259" t="s">
        <v>965</v>
      </c>
      <c r="C5" s="113">
        <v>66</v>
      </c>
      <c r="D5" s="113">
        <v>9</v>
      </c>
      <c r="E5" s="113">
        <v>75</v>
      </c>
      <c r="F5" s="113">
        <v>4</v>
      </c>
      <c r="G5" s="113">
        <v>0</v>
      </c>
      <c r="H5" s="113">
        <v>4</v>
      </c>
      <c r="I5" s="113">
        <v>2</v>
      </c>
      <c r="J5" s="113">
        <v>1</v>
      </c>
      <c r="K5" s="113">
        <v>3</v>
      </c>
      <c r="L5" s="113">
        <v>50</v>
      </c>
      <c r="M5" s="113">
        <v>6</v>
      </c>
      <c r="N5" s="113">
        <v>56</v>
      </c>
      <c r="O5" s="113">
        <v>0</v>
      </c>
      <c r="P5" s="113">
        <v>0</v>
      </c>
      <c r="Q5" s="113">
        <v>0</v>
      </c>
      <c r="R5" s="113">
        <v>5</v>
      </c>
      <c r="S5" s="113">
        <v>0</v>
      </c>
      <c r="T5" s="113">
        <v>5</v>
      </c>
      <c r="U5" s="113">
        <v>0</v>
      </c>
      <c r="V5" s="113">
        <v>0</v>
      </c>
      <c r="W5" s="113">
        <v>0</v>
      </c>
      <c r="X5" s="113">
        <v>2</v>
      </c>
      <c r="Y5" s="113">
        <v>0</v>
      </c>
      <c r="Z5" s="113">
        <v>2</v>
      </c>
    </row>
    <row r="6" spans="1:26">
      <c r="A6" s="115">
        <v>2</v>
      </c>
      <c r="B6" s="259" t="s">
        <v>438</v>
      </c>
      <c r="C6" s="113">
        <v>1380</v>
      </c>
      <c r="D6" s="113">
        <v>82493</v>
      </c>
      <c r="E6" s="113">
        <v>83873</v>
      </c>
      <c r="F6" s="113">
        <v>440</v>
      </c>
      <c r="G6" s="113">
        <v>26003</v>
      </c>
      <c r="H6" s="113">
        <v>26443</v>
      </c>
      <c r="I6" s="113">
        <v>213</v>
      </c>
      <c r="J6" s="113">
        <v>12363</v>
      </c>
      <c r="K6" s="113">
        <v>12576</v>
      </c>
      <c r="L6" s="113">
        <v>213</v>
      </c>
      <c r="M6" s="113">
        <v>21769</v>
      </c>
      <c r="N6" s="113">
        <v>21982</v>
      </c>
      <c r="O6" s="113">
        <v>26</v>
      </c>
      <c r="P6" s="113">
        <v>551</v>
      </c>
      <c r="Q6" s="113">
        <v>577</v>
      </c>
      <c r="R6" s="113">
        <v>72</v>
      </c>
      <c r="S6" s="113">
        <v>1409</v>
      </c>
      <c r="T6" s="113">
        <v>1481</v>
      </c>
      <c r="U6" s="113">
        <v>11</v>
      </c>
      <c r="V6" s="113">
        <v>1526</v>
      </c>
      <c r="W6" s="113">
        <v>1537</v>
      </c>
      <c r="X6" s="113">
        <v>12</v>
      </c>
      <c r="Y6" s="113">
        <v>880</v>
      </c>
      <c r="Z6" s="113">
        <v>892</v>
      </c>
    </row>
    <row r="7" spans="1:26">
      <c r="A7" s="115">
        <v>3</v>
      </c>
      <c r="B7" s="259" t="s">
        <v>298</v>
      </c>
      <c r="C7" s="113">
        <v>11424</v>
      </c>
      <c r="D7" s="113">
        <v>6554</v>
      </c>
      <c r="E7" s="113">
        <v>17978</v>
      </c>
      <c r="F7" s="113">
        <v>627</v>
      </c>
      <c r="G7" s="113">
        <v>819</v>
      </c>
      <c r="H7" s="113">
        <v>1446</v>
      </c>
      <c r="I7" s="113">
        <v>283</v>
      </c>
      <c r="J7" s="113">
        <v>353</v>
      </c>
      <c r="K7" s="113">
        <v>636</v>
      </c>
      <c r="L7" s="113">
        <v>1860</v>
      </c>
      <c r="M7" s="113">
        <v>2159</v>
      </c>
      <c r="N7" s="113">
        <v>4019</v>
      </c>
      <c r="O7" s="113">
        <v>6</v>
      </c>
      <c r="P7" s="113">
        <v>3</v>
      </c>
      <c r="Q7" s="113">
        <v>9</v>
      </c>
      <c r="R7" s="113">
        <v>14</v>
      </c>
      <c r="S7" s="113">
        <v>14</v>
      </c>
      <c r="T7" s="113">
        <v>28</v>
      </c>
      <c r="U7" s="113">
        <v>52</v>
      </c>
      <c r="V7" s="113">
        <v>28</v>
      </c>
      <c r="W7" s="113">
        <v>80</v>
      </c>
      <c r="X7" s="113">
        <v>57</v>
      </c>
      <c r="Y7" s="113">
        <v>25</v>
      </c>
      <c r="Z7" s="113">
        <v>82</v>
      </c>
    </row>
    <row r="8" spans="1:26">
      <c r="A8" s="115">
        <v>4</v>
      </c>
      <c r="B8" s="259" t="s">
        <v>406</v>
      </c>
      <c r="C8" s="113">
        <v>55</v>
      </c>
      <c r="D8" s="113">
        <v>19</v>
      </c>
      <c r="E8" s="113">
        <v>74</v>
      </c>
      <c r="F8" s="113">
        <v>8</v>
      </c>
      <c r="G8" s="113">
        <v>1</v>
      </c>
      <c r="H8" s="113">
        <v>9</v>
      </c>
      <c r="I8" s="113">
        <v>2</v>
      </c>
      <c r="J8" s="113">
        <v>2</v>
      </c>
      <c r="K8" s="113">
        <v>4</v>
      </c>
      <c r="L8" s="113">
        <v>3</v>
      </c>
      <c r="M8" s="113">
        <v>0</v>
      </c>
      <c r="N8" s="113">
        <v>3</v>
      </c>
      <c r="O8" s="113">
        <v>0</v>
      </c>
      <c r="P8" s="113">
        <v>0</v>
      </c>
      <c r="Q8" s="113">
        <v>0</v>
      </c>
      <c r="R8" s="113">
        <v>1</v>
      </c>
      <c r="S8" s="113">
        <v>0</v>
      </c>
      <c r="T8" s="113">
        <v>1</v>
      </c>
      <c r="U8" s="113">
        <v>0</v>
      </c>
      <c r="V8" s="113">
        <v>0</v>
      </c>
      <c r="W8" s="113">
        <v>0</v>
      </c>
      <c r="X8" s="113">
        <v>0</v>
      </c>
      <c r="Y8" s="113">
        <v>0</v>
      </c>
      <c r="Z8" s="113">
        <v>0</v>
      </c>
    </row>
    <row r="9" spans="1:26">
      <c r="A9" s="115">
        <v>5</v>
      </c>
      <c r="B9" s="259" t="s">
        <v>796</v>
      </c>
      <c r="C9" s="113">
        <v>132</v>
      </c>
      <c r="D9" s="113">
        <v>163</v>
      </c>
      <c r="E9" s="113">
        <v>295</v>
      </c>
      <c r="F9" s="113">
        <v>26</v>
      </c>
      <c r="G9" s="113">
        <v>29</v>
      </c>
      <c r="H9" s="113">
        <v>55</v>
      </c>
      <c r="I9" s="113">
        <v>13</v>
      </c>
      <c r="J9" s="113">
        <v>13</v>
      </c>
      <c r="K9" s="113">
        <v>26</v>
      </c>
      <c r="L9" s="113">
        <v>27</v>
      </c>
      <c r="M9" s="113">
        <v>36</v>
      </c>
      <c r="N9" s="113">
        <v>63</v>
      </c>
      <c r="O9" s="113">
        <v>0</v>
      </c>
      <c r="P9" s="113">
        <v>0</v>
      </c>
      <c r="Q9" s="113">
        <v>0</v>
      </c>
      <c r="R9" s="113">
        <v>0</v>
      </c>
      <c r="S9" s="113">
        <v>1</v>
      </c>
      <c r="T9" s="113">
        <v>1</v>
      </c>
      <c r="U9" s="113">
        <v>0</v>
      </c>
      <c r="V9" s="113">
        <v>0</v>
      </c>
      <c r="W9" s="113">
        <v>0</v>
      </c>
      <c r="X9" s="113">
        <v>0</v>
      </c>
      <c r="Y9" s="113">
        <v>1</v>
      </c>
      <c r="Z9" s="113">
        <v>1</v>
      </c>
    </row>
    <row r="10" spans="1:26" ht="25.5">
      <c r="A10" s="115">
        <v>6</v>
      </c>
      <c r="B10" s="259" t="s">
        <v>807</v>
      </c>
      <c r="C10" s="113">
        <v>33</v>
      </c>
      <c r="D10" s="113">
        <v>6</v>
      </c>
      <c r="E10" s="113">
        <v>39</v>
      </c>
      <c r="F10" s="113">
        <v>3</v>
      </c>
      <c r="G10" s="113">
        <v>2</v>
      </c>
      <c r="H10" s="113">
        <v>5</v>
      </c>
      <c r="I10" s="113">
        <v>0</v>
      </c>
      <c r="J10" s="113">
        <v>0</v>
      </c>
      <c r="K10" s="113">
        <v>0</v>
      </c>
      <c r="L10" s="113">
        <v>11</v>
      </c>
      <c r="M10" s="113">
        <v>1</v>
      </c>
      <c r="N10" s="113">
        <v>12</v>
      </c>
      <c r="O10" s="113">
        <v>0</v>
      </c>
      <c r="P10" s="113">
        <v>0</v>
      </c>
      <c r="Q10" s="113">
        <v>0</v>
      </c>
      <c r="R10" s="113">
        <v>0</v>
      </c>
      <c r="S10" s="113">
        <v>0</v>
      </c>
      <c r="T10" s="113">
        <v>0</v>
      </c>
      <c r="U10" s="113">
        <v>0</v>
      </c>
      <c r="V10" s="113">
        <v>0</v>
      </c>
      <c r="W10" s="113">
        <v>0</v>
      </c>
      <c r="X10" s="113">
        <v>0</v>
      </c>
      <c r="Y10" s="113">
        <v>0</v>
      </c>
      <c r="Z10" s="113">
        <v>0</v>
      </c>
    </row>
    <row r="11" spans="1:26" ht="25.5">
      <c r="A11" s="115">
        <v>7</v>
      </c>
      <c r="B11" s="259" t="s">
        <v>281</v>
      </c>
      <c r="C11" s="113">
        <v>215</v>
      </c>
      <c r="D11" s="113">
        <v>208</v>
      </c>
      <c r="E11" s="113">
        <v>423</v>
      </c>
      <c r="F11" s="113">
        <v>26</v>
      </c>
      <c r="G11" s="113">
        <v>30</v>
      </c>
      <c r="H11" s="113">
        <v>56</v>
      </c>
      <c r="I11" s="113">
        <v>9</v>
      </c>
      <c r="J11" s="113">
        <v>9</v>
      </c>
      <c r="K11" s="113">
        <v>18</v>
      </c>
      <c r="L11" s="113">
        <v>54</v>
      </c>
      <c r="M11" s="113">
        <v>37</v>
      </c>
      <c r="N11" s="113">
        <v>91</v>
      </c>
      <c r="O11" s="113">
        <v>0</v>
      </c>
      <c r="P11" s="113">
        <v>1</v>
      </c>
      <c r="Q11" s="113">
        <v>1</v>
      </c>
      <c r="R11" s="113">
        <v>1</v>
      </c>
      <c r="S11" s="113">
        <v>1</v>
      </c>
      <c r="T11" s="113">
        <v>2</v>
      </c>
      <c r="U11" s="113">
        <v>0</v>
      </c>
      <c r="V11" s="113">
        <v>0</v>
      </c>
      <c r="W11" s="113">
        <v>0</v>
      </c>
      <c r="X11" s="113">
        <v>3</v>
      </c>
      <c r="Y11" s="113">
        <v>3</v>
      </c>
      <c r="Z11" s="113">
        <v>6</v>
      </c>
    </row>
    <row r="12" spans="1:26">
      <c r="A12" s="115">
        <v>8</v>
      </c>
      <c r="B12" s="259" t="s">
        <v>382</v>
      </c>
      <c r="C12" s="113">
        <v>11155</v>
      </c>
      <c r="D12" s="113">
        <v>14940</v>
      </c>
      <c r="E12" s="113">
        <v>26095</v>
      </c>
      <c r="F12" s="113">
        <v>1117</v>
      </c>
      <c r="G12" s="113">
        <v>1532</v>
      </c>
      <c r="H12" s="113">
        <v>2649</v>
      </c>
      <c r="I12" s="113">
        <v>575</v>
      </c>
      <c r="J12" s="113">
        <v>813</v>
      </c>
      <c r="K12" s="113">
        <v>1388</v>
      </c>
      <c r="L12" s="113">
        <v>4258</v>
      </c>
      <c r="M12" s="113">
        <v>5676</v>
      </c>
      <c r="N12" s="113">
        <v>9934</v>
      </c>
      <c r="O12" s="113">
        <v>2</v>
      </c>
      <c r="P12" s="113">
        <v>4</v>
      </c>
      <c r="Q12" s="113">
        <v>6</v>
      </c>
      <c r="R12" s="113">
        <v>374</v>
      </c>
      <c r="S12" s="113">
        <v>414</v>
      </c>
      <c r="T12" s="113">
        <v>788</v>
      </c>
      <c r="U12" s="113">
        <v>31</v>
      </c>
      <c r="V12" s="113">
        <v>79</v>
      </c>
      <c r="W12" s="113">
        <v>110</v>
      </c>
      <c r="X12" s="113">
        <v>368</v>
      </c>
      <c r="Y12" s="113">
        <v>452</v>
      </c>
      <c r="Z12" s="113">
        <v>820</v>
      </c>
    </row>
    <row r="13" spans="1:26" ht="25.5">
      <c r="A13" s="115">
        <v>9</v>
      </c>
      <c r="B13" s="259" t="s">
        <v>442</v>
      </c>
      <c r="C13" s="113">
        <v>34216</v>
      </c>
      <c r="D13" s="113">
        <v>44249</v>
      </c>
      <c r="E13" s="113">
        <v>78465</v>
      </c>
      <c r="F13" s="113">
        <v>7240</v>
      </c>
      <c r="G13" s="113">
        <v>7780</v>
      </c>
      <c r="H13" s="113">
        <v>15020</v>
      </c>
      <c r="I13" s="113">
        <v>4583</v>
      </c>
      <c r="J13" s="113">
        <v>4767</v>
      </c>
      <c r="K13" s="113">
        <v>9350</v>
      </c>
      <c r="L13" s="113">
        <v>13682</v>
      </c>
      <c r="M13" s="113">
        <v>17417</v>
      </c>
      <c r="N13" s="113">
        <v>31099</v>
      </c>
      <c r="O13" s="113">
        <v>96</v>
      </c>
      <c r="P13" s="113">
        <v>54</v>
      </c>
      <c r="Q13" s="113">
        <v>150</v>
      </c>
      <c r="R13" s="113">
        <v>537</v>
      </c>
      <c r="S13" s="113">
        <v>941</v>
      </c>
      <c r="T13" s="113">
        <v>1478</v>
      </c>
      <c r="U13" s="113">
        <v>331</v>
      </c>
      <c r="V13" s="113">
        <v>1142</v>
      </c>
      <c r="W13" s="113">
        <v>1473</v>
      </c>
      <c r="X13" s="113">
        <v>806</v>
      </c>
      <c r="Y13" s="113">
        <v>1024</v>
      </c>
      <c r="Z13" s="113">
        <v>1830</v>
      </c>
    </row>
    <row r="14" spans="1:26" ht="25.5">
      <c r="A14" s="115">
        <v>10</v>
      </c>
      <c r="B14" s="259" t="s">
        <v>441</v>
      </c>
      <c r="C14" s="113">
        <v>91817</v>
      </c>
      <c r="D14" s="113">
        <v>66555</v>
      </c>
      <c r="E14" s="113">
        <v>158372</v>
      </c>
      <c r="F14" s="113">
        <v>11745</v>
      </c>
      <c r="G14" s="113">
        <v>8771</v>
      </c>
      <c r="H14" s="113">
        <v>20516</v>
      </c>
      <c r="I14" s="113">
        <v>3602</v>
      </c>
      <c r="J14" s="113">
        <v>2838</v>
      </c>
      <c r="K14" s="113">
        <v>6440</v>
      </c>
      <c r="L14" s="113">
        <v>24376</v>
      </c>
      <c r="M14" s="113">
        <v>15103</v>
      </c>
      <c r="N14" s="113">
        <v>39479</v>
      </c>
      <c r="O14" s="113">
        <v>310</v>
      </c>
      <c r="P14" s="113">
        <v>124</v>
      </c>
      <c r="Q14" s="113">
        <v>434</v>
      </c>
      <c r="R14" s="113">
        <v>5293</v>
      </c>
      <c r="S14" s="113">
        <v>3631</v>
      </c>
      <c r="T14" s="113">
        <v>8924</v>
      </c>
      <c r="U14" s="113">
        <v>1789</v>
      </c>
      <c r="V14" s="113">
        <v>2063</v>
      </c>
      <c r="W14" s="113">
        <v>3852</v>
      </c>
      <c r="X14" s="113">
        <v>959</v>
      </c>
      <c r="Y14" s="113">
        <v>698</v>
      </c>
      <c r="Z14" s="113">
        <v>1657</v>
      </c>
    </row>
    <row r="15" spans="1:26" ht="25.5">
      <c r="A15" s="115">
        <v>11</v>
      </c>
      <c r="B15" s="259" t="s">
        <v>966</v>
      </c>
      <c r="C15" s="113">
        <v>163</v>
      </c>
      <c r="D15" s="113">
        <v>135</v>
      </c>
      <c r="E15" s="113">
        <v>298</v>
      </c>
      <c r="F15" s="113">
        <v>68</v>
      </c>
      <c r="G15" s="113">
        <v>69</v>
      </c>
      <c r="H15" s="113">
        <v>137</v>
      </c>
      <c r="I15" s="113">
        <v>0</v>
      </c>
      <c r="J15" s="113">
        <v>0</v>
      </c>
      <c r="K15" s="113">
        <v>0</v>
      </c>
      <c r="L15" s="113">
        <v>25</v>
      </c>
      <c r="M15" s="113">
        <v>15</v>
      </c>
      <c r="N15" s="113">
        <v>40</v>
      </c>
      <c r="O15" s="113">
        <v>1</v>
      </c>
      <c r="P15" s="113">
        <v>0</v>
      </c>
      <c r="Q15" s="113">
        <v>1</v>
      </c>
      <c r="R15" s="113">
        <v>1</v>
      </c>
      <c r="S15" s="113">
        <v>0</v>
      </c>
      <c r="T15" s="113">
        <v>1</v>
      </c>
      <c r="U15" s="113">
        <v>98</v>
      </c>
      <c r="V15" s="113">
        <v>92</v>
      </c>
      <c r="W15" s="113">
        <v>190</v>
      </c>
      <c r="X15" s="113">
        <v>0</v>
      </c>
      <c r="Y15" s="113">
        <v>0</v>
      </c>
      <c r="Z15" s="113">
        <v>0</v>
      </c>
    </row>
    <row r="16" spans="1:26" ht="25.5">
      <c r="A16" s="115">
        <v>12</v>
      </c>
      <c r="B16" s="259" t="s">
        <v>356</v>
      </c>
      <c r="C16" s="113">
        <v>931585</v>
      </c>
      <c r="D16" s="113">
        <v>1108491</v>
      </c>
      <c r="E16" s="113">
        <v>2040076</v>
      </c>
      <c r="F16" s="113">
        <v>150325</v>
      </c>
      <c r="G16" s="113">
        <v>152134</v>
      </c>
      <c r="H16" s="113">
        <v>302459</v>
      </c>
      <c r="I16" s="113">
        <v>96567</v>
      </c>
      <c r="J16" s="113">
        <v>111712</v>
      </c>
      <c r="K16" s="113">
        <v>208279</v>
      </c>
      <c r="L16" s="113">
        <v>363512</v>
      </c>
      <c r="M16" s="113">
        <v>392077</v>
      </c>
      <c r="N16" s="113">
        <v>755589</v>
      </c>
      <c r="O16" s="113">
        <v>2425</v>
      </c>
      <c r="P16" s="113">
        <v>1586</v>
      </c>
      <c r="Q16" s="113">
        <v>4011</v>
      </c>
      <c r="R16" s="113">
        <v>67598</v>
      </c>
      <c r="S16" s="113">
        <v>83095</v>
      </c>
      <c r="T16" s="113">
        <v>150693</v>
      </c>
      <c r="U16" s="113">
        <v>14017</v>
      </c>
      <c r="V16" s="113">
        <v>19051</v>
      </c>
      <c r="W16" s="113">
        <v>33068</v>
      </c>
      <c r="X16" s="113">
        <v>12553</v>
      </c>
      <c r="Y16" s="113">
        <v>14742</v>
      </c>
      <c r="Z16" s="113">
        <v>27295</v>
      </c>
    </row>
    <row r="17" spans="1:26">
      <c r="A17" s="115">
        <v>13</v>
      </c>
      <c r="B17" s="259" t="s">
        <v>352</v>
      </c>
      <c r="C17" s="113">
        <v>5583368</v>
      </c>
      <c r="D17" s="113">
        <v>5744193</v>
      </c>
      <c r="E17" s="113">
        <v>11327561</v>
      </c>
      <c r="F17" s="113">
        <v>1097611</v>
      </c>
      <c r="G17" s="113">
        <v>1072490</v>
      </c>
      <c r="H17" s="113">
        <v>2170101</v>
      </c>
      <c r="I17" s="113">
        <v>476475</v>
      </c>
      <c r="J17" s="113">
        <v>472721</v>
      </c>
      <c r="K17" s="113">
        <v>949196</v>
      </c>
      <c r="L17" s="113">
        <v>2111011</v>
      </c>
      <c r="M17" s="113">
        <v>2156737</v>
      </c>
      <c r="N17" s="113">
        <v>4267748</v>
      </c>
      <c r="O17" s="113">
        <v>11680</v>
      </c>
      <c r="P17" s="113">
        <v>10117</v>
      </c>
      <c r="Q17" s="113">
        <v>21797</v>
      </c>
      <c r="R17" s="113">
        <v>252601</v>
      </c>
      <c r="S17" s="113">
        <v>346201</v>
      </c>
      <c r="T17" s="113">
        <v>598802</v>
      </c>
      <c r="U17" s="113">
        <v>69478</v>
      </c>
      <c r="V17" s="113">
        <v>85229</v>
      </c>
      <c r="W17" s="113">
        <v>154707</v>
      </c>
      <c r="X17" s="113">
        <v>52344</v>
      </c>
      <c r="Y17" s="113">
        <v>58322</v>
      </c>
      <c r="Z17" s="113">
        <v>110666</v>
      </c>
    </row>
    <row r="18" spans="1:26" ht="25.5">
      <c r="A18" s="115">
        <v>14</v>
      </c>
      <c r="B18" s="259" t="s">
        <v>408</v>
      </c>
      <c r="C18" s="113">
        <v>2460</v>
      </c>
      <c r="D18" s="113">
        <v>3384</v>
      </c>
      <c r="E18" s="113">
        <v>5844</v>
      </c>
      <c r="F18" s="113">
        <v>218</v>
      </c>
      <c r="G18" s="113">
        <v>276</v>
      </c>
      <c r="H18" s="113">
        <v>494</v>
      </c>
      <c r="I18" s="113">
        <v>103</v>
      </c>
      <c r="J18" s="113">
        <v>134</v>
      </c>
      <c r="K18" s="113">
        <v>237</v>
      </c>
      <c r="L18" s="113">
        <v>1063</v>
      </c>
      <c r="M18" s="113">
        <v>1518</v>
      </c>
      <c r="N18" s="113">
        <v>2581</v>
      </c>
      <c r="O18" s="113">
        <v>1</v>
      </c>
      <c r="P18" s="113">
        <v>1</v>
      </c>
      <c r="Q18" s="113">
        <v>2</v>
      </c>
      <c r="R18" s="113">
        <v>129</v>
      </c>
      <c r="S18" s="113">
        <v>157</v>
      </c>
      <c r="T18" s="113">
        <v>286</v>
      </c>
      <c r="U18" s="113">
        <v>3</v>
      </c>
      <c r="V18" s="113">
        <v>7</v>
      </c>
      <c r="W18" s="113">
        <v>10</v>
      </c>
      <c r="X18" s="113">
        <v>101</v>
      </c>
      <c r="Y18" s="113">
        <v>126</v>
      </c>
      <c r="Z18" s="113">
        <v>227</v>
      </c>
    </row>
    <row r="19" spans="1:26" ht="25.5">
      <c r="A19" s="115">
        <v>15</v>
      </c>
      <c r="B19" s="259" t="s">
        <v>370</v>
      </c>
      <c r="C19" s="113">
        <v>28771</v>
      </c>
      <c r="D19" s="113">
        <v>37652</v>
      </c>
      <c r="E19" s="113">
        <v>66423</v>
      </c>
      <c r="F19" s="113">
        <v>2903</v>
      </c>
      <c r="G19" s="113">
        <v>3646</v>
      </c>
      <c r="H19" s="113">
        <v>6549</v>
      </c>
      <c r="I19" s="113">
        <v>1194</v>
      </c>
      <c r="J19" s="113">
        <v>1628</v>
      </c>
      <c r="K19" s="113">
        <v>2822</v>
      </c>
      <c r="L19" s="113">
        <v>11178</v>
      </c>
      <c r="M19" s="113">
        <v>13623</v>
      </c>
      <c r="N19" s="113">
        <v>24801</v>
      </c>
      <c r="O19" s="113">
        <v>20</v>
      </c>
      <c r="P19" s="113">
        <v>8</v>
      </c>
      <c r="Q19" s="113">
        <v>28</v>
      </c>
      <c r="R19" s="113">
        <v>1174</v>
      </c>
      <c r="S19" s="113">
        <v>1362</v>
      </c>
      <c r="T19" s="113">
        <v>2536</v>
      </c>
      <c r="U19" s="113">
        <v>510</v>
      </c>
      <c r="V19" s="113">
        <v>612</v>
      </c>
      <c r="W19" s="113">
        <v>1122</v>
      </c>
      <c r="X19" s="113">
        <v>617</v>
      </c>
      <c r="Y19" s="113">
        <v>752</v>
      </c>
      <c r="Z19" s="113">
        <v>1369</v>
      </c>
    </row>
    <row r="20" spans="1:26" ht="25.5">
      <c r="A20" s="115">
        <v>16</v>
      </c>
      <c r="B20" s="259" t="s">
        <v>402</v>
      </c>
      <c r="C20" s="113">
        <v>1124</v>
      </c>
      <c r="D20" s="113">
        <v>2496</v>
      </c>
      <c r="E20" s="113">
        <v>3620</v>
      </c>
      <c r="F20" s="113">
        <v>132</v>
      </c>
      <c r="G20" s="113">
        <v>152</v>
      </c>
      <c r="H20" s="113">
        <v>284</v>
      </c>
      <c r="I20" s="113">
        <v>38</v>
      </c>
      <c r="J20" s="113">
        <v>67</v>
      </c>
      <c r="K20" s="113">
        <v>105</v>
      </c>
      <c r="L20" s="113">
        <v>433</v>
      </c>
      <c r="M20" s="113">
        <v>1181</v>
      </c>
      <c r="N20" s="113">
        <v>1614</v>
      </c>
      <c r="O20" s="113">
        <v>9</v>
      </c>
      <c r="P20" s="113">
        <v>5</v>
      </c>
      <c r="Q20" s="113">
        <v>14</v>
      </c>
      <c r="R20" s="113">
        <v>72</v>
      </c>
      <c r="S20" s="113">
        <v>360</v>
      </c>
      <c r="T20" s="113">
        <v>432</v>
      </c>
      <c r="U20" s="113">
        <v>56</v>
      </c>
      <c r="V20" s="113">
        <v>309</v>
      </c>
      <c r="W20" s="113">
        <v>365</v>
      </c>
      <c r="X20" s="113">
        <v>6</v>
      </c>
      <c r="Y20" s="113">
        <v>20</v>
      </c>
      <c r="Z20" s="113">
        <v>26</v>
      </c>
    </row>
    <row r="21" spans="1:26">
      <c r="A21" s="115">
        <v>17</v>
      </c>
      <c r="B21" s="259" t="s">
        <v>366</v>
      </c>
      <c r="C21" s="113">
        <v>117414</v>
      </c>
      <c r="D21" s="113">
        <v>37540</v>
      </c>
      <c r="E21" s="113">
        <v>154954</v>
      </c>
      <c r="F21" s="113">
        <v>15365</v>
      </c>
      <c r="G21" s="113">
        <v>5085</v>
      </c>
      <c r="H21" s="113">
        <v>20450</v>
      </c>
      <c r="I21" s="113">
        <v>4868</v>
      </c>
      <c r="J21" s="113">
        <v>2611</v>
      </c>
      <c r="K21" s="113">
        <v>7479</v>
      </c>
      <c r="L21" s="113">
        <v>54158</v>
      </c>
      <c r="M21" s="113">
        <v>14867</v>
      </c>
      <c r="N21" s="113">
        <v>69025</v>
      </c>
      <c r="O21" s="113">
        <v>225</v>
      </c>
      <c r="P21" s="113">
        <v>102</v>
      </c>
      <c r="Q21" s="113">
        <v>327</v>
      </c>
      <c r="R21" s="113">
        <v>1678</v>
      </c>
      <c r="S21" s="113">
        <v>1157</v>
      </c>
      <c r="T21" s="113">
        <v>2835</v>
      </c>
      <c r="U21" s="113">
        <v>663</v>
      </c>
      <c r="V21" s="113">
        <v>783</v>
      </c>
      <c r="W21" s="113">
        <v>1446</v>
      </c>
      <c r="X21" s="113">
        <v>1904</v>
      </c>
      <c r="Y21" s="113">
        <v>803</v>
      </c>
      <c r="Z21" s="113">
        <v>2707</v>
      </c>
    </row>
    <row r="22" spans="1:26" ht="25.5">
      <c r="A22" s="115">
        <v>18</v>
      </c>
      <c r="B22" s="259" t="s">
        <v>368</v>
      </c>
      <c r="C22" s="113">
        <v>34855</v>
      </c>
      <c r="D22" s="113">
        <v>38270</v>
      </c>
      <c r="E22" s="113">
        <v>73125</v>
      </c>
      <c r="F22" s="113">
        <v>2315</v>
      </c>
      <c r="G22" s="113">
        <v>2074</v>
      </c>
      <c r="H22" s="113">
        <v>4389</v>
      </c>
      <c r="I22" s="113">
        <v>785</v>
      </c>
      <c r="J22" s="113">
        <v>618</v>
      </c>
      <c r="K22" s="113">
        <v>1403</v>
      </c>
      <c r="L22" s="113">
        <v>11886</v>
      </c>
      <c r="M22" s="113">
        <v>11341</v>
      </c>
      <c r="N22" s="113">
        <v>23227</v>
      </c>
      <c r="O22" s="113">
        <v>205</v>
      </c>
      <c r="P22" s="113">
        <v>191</v>
      </c>
      <c r="Q22" s="113">
        <v>396</v>
      </c>
      <c r="R22" s="113">
        <v>2734</v>
      </c>
      <c r="S22" s="113">
        <v>2109</v>
      </c>
      <c r="T22" s="113">
        <v>4843</v>
      </c>
      <c r="U22" s="113">
        <v>1699</v>
      </c>
      <c r="V22" s="113">
        <v>2041</v>
      </c>
      <c r="W22" s="113">
        <v>3740</v>
      </c>
      <c r="X22" s="113">
        <v>1008</v>
      </c>
      <c r="Y22" s="113">
        <v>958</v>
      </c>
      <c r="Z22" s="113">
        <v>1966</v>
      </c>
    </row>
    <row r="23" spans="1:26" ht="38.25">
      <c r="A23" s="115">
        <v>19</v>
      </c>
      <c r="B23" s="259" t="s">
        <v>445</v>
      </c>
      <c r="C23" s="113">
        <v>14796</v>
      </c>
      <c r="D23" s="113">
        <v>12109</v>
      </c>
      <c r="E23" s="113">
        <v>26905</v>
      </c>
      <c r="F23" s="113">
        <v>755</v>
      </c>
      <c r="G23" s="113">
        <v>601</v>
      </c>
      <c r="H23" s="113">
        <v>1356</v>
      </c>
      <c r="I23" s="113">
        <v>290</v>
      </c>
      <c r="J23" s="113">
        <v>229</v>
      </c>
      <c r="K23" s="113">
        <v>519</v>
      </c>
      <c r="L23" s="113">
        <v>2717</v>
      </c>
      <c r="M23" s="113">
        <v>2293</v>
      </c>
      <c r="N23" s="113">
        <v>5010</v>
      </c>
      <c r="O23" s="113">
        <v>7</v>
      </c>
      <c r="P23" s="113">
        <v>8</v>
      </c>
      <c r="Q23" s="113">
        <v>15</v>
      </c>
      <c r="R23" s="113">
        <v>524</v>
      </c>
      <c r="S23" s="113">
        <v>379</v>
      </c>
      <c r="T23" s="113">
        <v>903</v>
      </c>
      <c r="U23" s="113">
        <v>481</v>
      </c>
      <c r="V23" s="113">
        <v>533</v>
      </c>
      <c r="W23" s="113">
        <v>1014</v>
      </c>
      <c r="X23" s="113">
        <v>159</v>
      </c>
      <c r="Y23" s="113">
        <v>116</v>
      </c>
      <c r="Z23" s="113">
        <v>275</v>
      </c>
    </row>
    <row r="24" spans="1:26" ht="25.5">
      <c r="A24" s="115">
        <v>20</v>
      </c>
      <c r="B24" s="259" t="s">
        <v>360</v>
      </c>
      <c r="C24" s="113">
        <v>445205</v>
      </c>
      <c r="D24" s="113">
        <v>270218</v>
      </c>
      <c r="E24" s="113">
        <v>715423</v>
      </c>
      <c r="F24" s="113">
        <v>39296</v>
      </c>
      <c r="G24" s="113">
        <v>28018</v>
      </c>
      <c r="H24" s="113">
        <v>67314</v>
      </c>
      <c r="I24" s="113">
        <v>10196</v>
      </c>
      <c r="J24" s="113">
        <v>6319</v>
      </c>
      <c r="K24" s="113">
        <v>16515</v>
      </c>
      <c r="L24" s="113">
        <v>145379</v>
      </c>
      <c r="M24" s="113">
        <v>90709</v>
      </c>
      <c r="N24" s="113">
        <v>236088</v>
      </c>
      <c r="O24" s="113">
        <v>758</v>
      </c>
      <c r="P24" s="113">
        <v>271</v>
      </c>
      <c r="Q24" s="113">
        <v>1029</v>
      </c>
      <c r="R24" s="113">
        <v>33828</v>
      </c>
      <c r="S24" s="113">
        <v>17098</v>
      </c>
      <c r="T24" s="113">
        <v>50926</v>
      </c>
      <c r="U24" s="113">
        <v>15736</v>
      </c>
      <c r="V24" s="113">
        <v>10869</v>
      </c>
      <c r="W24" s="113">
        <v>26605</v>
      </c>
      <c r="X24" s="113">
        <v>5371</v>
      </c>
      <c r="Y24" s="113">
        <v>3798</v>
      </c>
      <c r="Z24" s="113">
        <v>9169</v>
      </c>
    </row>
    <row r="25" spans="1:26" ht="25.5">
      <c r="A25" s="115">
        <v>21</v>
      </c>
      <c r="B25" s="259" t="s">
        <v>379</v>
      </c>
      <c r="C25" s="113">
        <v>11406</v>
      </c>
      <c r="D25" s="113">
        <v>7396</v>
      </c>
      <c r="E25" s="113">
        <v>18802</v>
      </c>
      <c r="F25" s="113">
        <v>1042</v>
      </c>
      <c r="G25" s="113">
        <v>806</v>
      </c>
      <c r="H25" s="113">
        <v>1848</v>
      </c>
      <c r="I25" s="113">
        <v>283</v>
      </c>
      <c r="J25" s="113">
        <v>164</v>
      </c>
      <c r="K25" s="113">
        <v>447</v>
      </c>
      <c r="L25" s="113">
        <v>4271</v>
      </c>
      <c r="M25" s="113">
        <v>2802</v>
      </c>
      <c r="N25" s="113">
        <v>7073</v>
      </c>
      <c r="O25" s="113">
        <v>17</v>
      </c>
      <c r="P25" s="113">
        <v>3</v>
      </c>
      <c r="Q25" s="113">
        <v>20</v>
      </c>
      <c r="R25" s="113">
        <v>708</v>
      </c>
      <c r="S25" s="113">
        <v>481</v>
      </c>
      <c r="T25" s="113">
        <v>1189</v>
      </c>
      <c r="U25" s="113">
        <v>377</v>
      </c>
      <c r="V25" s="113">
        <v>224</v>
      </c>
      <c r="W25" s="113">
        <v>601</v>
      </c>
      <c r="X25" s="113">
        <v>130</v>
      </c>
      <c r="Y25" s="113">
        <v>103</v>
      </c>
      <c r="Z25" s="113">
        <v>233</v>
      </c>
    </row>
    <row r="26" spans="1:26">
      <c r="A26" s="115">
        <v>22</v>
      </c>
      <c r="B26" s="259" t="s">
        <v>420</v>
      </c>
      <c r="C26" s="113">
        <v>309</v>
      </c>
      <c r="D26" s="113">
        <v>37</v>
      </c>
      <c r="E26" s="113">
        <v>346</v>
      </c>
      <c r="F26" s="113">
        <v>45</v>
      </c>
      <c r="G26" s="113">
        <v>3</v>
      </c>
      <c r="H26" s="113">
        <v>48</v>
      </c>
      <c r="I26" s="113">
        <v>5</v>
      </c>
      <c r="J26" s="113">
        <v>0</v>
      </c>
      <c r="K26" s="113">
        <v>5</v>
      </c>
      <c r="L26" s="113">
        <v>55</v>
      </c>
      <c r="M26" s="113">
        <v>4</v>
      </c>
      <c r="N26" s="113">
        <v>59</v>
      </c>
      <c r="O26" s="113">
        <v>0</v>
      </c>
      <c r="P26" s="113">
        <v>0</v>
      </c>
      <c r="Q26" s="113">
        <v>0</v>
      </c>
      <c r="R26" s="113">
        <v>16</v>
      </c>
      <c r="S26" s="113">
        <v>1</v>
      </c>
      <c r="T26" s="113">
        <v>17</v>
      </c>
      <c r="U26" s="113">
        <v>2</v>
      </c>
      <c r="V26" s="113">
        <v>0</v>
      </c>
      <c r="W26" s="113">
        <v>2</v>
      </c>
      <c r="X26" s="113">
        <v>17</v>
      </c>
      <c r="Y26" s="113">
        <v>3</v>
      </c>
      <c r="Z26" s="113">
        <v>20</v>
      </c>
    </row>
    <row r="27" spans="1:26" ht="25.5">
      <c r="A27" s="115">
        <v>23</v>
      </c>
      <c r="B27" s="259" t="s">
        <v>361</v>
      </c>
      <c r="C27" s="113">
        <v>398996</v>
      </c>
      <c r="D27" s="113">
        <v>223701</v>
      </c>
      <c r="E27" s="113">
        <v>622697</v>
      </c>
      <c r="F27" s="113">
        <v>45069</v>
      </c>
      <c r="G27" s="113">
        <v>28642</v>
      </c>
      <c r="H27" s="113">
        <v>73711</v>
      </c>
      <c r="I27" s="113">
        <v>11037</v>
      </c>
      <c r="J27" s="113">
        <v>6159</v>
      </c>
      <c r="K27" s="113">
        <v>17196</v>
      </c>
      <c r="L27" s="113">
        <v>149049</v>
      </c>
      <c r="M27" s="113">
        <v>91482</v>
      </c>
      <c r="N27" s="113">
        <v>240531</v>
      </c>
      <c r="O27" s="113">
        <v>699</v>
      </c>
      <c r="P27" s="113">
        <v>272</v>
      </c>
      <c r="Q27" s="113">
        <v>971</v>
      </c>
      <c r="R27" s="113">
        <v>21172</v>
      </c>
      <c r="S27" s="113">
        <v>9743</v>
      </c>
      <c r="T27" s="113">
        <v>30915</v>
      </c>
      <c r="U27" s="113">
        <v>12924</v>
      </c>
      <c r="V27" s="113">
        <v>9244</v>
      </c>
      <c r="W27" s="113">
        <v>22168</v>
      </c>
      <c r="X27" s="113">
        <v>6021</v>
      </c>
      <c r="Y27" s="113">
        <v>4131</v>
      </c>
      <c r="Z27" s="113">
        <v>10152</v>
      </c>
    </row>
    <row r="28" spans="1:26">
      <c r="A28" s="115">
        <v>24</v>
      </c>
      <c r="B28" s="259" t="s">
        <v>424</v>
      </c>
      <c r="C28" s="113">
        <v>269</v>
      </c>
      <c r="D28" s="113">
        <v>81</v>
      </c>
      <c r="E28" s="113">
        <v>350</v>
      </c>
      <c r="F28" s="113">
        <v>26</v>
      </c>
      <c r="G28" s="113">
        <v>15</v>
      </c>
      <c r="H28" s="113">
        <v>41</v>
      </c>
      <c r="I28" s="113">
        <v>6</v>
      </c>
      <c r="J28" s="113">
        <v>0</v>
      </c>
      <c r="K28" s="113">
        <v>6</v>
      </c>
      <c r="L28" s="113">
        <v>95</v>
      </c>
      <c r="M28" s="113">
        <v>21</v>
      </c>
      <c r="N28" s="113">
        <v>116</v>
      </c>
      <c r="O28" s="113">
        <v>0</v>
      </c>
      <c r="P28" s="113">
        <v>0</v>
      </c>
      <c r="Q28" s="113">
        <v>0</v>
      </c>
      <c r="R28" s="113">
        <v>7</v>
      </c>
      <c r="S28" s="113">
        <v>0</v>
      </c>
      <c r="T28" s="113">
        <v>7</v>
      </c>
      <c r="U28" s="113">
        <v>0</v>
      </c>
      <c r="V28" s="113">
        <v>0</v>
      </c>
      <c r="W28" s="113">
        <v>0</v>
      </c>
      <c r="X28" s="113">
        <v>4</v>
      </c>
      <c r="Y28" s="113">
        <v>1</v>
      </c>
      <c r="Z28" s="113">
        <v>5</v>
      </c>
    </row>
    <row r="29" spans="1:26" ht="25.5">
      <c r="A29" s="115">
        <v>25</v>
      </c>
      <c r="B29" s="259" t="s">
        <v>416</v>
      </c>
      <c r="C29" s="113">
        <v>767</v>
      </c>
      <c r="D29" s="113">
        <v>228</v>
      </c>
      <c r="E29" s="113">
        <v>995</v>
      </c>
      <c r="F29" s="113">
        <v>118</v>
      </c>
      <c r="G29" s="113">
        <v>45</v>
      </c>
      <c r="H29" s="113">
        <v>163</v>
      </c>
      <c r="I29" s="113">
        <v>43</v>
      </c>
      <c r="J29" s="113">
        <v>15</v>
      </c>
      <c r="K29" s="113">
        <v>58</v>
      </c>
      <c r="L29" s="113">
        <v>196</v>
      </c>
      <c r="M29" s="113">
        <v>83</v>
      </c>
      <c r="N29" s="113">
        <v>279</v>
      </c>
      <c r="O29" s="113">
        <v>5</v>
      </c>
      <c r="P29" s="113">
        <v>2</v>
      </c>
      <c r="Q29" s="113">
        <v>7</v>
      </c>
      <c r="R29" s="113">
        <v>0</v>
      </c>
      <c r="S29" s="113">
        <v>0</v>
      </c>
      <c r="T29" s="113">
        <v>0</v>
      </c>
      <c r="U29" s="113">
        <v>0</v>
      </c>
      <c r="V29" s="113">
        <v>0</v>
      </c>
      <c r="W29" s="113">
        <v>0</v>
      </c>
      <c r="X29" s="113">
        <v>19</v>
      </c>
      <c r="Y29" s="113">
        <v>8</v>
      </c>
      <c r="Z29" s="113">
        <v>27</v>
      </c>
    </row>
    <row r="30" spans="1:26" ht="25.5">
      <c r="A30" s="115">
        <v>26</v>
      </c>
      <c r="B30" s="259" t="s">
        <v>423</v>
      </c>
      <c r="C30" s="113">
        <v>546</v>
      </c>
      <c r="D30" s="113">
        <v>199</v>
      </c>
      <c r="E30" s="113">
        <v>745</v>
      </c>
      <c r="F30" s="113">
        <v>72</v>
      </c>
      <c r="G30" s="113">
        <v>26</v>
      </c>
      <c r="H30" s="113">
        <v>98</v>
      </c>
      <c r="I30" s="113">
        <v>16</v>
      </c>
      <c r="J30" s="113">
        <v>6</v>
      </c>
      <c r="K30" s="113">
        <v>22</v>
      </c>
      <c r="L30" s="113">
        <v>251</v>
      </c>
      <c r="M30" s="113">
        <v>80</v>
      </c>
      <c r="N30" s="113">
        <v>331</v>
      </c>
      <c r="O30" s="113">
        <v>0</v>
      </c>
      <c r="P30" s="113">
        <v>0</v>
      </c>
      <c r="Q30" s="113">
        <v>0</v>
      </c>
      <c r="R30" s="113">
        <v>21</v>
      </c>
      <c r="S30" s="113">
        <v>4</v>
      </c>
      <c r="T30" s="113">
        <v>25</v>
      </c>
      <c r="U30" s="113">
        <v>9</v>
      </c>
      <c r="V30" s="113">
        <v>3</v>
      </c>
      <c r="W30" s="113">
        <v>12</v>
      </c>
      <c r="X30" s="113">
        <v>23</v>
      </c>
      <c r="Y30" s="113">
        <v>5</v>
      </c>
      <c r="Z30" s="113">
        <v>28</v>
      </c>
    </row>
    <row r="31" spans="1:26" ht="25.5">
      <c r="A31" s="115">
        <v>27</v>
      </c>
      <c r="B31" s="259" t="s">
        <v>457</v>
      </c>
      <c r="C31" s="113">
        <v>2</v>
      </c>
      <c r="D31" s="113">
        <v>61</v>
      </c>
      <c r="E31" s="113">
        <v>63</v>
      </c>
      <c r="F31" s="113">
        <v>0</v>
      </c>
      <c r="G31" s="113">
        <v>1</v>
      </c>
      <c r="H31" s="113">
        <v>1</v>
      </c>
      <c r="I31" s="113">
        <v>0</v>
      </c>
      <c r="J31" s="113">
        <v>0</v>
      </c>
      <c r="K31" s="113">
        <v>0</v>
      </c>
      <c r="L31" s="113">
        <v>0</v>
      </c>
      <c r="M31" s="113">
        <v>5</v>
      </c>
      <c r="N31" s="113">
        <v>5</v>
      </c>
      <c r="O31" s="113">
        <v>0</v>
      </c>
      <c r="P31" s="113">
        <v>0</v>
      </c>
      <c r="Q31" s="113">
        <v>0</v>
      </c>
      <c r="R31" s="113">
        <v>0</v>
      </c>
      <c r="S31" s="113">
        <v>0</v>
      </c>
      <c r="T31" s="113">
        <v>0</v>
      </c>
      <c r="U31" s="113">
        <v>0</v>
      </c>
      <c r="V31" s="113">
        <v>0</v>
      </c>
      <c r="W31" s="113">
        <v>0</v>
      </c>
      <c r="X31" s="113">
        <v>0</v>
      </c>
      <c r="Y31" s="113">
        <v>0</v>
      </c>
      <c r="Z31" s="113">
        <v>0</v>
      </c>
    </row>
    <row r="32" spans="1:26" ht="25.5">
      <c r="A32" s="115">
        <v>28</v>
      </c>
      <c r="B32" s="259" t="s">
        <v>448</v>
      </c>
      <c r="C32" s="113">
        <v>6265</v>
      </c>
      <c r="D32" s="113">
        <v>5975</v>
      </c>
      <c r="E32" s="113">
        <v>12240</v>
      </c>
      <c r="F32" s="113">
        <v>642</v>
      </c>
      <c r="G32" s="113">
        <v>523</v>
      </c>
      <c r="H32" s="113">
        <v>1165</v>
      </c>
      <c r="I32" s="113">
        <v>144</v>
      </c>
      <c r="J32" s="113">
        <v>115</v>
      </c>
      <c r="K32" s="113">
        <v>259</v>
      </c>
      <c r="L32" s="113">
        <v>1467</v>
      </c>
      <c r="M32" s="113">
        <v>1327</v>
      </c>
      <c r="N32" s="113">
        <v>2794</v>
      </c>
      <c r="O32" s="113">
        <v>16</v>
      </c>
      <c r="P32" s="113">
        <v>10</v>
      </c>
      <c r="Q32" s="113">
        <v>26</v>
      </c>
      <c r="R32" s="113">
        <v>181</v>
      </c>
      <c r="S32" s="113">
        <v>171</v>
      </c>
      <c r="T32" s="113">
        <v>352</v>
      </c>
      <c r="U32" s="113">
        <v>256</v>
      </c>
      <c r="V32" s="113">
        <v>320</v>
      </c>
      <c r="W32" s="113">
        <v>576</v>
      </c>
      <c r="X32" s="113">
        <v>61</v>
      </c>
      <c r="Y32" s="113">
        <v>51</v>
      </c>
      <c r="Z32" s="113">
        <v>112</v>
      </c>
    </row>
    <row r="33" spans="1:26" ht="25.5">
      <c r="A33" s="115">
        <v>29</v>
      </c>
      <c r="B33" s="259" t="s">
        <v>961</v>
      </c>
      <c r="C33" s="113">
        <v>38113</v>
      </c>
      <c r="D33" s="113">
        <v>27498</v>
      </c>
      <c r="E33" s="113">
        <v>65611</v>
      </c>
      <c r="F33" s="113">
        <v>3464</v>
      </c>
      <c r="G33" s="113">
        <v>2544</v>
      </c>
      <c r="H33" s="113">
        <v>6008</v>
      </c>
      <c r="I33" s="113">
        <v>734</v>
      </c>
      <c r="J33" s="113">
        <v>460</v>
      </c>
      <c r="K33" s="113">
        <v>1194</v>
      </c>
      <c r="L33" s="113">
        <v>8766</v>
      </c>
      <c r="M33" s="113">
        <v>6099</v>
      </c>
      <c r="N33" s="113">
        <v>14865</v>
      </c>
      <c r="O33" s="113">
        <v>26</v>
      </c>
      <c r="P33" s="113">
        <v>9</v>
      </c>
      <c r="Q33" s="113">
        <v>35</v>
      </c>
      <c r="R33" s="113">
        <v>2659</v>
      </c>
      <c r="S33" s="113">
        <v>1455</v>
      </c>
      <c r="T33" s="113">
        <v>4114</v>
      </c>
      <c r="U33" s="113">
        <v>371</v>
      </c>
      <c r="V33" s="113">
        <v>485</v>
      </c>
      <c r="W33" s="113">
        <v>856</v>
      </c>
      <c r="X33" s="113">
        <v>589</v>
      </c>
      <c r="Y33" s="113">
        <v>394</v>
      </c>
      <c r="Z33" s="113">
        <v>983</v>
      </c>
    </row>
    <row r="34" spans="1:26">
      <c r="A34" s="115">
        <v>30</v>
      </c>
      <c r="B34" s="259" t="s">
        <v>354</v>
      </c>
      <c r="C34" s="113">
        <v>2290504</v>
      </c>
      <c r="D34" s="113">
        <v>2051412</v>
      </c>
      <c r="E34" s="113">
        <v>4341916</v>
      </c>
      <c r="F34" s="113">
        <v>279604</v>
      </c>
      <c r="G34" s="113">
        <v>253276</v>
      </c>
      <c r="H34" s="113">
        <v>532880</v>
      </c>
      <c r="I34" s="113">
        <v>89227</v>
      </c>
      <c r="J34" s="113">
        <v>74624</v>
      </c>
      <c r="K34" s="113">
        <v>163851</v>
      </c>
      <c r="L34" s="113">
        <v>883817</v>
      </c>
      <c r="M34" s="113">
        <v>828950</v>
      </c>
      <c r="N34" s="113">
        <v>1712767</v>
      </c>
      <c r="O34" s="113">
        <v>5003</v>
      </c>
      <c r="P34" s="113">
        <v>2996</v>
      </c>
      <c r="Q34" s="113">
        <v>7999</v>
      </c>
      <c r="R34" s="113">
        <v>126358</v>
      </c>
      <c r="S34" s="113">
        <v>103678</v>
      </c>
      <c r="T34" s="113">
        <v>230036</v>
      </c>
      <c r="U34" s="113">
        <v>61523</v>
      </c>
      <c r="V34" s="113">
        <v>65759</v>
      </c>
      <c r="W34" s="113">
        <v>127282</v>
      </c>
      <c r="X34" s="113">
        <v>28070</v>
      </c>
      <c r="Y34" s="113">
        <v>27914</v>
      </c>
      <c r="Z34" s="113">
        <v>55984</v>
      </c>
    </row>
    <row r="35" spans="1:26">
      <c r="A35" s="115">
        <v>31</v>
      </c>
      <c r="B35" s="259" t="s">
        <v>367</v>
      </c>
      <c r="C35" s="113">
        <v>27198</v>
      </c>
      <c r="D35" s="113">
        <v>73442</v>
      </c>
      <c r="E35" s="113">
        <v>100640</v>
      </c>
      <c r="F35" s="113">
        <v>3029</v>
      </c>
      <c r="G35" s="113">
        <v>7206</v>
      </c>
      <c r="H35" s="113">
        <v>10235</v>
      </c>
      <c r="I35" s="113">
        <v>923</v>
      </c>
      <c r="J35" s="113">
        <v>2033</v>
      </c>
      <c r="K35" s="113">
        <v>2956</v>
      </c>
      <c r="L35" s="113">
        <v>8752</v>
      </c>
      <c r="M35" s="113">
        <v>25344</v>
      </c>
      <c r="N35" s="113">
        <v>34096</v>
      </c>
      <c r="O35" s="113">
        <v>6</v>
      </c>
      <c r="P35" s="113">
        <v>432</v>
      </c>
      <c r="Q35" s="113">
        <v>438</v>
      </c>
      <c r="R35" s="113">
        <v>1263</v>
      </c>
      <c r="S35" s="113">
        <v>3553</v>
      </c>
      <c r="T35" s="113">
        <v>4816</v>
      </c>
      <c r="U35" s="113">
        <v>751</v>
      </c>
      <c r="V35" s="113">
        <v>2499</v>
      </c>
      <c r="W35" s="113">
        <v>3250</v>
      </c>
      <c r="X35" s="113">
        <v>477</v>
      </c>
      <c r="Y35" s="113">
        <v>1008</v>
      </c>
      <c r="Z35" s="113">
        <v>1485</v>
      </c>
    </row>
    <row r="36" spans="1:26">
      <c r="A36" s="115">
        <v>32</v>
      </c>
      <c r="B36" s="259" t="s">
        <v>425</v>
      </c>
      <c r="C36" s="113">
        <v>13</v>
      </c>
      <c r="D36" s="113">
        <v>128</v>
      </c>
      <c r="E36" s="113">
        <v>141</v>
      </c>
      <c r="F36" s="113">
        <v>4</v>
      </c>
      <c r="G36" s="113">
        <v>9</v>
      </c>
      <c r="H36" s="113">
        <v>13</v>
      </c>
      <c r="I36" s="113">
        <v>0</v>
      </c>
      <c r="J36" s="113">
        <v>5</v>
      </c>
      <c r="K36" s="113">
        <v>5</v>
      </c>
      <c r="L36" s="113">
        <v>5</v>
      </c>
      <c r="M36" s="113">
        <v>47</v>
      </c>
      <c r="N36" s="113">
        <v>52</v>
      </c>
      <c r="O36" s="113">
        <v>0</v>
      </c>
      <c r="P36" s="113">
        <v>0</v>
      </c>
      <c r="Q36" s="113">
        <v>0</v>
      </c>
      <c r="R36" s="113">
        <v>0</v>
      </c>
      <c r="S36" s="113">
        <v>0</v>
      </c>
      <c r="T36" s="113">
        <v>0</v>
      </c>
      <c r="U36" s="113">
        <v>0</v>
      </c>
      <c r="V36" s="113">
        <v>0</v>
      </c>
      <c r="W36" s="113">
        <v>0</v>
      </c>
      <c r="X36" s="113">
        <v>0</v>
      </c>
      <c r="Y36" s="113">
        <v>5</v>
      </c>
      <c r="Z36" s="113">
        <v>5</v>
      </c>
    </row>
    <row r="37" spans="1:26">
      <c r="A37" s="115">
        <v>33</v>
      </c>
      <c r="B37" s="259" t="s">
        <v>806</v>
      </c>
      <c r="C37" s="113">
        <v>48</v>
      </c>
      <c r="D37" s="113">
        <v>107</v>
      </c>
      <c r="E37" s="113">
        <v>155</v>
      </c>
      <c r="F37" s="113">
        <v>1</v>
      </c>
      <c r="G37" s="113">
        <v>1</v>
      </c>
      <c r="H37" s="113">
        <v>2</v>
      </c>
      <c r="I37" s="113">
        <v>5</v>
      </c>
      <c r="J37" s="113">
        <v>0</v>
      </c>
      <c r="K37" s="113">
        <v>5</v>
      </c>
      <c r="L37" s="113">
        <v>6</v>
      </c>
      <c r="M37" s="113">
        <v>5</v>
      </c>
      <c r="N37" s="113">
        <v>11</v>
      </c>
      <c r="O37" s="113">
        <v>0</v>
      </c>
      <c r="P37" s="113">
        <v>0</v>
      </c>
      <c r="Q37" s="113">
        <v>0</v>
      </c>
      <c r="R37" s="113">
        <v>0</v>
      </c>
      <c r="S37" s="113">
        <v>0</v>
      </c>
      <c r="T37" s="113">
        <v>0</v>
      </c>
      <c r="U37" s="113">
        <v>4</v>
      </c>
      <c r="V37" s="113">
        <v>0</v>
      </c>
      <c r="W37" s="113">
        <v>4</v>
      </c>
      <c r="X37" s="113">
        <v>0</v>
      </c>
      <c r="Y37" s="113">
        <v>0</v>
      </c>
      <c r="Z37" s="113">
        <v>0</v>
      </c>
    </row>
    <row r="38" spans="1:26">
      <c r="A38" s="115">
        <v>34</v>
      </c>
      <c r="B38" s="259" t="s">
        <v>380</v>
      </c>
      <c r="C38" s="113">
        <v>13935</v>
      </c>
      <c r="D38" s="113">
        <v>30591</v>
      </c>
      <c r="E38" s="113">
        <v>44526</v>
      </c>
      <c r="F38" s="113">
        <v>1007</v>
      </c>
      <c r="G38" s="113">
        <v>2750</v>
      </c>
      <c r="H38" s="113">
        <v>3757</v>
      </c>
      <c r="I38" s="113">
        <v>413</v>
      </c>
      <c r="J38" s="113">
        <v>1215</v>
      </c>
      <c r="K38" s="113">
        <v>1628</v>
      </c>
      <c r="L38" s="113">
        <v>2652</v>
      </c>
      <c r="M38" s="113">
        <v>4492</v>
      </c>
      <c r="N38" s="113">
        <v>7144</v>
      </c>
      <c r="O38" s="113">
        <v>39</v>
      </c>
      <c r="P38" s="113">
        <v>91</v>
      </c>
      <c r="Q38" s="113">
        <v>130</v>
      </c>
      <c r="R38" s="113">
        <v>312</v>
      </c>
      <c r="S38" s="113">
        <v>474</v>
      </c>
      <c r="T38" s="113">
        <v>786</v>
      </c>
      <c r="U38" s="113">
        <v>404</v>
      </c>
      <c r="V38" s="113">
        <v>966</v>
      </c>
      <c r="W38" s="113">
        <v>1370</v>
      </c>
      <c r="X38" s="113">
        <v>258</v>
      </c>
      <c r="Y38" s="113">
        <v>571</v>
      </c>
      <c r="Z38" s="113">
        <v>829</v>
      </c>
    </row>
    <row r="39" spans="1:26">
      <c r="A39" s="115">
        <v>35</v>
      </c>
      <c r="B39" s="259" t="s">
        <v>357</v>
      </c>
      <c r="C39" s="113">
        <v>955689</v>
      </c>
      <c r="D39" s="113">
        <v>374380</v>
      </c>
      <c r="E39" s="113">
        <v>1330069</v>
      </c>
      <c r="F39" s="113">
        <v>107956</v>
      </c>
      <c r="G39" s="113">
        <v>49767</v>
      </c>
      <c r="H39" s="113">
        <v>157723</v>
      </c>
      <c r="I39" s="113">
        <v>24999</v>
      </c>
      <c r="J39" s="113">
        <v>9941</v>
      </c>
      <c r="K39" s="113">
        <v>34940</v>
      </c>
      <c r="L39" s="113">
        <v>428147</v>
      </c>
      <c r="M39" s="113">
        <v>183348</v>
      </c>
      <c r="N39" s="113">
        <v>611495</v>
      </c>
      <c r="O39" s="113">
        <v>1054</v>
      </c>
      <c r="P39" s="113">
        <v>1055</v>
      </c>
      <c r="Q39" s="113">
        <v>2109</v>
      </c>
      <c r="R39" s="113">
        <v>45818</v>
      </c>
      <c r="S39" s="113">
        <v>9937</v>
      </c>
      <c r="T39" s="113">
        <v>55755</v>
      </c>
      <c r="U39" s="113">
        <v>27906</v>
      </c>
      <c r="V39" s="113">
        <v>11005</v>
      </c>
      <c r="W39" s="113">
        <v>38911</v>
      </c>
      <c r="X39" s="113">
        <v>22689</v>
      </c>
      <c r="Y39" s="113">
        <v>8370</v>
      </c>
      <c r="Z39" s="113">
        <v>31059</v>
      </c>
    </row>
    <row r="40" spans="1:26" ht="25.5">
      <c r="A40" s="115">
        <v>36</v>
      </c>
      <c r="B40" s="259" t="s">
        <v>967</v>
      </c>
      <c r="C40" s="113">
        <v>493</v>
      </c>
      <c r="D40" s="113">
        <v>753</v>
      </c>
      <c r="E40" s="113">
        <v>1246</v>
      </c>
      <c r="F40" s="113">
        <v>83</v>
      </c>
      <c r="G40" s="113">
        <v>81</v>
      </c>
      <c r="H40" s="113">
        <v>164</v>
      </c>
      <c r="I40" s="113">
        <v>48</v>
      </c>
      <c r="J40" s="113">
        <v>41</v>
      </c>
      <c r="K40" s="113">
        <v>89</v>
      </c>
      <c r="L40" s="113">
        <v>159</v>
      </c>
      <c r="M40" s="113">
        <v>211</v>
      </c>
      <c r="N40" s="113">
        <v>370</v>
      </c>
      <c r="O40" s="113">
        <v>1</v>
      </c>
      <c r="P40" s="113">
        <v>0</v>
      </c>
      <c r="Q40" s="113">
        <v>1</v>
      </c>
      <c r="R40" s="113">
        <v>25</v>
      </c>
      <c r="S40" s="113">
        <v>56</v>
      </c>
      <c r="T40" s="113">
        <v>81</v>
      </c>
      <c r="U40" s="113">
        <v>2</v>
      </c>
      <c r="V40" s="113">
        <v>5</v>
      </c>
      <c r="W40" s="113">
        <v>7</v>
      </c>
      <c r="X40" s="113">
        <v>7</v>
      </c>
      <c r="Y40" s="113">
        <v>9</v>
      </c>
      <c r="Z40" s="113">
        <v>16</v>
      </c>
    </row>
    <row r="41" spans="1:26">
      <c r="A41" s="115">
        <v>37</v>
      </c>
      <c r="B41" s="259" t="s">
        <v>358</v>
      </c>
      <c r="C41" s="113">
        <v>556134</v>
      </c>
      <c r="D41" s="113">
        <v>964581</v>
      </c>
      <c r="E41" s="113">
        <v>1520715</v>
      </c>
      <c r="F41" s="113">
        <v>107178</v>
      </c>
      <c r="G41" s="113">
        <v>156333</v>
      </c>
      <c r="H41" s="113">
        <v>263511</v>
      </c>
      <c r="I41" s="113">
        <v>44648</v>
      </c>
      <c r="J41" s="113">
        <v>63942</v>
      </c>
      <c r="K41" s="113">
        <v>108590</v>
      </c>
      <c r="L41" s="113">
        <v>204103</v>
      </c>
      <c r="M41" s="113">
        <v>344959</v>
      </c>
      <c r="N41" s="113">
        <v>549062</v>
      </c>
      <c r="O41" s="113">
        <v>1740</v>
      </c>
      <c r="P41" s="113">
        <v>2633</v>
      </c>
      <c r="Q41" s="113">
        <v>4373</v>
      </c>
      <c r="R41" s="113">
        <v>21590</v>
      </c>
      <c r="S41" s="113">
        <v>39530</v>
      </c>
      <c r="T41" s="113">
        <v>61120</v>
      </c>
      <c r="U41" s="113">
        <v>6220</v>
      </c>
      <c r="V41" s="113">
        <v>22230</v>
      </c>
      <c r="W41" s="113">
        <v>28450</v>
      </c>
      <c r="X41" s="113">
        <v>10429</v>
      </c>
      <c r="Y41" s="113">
        <v>16781</v>
      </c>
      <c r="Z41" s="113">
        <v>27210</v>
      </c>
    </row>
    <row r="42" spans="1:26" ht="25.5">
      <c r="A42" s="115">
        <v>38</v>
      </c>
      <c r="B42" s="259" t="s">
        <v>964</v>
      </c>
      <c r="C42" s="113">
        <v>1819</v>
      </c>
      <c r="D42" s="113">
        <v>3482</v>
      </c>
      <c r="E42" s="113">
        <v>5301</v>
      </c>
      <c r="F42" s="113">
        <v>362</v>
      </c>
      <c r="G42" s="113">
        <v>531</v>
      </c>
      <c r="H42" s="113">
        <v>893</v>
      </c>
      <c r="I42" s="113">
        <v>1</v>
      </c>
      <c r="J42" s="113">
        <v>36</v>
      </c>
      <c r="K42" s="113">
        <v>37</v>
      </c>
      <c r="L42" s="113">
        <v>857</v>
      </c>
      <c r="M42" s="113">
        <v>1652</v>
      </c>
      <c r="N42" s="113">
        <v>2509</v>
      </c>
      <c r="O42" s="113">
        <v>0</v>
      </c>
      <c r="P42" s="113">
        <v>18</v>
      </c>
      <c r="Q42" s="113">
        <v>18</v>
      </c>
      <c r="R42" s="113">
        <v>32</v>
      </c>
      <c r="S42" s="113">
        <v>94</v>
      </c>
      <c r="T42" s="113">
        <v>126</v>
      </c>
      <c r="U42" s="113">
        <v>0</v>
      </c>
      <c r="V42" s="113">
        <v>17</v>
      </c>
      <c r="W42" s="113">
        <v>17</v>
      </c>
      <c r="X42" s="113">
        <v>27</v>
      </c>
      <c r="Y42" s="113">
        <v>71</v>
      </c>
      <c r="Z42" s="113">
        <v>98</v>
      </c>
    </row>
    <row r="43" spans="1:26">
      <c r="A43" s="115">
        <v>39</v>
      </c>
      <c r="B43" s="259" t="s">
        <v>384</v>
      </c>
      <c r="C43" s="113">
        <v>15223</v>
      </c>
      <c r="D43" s="113">
        <v>15075</v>
      </c>
      <c r="E43" s="113">
        <v>30298</v>
      </c>
      <c r="F43" s="113">
        <v>2743</v>
      </c>
      <c r="G43" s="113">
        <v>1817</v>
      </c>
      <c r="H43" s="113">
        <v>4560</v>
      </c>
      <c r="I43" s="113">
        <v>1116</v>
      </c>
      <c r="J43" s="113">
        <v>550</v>
      </c>
      <c r="K43" s="113">
        <v>1666</v>
      </c>
      <c r="L43" s="113">
        <v>5397</v>
      </c>
      <c r="M43" s="113">
        <v>4429</v>
      </c>
      <c r="N43" s="113">
        <v>9826</v>
      </c>
      <c r="O43" s="113">
        <v>128</v>
      </c>
      <c r="P43" s="113">
        <v>80</v>
      </c>
      <c r="Q43" s="113">
        <v>208</v>
      </c>
      <c r="R43" s="113">
        <v>358</v>
      </c>
      <c r="S43" s="113">
        <v>375</v>
      </c>
      <c r="T43" s="113">
        <v>733</v>
      </c>
      <c r="U43" s="113">
        <v>433</v>
      </c>
      <c r="V43" s="113">
        <v>500</v>
      </c>
      <c r="W43" s="113">
        <v>933</v>
      </c>
      <c r="X43" s="113">
        <v>294</v>
      </c>
      <c r="Y43" s="113">
        <v>328</v>
      </c>
      <c r="Z43" s="113">
        <v>622</v>
      </c>
    </row>
    <row r="44" spans="1:26">
      <c r="A44" s="115">
        <v>40</v>
      </c>
      <c r="B44" s="259" t="s">
        <v>400</v>
      </c>
      <c r="C44" s="113">
        <v>2656</v>
      </c>
      <c r="D44" s="113">
        <v>2071</v>
      </c>
      <c r="E44" s="113">
        <v>4727</v>
      </c>
      <c r="F44" s="113">
        <v>377</v>
      </c>
      <c r="G44" s="113">
        <v>286</v>
      </c>
      <c r="H44" s="113">
        <v>663</v>
      </c>
      <c r="I44" s="113">
        <v>191</v>
      </c>
      <c r="J44" s="113">
        <v>209</v>
      </c>
      <c r="K44" s="113">
        <v>400</v>
      </c>
      <c r="L44" s="113">
        <v>1192</v>
      </c>
      <c r="M44" s="113">
        <v>938</v>
      </c>
      <c r="N44" s="113">
        <v>2130</v>
      </c>
      <c r="O44" s="113">
        <v>4</v>
      </c>
      <c r="P44" s="113">
        <v>2</v>
      </c>
      <c r="Q44" s="113">
        <v>6</v>
      </c>
      <c r="R44" s="113">
        <v>114</v>
      </c>
      <c r="S44" s="113">
        <v>137</v>
      </c>
      <c r="T44" s="113">
        <v>251</v>
      </c>
      <c r="U44" s="113">
        <v>78</v>
      </c>
      <c r="V44" s="113">
        <v>133</v>
      </c>
      <c r="W44" s="113">
        <v>211</v>
      </c>
      <c r="X44" s="113">
        <v>68</v>
      </c>
      <c r="Y44" s="113">
        <v>48</v>
      </c>
      <c r="Z44" s="113">
        <v>116</v>
      </c>
    </row>
    <row r="45" spans="1:26" ht="25.5">
      <c r="A45" s="115">
        <v>41</v>
      </c>
      <c r="B45" s="259" t="s">
        <v>404</v>
      </c>
      <c r="C45" s="113">
        <v>589</v>
      </c>
      <c r="D45" s="113">
        <v>2243</v>
      </c>
      <c r="E45" s="113">
        <v>2832</v>
      </c>
      <c r="F45" s="113">
        <v>53</v>
      </c>
      <c r="G45" s="113">
        <v>322</v>
      </c>
      <c r="H45" s="113">
        <v>375</v>
      </c>
      <c r="I45" s="113">
        <v>18</v>
      </c>
      <c r="J45" s="113">
        <v>169</v>
      </c>
      <c r="K45" s="113">
        <v>187</v>
      </c>
      <c r="L45" s="113">
        <v>160</v>
      </c>
      <c r="M45" s="113">
        <v>609</v>
      </c>
      <c r="N45" s="113">
        <v>769</v>
      </c>
      <c r="O45" s="113">
        <v>0</v>
      </c>
      <c r="P45" s="113">
        <v>0</v>
      </c>
      <c r="Q45" s="113">
        <v>0</v>
      </c>
      <c r="R45" s="113">
        <v>12</v>
      </c>
      <c r="S45" s="113">
        <v>40</v>
      </c>
      <c r="T45" s="113">
        <v>52</v>
      </c>
      <c r="U45" s="113">
        <v>20</v>
      </c>
      <c r="V45" s="113">
        <v>112</v>
      </c>
      <c r="W45" s="113">
        <v>132</v>
      </c>
      <c r="X45" s="113">
        <v>40</v>
      </c>
      <c r="Y45" s="113">
        <v>50</v>
      </c>
      <c r="Z45" s="113">
        <v>90</v>
      </c>
    </row>
    <row r="46" spans="1:26">
      <c r="A46" s="115">
        <v>42</v>
      </c>
      <c r="B46" s="259" t="s">
        <v>411</v>
      </c>
      <c r="C46" s="113">
        <v>1377</v>
      </c>
      <c r="D46" s="113">
        <v>1288</v>
      </c>
      <c r="E46" s="113">
        <v>2665</v>
      </c>
      <c r="F46" s="113">
        <v>197</v>
      </c>
      <c r="G46" s="113">
        <v>233</v>
      </c>
      <c r="H46" s="113">
        <v>430</v>
      </c>
      <c r="I46" s="113">
        <v>30</v>
      </c>
      <c r="J46" s="113">
        <v>22</v>
      </c>
      <c r="K46" s="113">
        <v>52</v>
      </c>
      <c r="L46" s="113">
        <v>232</v>
      </c>
      <c r="M46" s="113">
        <v>186</v>
      </c>
      <c r="N46" s="113">
        <v>418</v>
      </c>
      <c r="O46" s="113">
        <v>25</v>
      </c>
      <c r="P46" s="113">
        <v>12</v>
      </c>
      <c r="Q46" s="113">
        <v>37</v>
      </c>
      <c r="R46" s="113">
        <v>73</v>
      </c>
      <c r="S46" s="113">
        <v>45</v>
      </c>
      <c r="T46" s="113">
        <v>118</v>
      </c>
      <c r="U46" s="113">
        <v>27</v>
      </c>
      <c r="V46" s="113">
        <v>35</v>
      </c>
      <c r="W46" s="113">
        <v>62</v>
      </c>
      <c r="X46" s="113">
        <v>89</v>
      </c>
      <c r="Y46" s="113">
        <v>85</v>
      </c>
      <c r="Z46" s="113">
        <v>174</v>
      </c>
    </row>
    <row r="47" spans="1:26" ht="25.5">
      <c r="A47" s="115">
        <v>43</v>
      </c>
      <c r="B47" s="259" t="s">
        <v>398</v>
      </c>
      <c r="C47" s="113">
        <v>2263</v>
      </c>
      <c r="D47" s="113">
        <v>2567</v>
      </c>
      <c r="E47" s="113">
        <v>4830</v>
      </c>
      <c r="F47" s="113">
        <v>203</v>
      </c>
      <c r="G47" s="113">
        <v>240</v>
      </c>
      <c r="H47" s="113">
        <v>443</v>
      </c>
      <c r="I47" s="113">
        <v>71</v>
      </c>
      <c r="J47" s="113">
        <v>60</v>
      </c>
      <c r="K47" s="113">
        <v>131</v>
      </c>
      <c r="L47" s="113">
        <v>458</v>
      </c>
      <c r="M47" s="113">
        <v>399</v>
      </c>
      <c r="N47" s="113">
        <v>857</v>
      </c>
      <c r="O47" s="113">
        <v>0</v>
      </c>
      <c r="P47" s="113">
        <v>0</v>
      </c>
      <c r="Q47" s="113">
        <v>0</v>
      </c>
      <c r="R47" s="113">
        <v>150</v>
      </c>
      <c r="S47" s="113">
        <v>117</v>
      </c>
      <c r="T47" s="113">
        <v>267</v>
      </c>
      <c r="U47" s="113">
        <v>10</v>
      </c>
      <c r="V47" s="113">
        <v>22</v>
      </c>
      <c r="W47" s="113">
        <v>32</v>
      </c>
      <c r="X47" s="113">
        <v>0</v>
      </c>
      <c r="Y47" s="113">
        <v>0</v>
      </c>
      <c r="Z47" s="113">
        <v>0</v>
      </c>
    </row>
    <row r="48" spans="1:26" ht="25.5">
      <c r="A48" s="115">
        <v>44</v>
      </c>
      <c r="B48" s="259" t="s">
        <v>378</v>
      </c>
      <c r="C48" s="113">
        <v>42989</v>
      </c>
      <c r="D48" s="113">
        <v>11599</v>
      </c>
      <c r="E48" s="113">
        <v>54588</v>
      </c>
      <c r="F48" s="113">
        <v>5369</v>
      </c>
      <c r="G48" s="113">
        <v>1746</v>
      </c>
      <c r="H48" s="113">
        <v>7115</v>
      </c>
      <c r="I48" s="113">
        <v>2664</v>
      </c>
      <c r="J48" s="113">
        <v>1108</v>
      </c>
      <c r="K48" s="113">
        <v>3772</v>
      </c>
      <c r="L48" s="113">
        <v>7632</v>
      </c>
      <c r="M48" s="113">
        <v>1389</v>
      </c>
      <c r="N48" s="113">
        <v>9021</v>
      </c>
      <c r="O48" s="113">
        <v>64</v>
      </c>
      <c r="P48" s="113">
        <v>18</v>
      </c>
      <c r="Q48" s="113">
        <v>82</v>
      </c>
      <c r="R48" s="113">
        <v>645</v>
      </c>
      <c r="S48" s="113">
        <v>98</v>
      </c>
      <c r="T48" s="113">
        <v>743</v>
      </c>
      <c r="U48" s="113">
        <v>1161</v>
      </c>
      <c r="V48" s="113">
        <v>238</v>
      </c>
      <c r="W48" s="113">
        <v>1399</v>
      </c>
      <c r="X48" s="113">
        <v>949</v>
      </c>
      <c r="Y48" s="113">
        <v>196</v>
      </c>
      <c r="Z48" s="113">
        <v>1145</v>
      </c>
    </row>
    <row r="49" spans="1:26" ht="38.25">
      <c r="A49" s="115">
        <v>45</v>
      </c>
      <c r="B49" s="259" t="s">
        <v>385</v>
      </c>
      <c r="C49" s="113">
        <v>17179</v>
      </c>
      <c r="D49" s="113">
        <v>3634</v>
      </c>
      <c r="E49" s="113">
        <v>20813</v>
      </c>
      <c r="F49" s="113">
        <v>2325</v>
      </c>
      <c r="G49" s="113">
        <v>726</v>
      </c>
      <c r="H49" s="113">
        <v>3051</v>
      </c>
      <c r="I49" s="113">
        <v>301</v>
      </c>
      <c r="J49" s="113">
        <v>77</v>
      </c>
      <c r="K49" s="113">
        <v>378</v>
      </c>
      <c r="L49" s="113">
        <v>4248</v>
      </c>
      <c r="M49" s="113">
        <v>605</v>
      </c>
      <c r="N49" s="113">
        <v>4853</v>
      </c>
      <c r="O49" s="113">
        <v>42</v>
      </c>
      <c r="P49" s="113">
        <v>1</v>
      </c>
      <c r="Q49" s="113">
        <v>43</v>
      </c>
      <c r="R49" s="113">
        <v>505</v>
      </c>
      <c r="S49" s="113">
        <v>46</v>
      </c>
      <c r="T49" s="113">
        <v>551</v>
      </c>
      <c r="U49" s="113">
        <v>447</v>
      </c>
      <c r="V49" s="113">
        <v>136</v>
      </c>
      <c r="W49" s="113">
        <v>583</v>
      </c>
      <c r="X49" s="113">
        <v>389</v>
      </c>
      <c r="Y49" s="113">
        <v>72</v>
      </c>
      <c r="Z49" s="113">
        <v>461</v>
      </c>
    </row>
    <row r="50" spans="1:26" ht="25.5">
      <c r="A50" s="115">
        <v>46</v>
      </c>
      <c r="B50" s="259" t="s">
        <v>371</v>
      </c>
      <c r="C50" s="113">
        <v>24971</v>
      </c>
      <c r="D50" s="113">
        <v>38576</v>
      </c>
      <c r="E50" s="113">
        <v>63547</v>
      </c>
      <c r="F50" s="113">
        <v>2437</v>
      </c>
      <c r="G50" s="113">
        <v>3823</v>
      </c>
      <c r="H50" s="113">
        <v>6260</v>
      </c>
      <c r="I50" s="113">
        <v>1076</v>
      </c>
      <c r="J50" s="113">
        <v>1460</v>
      </c>
      <c r="K50" s="113">
        <v>2536</v>
      </c>
      <c r="L50" s="113">
        <v>9627</v>
      </c>
      <c r="M50" s="113">
        <v>14419</v>
      </c>
      <c r="N50" s="113">
        <v>24046</v>
      </c>
      <c r="O50" s="113">
        <v>137</v>
      </c>
      <c r="P50" s="113">
        <v>204</v>
      </c>
      <c r="Q50" s="113">
        <v>341</v>
      </c>
      <c r="R50" s="113">
        <v>1496</v>
      </c>
      <c r="S50" s="113">
        <v>2715</v>
      </c>
      <c r="T50" s="113">
        <v>4211</v>
      </c>
      <c r="U50" s="113">
        <v>421</v>
      </c>
      <c r="V50" s="113">
        <v>864</v>
      </c>
      <c r="W50" s="113">
        <v>1285</v>
      </c>
      <c r="X50" s="113">
        <v>593</v>
      </c>
      <c r="Y50" s="113">
        <v>1289</v>
      </c>
      <c r="Z50" s="113">
        <v>1882</v>
      </c>
    </row>
    <row r="51" spans="1:26" ht="25.5">
      <c r="A51" s="115">
        <v>47</v>
      </c>
      <c r="B51" s="259" t="s">
        <v>399</v>
      </c>
      <c r="C51" s="113">
        <v>10978</v>
      </c>
      <c r="D51" s="113">
        <v>4676</v>
      </c>
      <c r="E51" s="113">
        <v>15654</v>
      </c>
      <c r="F51" s="113">
        <v>695</v>
      </c>
      <c r="G51" s="113">
        <v>450</v>
      </c>
      <c r="H51" s="113">
        <v>1145</v>
      </c>
      <c r="I51" s="113">
        <v>793</v>
      </c>
      <c r="J51" s="113">
        <v>558</v>
      </c>
      <c r="K51" s="113">
        <v>1351</v>
      </c>
      <c r="L51" s="113">
        <v>1507</v>
      </c>
      <c r="M51" s="113">
        <v>573</v>
      </c>
      <c r="N51" s="113">
        <v>2080</v>
      </c>
      <c r="O51" s="113">
        <v>32</v>
      </c>
      <c r="P51" s="113">
        <v>8</v>
      </c>
      <c r="Q51" s="113">
        <v>40</v>
      </c>
      <c r="R51" s="113">
        <v>304</v>
      </c>
      <c r="S51" s="113">
        <v>87</v>
      </c>
      <c r="T51" s="113">
        <v>391</v>
      </c>
      <c r="U51" s="113">
        <v>179</v>
      </c>
      <c r="V51" s="113">
        <v>98</v>
      </c>
      <c r="W51" s="113">
        <v>277</v>
      </c>
      <c r="X51" s="113">
        <v>141</v>
      </c>
      <c r="Y51" s="113">
        <v>66</v>
      </c>
      <c r="Z51" s="113">
        <v>207</v>
      </c>
    </row>
    <row r="52" spans="1:26" ht="25.5">
      <c r="A52" s="115">
        <v>48</v>
      </c>
      <c r="B52" s="259" t="s">
        <v>968</v>
      </c>
      <c r="C52" s="113">
        <v>17</v>
      </c>
      <c r="D52" s="113">
        <v>8</v>
      </c>
      <c r="E52" s="113">
        <v>25</v>
      </c>
      <c r="F52" s="113">
        <v>6</v>
      </c>
      <c r="G52" s="113">
        <v>5</v>
      </c>
      <c r="H52" s="113">
        <v>11</v>
      </c>
      <c r="I52" s="113">
        <v>0</v>
      </c>
      <c r="J52" s="113">
        <v>0</v>
      </c>
      <c r="K52" s="113">
        <v>0</v>
      </c>
      <c r="L52" s="113">
        <v>8</v>
      </c>
      <c r="M52" s="113">
        <v>1</v>
      </c>
      <c r="N52" s="113">
        <v>9</v>
      </c>
      <c r="O52" s="113">
        <v>0</v>
      </c>
      <c r="P52" s="113">
        <v>0</v>
      </c>
      <c r="Q52" s="113">
        <v>0</v>
      </c>
      <c r="R52" s="113">
        <v>2</v>
      </c>
      <c r="S52" s="113">
        <v>0</v>
      </c>
      <c r="T52" s="113">
        <v>2</v>
      </c>
      <c r="U52" s="113">
        <v>0</v>
      </c>
      <c r="V52" s="113">
        <v>0</v>
      </c>
      <c r="W52" s="113">
        <v>0</v>
      </c>
      <c r="X52" s="113">
        <v>0</v>
      </c>
      <c r="Y52" s="113">
        <v>0</v>
      </c>
      <c r="Z52" s="113">
        <v>0</v>
      </c>
    </row>
    <row r="53" spans="1:26" ht="25.5">
      <c r="A53" s="115">
        <v>49</v>
      </c>
      <c r="B53" s="259" t="s">
        <v>403</v>
      </c>
      <c r="C53" s="113">
        <v>2175</v>
      </c>
      <c r="D53" s="113">
        <v>1156</v>
      </c>
      <c r="E53" s="113">
        <v>3331</v>
      </c>
      <c r="F53" s="113">
        <v>396</v>
      </c>
      <c r="G53" s="113">
        <v>281</v>
      </c>
      <c r="H53" s="113">
        <v>677</v>
      </c>
      <c r="I53" s="113">
        <v>222</v>
      </c>
      <c r="J53" s="113">
        <v>220</v>
      </c>
      <c r="K53" s="113">
        <v>442</v>
      </c>
      <c r="L53" s="113">
        <v>334</v>
      </c>
      <c r="M53" s="113">
        <v>144</v>
      </c>
      <c r="N53" s="113">
        <v>478</v>
      </c>
      <c r="O53" s="113">
        <v>2</v>
      </c>
      <c r="P53" s="113">
        <v>4</v>
      </c>
      <c r="Q53" s="113">
        <v>6</v>
      </c>
      <c r="R53" s="113">
        <v>95</v>
      </c>
      <c r="S53" s="113">
        <v>14</v>
      </c>
      <c r="T53" s="113">
        <v>109</v>
      </c>
      <c r="U53" s="113">
        <v>35</v>
      </c>
      <c r="V53" s="113">
        <v>25</v>
      </c>
      <c r="W53" s="113">
        <v>60</v>
      </c>
      <c r="X53" s="113">
        <v>17</v>
      </c>
      <c r="Y53" s="113">
        <v>19</v>
      </c>
      <c r="Z53" s="113">
        <v>36</v>
      </c>
    </row>
    <row r="54" spans="1:26" ht="25.5">
      <c r="A54" s="115">
        <v>50</v>
      </c>
      <c r="B54" s="259" t="s">
        <v>427</v>
      </c>
      <c r="C54" s="113">
        <v>237</v>
      </c>
      <c r="D54" s="113">
        <v>99</v>
      </c>
      <c r="E54" s="113">
        <v>336</v>
      </c>
      <c r="F54" s="113">
        <v>6</v>
      </c>
      <c r="G54" s="113">
        <v>4</v>
      </c>
      <c r="H54" s="113">
        <v>10</v>
      </c>
      <c r="I54" s="113">
        <v>13</v>
      </c>
      <c r="J54" s="113">
        <v>4</v>
      </c>
      <c r="K54" s="113">
        <v>17</v>
      </c>
      <c r="L54" s="113">
        <v>46</v>
      </c>
      <c r="M54" s="113">
        <v>24</v>
      </c>
      <c r="N54" s="113">
        <v>70</v>
      </c>
      <c r="O54" s="113">
        <v>0</v>
      </c>
      <c r="P54" s="113">
        <v>0</v>
      </c>
      <c r="Q54" s="113">
        <v>0</v>
      </c>
      <c r="R54" s="113">
        <v>48</v>
      </c>
      <c r="S54" s="113">
        <v>26</v>
      </c>
      <c r="T54" s="113">
        <v>74</v>
      </c>
      <c r="U54" s="113">
        <v>9</v>
      </c>
      <c r="V54" s="113">
        <v>3</v>
      </c>
      <c r="W54" s="113">
        <v>12</v>
      </c>
      <c r="X54" s="113">
        <v>0</v>
      </c>
      <c r="Y54" s="113">
        <v>0</v>
      </c>
      <c r="Z54" s="113">
        <v>0</v>
      </c>
    </row>
    <row r="55" spans="1:26">
      <c r="A55" s="115">
        <v>51</v>
      </c>
      <c r="B55" s="259" t="s">
        <v>432</v>
      </c>
      <c r="C55" s="113">
        <v>424</v>
      </c>
      <c r="D55" s="113">
        <v>540</v>
      </c>
      <c r="E55" s="113">
        <v>964</v>
      </c>
      <c r="F55" s="113">
        <v>35</v>
      </c>
      <c r="G55" s="113">
        <v>41</v>
      </c>
      <c r="H55" s="113">
        <v>76</v>
      </c>
      <c r="I55" s="113">
        <v>8</v>
      </c>
      <c r="J55" s="113">
        <v>30</v>
      </c>
      <c r="K55" s="113">
        <v>38</v>
      </c>
      <c r="L55" s="113">
        <v>210</v>
      </c>
      <c r="M55" s="113">
        <v>227</v>
      </c>
      <c r="N55" s="113">
        <v>437</v>
      </c>
      <c r="O55" s="113">
        <v>0</v>
      </c>
      <c r="P55" s="113">
        <v>0</v>
      </c>
      <c r="Q55" s="113">
        <v>0</v>
      </c>
      <c r="R55" s="113">
        <v>4</v>
      </c>
      <c r="S55" s="113">
        <v>0</v>
      </c>
      <c r="T55" s="113">
        <v>4</v>
      </c>
      <c r="U55" s="113">
        <v>2</v>
      </c>
      <c r="V55" s="113">
        <v>26</v>
      </c>
      <c r="W55" s="113">
        <v>28</v>
      </c>
      <c r="X55" s="113">
        <v>8</v>
      </c>
      <c r="Y55" s="113">
        <v>4</v>
      </c>
      <c r="Z55" s="113">
        <v>12</v>
      </c>
    </row>
    <row r="56" spans="1:26">
      <c r="A56" s="115">
        <v>52</v>
      </c>
      <c r="B56" s="259" t="s">
        <v>405</v>
      </c>
      <c r="C56" s="113">
        <v>1820</v>
      </c>
      <c r="D56" s="113">
        <v>1226</v>
      </c>
      <c r="E56" s="113">
        <v>3046</v>
      </c>
      <c r="F56" s="113">
        <v>246</v>
      </c>
      <c r="G56" s="113">
        <v>98</v>
      </c>
      <c r="H56" s="113">
        <v>344</v>
      </c>
      <c r="I56" s="113">
        <v>91</v>
      </c>
      <c r="J56" s="113">
        <v>46</v>
      </c>
      <c r="K56" s="113">
        <v>137</v>
      </c>
      <c r="L56" s="113">
        <v>422</v>
      </c>
      <c r="M56" s="113">
        <v>178</v>
      </c>
      <c r="N56" s="113">
        <v>600</v>
      </c>
      <c r="O56" s="113">
        <v>4</v>
      </c>
      <c r="P56" s="113">
        <v>0</v>
      </c>
      <c r="Q56" s="113">
        <v>4</v>
      </c>
      <c r="R56" s="113">
        <v>26</v>
      </c>
      <c r="S56" s="113">
        <v>10</v>
      </c>
      <c r="T56" s="113">
        <v>36</v>
      </c>
      <c r="U56" s="113">
        <v>33</v>
      </c>
      <c r="V56" s="113">
        <v>21</v>
      </c>
      <c r="W56" s="113">
        <v>54</v>
      </c>
      <c r="X56" s="113">
        <v>42</v>
      </c>
      <c r="Y56" s="113">
        <v>34</v>
      </c>
      <c r="Z56" s="113">
        <v>76</v>
      </c>
    </row>
    <row r="57" spans="1:26" ht="25.5">
      <c r="A57" s="115">
        <v>53</v>
      </c>
      <c r="B57" s="259" t="s">
        <v>388</v>
      </c>
      <c r="C57" s="113">
        <v>12741</v>
      </c>
      <c r="D57" s="113">
        <v>10592</v>
      </c>
      <c r="E57" s="113">
        <v>23333</v>
      </c>
      <c r="F57" s="113">
        <v>1734</v>
      </c>
      <c r="G57" s="113">
        <v>1183</v>
      </c>
      <c r="H57" s="113">
        <v>2917</v>
      </c>
      <c r="I57" s="113">
        <v>651</v>
      </c>
      <c r="J57" s="113">
        <v>280</v>
      </c>
      <c r="K57" s="113">
        <v>931</v>
      </c>
      <c r="L57" s="113">
        <v>1965</v>
      </c>
      <c r="M57" s="113">
        <v>1453</v>
      </c>
      <c r="N57" s="113">
        <v>3418</v>
      </c>
      <c r="O57" s="113">
        <v>33</v>
      </c>
      <c r="P57" s="113">
        <v>13</v>
      </c>
      <c r="Q57" s="113">
        <v>46</v>
      </c>
      <c r="R57" s="113">
        <v>339</v>
      </c>
      <c r="S57" s="113">
        <v>249</v>
      </c>
      <c r="T57" s="113">
        <v>588</v>
      </c>
      <c r="U57" s="113">
        <v>354</v>
      </c>
      <c r="V57" s="113">
        <v>376</v>
      </c>
      <c r="W57" s="113">
        <v>730</v>
      </c>
      <c r="X57" s="113">
        <v>101</v>
      </c>
      <c r="Y57" s="113">
        <v>94</v>
      </c>
      <c r="Z57" s="113">
        <v>195</v>
      </c>
    </row>
    <row r="58" spans="1:26">
      <c r="A58" s="115">
        <v>54</v>
      </c>
      <c r="B58" s="259" t="s">
        <v>377</v>
      </c>
      <c r="C58" s="113">
        <v>44078</v>
      </c>
      <c r="D58" s="113">
        <v>26461</v>
      </c>
      <c r="E58" s="113">
        <v>70539</v>
      </c>
      <c r="F58" s="113">
        <v>5580</v>
      </c>
      <c r="G58" s="113">
        <v>3562</v>
      </c>
      <c r="H58" s="113">
        <v>9142</v>
      </c>
      <c r="I58" s="113">
        <v>833</v>
      </c>
      <c r="J58" s="113">
        <v>640</v>
      </c>
      <c r="K58" s="113">
        <v>1473</v>
      </c>
      <c r="L58" s="113">
        <v>13184</v>
      </c>
      <c r="M58" s="113">
        <v>6943</v>
      </c>
      <c r="N58" s="113">
        <v>20127</v>
      </c>
      <c r="O58" s="113">
        <v>105</v>
      </c>
      <c r="P58" s="113">
        <v>45</v>
      </c>
      <c r="Q58" s="113">
        <v>150</v>
      </c>
      <c r="R58" s="113">
        <v>2654</v>
      </c>
      <c r="S58" s="113">
        <v>1747</v>
      </c>
      <c r="T58" s="113">
        <v>4401</v>
      </c>
      <c r="U58" s="113">
        <v>677</v>
      </c>
      <c r="V58" s="113">
        <v>626</v>
      </c>
      <c r="W58" s="113">
        <v>1303</v>
      </c>
      <c r="X58" s="113">
        <v>631</v>
      </c>
      <c r="Y58" s="113">
        <v>345</v>
      </c>
      <c r="Z58" s="113">
        <v>976</v>
      </c>
    </row>
    <row r="59" spans="1:26" ht="25.5">
      <c r="A59" s="115">
        <v>55</v>
      </c>
      <c r="B59" s="259" t="s">
        <v>376</v>
      </c>
      <c r="C59" s="113">
        <v>20039</v>
      </c>
      <c r="D59" s="113">
        <v>12725</v>
      </c>
      <c r="E59" s="113">
        <v>32764</v>
      </c>
      <c r="F59" s="113">
        <v>2635</v>
      </c>
      <c r="G59" s="113">
        <v>1765</v>
      </c>
      <c r="H59" s="113">
        <v>4400</v>
      </c>
      <c r="I59" s="113">
        <v>762</v>
      </c>
      <c r="J59" s="113">
        <v>510</v>
      </c>
      <c r="K59" s="113">
        <v>1272</v>
      </c>
      <c r="L59" s="113">
        <v>10161</v>
      </c>
      <c r="M59" s="113">
        <v>5664</v>
      </c>
      <c r="N59" s="113">
        <v>15825</v>
      </c>
      <c r="O59" s="113">
        <v>30</v>
      </c>
      <c r="P59" s="113">
        <v>18</v>
      </c>
      <c r="Q59" s="113">
        <v>48</v>
      </c>
      <c r="R59" s="113">
        <v>1367</v>
      </c>
      <c r="S59" s="113">
        <v>678</v>
      </c>
      <c r="T59" s="113">
        <v>2045</v>
      </c>
      <c r="U59" s="113">
        <v>197</v>
      </c>
      <c r="V59" s="113">
        <v>285</v>
      </c>
      <c r="W59" s="113">
        <v>482</v>
      </c>
      <c r="X59" s="113">
        <v>43</v>
      </c>
      <c r="Y59" s="113">
        <v>38</v>
      </c>
      <c r="Z59" s="113">
        <v>81</v>
      </c>
    </row>
    <row r="60" spans="1:26">
      <c r="A60" s="115">
        <v>56</v>
      </c>
      <c r="B60" s="259" t="s">
        <v>394</v>
      </c>
      <c r="C60" s="113">
        <v>14593</v>
      </c>
      <c r="D60" s="113">
        <v>13607</v>
      </c>
      <c r="E60" s="113">
        <v>28200</v>
      </c>
      <c r="F60" s="113">
        <v>2328</v>
      </c>
      <c r="G60" s="113">
        <v>1918</v>
      </c>
      <c r="H60" s="113">
        <v>4246</v>
      </c>
      <c r="I60" s="113">
        <v>1126</v>
      </c>
      <c r="J60" s="113">
        <v>914</v>
      </c>
      <c r="K60" s="113">
        <v>2040</v>
      </c>
      <c r="L60" s="113">
        <v>6153</v>
      </c>
      <c r="M60" s="113">
        <v>4919</v>
      </c>
      <c r="N60" s="113">
        <v>11072</v>
      </c>
      <c r="O60" s="113">
        <v>89</v>
      </c>
      <c r="P60" s="113">
        <v>38</v>
      </c>
      <c r="Q60" s="113">
        <v>127</v>
      </c>
      <c r="R60" s="113">
        <v>279</v>
      </c>
      <c r="S60" s="113">
        <v>248</v>
      </c>
      <c r="T60" s="113">
        <v>527</v>
      </c>
      <c r="U60" s="113">
        <v>112</v>
      </c>
      <c r="V60" s="113">
        <v>159</v>
      </c>
      <c r="W60" s="113">
        <v>271</v>
      </c>
      <c r="X60" s="113">
        <v>399</v>
      </c>
      <c r="Y60" s="113">
        <v>299</v>
      </c>
      <c r="Z60" s="113">
        <v>698</v>
      </c>
    </row>
    <row r="61" spans="1:26">
      <c r="A61" s="115">
        <v>57</v>
      </c>
      <c r="B61" s="259" t="s">
        <v>383</v>
      </c>
      <c r="C61" s="113">
        <v>2856</v>
      </c>
      <c r="D61" s="113">
        <v>4963</v>
      </c>
      <c r="E61" s="113">
        <v>7819</v>
      </c>
      <c r="F61" s="113">
        <v>692</v>
      </c>
      <c r="G61" s="113">
        <v>1287</v>
      </c>
      <c r="H61" s="113">
        <v>1979</v>
      </c>
      <c r="I61" s="113">
        <v>73</v>
      </c>
      <c r="J61" s="113">
        <v>128</v>
      </c>
      <c r="K61" s="113">
        <v>201</v>
      </c>
      <c r="L61" s="113">
        <v>1509</v>
      </c>
      <c r="M61" s="113">
        <v>2743</v>
      </c>
      <c r="N61" s="113">
        <v>4252</v>
      </c>
      <c r="O61" s="113">
        <v>3</v>
      </c>
      <c r="P61" s="113">
        <v>6</v>
      </c>
      <c r="Q61" s="113">
        <v>9</v>
      </c>
      <c r="R61" s="113">
        <v>49</v>
      </c>
      <c r="S61" s="113">
        <v>74</v>
      </c>
      <c r="T61" s="113">
        <v>123</v>
      </c>
      <c r="U61" s="113">
        <v>113</v>
      </c>
      <c r="V61" s="113">
        <v>193</v>
      </c>
      <c r="W61" s="113">
        <v>306</v>
      </c>
      <c r="X61" s="113">
        <v>7</v>
      </c>
      <c r="Y61" s="113">
        <v>11</v>
      </c>
      <c r="Z61" s="113">
        <v>18</v>
      </c>
    </row>
    <row r="62" spans="1:26" ht="25.5">
      <c r="A62" s="115">
        <v>58</v>
      </c>
      <c r="B62" s="259" t="s">
        <v>963</v>
      </c>
      <c r="C62" s="113">
        <v>1632</v>
      </c>
      <c r="D62" s="113">
        <v>1352</v>
      </c>
      <c r="E62" s="113">
        <v>2984</v>
      </c>
      <c r="F62" s="113">
        <v>242</v>
      </c>
      <c r="G62" s="113">
        <v>196</v>
      </c>
      <c r="H62" s="113">
        <v>438</v>
      </c>
      <c r="I62" s="113">
        <v>141</v>
      </c>
      <c r="J62" s="113">
        <v>91</v>
      </c>
      <c r="K62" s="113">
        <v>232</v>
      </c>
      <c r="L62" s="113">
        <v>686</v>
      </c>
      <c r="M62" s="113">
        <v>677</v>
      </c>
      <c r="N62" s="113">
        <v>1363</v>
      </c>
      <c r="O62" s="113">
        <v>28</v>
      </c>
      <c r="P62" s="113">
        <v>20</v>
      </c>
      <c r="Q62" s="113">
        <v>48</v>
      </c>
      <c r="R62" s="113">
        <v>160</v>
      </c>
      <c r="S62" s="113">
        <v>94</v>
      </c>
      <c r="T62" s="113">
        <v>254</v>
      </c>
      <c r="U62" s="113">
        <v>20</v>
      </c>
      <c r="V62" s="113">
        <v>13</v>
      </c>
      <c r="W62" s="113">
        <v>33</v>
      </c>
      <c r="X62" s="113">
        <v>7</v>
      </c>
      <c r="Y62" s="113">
        <v>3</v>
      </c>
      <c r="Z62" s="113">
        <v>10</v>
      </c>
    </row>
    <row r="63" spans="1:26">
      <c r="A63" s="115">
        <v>59</v>
      </c>
      <c r="B63" s="259" t="s">
        <v>390</v>
      </c>
      <c r="C63" s="113">
        <v>3093</v>
      </c>
      <c r="D63" s="113">
        <v>2792</v>
      </c>
      <c r="E63" s="113">
        <v>5885</v>
      </c>
      <c r="F63" s="113">
        <v>347</v>
      </c>
      <c r="G63" s="113">
        <v>250</v>
      </c>
      <c r="H63" s="113">
        <v>597</v>
      </c>
      <c r="I63" s="113">
        <v>70</v>
      </c>
      <c r="J63" s="113">
        <v>46</v>
      </c>
      <c r="K63" s="113">
        <v>116</v>
      </c>
      <c r="L63" s="113">
        <v>546</v>
      </c>
      <c r="M63" s="113">
        <v>397</v>
      </c>
      <c r="N63" s="113">
        <v>943</v>
      </c>
      <c r="O63" s="113">
        <v>5</v>
      </c>
      <c r="P63" s="113">
        <v>3</v>
      </c>
      <c r="Q63" s="113">
        <v>8</v>
      </c>
      <c r="R63" s="113">
        <v>364</v>
      </c>
      <c r="S63" s="113">
        <v>339</v>
      </c>
      <c r="T63" s="113">
        <v>703</v>
      </c>
      <c r="U63" s="113">
        <v>408</v>
      </c>
      <c r="V63" s="113">
        <v>415</v>
      </c>
      <c r="W63" s="113">
        <v>823</v>
      </c>
      <c r="X63" s="113">
        <v>19</v>
      </c>
      <c r="Y63" s="113">
        <v>19</v>
      </c>
      <c r="Z63" s="113">
        <v>38</v>
      </c>
    </row>
    <row r="64" spans="1:26" ht="25.5">
      <c r="A64" s="115">
        <v>60</v>
      </c>
      <c r="B64" s="259" t="s">
        <v>374</v>
      </c>
      <c r="C64" s="113">
        <v>33189</v>
      </c>
      <c r="D64" s="113">
        <v>26695</v>
      </c>
      <c r="E64" s="113">
        <v>59884</v>
      </c>
      <c r="F64" s="113">
        <v>2177</v>
      </c>
      <c r="G64" s="113">
        <v>2165</v>
      </c>
      <c r="H64" s="113">
        <v>4342</v>
      </c>
      <c r="I64" s="113">
        <v>367</v>
      </c>
      <c r="J64" s="113">
        <v>301</v>
      </c>
      <c r="K64" s="113">
        <v>668</v>
      </c>
      <c r="L64" s="113">
        <v>4187</v>
      </c>
      <c r="M64" s="113">
        <v>3506</v>
      </c>
      <c r="N64" s="113">
        <v>7693</v>
      </c>
      <c r="O64" s="113">
        <v>93</v>
      </c>
      <c r="P64" s="113">
        <v>38</v>
      </c>
      <c r="Q64" s="113">
        <v>131</v>
      </c>
      <c r="R64" s="113">
        <v>4004</v>
      </c>
      <c r="S64" s="113">
        <v>2420</v>
      </c>
      <c r="T64" s="113">
        <v>6424</v>
      </c>
      <c r="U64" s="113">
        <v>3233</v>
      </c>
      <c r="V64" s="113">
        <v>2866</v>
      </c>
      <c r="W64" s="113">
        <v>6099</v>
      </c>
      <c r="X64" s="113">
        <v>391</v>
      </c>
      <c r="Y64" s="113">
        <v>350</v>
      </c>
      <c r="Z64" s="113">
        <v>741</v>
      </c>
    </row>
    <row r="65" spans="1:26">
      <c r="A65" s="115">
        <v>61</v>
      </c>
      <c r="B65" s="259" t="s">
        <v>407</v>
      </c>
      <c r="C65" s="113">
        <v>862</v>
      </c>
      <c r="D65" s="113">
        <v>1114</v>
      </c>
      <c r="E65" s="113">
        <v>1976</v>
      </c>
      <c r="F65" s="113">
        <v>79</v>
      </c>
      <c r="G65" s="113">
        <v>150</v>
      </c>
      <c r="H65" s="113">
        <v>229</v>
      </c>
      <c r="I65" s="113">
        <v>263</v>
      </c>
      <c r="J65" s="113">
        <v>188</v>
      </c>
      <c r="K65" s="113">
        <v>451</v>
      </c>
      <c r="L65" s="113">
        <v>110</v>
      </c>
      <c r="M65" s="113">
        <v>185</v>
      </c>
      <c r="N65" s="113">
        <v>295</v>
      </c>
      <c r="O65" s="113">
        <v>4</v>
      </c>
      <c r="P65" s="113">
        <v>3</v>
      </c>
      <c r="Q65" s="113">
        <v>7</v>
      </c>
      <c r="R65" s="113">
        <v>8</v>
      </c>
      <c r="S65" s="113">
        <v>1</v>
      </c>
      <c r="T65" s="113">
        <v>9</v>
      </c>
      <c r="U65" s="113">
        <v>52</v>
      </c>
      <c r="V65" s="113">
        <v>120</v>
      </c>
      <c r="W65" s="113">
        <v>172</v>
      </c>
      <c r="X65" s="113">
        <v>17</v>
      </c>
      <c r="Y65" s="113">
        <v>29</v>
      </c>
      <c r="Z65" s="113">
        <v>46</v>
      </c>
    </row>
    <row r="66" spans="1:26" ht="25.5">
      <c r="A66" s="115">
        <v>62</v>
      </c>
      <c r="B66" s="259" t="s">
        <v>395</v>
      </c>
      <c r="C66" s="113">
        <v>3104</v>
      </c>
      <c r="D66" s="113">
        <v>5197</v>
      </c>
      <c r="E66" s="113">
        <v>8301</v>
      </c>
      <c r="F66" s="113">
        <v>464</v>
      </c>
      <c r="G66" s="113">
        <v>823</v>
      </c>
      <c r="H66" s="113">
        <v>1287</v>
      </c>
      <c r="I66" s="113">
        <v>121</v>
      </c>
      <c r="J66" s="113">
        <v>120</v>
      </c>
      <c r="K66" s="113">
        <v>241</v>
      </c>
      <c r="L66" s="113">
        <v>1307</v>
      </c>
      <c r="M66" s="113">
        <v>2572</v>
      </c>
      <c r="N66" s="113">
        <v>3879</v>
      </c>
      <c r="O66" s="113">
        <v>0</v>
      </c>
      <c r="P66" s="113">
        <v>1</v>
      </c>
      <c r="Q66" s="113">
        <v>1</v>
      </c>
      <c r="R66" s="113">
        <v>100</v>
      </c>
      <c r="S66" s="113">
        <v>64</v>
      </c>
      <c r="T66" s="113">
        <v>164</v>
      </c>
      <c r="U66" s="113">
        <v>20</v>
      </c>
      <c r="V66" s="113">
        <v>110</v>
      </c>
      <c r="W66" s="113">
        <v>130</v>
      </c>
      <c r="X66" s="113">
        <v>14</v>
      </c>
      <c r="Y66" s="113">
        <v>21</v>
      </c>
      <c r="Z66" s="113">
        <v>35</v>
      </c>
    </row>
    <row r="67" spans="1:26" ht="25.5">
      <c r="A67" s="115">
        <v>63</v>
      </c>
      <c r="B67" s="259" t="s">
        <v>414</v>
      </c>
      <c r="C67" s="113">
        <v>428</v>
      </c>
      <c r="D67" s="113">
        <v>567</v>
      </c>
      <c r="E67" s="113">
        <v>995</v>
      </c>
      <c r="F67" s="113">
        <v>45</v>
      </c>
      <c r="G67" s="113">
        <v>25</v>
      </c>
      <c r="H67" s="113">
        <v>70</v>
      </c>
      <c r="I67" s="113">
        <v>19</v>
      </c>
      <c r="J67" s="113">
        <v>4</v>
      </c>
      <c r="K67" s="113">
        <v>23</v>
      </c>
      <c r="L67" s="113">
        <v>136</v>
      </c>
      <c r="M67" s="113">
        <v>119</v>
      </c>
      <c r="N67" s="113">
        <v>255</v>
      </c>
      <c r="O67" s="113">
        <v>0</v>
      </c>
      <c r="P67" s="113">
        <v>0</v>
      </c>
      <c r="Q67" s="113">
        <v>0</v>
      </c>
      <c r="R67" s="113">
        <v>5</v>
      </c>
      <c r="S67" s="113">
        <v>29</v>
      </c>
      <c r="T67" s="113">
        <v>34</v>
      </c>
      <c r="U67" s="113">
        <v>2</v>
      </c>
      <c r="V67" s="113">
        <v>3</v>
      </c>
      <c r="W67" s="113">
        <v>5</v>
      </c>
      <c r="X67" s="113">
        <v>0</v>
      </c>
      <c r="Y67" s="113">
        <v>1</v>
      </c>
      <c r="Z67" s="113">
        <v>1</v>
      </c>
    </row>
    <row r="68" spans="1:26">
      <c r="A68" s="115">
        <v>64</v>
      </c>
      <c r="B68" s="259" t="s">
        <v>421</v>
      </c>
      <c r="C68" s="113">
        <v>257</v>
      </c>
      <c r="D68" s="113">
        <v>426</v>
      </c>
      <c r="E68" s="113">
        <v>683</v>
      </c>
      <c r="F68" s="113">
        <v>33</v>
      </c>
      <c r="G68" s="113">
        <v>62</v>
      </c>
      <c r="H68" s="113">
        <v>95</v>
      </c>
      <c r="I68" s="113">
        <v>12</v>
      </c>
      <c r="J68" s="113">
        <v>31</v>
      </c>
      <c r="K68" s="113">
        <v>43</v>
      </c>
      <c r="L68" s="113">
        <v>124</v>
      </c>
      <c r="M68" s="113">
        <v>176</v>
      </c>
      <c r="N68" s="113">
        <v>300</v>
      </c>
      <c r="O68" s="113">
        <v>1</v>
      </c>
      <c r="P68" s="113">
        <v>0</v>
      </c>
      <c r="Q68" s="113">
        <v>1</v>
      </c>
      <c r="R68" s="113">
        <v>1</v>
      </c>
      <c r="S68" s="113">
        <v>13</v>
      </c>
      <c r="T68" s="113">
        <v>14</v>
      </c>
      <c r="U68" s="113">
        <v>0</v>
      </c>
      <c r="V68" s="113">
        <v>4</v>
      </c>
      <c r="W68" s="113">
        <v>4</v>
      </c>
      <c r="X68" s="113">
        <v>0</v>
      </c>
      <c r="Y68" s="113">
        <v>0</v>
      </c>
      <c r="Z68" s="113">
        <v>0</v>
      </c>
    </row>
    <row r="69" spans="1:26" ht="25.5">
      <c r="A69" s="115">
        <v>65</v>
      </c>
      <c r="B69" s="259" t="s">
        <v>397</v>
      </c>
      <c r="C69" s="113">
        <v>1450</v>
      </c>
      <c r="D69" s="113">
        <v>2759</v>
      </c>
      <c r="E69" s="113">
        <v>4209</v>
      </c>
      <c r="F69" s="113">
        <v>184</v>
      </c>
      <c r="G69" s="113">
        <v>287</v>
      </c>
      <c r="H69" s="113">
        <v>471</v>
      </c>
      <c r="I69" s="113">
        <v>62</v>
      </c>
      <c r="J69" s="113">
        <v>89</v>
      </c>
      <c r="K69" s="113">
        <v>151</v>
      </c>
      <c r="L69" s="113">
        <v>566</v>
      </c>
      <c r="M69" s="113">
        <v>1014</v>
      </c>
      <c r="N69" s="113">
        <v>1580</v>
      </c>
      <c r="O69" s="113">
        <v>42</v>
      </c>
      <c r="P69" s="113">
        <v>29</v>
      </c>
      <c r="Q69" s="113">
        <v>71</v>
      </c>
      <c r="R69" s="113">
        <v>88</v>
      </c>
      <c r="S69" s="113">
        <v>122</v>
      </c>
      <c r="T69" s="113">
        <v>210</v>
      </c>
      <c r="U69" s="113">
        <v>64</v>
      </c>
      <c r="V69" s="113">
        <v>153</v>
      </c>
      <c r="W69" s="113">
        <v>217</v>
      </c>
      <c r="X69" s="113">
        <v>24</v>
      </c>
      <c r="Y69" s="113">
        <v>69</v>
      </c>
      <c r="Z69" s="113">
        <v>93</v>
      </c>
    </row>
    <row r="70" spans="1:26" ht="25.5">
      <c r="A70" s="115">
        <v>66</v>
      </c>
      <c r="B70" s="259" t="s">
        <v>392</v>
      </c>
      <c r="C70" s="113">
        <v>3320</v>
      </c>
      <c r="D70" s="113">
        <v>5057</v>
      </c>
      <c r="E70" s="113">
        <v>8377</v>
      </c>
      <c r="F70" s="113">
        <v>229</v>
      </c>
      <c r="G70" s="113">
        <v>360</v>
      </c>
      <c r="H70" s="113">
        <v>589</v>
      </c>
      <c r="I70" s="113">
        <v>143</v>
      </c>
      <c r="J70" s="113">
        <v>244</v>
      </c>
      <c r="K70" s="113">
        <v>387</v>
      </c>
      <c r="L70" s="113">
        <v>921</v>
      </c>
      <c r="M70" s="113">
        <v>1592</v>
      </c>
      <c r="N70" s="113">
        <v>2513</v>
      </c>
      <c r="O70" s="113">
        <v>2</v>
      </c>
      <c r="P70" s="113">
        <v>1</v>
      </c>
      <c r="Q70" s="113">
        <v>3</v>
      </c>
      <c r="R70" s="113">
        <v>301</v>
      </c>
      <c r="S70" s="113">
        <v>434</v>
      </c>
      <c r="T70" s="113">
        <v>735</v>
      </c>
      <c r="U70" s="113">
        <v>53</v>
      </c>
      <c r="V70" s="113">
        <v>103</v>
      </c>
      <c r="W70" s="113">
        <v>156</v>
      </c>
      <c r="X70" s="113">
        <v>27</v>
      </c>
      <c r="Y70" s="113">
        <v>45</v>
      </c>
      <c r="Z70" s="113">
        <v>72</v>
      </c>
    </row>
    <row r="71" spans="1:26">
      <c r="A71" s="115">
        <v>67</v>
      </c>
      <c r="B71" s="259" t="s">
        <v>396</v>
      </c>
      <c r="C71" s="113">
        <v>3308</v>
      </c>
      <c r="D71" s="113">
        <v>2929</v>
      </c>
      <c r="E71" s="113">
        <v>6237</v>
      </c>
      <c r="F71" s="113">
        <v>467</v>
      </c>
      <c r="G71" s="113">
        <v>321</v>
      </c>
      <c r="H71" s="113">
        <v>788</v>
      </c>
      <c r="I71" s="113">
        <v>151</v>
      </c>
      <c r="J71" s="113">
        <v>159</v>
      </c>
      <c r="K71" s="113">
        <v>310</v>
      </c>
      <c r="L71" s="113">
        <v>974</v>
      </c>
      <c r="M71" s="113">
        <v>735</v>
      </c>
      <c r="N71" s="113">
        <v>1709</v>
      </c>
      <c r="O71" s="113">
        <v>29</v>
      </c>
      <c r="P71" s="113">
        <v>22</v>
      </c>
      <c r="Q71" s="113">
        <v>51</v>
      </c>
      <c r="R71" s="113">
        <v>5</v>
      </c>
      <c r="S71" s="113">
        <v>6</v>
      </c>
      <c r="T71" s="113">
        <v>11</v>
      </c>
      <c r="U71" s="113">
        <v>23</v>
      </c>
      <c r="V71" s="113">
        <v>11</v>
      </c>
      <c r="W71" s="113">
        <v>34</v>
      </c>
      <c r="X71" s="113">
        <v>21</v>
      </c>
      <c r="Y71" s="113">
        <v>9</v>
      </c>
      <c r="Z71" s="113">
        <v>30</v>
      </c>
    </row>
    <row r="72" spans="1:26">
      <c r="A72" s="115">
        <v>68</v>
      </c>
      <c r="B72" s="259" t="s">
        <v>386</v>
      </c>
      <c r="C72" s="113">
        <v>18152</v>
      </c>
      <c r="D72" s="113">
        <v>5540</v>
      </c>
      <c r="E72" s="113">
        <v>23692</v>
      </c>
      <c r="F72" s="113">
        <v>2364</v>
      </c>
      <c r="G72" s="113">
        <v>800</v>
      </c>
      <c r="H72" s="113">
        <v>3164</v>
      </c>
      <c r="I72" s="113">
        <v>1037</v>
      </c>
      <c r="J72" s="113">
        <v>435</v>
      </c>
      <c r="K72" s="113">
        <v>1472</v>
      </c>
      <c r="L72" s="113">
        <v>4936</v>
      </c>
      <c r="M72" s="113">
        <v>1560</v>
      </c>
      <c r="N72" s="113">
        <v>6496</v>
      </c>
      <c r="O72" s="113">
        <v>8</v>
      </c>
      <c r="P72" s="113">
        <v>4</v>
      </c>
      <c r="Q72" s="113">
        <v>12</v>
      </c>
      <c r="R72" s="113">
        <v>509</v>
      </c>
      <c r="S72" s="113">
        <v>99</v>
      </c>
      <c r="T72" s="113">
        <v>608</v>
      </c>
      <c r="U72" s="113">
        <v>354</v>
      </c>
      <c r="V72" s="113">
        <v>153</v>
      </c>
      <c r="W72" s="113">
        <v>507</v>
      </c>
      <c r="X72" s="113">
        <v>140</v>
      </c>
      <c r="Y72" s="113">
        <v>49</v>
      </c>
      <c r="Z72" s="113">
        <v>189</v>
      </c>
    </row>
    <row r="73" spans="1:26" ht="25.5">
      <c r="A73" s="115">
        <v>69</v>
      </c>
      <c r="B73" s="259" t="s">
        <v>375</v>
      </c>
      <c r="C73" s="113">
        <v>29944</v>
      </c>
      <c r="D73" s="113">
        <v>14280</v>
      </c>
      <c r="E73" s="113">
        <v>44224</v>
      </c>
      <c r="F73" s="113">
        <v>4825</v>
      </c>
      <c r="G73" s="113">
        <v>2315</v>
      </c>
      <c r="H73" s="113">
        <v>7140</v>
      </c>
      <c r="I73" s="113">
        <v>2049</v>
      </c>
      <c r="J73" s="113">
        <v>1174</v>
      </c>
      <c r="K73" s="113">
        <v>3223</v>
      </c>
      <c r="L73" s="113">
        <v>9252</v>
      </c>
      <c r="M73" s="113">
        <v>4730</v>
      </c>
      <c r="N73" s="113">
        <v>13982</v>
      </c>
      <c r="O73" s="113">
        <v>108</v>
      </c>
      <c r="P73" s="113">
        <v>55</v>
      </c>
      <c r="Q73" s="113">
        <v>163</v>
      </c>
      <c r="R73" s="113">
        <v>586</v>
      </c>
      <c r="S73" s="113">
        <v>157</v>
      </c>
      <c r="T73" s="113">
        <v>743</v>
      </c>
      <c r="U73" s="113">
        <v>495</v>
      </c>
      <c r="V73" s="113">
        <v>289</v>
      </c>
      <c r="W73" s="113">
        <v>784</v>
      </c>
      <c r="X73" s="113">
        <v>485</v>
      </c>
      <c r="Y73" s="113">
        <v>254</v>
      </c>
      <c r="Z73" s="113">
        <v>739</v>
      </c>
    </row>
    <row r="74" spans="1:26" ht="25.5">
      <c r="A74" s="115">
        <v>70</v>
      </c>
      <c r="B74" s="259" t="s">
        <v>969</v>
      </c>
      <c r="C74" s="113">
        <v>45</v>
      </c>
      <c r="D74" s="113">
        <v>73</v>
      </c>
      <c r="E74" s="113">
        <v>118</v>
      </c>
      <c r="F74" s="113">
        <v>11</v>
      </c>
      <c r="G74" s="113">
        <v>16</v>
      </c>
      <c r="H74" s="113">
        <v>27</v>
      </c>
      <c r="I74" s="113">
        <v>1</v>
      </c>
      <c r="J74" s="113">
        <v>1</v>
      </c>
      <c r="K74" s="113">
        <v>2</v>
      </c>
      <c r="L74" s="113">
        <v>6</v>
      </c>
      <c r="M74" s="113">
        <v>10</v>
      </c>
      <c r="N74" s="113">
        <v>16</v>
      </c>
      <c r="O74" s="113">
        <v>0</v>
      </c>
      <c r="P74" s="113">
        <v>0</v>
      </c>
      <c r="Q74" s="113">
        <v>0</v>
      </c>
      <c r="R74" s="113">
        <v>3</v>
      </c>
      <c r="S74" s="113">
        <v>2</v>
      </c>
      <c r="T74" s="113">
        <v>5</v>
      </c>
      <c r="U74" s="113">
        <v>0</v>
      </c>
      <c r="V74" s="113">
        <v>0</v>
      </c>
      <c r="W74" s="113">
        <v>0</v>
      </c>
      <c r="X74" s="113">
        <v>0</v>
      </c>
      <c r="Y74" s="113">
        <v>3</v>
      </c>
      <c r="Z74" s="113">
        <v>3</v>
      </c>
    </row>
    <row r="75" spans="1:26" ht="25.5">
      <c r="A75" s="115">
        <v>71</v>
      </c>
      <c r="B75" s="259" t="s">
        <v>418</v>
      </c>
      <c r="C75" s="113">
        <v>311</v>
      </c>
      <c r="D75" s="113">
        <v>473</v>
      </c>
      <c r="E75" s="113">
        <v>784</v>
      </c>
      <c r="F75" s="113">
        <v>7</v>
      </c>
      <c r="G75" s="113">
        <v>20</v>
      </c>
      <c r="H75" s="113">
        <v>27</v>
      </c>
      <c r="I75" s="113">
        <v>37</v>
      </c>
      <c r="J75" s="113">
        <v>29</v>
      </c>
      <c r="K75" s="113">
        <v>66</v>
      </c>
      <c r="L75" s="113">
        <v>72</v>
      </c>
      <c r="M75" s="113">
        <v>98</v>
      </c>
      <c r="N75" s="113">
        <v>170</v>
      </c>
      <c r="O75" s="113">
        <v>0</v>
      </c>
      <c r="P75" s="113">
        <v>0</v>
      </c>
      <c r="Q75" s="113">
        <v>0</v>
      </c>
      <c r="R75" s="113">
        <v>20</v>
      </c>
      <c r="S75" s="113">
        <v>18</v>
      </c>
      <c r="T75" s="113">
        <v>38</v>
      </c>
      <c r="U75" s="113">
        <v>26</v>
      </c>
      <c r="V75" s="113">
        <v>15</v>
      </c>
      <c r="W75" s="113">
        <v>41</v>
      </c>
      <c r="X75" s="113">
        <v>0</v>
      </c>
      <c r="Y75" s="113">
        <v>3</v>
      </c>
      <c r="Z75" s="113">
        <v>3</v>
      </c>
    </row>
    <row r="76" spans="1:26">
      <c r="A76" s="115">
        <v>72</v>
      </c>
      <c r="B76" s="259" t="s">
        <v>369</v>
      </c>
      <c r="C76" s="113">
        <v>34136</v>
      </c>
      <c r="D76" s="113">
        <v>58450</v>
      </c>
      <c r="E76" s="113">
        <v>92586</v>
      </c>
      <c r="F76" s="113">
        <v>3919</v>
      </c>
      <c r="G76" s="113">
        <v>6014</v>
      </c>
      <c r="H76" s="113">
        <v>9933</v>
      </c>
      <c r="I76" s="113">
        <v>1593</v>
      </c>
      <c r="J76" s="113">
        <v>2067</v>
      </c>
      <c r="K76" s="113">
        <v>3660</v>
      </c>
      <c r="L76" s="113">
        <v>11810</v>
      </c>
      <c r="M76" s="113">
        <v>18293</v>
      </c>
      <c r="N76" s="113">
        <v>30103</v>
      </c>
      <c r="O76" s="113">
        <v>71</v>
      </c>
      <c r="P76" s="113">
        <v>52</v>
      </c>
      <c r="Q76" s="113">
        <v>123</v>
      </c>
      <c r="R76" s="113">
        <v>2493</v>
      </c>
      <c r="S76" s="113">
        <v>3051</v>
      </c>
      <c r="T76" s="113">
        <v>5544</v>
      </c>
      <c r="U76" s="113">
        <v>1371</v>
      </c>
      <c r="V76" s="113">
        <v>2389</v>
      </c>
      <c r="W76" s="113">
        <v>3760</v>
      </c>
      <c r="X76" s="113">
        <v>395</v>
      </c>
      <c r="Y76" s="113">
        <v>1383</v>
      </c>
      <c r="Z76" s="113">
        <v>1778</v>
      </c>
    </row>
    <row r="77" spans="1:26" ht="25.5">
      <c r="A77" s="115">
        <v>73</v>
      </c>
      <c r="B77" s="259" t="s">
        <v>389</v>
      </c>
      <c r="C77" s="113">
        <v>1499</v>
      </c>
      <c r="D77" s="113">
        <v>1300</v>
      </c>
      <c r="E77" s="113">
        <v>2799</v>
      </c>
      <c r="F77" s="113">
        <v>221</v>
      </c>
      <c r="G77" s="113">
        <v>145</v>
      </c>
      <c r="H77" s="113">
        <v>366</v>
      </c>
      <c r="I77" s="113">
        <v>60</v>
      </c>
      <c r="J77" s="113">
        <v>77</v>
      </c>
      <c r="K77" s="113">
        <v>137</v>
      </c>
      <c r="L77" s="113">
        <v>571</v>
      </c>
      <c r="M77" s="113">
        <v>611</v>
      </c>
      <c r="N77" s="113">
        <v>1182</v>
      </c>
      <c r="O77" s="113">
        <v>1</v>
      </c>
      <c r="P77" s="113">
        <v>0</v>
      </c>
      <c r="Q77" s="113">
        <v>1</v>
      </c>
      <c r="R77" s="113">
        <v>64</v>
      </c>
      <c r="S77" s="113">
        <v>88</v>
      </c>
      <c r="T77" s="113">
        <v>152</v>
      </c>
      <c r="U77" s="113">
        <v>8</v>
      </c>
      <c r="V77" s="113">
        <v>22</v>
      </c>
      <c r="W77" s="113">
        <v>30</v>
      </c>
      <c r="X77" s="113">
        <v>69</v>
      </c>
      <c r="Y77" s="113">
        <v>50</v>
      </c>
      <c r="Z77" s="113">
        <v>119</v>
      </c>
    </row>
    <row r="78" spans="1:26">
      <c r="A78" s="115">
        <v>74</v>
      </c>
      <c r="B78" s="259" t="s">
        <v>363</v>
      </c>
      <c r="C78" s="113">
        <v>275886</v>
      </c>
      <c r="D78" s="113">
        <v>176286</v>
      </c>
      <c r="E78" s="113">
        <v>452172</v>
      </c>
      <c r="F78" s="113">
        <v>28896</v>
      </c>
      <c r="G78" s="113">
        <v>21619</v>
      </c>
      <c r="H78" s="113">
        <v>50515</v>
      </c>
      <c r="I78" s="113">
        <v>7864</v>
      </c>
      <c r="J78" s="113">
        <v>6143</v>
      </c>
      <c r="K78" s="113">
        <v>14007</v>
      </c>
      <c r="L78" s="113">
        <v>111718</v>
      </c>
      <c r="M78" s="113">
        <v>72561</v>
      </c>
      <c r="N78" s="113">
        <v>184279</v>
      </c>
      <c r="O78" s="113">
        <v>612</v>
      </c>
      <c r="P78" s="113">
        <v>341</v>
      </c>
      <c r="Q78" s="113">
        <v>953</v>
      </c>
      <c r="R78" s="113">
        <v>20851</v>
      </c>
      <c r="S78" s="113">
        <v>9896</v>
      </c>
      <c r="T78" s="113">
        <v>30747</v>
      </c>
      <c r="U78" s="113">
        <v>4411</v>
      </c>
      <c r="V78" s="113">
        <v>3798</v>
      </c>
      <c r="W78" s="113">
        <v>8209</v>
      </c>
      <c r="X78" s="113">
        <v>5054</v>
      </c>
      <c r="Y78" s="113">
        <v>4029</v>
      </c>
      <c r="Z78" s="113">
        <v>9083</v>
      </c>
    </row>
    <row r="79" spans="1:26">
      <c r="A79" s="115">
        <v>75</v>
      </c>
      <c r="B79" s="259" t="s">
        <v>412</v>
      </c>
      <c r="C79" s="113">
        <v>782</v>
      </c>
      <c r="D79" s="113">
        <v>565</v>
      </c>
      <c r="E79" s="113">
        <v>1347</v>
      </c>
      <c r="F79" s="113">
        <v>111</v>
      </c>
      <c r="G79" s="113">
        <v>64</v>
      </c>
      <c r="H79" s="113">
        <v>175</v>
      </c>
      <c r="I79" s="113">
        <v>38</v>
      </c>
      <c r="J79" s="113">
        <v>34</v>
      </c>
      <c r="K79" s="113">
        <v>72</v>
      </c>
      <c r="L79" s="113">
        <v>249</v>
      </c>
      <c r="M79" s="113">
        <v>181</v>
      </c>
      <c r="N79" s="113">
        <v>430</v>
      </c>
      <c r="O79" s="113">
        <v>4</v>
      </c>
      <c r="P79" s="113">
        <v>2</v>
      </c>
      <c r="Q79" s="113">
        <v>6</v>
      </c>
      <c r="R79" s="113">
        <v>10</v>
      </c>
      <c r="S79" s="113">
        <v>5</v>
      </c>
      <c r="T79" s="113">
        <v>15</v>
      </c>
      <c r="U79" s="113">
        <v>12</v>
      </c>
      <c r="V79" s="113">
        <v>7</v>
      </c>
      <c r="W79" s="113">
        <v>19</v>
      </c>
      <c r="X79" s="113">
        <v>30</v>
      </c>
      <c r="Y79" s="113">
        <v>21</v>
      </c>
      <c r="Z79" s="113">
        <v>51</v>
      </c>
    </row>
    <row r="80" spans="1:26" ht="25.5">
      <c r="A80" s="115">
        <v>76</v>
      </c>
      <c r="B80" s="259" t="s">
        <v>449</v>
      </c>
      <c r="C80" s="113">
        <v>6978</v>
      </c>
      <c r="D80" s="113">
        <v>5234</v>
      </c>
      <c r="E80" s="113">
        <v>12212</v>
      </c>
      <c r="F80" s="113">
        <v>842</v>
      </c>
      <c r="G80" s="113">
        <v>617</v>
      </c>
      <c r="H80" s="113">
        <v>1459</v>
      </c>
      <c r="I80" s="113">
        <v>299</v>
      </c>
      <c r="J80" s="113">
        <v>228</v>
      </c>
      <c r="K80" s="113">
        <v>527</v>
      </c>
      <c r="L80" s="113">
        <v>2145</v>
      </c>
      <c r="M80" s="113">
        <v>1541</v>
      </c>
      <c r="N80" s="113">
        <v>3686</v>
      </c>
      <c r="O80" s="113">
        <v>55</v>
      </c>
      <c r="P80" s="113">
        <v>22</v>
      </c>
      <c r="Q80" s="113">
        <v>77</v>
      </c>
      <c r="R80" s="113">
        <v>417</v>
      </c>
      <c r="S80" s="113">
        <v>359</v>
      </c>
      <c r="T80" s="113">
        <v>776</v>
      </c>
      <c r="U80" s="113">
        <v>206</v>
      </c>
      <c r="V80" s="113">
        <v>241</v>
      </c>
      <c r="W80" s="113">
        <v>447</v>
      </c>
      <c r="X80" s="113">
        <v>316</v>
      </c>
      <c r="Y80" s="113">
        <v>210</v>
      </c>
      <c r="Z80" s="113">
        <v>526</v>
      </c>
    </row>
    <row r="81" spans="1:26" ht="38.25">
      <c r="A81" s="115">
        <v>77</v>
      </c>
      <c r="B81" s="259" t="s">
        <v>401</v>
      </c>
      <c r="C81" s="113">
        <v>1712</v>
      </c>
      <c r="D81" s="113">
        <v>2422</v>
      </c>
      <c r="E81" s="113">
        <v>4134</v>
      </c>
      <c r="F81" s="113">
        <v>183</v>
      </c>
      <c r="G81" s="113">
        <v>361</v>
      </c>
      <c r="H81" s="113">
        <v>544</v>
      </c>
      <c r="I81" s="113">
        <v>34</v>
      </c>
      <c r="J81" s="113">
        <v>56</v>
      </c>
      <c r="K81" s="113">
        <v>90</v>
      </c>
      <c r="L81" s="113">
        <v>700</v>
      </c>
      <c r="M81" s="113">
        <v>1069</v>
      </c>
      <c r="N81" s="113">
        <v>1769</v>
      </c>
      <c r="O81" s="113">
        <v>0</v>
      </c>
      <c r="P81" s="113">
        <v>0</v>
      </c>
      <c r="Q81" s="113">
        <v>0</v>
      </c>
      <c r="R81" s="113">
        <v>138</v>
      </c>
      <c r="S81" s="113">
        <v>135</v>
      </c>
      <c r="T81" s="113">
        <v>273</v>
      </c>
      <c r="U81" s="113">
        <v>21</v>
      </c>
      <c r="V81" s="113">
        <v>18</v>
      </c>
      <c r="W81" s="113">
        <v>39</v>
      </c>
      <c r="X81" s="113">
        <v>4</v>
      </c>
      <c r="Y81" s="113">
        <v>11</v>
      </c>
      <c r="Z81" s="113">
        <v>15</v>
      </c>
    </row>
    <row r="82" spans="1:26" ht="25.5">
      <c r="A82" s="115">
        <v>78</v>
      </c>
      <c r="B82" s="259" t="s">
        <v>410</v>
      </c>
      <c r="C82" s="113">
        <v>756</v>
      </c>
      <c r="D82" s="113">
        <v>2145</v>
      </c>
      <c r="E82" s="113">
        <v>2901</v>
      </c>
      <c r="F82" s="113">
        <v>143</v>
      </c>
      <c r="G82" s="113">
        <v>355</v>
      </c>
      <c r="H82" s="113">
        <v>498</v>
      </c>
      <c r="I82" s="113">
        <v>11</v>
      </c>
      <c r="J82" s="113">
        <v>28</v>
      </c>
      <c r="K82" s="113">
        <v>39</v>
      </c>
      <c r="L82" s="113">
        <v>546</v>
      </c>
      <c r="M82" s="113">
        <v>1615</v>
      </c>
      <c r="N82" s="113">
        <v>2161</v>
      </c>
      <c r="O82" s="113">
        <v>1</v>
      </c>
      <c r="P82" s="113">
        <v>4</v>
      </c>
      <c r="Q82" s="113">
        <v>5</v>
      </c>
      <c r="R82" s="113">
        <v>8</v>
      </c>
      <c r="S82" s="113">
        <v>60</v>
      </c>
      <c r="T82" s="113">
        <v>68</v>
      </c>
      <c r="U82" s="113">
        <v>6</v>
      </c>
      <c r="V82" s="113">
        <v>29</v>
      </c>
      <c r="W82" s="113">
        <v>35</v>
      </c>
      <c r="X82" s="113">
        <v>0</v>
      </c>
      <c r="Y82" s="113">
        <v>1</v>
      </c>
      <c r="Z82" s="113">
        <v>1</v>
      </c>
    </row>
    <row r="83" spans="1:26">
      <c r="A83" s="115">
        <v>79</v>
      </c>
      <c r="B83" s="259" t="s">
        <v>415</v>
      </c>
      <c r="C83" s="113">
        <v>1309</v>
      </c>
      <c r="D83" s="113">
        <v>935</v>
      </c>
      <c r="E83" s="113">
        <v>2244</v>
      </c>
      <c r="F83" s="113">
        <v>69</v>
      </c>
      <c r="G83" s="113">
        <v>54</v>
      </c>
      <c r="H83" s="113">
        <v>123</v>
      </c>
      <c r="I83" s="113">
        <v>134</v>
      </c>
      <c r="J83" s="113">
        <v>130</v>
      </c>
      <c r="K83" s="113">
        <v>264</v>
      </c>
      <c r="L83" s="113">
        <v>371</v>
      </c>
      <c r="M83" s="113">
        <v>177</v>
      </c>
      <c r="N83" s="113">
        <v>548</v>
      </c>
      <c r="O83" s="113">
        <v>2</v>
      </c>
      <c r="P83" s="113">
        <v>0</v>
      </c>
      <c r="Q83" s="113">
        <v>2</v>
      </c>
      <c r="R83" s="113">
        <v>28</v>
      </c>
      <c r="S83" s="113">
        <v>8</v>
      </c>
      <c r="T83" s="113">
        <v>36</v>
      </c>
      <c r="U83" s="113">
        <v>53</v>
      </c>
      <c r="V83" s="113">
        <v>44</v>
      </c>
      <c r="W83" s="113">
        <v>97</v>
      </c>
      <c r="X83" s="113">
        <v>60</v>
      </c>
      <c r="Y83" s="113">
        <v>45</v>
      </c>
      <c r="Z83" s="113">
        <v>105</v>
      </c>
    </row>
    <row r="84" spans="1:26">
      <c r="A84" s="115">
        <v>80</v>
      </c>
      <c r="B84" s="259" t="s">
        <v>372</v>
      </c>
      <c r="C84" s="113">
        <v>15161</v>
      </c>
      <c r="D84" s="113">
        <v>15623</v>
      </c>
      <c r="E84" s="113">
        <v>30784</v>
      </c>
      <c r="F84" s="113">
        <v>3076</v>
      </c>
      <c r="G84" s="113">
        <v>2499</v>
      </c>
      <c r="H84" s="113">
        <v>5575</v>
      </c>
      <c r="I84" s="113">
        <v>2947</v>
      </c>
      <c r="J84" s="113">
        <v>3430</v>
      </c>
      <c r="K84" s="113">
        <v>6377</v>
      </c>
      <c r="L84" s="113">
        <v>4942</v>
      </c>
      <c r="M84" s="113">
        <v>4945</v>
      </c>
      <c r="N84" s="113">
        <v>9887</v>
      </c>
      <c r="O84" s="113">
        <v>65</v>
      </c>
      <c r="P84" s="113">
        <v>77</v>
      </c>
      <c r="Q84" s="113">
        <v>142</v>
      </c>
      <c r="R84" s="113">
        <v>348</v>
      </c>
      <c r="S84" s="113">
        <v>394</v>
      </c>
      <c r="T84" s="113">
        <v>742</v>
      </c>
      <c r="U84" s="113">
        <v>702</v>
      </c>
      <c r="V84" s="113">
        <v>886</v>
      </c>
      <c r="W84" s="113">
        <v>1588</v>
      </c>
      <c r="X84" s="113">
        <v>116</v>
      </c>
      <c r="Y84" s="113">
        <v>109</v>
      </c>
      <c r="Z84" s="113">
        <v>225</v>
      </c>
    </row>
    <row r="85" spans="1:26">
      <c r="A85" s="115">
        <v>81</v>
      </c>
      <c r="B85" s="259" t="s">
        <v>811</v>
      </c>
      <c r="C85" s="113">
        <v>1433</v>
      </c>
      <c r="D85" s="113">
        <v>1246</v>
      </c>
      <c r="E85" s="113">
        <v>2679</v>
      </c>
      <c r="F85" s="113">
        <v>75</v>
      </c>
      <c r="G85" s="113">
        <v>48</v>
      </c>
      <c r="H85" s="113">
        <v>123</v>
      </c>
      <c r="I85" s="113">
        <v>18</v>
      </c>
      <c r="J85" s="113">
        <v>21</v>
      </c>
      <c r="K85" s="113">
        <v>39</v>
      </c>
      <c r="L85" s="113">
        <v>343</v>
      </c>
      <c r="M85" s="113">
        <v>160</v>
      </c>
      <c r="N85" s="113">
        <v>503</v>
      </c>
      <c r="O85" s="113">
        <v>1</v>
      </c>
      <c r="P85" s="113">
        <v>0</v>
      </c>
      <c r="Q85" s="113">
        <v>1</v>
      </c>
      <c r="R85" s="113">
        <v>5</v>
      </c>
      <c r="S85" s="113">
        <v>8</v>
      </c>
      <c r="T85" s="113">
        <v>13</v>
      </c>
      <c r="U85" s="113">
        <v>14</v>
      </c>
      <c r="V85" s="113">
        <v>13</v>
      </c>
      <c r="W85" s="113">
        <v>27</v>
      </c>
      <c r="X85" s="113">
        <v>244</v>
      </c>
      <c r="Y85" s="113">
        <v>119</v>
      </c>
      <c r="Z85" s="113">
        <v>363</v>
      </c>
    </row>
    <row r="86" spans="1:26" ht="25.5">
      <c r="A86" s="115">
        <v>82</v>
      </c>
      <c r="B86" s="259" t="s">
        <v>443</v>
      </c>
      <c r="C86" s="113">
        <v>33624</v>
      </c>
      <c r="D86" s="113">
        <v>35538</v>
      </c>
      <c r="E86" s="113">
        <v>69162</v>
      </c>
      <c r="F86" s="113">
        <v>6266</v>
      </c>
      <c r="G86" s="113">
        <v>5916</v>
      </c>
      <c r="H86" s="113">
        <v>12182</v>
      </c>
      <c r="I86" s="113">
        <v>5430</v>
      </c>
      <c r="J86" s="113">
        <v>4420</v>
      </c>
      <c r="K86" s="113">
        <v>9850</v>
      </c>
      <c r="L86" s="113">
        <v>13447</v>
      </c>
      <c r="M86" s="113">
        <v>14475</v>
      </c>
      <c r="N86" s="113">
        <v>27922</v>
      </c>
      <c r="O86" s="113">
        <v>57</v>
      </c>
      <c r="P86" s="113">
        <v>41</v>
      </c>
      <c r="Q86" s="113">
        <v>98</v>
      </c>
      <c r="R86" s="113">
        <v>386</v>
      </c>
      <c r="S86" s="113">
        <v>595</v>
      </c>
      <c r="T86" s="113">
        <v>981</v>
      </c>
      <c r="U86" s="113">
        <v>134</v>
      </c>
      <c r="V86" s="113">
        <v>422</v>
      </c>
      <c r="W86" s="113">
        <v>556</v>
      </c>
      <c r="X86" s="113">
        <v>958</v>
      </c>
      <c r="Y86" s="113">
        <v>1008</v>
      </c>
      <c r="Z86" s="113">
        <v>1966</v>
      </c>
    </row>
    <row r="87" spans="1:26" ht="25.5">
      <c r="A87" s="115">
        <v>83</v>
      </c>
      <c r="B87" s="259" t="s">
        <v>455</v>
      </c>
      <c r="C87" s="113">
        <v>162</v>
      </c>
      <c r="D87" s="113">
        <v>125</v>
      </c>
      <c r="E87" s="113">
        <v>287</v>
      </c>
      <c r="F87" s="113">
        <v>10</v>
      </c>
      <c r="G87" s="113">
        <v>18</v>
      </c>
      <c r="H87" s="113">
        <v>28</v>
      </c>
      <c r="I87" s="113">
        <v>11</v>
      </c>
      <c r="J87" s="113">
        <v>7</v>
      </c>
      <c r="K87" s="113">
        <v>18</v>
      </c>
      <c r="L87" s="113">
        <v>23</v>
      </c>
      <c r="M87" s="113">
        <v>24</v>
      </c>
      <c r="N87" s="113">
        <v>47</v>
      </c>
      <c r="O87" s="113">
        <v>1</v>
      </c>
      <c r="P87" s="113">
        <v>0</v>
      </c>
      <c r="Q87" s="113">
        <v>1</v>
      </c>
      <c r="R87" s="113">
        <v>6</v>
      </c>
      <c r="S87" s="113">
        <v>3</v>
      </c>
      <c r="T87" s="113">
        <v>9</v>
      </c>
      <c r="U87" s="113">
        <v>1</v>
      </c>
      <c r="V87" s="113">
        <v>4</v>
      </c>
      <c r="W87" s="113">
        <v>5</v>
      </c>
      <c r="X87" s="113">
        <v>1</v>
      </c>
      <c r="Y87" s="113">
        <v>0</v>
      </c>
      <c r="Z87" s="113">
        <v>1</v>
      </c>
    </row>
    <row r="88" spans="1:26" ht="25.5">
      <c r="A88" s="115">
        <v>84</v>
      </c>
      <c r="B88" s="259" t="s">
        <v>429</v>
      </c>
      <c r="C88" s="113">
        <v>11</v>
      </c>
      <c r="D88" s="113">
        <v>11</v>
      </c>
      <c r="E88" s="113">
        <v>22</v>
      </c>
      <c r="F88" s="113">
        <v>11</v>
      </c>
      <c r="G88" s="113">
        <v>11</v>
      </c>
      <c r="H88" s="113">
        <v>22</v>
      </c>
      <c r="I88" s="113">
        <v>0</v>
      </c>
      <c r="J88" s="113">
        <v>0</v>
      </c>
      <c r="K88" s="113">
        <v>0</v>
      </c>
      <c r="L88" s="113">
        <v>0</v>
      </c>
      <c r="M88" s="113">
        <v>0</v>
      </c>
      <c r="N88" s="113">
        <v>0</v>
      </c>
      <c r="O88" s="113">
        <v>0</v>
      </c>
      <c r="P88" s="113">
        <v>0</v>
      </c>
      <c r="Q88" s="113">
        <v>0</v>
      </c>
      <c r="R88" s="113">
        <v>0</v>
      </c>
      <c r="S88" s="113">
        <v>0</v>
      </c>
      <c r="T88" s="113">
        <v>0</v>
      </c>
      <c r="U88" s="113">
        <v>0</v>
      </c>
      <c r="V88" s="113">
        <v>0</v>
      </c>
      <c r="W88" s="113">
        <v>0</v>
      </c>
      <c r="X88" s="113">
        <v>0</v>
      </c>
      <c r="Y88" s="113">
        <v>0</v>
      </c>
      <c r="Z88" s="113">
        <v>0</v>
      </c>
    </row>
    <row r="89" spans="1:26" ht="25.5">
      <c r="A89" s="115">
        <v>85</v>
      </c>
      <c r="B89" s="259" t="s">
        <v>359</v>
      </c>
      <c r="C89" s="113">
        <v>359558</v>
      </c>
      <c r="D89" s="113">
        <v>290847</v>
      </c>
      <c r="E89" s="113">
        <v>650405</v>
      </c>
      <c r="F89" s="113">
        <v>51060</v>
      </c>
      <c r="G89" s="113">
        <v>34220</v>
      </c>
      <c r="H89" s="113">
        <v>85280</v>
      </c>
      <c r="I89" s="113">
        <v>24111</v>
      </c>
      <c r="J89" s="113">
        <v>19432</v>
      </c>
      <c r="K89" s="113">
        <v>43543</v>
      </c>
      <c r="L89" s="113">
        <v>143745</v>
      </c>
      <c r="M89" s="113">
        <v>102946</v>
      </c>
      <c r="N89" s="113">
        <v>246691</v>
      </c>
      <c r="O89" s="113">
        <v>472</v>
      </c>
      <c r="P89" s="113">
        <v>271</v>
      </c>
      <c r="Q89" s="113">
        <v>743</v>
      </c>
      <c r="R89" s="113">
        <v>18286</v>
      </c>
      <c r="S89" s="113">
        <v>14934</v>
      </c>
      <c r="T89" s="113">
        <v>33220</v>
      </c>
      <c r="U89" s="113">
        <v>3979</v>
      </c>
      <c r="V89" s="113">
        <v>5069</v>
      </c>
      <c r="W89" s="113">
        <v>9048</v>
      </c>
      <c r="X89" s="113">
        <v>6460</v>
      </c>
      <c r="Y89" s="113">
        <v>5257</v>
      </c>
      <c r="Z89" s="113">
        <v>11717</v>
      </c>
    </row>
    <row r="90" spans="1:26" ht="25.5">
      <c r="A90" s="115">
        <v>86</v>
      </c>
      <c r="B90" s="259" t="s">
        <v>364</v>
      </c>
      <c r="C90" s="113">
        <v>101824</v>
      </c>
      <c r="D90" s="113">
        <v>299362</v>
      </c>
      <c r="E90" s="113">
        <v>401186</v>
      </c>
      <c r="F90" s="113">
        <v>16444</v>
      </c>
      <c r="G90" s="113">
        <v>52486</v>
      </c>
      <c r="H90" s="113">
        <v>68930</v>
      </c>
      <c r="I90" s="113">
        <v>7358</v>
      </c>
      <c r="J90" s="113">
        <v>26147</v>
      </c>
      <c r="K90" s="113">
        <v>33505</v>
      </c>
      <c r="L90" s="113">
        <v>38138</v>
      </c>
      <c r="M90" s="113">
        <v>93636</v>
      </c>
      <c r="N90" s="113">
        <v>131774</v>
      </c>
      <c r="O90" s="113">
        <v>187</v>
      </c>
      <c r="P90" s="113">
        <v>573</v>
      </c>
      <c r="Q90" s="113">
        <v>760</v>
      </c>
      <c r="R90" s="113">
        <v>5585</v>
      </c>
      <c r="S90" s="113">
        <v>7852</v>
      </c>
      <c r="T90" s="113">
        <v>13437</v>
      </c>
      <c r="U90" s="113">
        <v>3306</v>
      </c>
      <c r="V90" s="113">
        <v>18359</v>
      </c>
      <c r="W90" s="113">
        <v>21665</v>
      </c>
      <c r="X90" s="113">
        <v>1455</v>
      </c>
      <c r="Y90" s="113">
        <v>3576</v>
      </c>
      <c r="Z90" s="113">
        <v>5031</v>
      </c>
    </row>
    <row r="91" spans="1:26">
      <c r="A91" s="115">
        <v>87</v>
      </c>
      <c r="B91" s="259" t="s">
        <v>381</v>
      </c>
      <c r="C91" s="113">
        <v>8836</v>
      </c>
      <c r="D91" s="113">
        <v>38403</v>
      </c>
      <c r="E91" s="113">
        <v>47239</v>
      </c>
      <c r="F91" s="113">
        <v>1634</v>
      </c>
      <c r="G91" s="113">
        <v>6616</v>
      </c>
      <c r="H91" s="113">
        <v>8250</v>
      </c>
      <c r="I91" s="113">
        <v>784</v>
      </c>
      <c r="J91" s="113">
        <v>3271</v>
      </c>
      <c r="K91" s="113">
        <v>4055</v>
      </c>
      <c r="L91" s="113">
        <v>2540</v>
      </c>
      <c r="M91" s="113">
        <v>9239</v>
      </c>
      <c r="N91" s="113">
        <v>11779</v>
      </c>
      <c r="O91" s="113">
        <v>1</v>
      </c>
      <c r="P91" s="113">
        <v>3</v>
      </c>
      <c r="Q91" s="113">
        <v>4</v>
      </c>
      <c r="R91" s="113">
        <v>195</v>
      </c>
      <c r="S91" s="113">
        <v>621</v>
      </c>
      <c r="T91" s="113">
        <v>816</v>
      </c>
      <c r="U91" s="113">
        <v>258</v>
      </c>
      <c r="V91" s="113">
        <v>1627</v>
      </c>
      <c r="W91" s="113">
        <v>1885</v>
      </c>
      <c r="X91" s="113">
        <v>98</v>
      </c>
      <c r="Y91" s="113">
        <v>282</v>
      </c>
      <c r="Z91" s="113">
        <v>380</v>
      </c>
    </row>
    <row r="92" spans="1:26" ht="25.5">
      <c r="A92" s="115">
        <v>88</v>
      </c>
      <c r="B92" s="259" t="s">
        <v>430</v>
      </c>
      <c r="C92" s="113">
        <v>13</v>
      </c>
      <c r="D92" s="113">
        <v>11</v>
      </c>
      <c r="E92" s="113">
        <v>24</v>
      </c>
      <c r="F92" s="113">
        <v>2</v>
      </c>
      <c r="G92" s="113">
        <v>0</v>
      </c>
      <c r="H92" s="113">
        <v>2</v>
      </c>
      <c r="I92" s="113">
        <v>0</v>
      </c>
      <c r="J92" s="113">
        <v>0</v>
      </c>
      <c r="K92" s="113">
        <v>0</v>
      </c>
      <c r="L92" s="113">
        <v>0</v>
      </c>
      <c r="M92" s="113">
        <v>2</v>
      </c>
      <c r="N92" s="113">
        <v>2</v>
      </c>
      <c r="O92" s="113">
        <v>0</v>
      </c>
      <c r="P92" s="113">
        <v>0</v>
      </c>
      <c r="Q92" s="113">
        <v>0</v>
      </c>
      <c r="R92" s="113">
        <v>0</v>
      </c>
      <c r="S92" s="113">
        <v>0</v>
      </c>
      <c r="T92" s="113">
        <v>0</v>
      </c>
      <c r="U92" s="113">
        <v>0</v>
      </c>
      <c r="V92" s="113">
        <v>0</v>
      </c>
      <c r="W92" s="113">
        <v>0</v>
      </c>
      <c r="X92" s="113">
        <v>0</v>
      </c>
      <c r="Y92" s="113">
        <v>0</v>
      </c>
      <c r="Z92" s="113">
        <v>0</v>
      </c>
    </row>
    <row r="93" spans="1:26" ht="25.5">
      <c r="A93" s="115">
        <v>89</v>
      </c>
      <c r="B93" s="259" t="s">
        <v>422</v>
      </c>
      <c r="C93" s="113">
        <v>1113</v>
      </c>
      <c r="D93" s="113">
        <v>339</v>
      </c>
      <c r="E93" s="113">
        <v>1452</v>
      </c>
      <c r="F93" s="113">
        <v>108</v>
      </c>
      <c r="G93" s="113">
        <v>36</v>
      </c>
      <c r="H93" s="113">
        <v>144</v>
      </c>
      <c r="I93" s="113">
        <v>17</v>
      </c>
      <c r="J93" s="113">
        <v>5</v>
      </c>
      <c r="K93" s="113">
        <v>22</v>
      </c>
      <c r="L93" s="113">
        <v>498</v>
      </c>
      <c r="M93" s="113">
        <v>67</v>
      </c>
      <c r="N93" s="113">
        <v>565</v>
      </c>
      <c r="O93" s="113">
        <v>0</v>
      </c>
      <c r="P93" s="113">
        <v>0</v>
      </c>
      <c r="Q93" s="113">
        <v>0</v>
      </c>
      <c r="R93" s="113">
        <v>32</v>
      </c>
      <c r="S93" s="113">
        <v>62</v>
      </c>
      <c r="T93" s="113">
        <v>94</v>
      </c>
      <c r="U93" s="113">
        <v>1</v>
      </c>
      <c r="V93" s="113">
        <v>2</v>
      </c>
      <c r="W93" s="113">
        <v>3</v>
      </c>
      <c r="X93" s="113">
        <v>36</v>
      </c>
      <c r="Y93" s="113">
        <v>9</v>
      </c>
      <c r="Z93" s="113">
        <v>45</v>
      </c>
    </row>
    <row r="94" spans="1:26">
      <c r="A94" s="115">
        <v>90</v>
      </c>
      <c r="B94" s="259" t="s">
        <v>353</v>
      </c>
      <c r="C94" s="113">
        <v>2423329</v>
      </c>
      <c r="D94" s="113">
        <v>2543404</v>
      </c>
      <c r="E94" s="113">
        <v>4966733</v>
      </c>
      <c r="F94" s="113">
        <v>374495</v>
      </c>
      <c r="G94" s="113">
        <v>375196</v>
      </c>
      <c r="H94" s="113">
        <v>749691</v>
      </c>
      <c r="I94" s="113">
        <v>138238</v>
      </c>
      <c r="J94" s="113">
        <v>145777</v>
      </c>
      <c r="K94" s="113">
        <v>284015</v>
      </c>
      <c r="L94" s="113">
        <v>1072043</v>
      </c>
      <c r="M94" s="113">
        <v>1178466</v>
      </c>
      <c r="N94" s="113">
        <v>2250509</v>
      </c>
      <c r="O94" s="113">
        <v>2958</v>
      </c>
      <c r="P94" s="113">
        <v>2562</v>
      </c>
      <c r="Q94" s="113">
        <v>5520</v>
      </c>
      <c r="R94" s="113">
        <v>93904</v>
      </c>
      <c r="S94" s="113">
        <v>123477</v>
      </c>
      <c r="T94" s="113">
        <v>217381</v>
      </c>
      <c r="U94" s="113">
        <v>38710</v>
      </c>
      <c r="V94" s="113">
        <v>55200</v>
      </c>
      <c r="W94" s="113">
        <v>93910</v>
      </c>
      <c r="X94" s="113">
        <v>30342</v>
      </c>
      <c r="Y94" s="113">
        <v>34740</v>
      </c>
      <c r="Z94" s="113">
        <v>65082</v>
      </c>
    </row>
    <row r="95" spans="1:26">
      <c r="A95" s="115">
        <v>91</v>
      </c>
      <c r="B95" s="259" t="s">
        <v>413</v>
      </c>
      <c r="C95" s="113">
        <v>3116</v>
      </c>
      <c r="D95" s="113">
        <v>1929</v>
      </c>
      <c r="E95" s="113">
        <v>5045</v>
      </c>
      <c r="F95" s="113">
        <v>467</v>
      </c>
      <c r="G95" s="113">
        <v>233</v>
      </c>
      <c r="H95" s="113">
        <v>700</v>
      </c>
      <c r="I95" s="113">
        <v>187</v>
      </c>
      <c r="J95" s="113">
        <v>146</v>
      </c>
      <c r="K95" s="113">
        <v>333</v>
      </c>
      <c r="L95" s="113">
        <v>1408</v>
      </c>
      <c r="M95" s="113">
        <v>931</v>
      </c>
      <c r="N95" s="113">
        <v>2339</v>
      </c>
      <c r="O95" s="113">
        <v>0</v>
      </c>
      <c r="P95" s="113">
        <v>37</v>
      </c>
      <c r="Q95" s="113">
        <v>37</v>
      </c>
      <c r="R95" s="113">
        <v>30</v>
      </c>
      <c r="S95" s="113">
        <v>24</v>
      </c>
      <c r="T95" s="113">
        <v>54</v>
      </c>
      <c r="U95" s="113">
        <v>57</v>
      </c>
      <c r="V95" s="113">
        <v>59</v>
      </c>
      <c r="W95" s="113">
        <v>116</v>
      </c>
      <c r="X95" s="113">
        <v>13</v>
      </c>
      <c r="Y95" s="113">
        <v>46</v>
      </c>
      <c r="Z95" s="113">
        <v>59</v>
      </c>
    </row>
    <row r="96" spans="1:26" ht="25.5">
      <c r="A96" s="115">
        <v>92</v>
      </c>
      <c r="B96" s="259" t="s">
        <v>446</v>
      </c>
      <c r="C96" s="113">
        <v>14198</v>
      </c>
      <c r="D96" s="113">
        <v>4540</v>
      </c>
      <c r="E96" s="113">
        <v>18738</v>
      </c>
      <c r="F96" s="113">
        <v>1629</v>
      </c>
      <c r="G96" s="113">
        <v>455</v>
      </c>
      <c r="H96" s="113">
        <v>2084</v>
      </c>
      <c r="I96" s="113">
        <v>692</v>
      </c>
      <c r="J96" s="113">
        <v>157</v>
      </c>
      <c r="K96" s="113">
        <v>849</v>
      </c>
      <c r="L96" s="113">
        <v>4375</v>
      </c>
      <c r="M96" s="113">
        <v>1254</v>
      </c>
      <c r="N96" s="113">
        <v>5629</v>
      </c>
      <c r="O96" s="113">
        <v>114</v>
      </c>
      <c r="P96" s="113">
        <v>10</v>
      </c>
      <c r="Q96" s="113">
        <v>124</v>
      </c>
      <c r="R96" s="113">
        <v>213</v>
      </c>
      <c r="S96" s="113">
        <v>50</v>
      </c>
      <c r="T96" s="113">
        <v>263</v>
      </c>
      <c r="U96" s="113">
        <v>171</v>
      </c>
      <c r="V96" s="113">
        <v>58</v>
      </c>
      <c r="W96" s="113">
        <v>229</v>
      </c>
      <c r="X96" s="113">
        <v>661</v>
      </c>
      <c r="Y96" s="113">
        <v>191</v>
      </c>
      <c r="Z96" s="113">
        <v>852</v>
      </c>
    </row>
    <row r="97" spans="1:26">
      <c r="A97" s="115">
        <v>93</v>
      </c>
      <c r="B97" s="259" t="s">
        <v>355</v>
      </c>
      <c r="C97" s="113">
        <v>1786271</v>
      </c>
      <c r="D97" s="113">
        <v>728992</v>
      </c>
      <c r="E97" s="113">
        <v>2515263</v>
      </c>
      <c r="F97" s="113">
        <v>188445</v>
      </c>
      <c r="G97" s="113">
        <v>78399</v>
      </c>
      <c r="H97" s="113">
        <v>266844</v>
      </c>
      <c r="I97" s="113">
        <v>66465</v>
      </c>
      <c r="J97" s="113">
        <v>24982</v>
      </c>
      <c r="K97" s="113">
        <v>91447</v>
      </c>
      <c r="L97" s="113">
        <v>596935</v>
      </c>
      <c r="M97" s="113">
        <v>258016</v>
      </c>
      <c r="N97" s="113">
        <v>854951</v>
      </c>
      <c r="O97" s="113">
        <v>3949</v>
      </c>
      <c r="P97" s="113">
        <v>1263</v>
      </c>
      <c r="Q97" s="113">
        <v>5212</v>
      </c>
      <c r="R97" s="113">
        <v>72904</v>
      </c>
      <c r="S97" s="113">
        <v>22177</v>
      </c>
      <c r="T97" s="113">
        <v>95081</v>
      </c>
      <c r="U97" s="113">
        <v>42654</v>
      </c>
      <c r="V97" s="113">
        <v>16958</v>
      </c>
      <c r="W97" s="113">
        <v>59612</v>
      </c>
      <c r="X97" s="113">
        <v>47881</v>
      </c>
      <c r="Y97" s="113">
        <v>19644</v>
      </c>
      <c r="Z97" s="113">
        <v>67525</v>
      </c>
    </row>
    <row r="98" spans="1:26" ht="25.5">
      <c r="A98" s="115">
        <v>94</v>
      </c>
      <c r="B98" s="259" t="s">
        <v>391</v>
      </c>
      <c r="C98" s="113">
        <v>3675</v>
      </c>
      <c r="D98" s="113">
        <v>4747</v>
      </c>
      <c r="E98" s="113">
        <v>8422</v>
      </c>
      <c r="F98" s="113">
        <v>46</v>
      </c>
      <c r="G98" s="113">
        <v>46</v>
      </c>
      <c r="H98" s="113">
        <v>92</v>
      </c>
      <c r="I98" s="113">
        <v>34</v>
      </c>
      <c r="J98" s="113">
        <v>35</v>
      </c>
      <c r="K98" s="113">
        <v>69</v>
      </c>
      <c r="L98" s="113">
        <v>1277</v>
      </c>
      <c r="M98" s="113">
        <v>1658</v>
      </c>
      <c r="N98" s="113">
        <v>2935</v>
      </c>
      <c r="O98" s="113">
        <v>4</v>
      </c>
      <c r="P98" s="113">
        <v>1</v>
      </c>
      <c r="Q98" s="113">
        <v>5</v>
      </c>
      <c r="R98" s="113">
        <v>1983</v>
      </c>
      <c r="S98" s="113">
        <v>2407</v>
      </c>
      <c r="T98" s="113">
        <v>4390</v>
      </c>
      <c r="U98" s="113">
        <v>2</v>
      </c>
      <c r="V98" s="113">
        <v>0</v>
      </c>
      <c r="W98" s="113">
        <v>2</v>
      </c>
      <c r="X98" s="113">
        <v>40</v>
      </c>
      <c r="Y98" s="113">
        <v>40</v>
      </c>
      <c r="Z98" s="113">
        <v>80</v>
      </c>
    </row>
    <row r="99" spans="1:26">
      <c r="A99" s="115">
        <v>95</v>
      </c>
      <c r="B99" s="259" t="s">
        <v>970</v>
      </c>
      <c r="C99" s="113">
        <v>244</v>
      </c>
      <c r="D99" s="113">
        <v>360</v>
      </c>
      <c r="E99" s="113">
        <v>604</v>
      </c>
      <c r="F99" s="113">
        <v>13</v>
      </c>
      <c r="G99" s="113">
        <v>4</v>
      </c>
      <c r="H99" s="113">
        <v>17</v>
      </c>
      <c r="I99" s="113">
        <v>1</v>
      </c>
      <c r="J99" s="113">
        <v>0</v>
      </c>
      <c r="K99" s="113">
        <v>1</v>
      </c>
      <c r="L99" s="113">
        <v>19</v>
      </c>
      <c r="M99" s="113">
        <v>26</v>
      </c>
      <c r="N99" s="113">
        <v>45</v>
      </c>
      <c r="O99" s="113">
        <v>0</v>
      </c>
      <c r="P99" s="113">
        <v>0</v>
      </c>
      <c r="Q99" s="113">
        <v>0</v>
      </c>
      <c r="R99" s="113">
        <v>0</v>
      </c>
      <c r="S99" s="113">
        <v>0</v>
      </c>
      <c r="T99" s="113">
        <v>0</v>
      </c>
      <c r="U99" s="113">
        <v>16</v>
      </c>
      <c r="V99" s="113">
        <v>32</v>
      </c>
      <c r="W99" s="113">
        <v>48</v>
      </c>
      <c r="X99" s="113">
        <v>0</v>
      </c>
      <c r="Y99" s="113">
        <v>0</v>
      </c>
      <c r="Z99" s="113">
        <v>0</v>
      </c>
    </row>
    <row r="100" spans="1:26" ht="25.5">
      <c r="A100" s="115">
        <v>96</v>
      </c>
      <c r="B100" s="259" t="s">
        <v>387</v>
      </c>
      <c r="C100" s="113">
        <v>12115</v>
      </c>
      <c r="D100" s="113">
        <v>8575</v>
      </c>
      <c r="E100" s="113">
        <v>20690</v>
      </c>
      <c r="F100" s="113">
        <v>1642</v>
      </c>
      <c r="G100" s="113">
        <v>1026</v>
      </c>
      <c r="H100" s="113">
        <v>2668</v>
      </c>
      <c r="I100" s="113">
        <v>903</v>
      </c>
      <c r="J100" s="113">
        <v>958</v>
      </c>
      <c r="K100" s="113">
        <v>1861</v>
      </c>
      <c r="L100" s="113">
        <v>4996</v>
      </c>
      <c r="M100" s="113">
        <v>3432</v>
      </c>
      <c r="N100" s="113">
        <v>8428</v>
      </c>
      <c r="O100" s="113">
        <v>75</v>
      </c>
      <c r="P100" s="113">
        <v>40</v>
      </c>
      <c r="Q100" s="113">
        <v>115</v>
      </c>
      <c r="R100" s="113">
        <v>341</v>
      </c>
      <c r="S100" s="113">
        <v>214</v>
      </c>
      <c r="T100" s="113">
        <v>555</v>
      </c>
      <c r="U100" s="113">
        <v>214</v>
      </c>
      <c r="V100" s="113">
        <v>217</v>
      </c>
      <c r="W100" s="113">
        <v>431</v>
      </c>
      <c r="X100" s="113">
        <v>318</v>
      </c>
      <c r="Y100" s="113">
        <v>149</v>
      </c>
      <c r="Z100" s="113">
        <v>467</v>
      </c>
    </row>
    <row r="101" spans="1:26" ht="25.5">
      <c r="A101" s="115">
        <v>97</v>
      </c>
      <c r="B101" s="259" t="s">
        <v>409</v>
      </c>
      <c r="C101" s="113">
        <v>2700</v>
      </c>
      <c r="D101" s="113">
        <v>1569</v>
      </c>
      <c r="E101" s="113">
        <v>4269</v>
      </c>
      <c r="F101" s="113">
        <v>315</v>
      </c>
      <c r="G101" s="113">
        <v>217</v>
      </c>
      <c r="H101" s="113">
        <v>532</v>
      </c>
      <c r="I101" s="113">
        <v>228</v>
      </c>
      <c r="J101" s="113">
        <v>178</v>
      </c>
      <c r="K101" s="113">
        <v>406</v>
      </c>
      <c r="L101" s="113">
        <v>859</v>
      </c>
      <c r="M101" s="113">
        <v>411</v>
      </c>
      <c r="N101" s="113">
        <v>1270</v>
      </c>
      <c r="O101" s="113">
        <v>50</v>
      </c>
      <c r="P101" s="113">
        <v>19</v>
      </c>
      <c r="Q101" s="113">
        <v>69</v>
      </c>
      <c r="R101" s="113">
        <v>240</v>
      </c>
      <c r="S101" s="113">
        <v>116</v>
      </c>
      <c r="T101" s="113">
        <v>356</v>
      </c>
      <c r="U101" s="113">
        <v>54</v>
      </c>
      <c r="V101" s="113">
        <v>69</v>
      </c>
      <c r="W101" s="113">
        <v>123</v>
      </c>
      <c r="X101" s="113">
        <v>67</v>
      </c>
      <c r="Y101" s="113">
        <v>31</v>
      </c>
      <c r="Z101" s="113">
        <v>98</v>
      </c>
    </row>
    <row r="102" spans="1:26">
      <c r="A102" s="115">
        <v>98</v>
      </c>
      <c r="B102" s="259" t="s">
        <v>798</v>
      </c>
      <c r="C102" s="113">
        <v>34597</v>
      </c>
      <c r="D102" s="113">
        <v>27082</v>
      </c>
      <c r="E102" s="113">
        <v>61679</v>
      </c>
      <c r="F102" s="113">
        <v>4645</v>
      </c>
      <c r="G102" s="113">
        <v>3560</v>
      </c>
      <c r="H102" s="113">
        <v>8205</v>
      </c>
      <c r="I102" s="113">
        <v>1118</v>
      </c>
      <c r="J102" s="113">
        <v>690</v>
      </c>
      <c r="K102" s="113">
        <v>1808</v>
      </c>
      <c r="L102" s="113">
        <v>11194</v>
      </c>
      <c r="M102" s="113">
        <v>8600</v>
      </c>
      <c r="N102" s="113">
        <v>19794</v>
      </c>
      <c r="O102" s="113">
        <v>59</v>
      </c>
      <c r="P102" s="113">
        <v>39</v>
      </c>
      <c r="Q102" s="113">
        <v>98</v>
      </c>
      <c r="R102" s="113">
        <v>2999</v>
      </c>
      <c r="S102" s="113">
        <v>2097</v>
      </c>
      <c r="T102" s="113">
        <v>5096</v>
      </c>
      <c r="U102" s="113">
        <v>1979</v>
      </c>
      <c r="V102" s="113">
        <v>2038</v>
      </c>
      <c r="W102" s="113">
        <v>4017</v>
      </c>
      <c r="X102" s="113">
        <v>846</v>
      </c>
      <c r="Y102" s="113">
        <v>774</v>
      </c>
      <c r="Z102" s="113">
        <v>1620</v>
      </c>
    </row>
    <row r="103" spans="1:26" ht="25.5">
      <c r="A103" s="115">
        <v>99</v>
      </c>
      <c r="B103" s="259" t="s">
        <v>971</v>
      </c>
      <c r="C103" s="113">
        <v>148</v>
      </c>
      <c r="D103" s="113">
        <v>159</v>
      </c>
      <c r="E103" s="113">
        <v>307</v>
      </c>
      <c r="F103" s="113">
        <v>20</v>
      </c>
      <c r="G103" s="113">
        <v>26</v>
      </c>
      <c r="H103" s="113">
        <v>46</v>
      </c>
      <c r="I103" s="113">
        <v>19</v>
      </c>
      <c r="J103" s="113">
        <v>16</v>
      </c>
      <c r="K103" s="113">
        <v>35</v>
      </c>
      <c r="L103" s="113">
        <v>44</v>
      </c>
      <c r="M103" s="113">
        <v>74</v>
      </c>
      <c r="N103" s="113">
        <v>118</v>
      </c>
      <c r="O103" s="113">
        <v>20</v>
      </c>
      <c r="P103" s="113">
        <v>19</v>
      </c>
      <c r="Q103" s="113">
        <v>39</v>
      </c>
      <c r="R103" s="113">
        <v>17</v>
      </c>
      <c r="S103" s="113">
        <v>24</v>
      </c>
      <c r="T103" s="113">
        <v>41</v>
      </c>
      <c r="U103" s="113">
        <v>13</v>
      </c>
      <c r="V103" s="113">
        <v>14</v>
      </c>
      <c r="W103" s="113">
        <v>27</v>
      </c>
      <c r="X103" s="113">
        <v>2</v>
      </c>
      <c r="Y103" s="113">
        <v>0</v>
      </c>
      <c r="Z103" s="113">
        <v>2</v>
      </c>
    </row>
    <row r="104" spans="1:26">
      <c r="A104" s="115">
        <v>100</v>
      </c>
      <c r="B104" s="259" t="s">
        <v>809</v>
      </c>
      <c r="C104" s="113">
        <v>0</v>
      </c>
      <c r="D104" s="113">
        <v>77</v>
      </c>
      <c r="E104" s="113">
        <v>77</v>
      </c>
      <c r="F104" s="113">
        <v>0</v>
      </c>
      <c r="G104" s="113">
        <v>4</v>
      </c>
      <c r="H104" s="113">
        <v>4</v>
      </c>
      <c r="I104" s="113">
        <v>0</v>
      </c>
      <c r="J104" s="113">
        <v>0</v>
      </c>
      <c r="K104" s="113">
        <v>0</v>
      </c>
      <c r="L104" s="113">
        <v>0</v>
      </c>
      <c r="M104" s="113">
        <v>73</v>
      </c>
      <c r="N104" s="113">
        <v>73</v>
      </c>
      <c r="O104" s="113">
        <v>0</v>
      </c>
      <c r="P104" s="113">
        <v>0</v>
      </c>
      <c r="Q104" s="113">
        <v>0</v>
      </c>
      <c r="R104" s="113">
        <v>0</v>
      </c>
      <c r="S104" s="113">
        <v>0</v>
      </c>
      <c r="T104" s="113">
        <v>0</v>
      </c>
      <c r="U104" s="113">
        <v>0</v>
      </c>
      <c r="V104" s="113">
        <v>0</v>
      </c>
      <c r="W104" s="113">
        <v>0</v>
      </c>
      <c r="X104" s="113">
        <v>0</v>
      </c>
      <c r="Y104" s="113">
        <v>0</v>
      </c>
      <c r="Z104" s="113">
        <v>0</v>
      </c>
    </row>
    <row r="105" spans="1:26">
      <c r="A105" s="115">
        <v>101</v>
      </c>
      <c r="B105" s="259" t="s">
        <v>810</v>
      </c>
      <c r="C105" s="113">
        <v>2246</v>
      </c>
      <c r="D105" s="113">
        <v>1811</v>
      </c>
      <c r="E105" s="113">
        <v>4057</v>
      </c>
      <c r="F105" s="113">
        <v>68</v>
      </c>
      <c r="G105" s="113">
        <v>69</v>
      </c>
      <c r="H105" s="113">
        <v>137</v>
      </c>
      <c r="I105" s="113">
        <v>29</v>
      </c>
      <c r="J105" s="113">
        <v>32</v>
      </c>
      <c r="K105" s="113">
        <v>61</v>
      </c>
      <c r="L105" s="113">
        <v>310</v>
      </c>
      <c r="M105" s="113">
        <v>203</v>
      </c>
      <c r="N105" s="113">
        <v>513</v>
      </c>
      <c r="O105" s="113">
        <v>0</v>
      </c>
      <c r="P105" s="113">
        <v>0</v>
      </c>
      <c r="Q105" s="113">
        <v>0</v>
      </c>
      <c r="R105" s="113">
        <v>10</v>
      </c>
      <c r="S105" s="113">
        <v>2</v>
      </c>
      <c r="T105" s="113">
        <v>12</v>
      </c>
      <c r="U105" s="113">
        <v>11</v>
      </c>
      <c r="V105" s="113">
        <v>20</v>
      </c>
      <c r="W105" s="113">
        <v>31</v>
      </c>
      <c r="X105" s="113">
        <v>5</v>
      </c>
      <c r="Y105" s="113">
        <v>5</v>
      </c>
      <c r="Z105" s="113">
        <v>10</v>
      </c>
    </row>
    <row r="106" spans="1:26">
      <c r="A106" s="115">
        <v>102</v>
      </c>
      <c r="B106" s="259" t="s">
        <v>813</v>
      </c>
      <c r="C106" s="113">
        <v>272</v>
      </c>
      <c r="D106" s="113">
        <v>47</v>
      </c>
      <c r="E106" s="113">
        <v>319</v>
      </c>
      <c r="F106" s="113">
        <v>58</v>
      </c>
      <c r="G106" s="113">
        <v>14</v>
      </c>
      <c r="H106" s="113">
        <v>72</v>
      </c>
      <c r="I106" s="113">
        <v>8</v>
      </c>
      <c r="J106" s="113">
        <v>2</v>
      </c>
      <c r="K106" s="113">
        <v>10</v>
      </c>
      <c r="L106" s="113">
        <v>32</v>
      </c>
      <c r="M106" s="113">
        <v>6</v>
      </c>
      <c r="N106" s="113">
        <v>38</v>
      </c>
      <c r="O106" s="113">
        <v>6</v>
      </c>
      <c r="P106" s="113">
        <v>0</v>
      </c>
      <c r="Q106" s="113">
        <v>6</v>
      </c>
      <c r="R106" s="113">
        <v>10</v>
      </c>
      <c r="S106" s="113">
        <v>0</v>
      </c>
      <c r="T106" s="113">
        <v>10</v>
      </c>
      <c r="U106" s="113">
        <v>12</v>
      </c>
      <c r="V106" s="113">
        <v>1</v>
      </c>
      <c r="W106" s="113">
        <v>13</v>
      </c>
      <c r="X106" s="113">
        <v>5</v>
      </c>
      <c r="Y106" s="113">
        <v>0</v>
      </c>
      <c r="Z106" s="113">
        <v>5</v>
      </c>
    </row>
    <row r="107" spans="1:26">
      <c r="A107" s="115">
        <v>103</v>
      </c>
      <c r="B107" s="259" t="s">
        <v>440</v>
      </c>
      <c r="C107" s="113">
        <v>40558</v>
      </c>
      <c r="D107" s="113">
        <v>36742</v>
      </c>
      <c r="E107" s="113">
        <v>77300</v>
      </c>
      <c r="F107" s="113">
        <v>5138</v>
      </c>
      <c r="G107" s="113">
        <v>4917</v>
      </c>
      <c r="H107" s="113">
        <v>10055</v>
      </c>
      <c r="I107" s="113">
        <v>2939</v>
      </c>
      <c r="J107" s="113">
        <v>2355</v>
      </c>
      <c r="K107" s="113">
        <v>5294</v>
      </c>
      <c r="L107" s="113">
        <v>11927</v>
      </c>
      <c r="M107" s="113">
        <v>12182</v>
      </c>
      <c r="N107" s="113">
        <v>24109</v>
      </c>
      <c r="O107" s="113">
        <v>161</v>
      </c>
      <c r="P107" s="113">
        <v>103</v>
      </c>
      <c r="Q107" s="113">
        <v>264</v>
      </c>
      <c r="R107" s="113">
        <v>1819</v>
      </c>
      <c r="S107" s="113">
        <v>2130</v>
      </c>
      <c r="T107" s="113">
        <v>3949</v>
      </c>
      <c r="U107" s="113">
        <v>887</v>
      </c>
      <c r="V107" s="113">
        <v>1313</v>
      </c>
      <c r="W107" s="113">
        <v>2200</v>
      </c>
      <c r="X107" s="113">
        <v>624</v>
      </c>
      <c r="Y107" s="113">
        <v>497</v>
      </c>
      <c r="Z107" s="113">
        <v>1121</v>
      </c>
    </row>
    <row r="108" spans="1:26">
      <c r="A108" s="115">
        <v>104</v>
      </c>
      <c r="B108" s="259" t="s">
        <v>435</v>
      </c>
      <c r="C108" s="113">
        <v>110574</v>
      </c>
      <c r="D108" s="113">
        <v>164897</v>
      </c>
      <c r="E108" s="113">
        <v>275471</v>
      </c>
      <c r="F108" s="113">
        <v>18348</v>
      </c>
      <c r="G108" s="113">
        <v>27721</v>
      </c>
      <c r="H108" s="113">
        <v>46069</v>
      </c>
      <c r="I108" s="113">
        <v>10550</v>
      </c>
      <c r="J108" s="113">
        <v>14678</v>
      </c>
      <c r="K108" s="113">
        <v>25228</v>
      </c>
      <c r="L108" s="113">
        <v>36692</v>
      </c>
      <c r="M108" s="113">
        <v>56298</v>
      </c>
      <c r="N108" s="113">
        <v>92990</v>
      </c>
      <c r="O108" s="113">
        <v>850</v>
      </c>
      <c r="P108" s="113">
        <v>636</v>
      </c>
      <c r="Q108" s="113">
        <v>1486</v>
      </c>
      <c r="R108" s="113">
        <v>7718</v>
      </c>
      <c r="S108" s="113">
        <v>11796</v>
      </c>
      <c r="T108" s="113">
        <v>19514</v>
      </c>
      <c r="U108" s="113">
        <v>1707</v>
      </c>
      <c r="V108" s="113">
        <v>3826</v>
      </c>
      <c r="W108" s="113">
        <v>5533</v>
      </c>
      <c r="X108" s="113">
        <v>1880</v>
      </c>
      <c r="Y108" s="113">
        <v>2401</v>
      </c>
      <c r="Z108" s="113">
        <v>4281</v>
      </c>
    </row>
    <row r="109" spans="1:26" ht="25.5">
      <c r="A109" s="115">
        <v>105</v>
      </c>
      <c r="B109" s="259" t="s">
        <v>972</v>
      </c>
      <c r="C109" s="113">
        <v>22101</v>
      </c>
      <c r="D109" s="113">
        <v>31392</v>
      </c>
      <c r="E109" s="113">
        <v>53493</v>
      </c>
      <c r="F109" s="113">
        <v>4046</v>
      </c>
      <c r="G109" s="113">
        <v>5220</v>
      </c>
      <c r="H109" s="113">
        <v>9266</v>
      </c>
      <c r="I109" s="113">
        <v>1747</v>
      </c>
      <c r="J109" s="113">
        <v>2450</v>
      </c>
      <c r="K109" s="113">
        <v>4197</v>
      </c>
      <c r="L109" s="113">
        <v>8869</v>
      </c>
      <c r="M109" s="113">
        <v>12575</v>
      </c>
      <c r="N109" s="113">
        <v>21444</v>
      </c>
      <c r="O109" s="113">
        <v>172</v>
      </c>
      <c r="P109" s="113">
        <v>97</v>
      </c>
      <c r="Q109" s="113">
        <v>269</v>
      </c>
      <c r="R109" s="113">
        <v>1549</v>
      </c>
      <c r="S109" s="113">
        <v>2138</v>
      </c>
      <c r="T109" s="113">
        <v>3687</v>
      </c>
      <c r="U109" s="113">
        <v>380</v>
      </c>
      <c r="V109" s="113">
        <v>759</v>
      </c>
      <c r="W109" s="113">
        <v>1139</v>
      </c>
      <c r="X109" s="113">
        <v>528</v>
      </c>
      <c r="Y109" s="113">
        <v>584</v>
      </c>
      <c r="Z109" s="113">
        <v>1112</v>
      </c>
    </row>
    <row r="110" spans="1:26">
      <c r="A110" s="115">
        <v>106</v>
      </c>
      <c r="B110" s="259" t="s">
        <v>788</v>
      </c>
      <c r="C110" s="113">
        <v>14</v>
      </c>
      <c r="D110" s="113">
        <v>9</v>
      </c>
      <c r="E110" s="113">
        <v>23</v>
      </c>
      <c r="F110" s="113">
        <v>0</v>
      </c>
      <c r="G110" s="113">
        <v>0</v>
      </c>
      <c r="H110" s="113">
        <v>0</v>
      </c>
      <c r="I110" s="113">
        <v>0</v>
      </c>
      <c r="J110" s="113">
        <v>0</v>
      </c>
      <c r="K110" s="113">
        <v>0</v>
      </c>
      <c r="L110" s="113">
        <v>0</v>
      </c>
      <c r="M110" s="113">
        <v>0</v>
      </c>
      <c r="N110" s="113">
        <v>0</v>
      </c>
      <c r="O110" s="113">
        <v>0</v>
      </c>
      <c r="P110" s="113">
        <v>0</v>
      </c>
      <c r="Q110" s="113">
        <v>0</v>
      </c>
      <c r="R110" s="113">
        <v>0</v>
      </c>
      <c r="S110" s="113">
        <v>0</v>
      </c>
      <c r="T110" s="113">
        <v>0</v>
      </c>
      <c r="U110" s="113">
        <v>0</v>
      </c>
      <c r="V110" s="113">
        <v>0</v>
      </c>
      <c r="W110" s="113">
        <v>0</v>
      </c>
      <c r="X110" s="113">
        <v>0</v>
      </c>
      <c r="Y110" s="113">
        <v>0</v>
      </c>
      <c r="Z110" s="113">
        <v>0</v>
      </c>
    </row>
    <row r="111" spans="1:26">
      <c r="A111" s="115">
        <v>107</v>
      </c>
      <c r="B111" s="259" t="s">
        <v>277</v>
      </c>
      <c r="C111" s="113">
        <v>795</v>
      </c>
      <c r="D111" s="113">
        <v>365</v>
      </c>
      <c r="E111" s="113">
        <v>1160</v>
      </c>
      <c r="F111" s="113">
        <v>10</v>
      </c>
      <c r="G111" s="113">
        <v>18</v>
      </c>
      <c r="H111" s="113">
        <v>28</v>
      </c>
      <c r="I111" s="113">
        <v>3</v>
      </c>
      <c r="J111" s="113">
        <v>1</v>
      </c>
      <c r="K111" s="113">
        <v>4</v>
      </c>
      <c r="L111" s="113">
        <v>49</v>
      </c>
      <c r="M111" s="113">
        <v>39</v>
      </c>
      <c r="N111" s="113">
        <v>88</v>
      </c>
      <c r="O111" s="113">
        <v>2</v>
      </c>
      <c r="P111" s="113">
        <v>1</v>
      </c>
      <c r="Q111" s="113">
        <v>3</v>
      </c>
      <c r="R111" s="113">
        <v>21</v>
      </c>
      <c r="S111" s="113">
        <v>3</v>
      </c>
      <c r="T111" s="113">
        <v>24</v>
      </c>
      <c r="U111" s="113">
        <v>33</v>
      </c>
      <c r="V111" s="113">
        <v>6</v>
      </c>
      <c r="W111" s="113">
        <v>39</v>
      </c>
      <c r="X111" s="113">
        <v>1</v>
      </c>
      <c r="Y111" s="113">
        <v>0</v>
      </c>
      <c r="Z111" s="113">
        <v>1</v>
      </c>
    </row>
    <row r="112" spans="1:26" ht="25.5">
      <c r="A112" s="115">
        <v>108</v>
      </c>
      <c r="B112" s="259" t="s">
        <v>973</v>
      </c>
      <c r="C112" s="113">
        <v>775</v>
      </c>
      <c r="D112" s="113">
        <v>670</v>
      </c>
      <c r="E112" s="113">
        <v>1445</v>
      </c>
      <c r="F112" s="113">
        <v>127</v>
      </c>
      <c r="G112" s="113">
        <v>95</v>
      </c>
      <c r="H112" s="113">
        <v>222</v>
      </c>
      <c r="I112" s="113">
        <v>90</v>
      </c>
      <c r="J112" s="113">
        <v>82</v>
      </c>
      <c r="K112" s="113">
        <v>172</v>
      </c>
      <c r="L112" s="113">
        <v>294</v>
      </c>
      <c r="M112" s="113">
        <v>221</v>
      </c>
      <c r="N112" s="113">
        <v>515</v>
      </c>
      <c r="O112" s="113">
        <v>27</v>
      </c>
      <c r="P112" s="113">
        <v>26</v>
      </c>
      <c r="Q112" s="113">
        <v>53</v>
      </c>
      <c r="R112" s="113">
        <v>47</v>
      </c>
      <c r="S112" s="113">
        <v>51</v>
      </c>
      <c r="T112" s="113">
        <v>98</v>
      </c>
      <c r="U112" s="113">
        <v>17</v>
      </c>
      <c r="V112" s="113">
        <v>28</v>
      </c>
      <c r="W112" s="113">
        <v>45</v>
      </c>
      <c r="X112" s="113">
        <v>14</v>
      </c>
      <c r="Y112" s="113">
        <v>6</v>
      </c>
      <c r="Z112" s="113">
        <v>20</v>
      </c>
    </row>
    <row r="113" spans="1:26">
      <c r="A113" s="115">
        <v>109</v>
      </c>
      <c r="B113" s="259" t="s">
        <v>974</v>
      </c>
      <c r="C113" s="113">
        <v>5</v>
      </c>
      <c r="D113" s="113">
        <v>14</v>
      </c>
      <c r="E113" s="113">
        <v>19</v>
      </c>
      <c r="F113" s="113">
        <v>2</v>
      </c>
      <c r="G113" s="113">
        <v>2</v>
      </c>
      <c r="H113" s="113">
        <v>4</v>
      </c>
      <c r="I113" s="113">
        <v>0</v>
      </c>
      <c r="J113" s="113">
        <v>0</v>
      </c>
      <c r="K113" s="113">
        <v>0</v>
      </c>
      <c r="L113" s="113">
        <v>0</v>
      </c>
      <c r="M113" s="113">
        <v>4</v>
      </c>
      <c r="N113" s="113">
        <v>4</v>
      </c>
      <c r="O113" s="113">
        <v>0</v>
      </c>
      <c r="P113" s="113">
        <v>0</v>
      </c>
      <c r="Q113" s="113">
        <v>0</v>
      </c>
      <c r="R113" s="113">
        <v>0</v>
      </c>
      <c r="S113" s="113">
        <v>0</v>
      </c>
      <c r="T113" s="113">
        <v>0</v>
      </c>
      <c r="U113" s="113">
        <v>0</v>
      </c>
      <c r="V113" s="113">
        <v>0</v>
      </c>
      <c r="W113" s="113">
        <v>0</v>
      </c>
      <c r="X113" s="113">
        <v>0</v>
      </c>
      <c r="Y113" s="113">
        <v>0</v>
      </c>
      <c r="Z113" s="113">
        <v>0</v>
      </c>
    </row>
    <row r="114" spans="1:26">
      <c r="A114" s="115">
        <v>110</v>
      </c>
      <c r="B114" s="259" t="s">
        <v>975</v>
      </c>
      <c r="C114" s="113">
        <v>0</v>
      </c>
      <c r="D114" s="113">
        <v>5</v>
      </c>
      <c r="E114" s="113">
        <v>5</v>
      </c>
      <c r="F114" s="113">
        <v>0</v>
      </c>
      <c r="G114" s="113">
        <v>0</v>
      </c>
      <c r="H114" s="113">
        <v>0</v>
      </c>
      <c r="I114" s="113">
        <v>0</v>
      </c>
      <c r="J114" s="113">
        <v>0</v>
      </c>
      <c r="K114" s="113">
        <v>0</v>
      </c>
      <c r="L114" s="113">
        <v>0</v>
      </c>
      <c r="M114" s="113">
        <v>3</v>
      </c>
      <c r="N114" s="113">
        <v>3</v>
      </c>
      <c r="O114" s="113">
        <v>0</v>
      </c>
      <c r="P114" s="113">
        <v>0</v>
      </c>
      <c r="Q114" s="113">
        <v>0</v>
      </c>
      <c r="R114" s="113">
        <v>0</v>
      </c>
      <c r="S114" s="113">
        <v>0</v>
      </c>
      <c r="T114" s="113">
        <v>0</v>
      </c>
      <c r="U114" s="113">
        <v>0</v>
      </c>
      <c r="V114" s="113">
        <v>0</v>
      </c>
      <c r="W114" s="113">
        <v>0</v>
      </c>
      <c r="X114" s="113">
        <v>0</v>
      </c>
      <c r="Y114" s="113">
        <v>0</v>
      </c>
      <c r="Z114" s="113">
        <v>0</v>
      </c>
    </row>
    <row r="115" spans="1:26" ht="25.5">
      <c r="A115" s="115">
        <v>111</v>
      </c>
      <c r="B115" s="259" t="s">
        <v>962</v>
      </c>
      <c r="C115" s="113">
        <v>186</v>
      </c>
      <c r="D115" s="113">
        <v>293</v>
      </c>
      <c r="E115" s="113">
        <v>479</v>
      </c>
      <c r="F115" s="113">
        <v>34</v>
      </c>
      <c r="G115" s="113">
        <v>48</v>
      </c>
      <c r="H115" s="113">
        <v>82</v>
      </c>
      <c r="I115" s="113">
        <v>23</v>
      </c>
      <c r="J115" s="113">
        <v>33</v>
      </c>
      <c r="K115" s="113">
        <v>56</v>
      </c>
      <c r="L115" s="113">
        <v>65</v>
      </c>
      <c r="M115" s="113">
        <v>65</v>
      </c>
      <c r="N115" s="113">
        <v>130</v>
      </c>
      <c r="O115" s="113">
        <v>17</v>
      </c>
      <c r="P115" s="113">
        <v>16</v>
      </c>
      <c r="Q115" s="113">
        <v>33</v>
      </c>
      <c r="R115" s="113">
        <v>22</v>
      </c>
      <c r="S115" s="113">
        <v>60</v>
      </c>
      <c r="T115" s="113">
        <v>82</v>
      </c>
      <c r="U115" s="113">
        <v>8</v>
      </c>
      <c r="V115" s="113">
        <v>32</v>
      </c>
      <c r="W115" s="113">
        <v>40</v>
      </c>
      <c r="X115" s="113">
        <v>8</v>
      </c>
      <c r="Y115" s="113">
        <v>7</v>
      </c>
      <c r="Z115" s="113">
        <v>15</v>
      </c>
    </row>
    <row r="116" spans="1:26">
      <c r="A116" s="115">
        <v>112</v>
      </c>
      <c r="B116" s="259" t="s">
        <v>437</v>
      </c>
      <c r="C116" s="113">
        <v>138924</v>
      </c>
      <c r="D116" s="113">
        <v>56431</v>
      </c>
      <c r="E116" s="113">
        <v>195355</v>
      </c>
      <c r="F116" s="113">
        <v>13497</v>
      </c>
      <c r="G116" s="113">
        <v>5863</v>
      </c>
      <c r="H116" s="113">
        <v>19360</v>
      </c>
      <c r="I116" s="113">
        <v>3138</v>
      </c>
      <c r="J116" s="113">
        <v>1897</v>
      </c>
      <c r="K116" s="113">
        <v>5035</v>
      </c>
      <c r="L116" s="113">
        <v>53359</v>
      </c>
      <c r="M116" s="113">
        <v>22028</v>
      </c>
      <c r="N116" s="113">
        <v>75387</v>
      </c>
      <c r="O116" s="113">
        <v>364</v>
      </c>
      <c r="P116" s="113">
        <v>103</v>
      </c>
      <c r="Q116" s="113">
        <v>467</v>
      </c>
      <c r="R116" s="113">
        <v>11439</v>
      </c>
      <c r="S116" s="113">
        <v>3348</v>
      </c>
      <c r="T116" s="113">
        <v>14787</v>
      </c>
      <c r="U116" s="113">
        <v>2584</v>
      </c>
      <c r="V116" s="113">
        <v>1295</v>
      </c>
      <c r="W116" s="113">
        <v>3879</v>
      </c>
      <c r="X116" s="113">
        <v>4534</v>
      </c>
      <c r="Y116" s="113">
        <v>1780</v>
      </c>
      <c r="Z116" s="113">
        <v>6314</v>
      </c>
    </row>
    <row r="117" spans="1:26">
      <c r="A117" s="115">
        <v>113</v>
      </c>
      <c r="B117" s="259" t="s">
        <v>279</v>
      </c>
      <c r="C117" s="113">
        <v>594</v>
      </c>
      <c r="D117" s="113">
        <v>407</v>
      </c>
      <c r="E117" s="113">
        <v>1001</v>
      </c>
      <c r="F117" s="113">
        <v>63</v>
      </c>
      <c r="G117" s="113">
        <v>43</v>
      </c>
      <c r="H117" s="113">
        <v>106</v>
      </c>
      <c r="I117" s="113">
        <v>18</v>
      </c>
      <c r="J117" s="113">
        <v>16</v>
      </c>
      <c r="K117" s="113">
        <v>34</v>
      </c>
      <c r="L117" s="113">
        <v>193</v>
      </c>
      <c r="M117" s="113">
        <v>119</v>
      </c>
      <c r="N117" s="113">
        <v>312</v>
      </c>
      <c r="O117" s="113">
        <v>0</v>
      </c>
      <c r="P117" s="113">
        <v>0</v>
      </c>
      <c r="Q117" s="113">
        <v>0</v>
      </c>
      <c r="R117" s="113">
        <v>8</v>
      </c>
      <c r="S117" s="113">
        <v>8</v>
      </c>
      <c r="T117" s="113">
        <v>16</v>
      </c>
      <c r="U117" s="113">
        <v>24</v>
      </c>
      <c r="V117" s="113">
        <v>19</v>
      </c>
      <c r="W117" s="113">
        <v>43</v>
      </c>
      <c r="X117" s="113">
        <v>12</v>
      </c>
      <c r="Y117" s="113">
        <v>3</v>
      </c>
      <c r="Z117" s="113">
        <v>15</v>
      </c>
    </row>
    <row r="118" spans="1:26">
      <c r="A118" s="115">
        <v>114</v>
      </c>
      <c r="B118" s="259" t="s">
        <v>282</v>
      </c>
      <c r="C118" s="113">
        <v>85</v>
      </c>
      <c r="D118" s="113">
        <v>80</v>
      </c>
      <c r="E118" s="113">
        <v>165</v>
      </c>
      <c r="F118" s="113">
        <v>9</v>
      </c>
      <c r="G118" s="113">
        <v>7</v>
      </c>
      <c r="H118" s="113">
        <v>16</v>
      </c>
      <c r="I118" s="113">
        <v>0</v>
      </c>
      <c r="J118" s="113">
        <v>1</v>
      </c>
      <c r="K118" s="113">
        <v>1</v>
      </c>
      <c r="L118" s="113">
        <v>13</v>
      </c>
      <c r="M118" s="113">
        <v>12</v>
      </c>
      <c r="N118" s="113">
        <v>25</v>
      </c>
      <c r="O118" s="113">
        <v>0</v>
      </c>
      <c r="P118" s="113">
        <v>0</v>
      </c>
      <c r="Q118" s="113">
        <v>0</v>
      </c>
      <c r="R118" s="113">
        <v>26</v>
      </c>
      <c r="S118" s="113">
        <v>34</v>
      </c>
      <c r="T118" s="113">
        <v>60</v>
      </c>
      <c r="U118" s="113">
        <v>0</v>
      </c>
      <c r="V118" s="113">
        <v>9</v>
      </c>
      <c r="W118" s="113">
        <v>9</v>
      </c>
      <c r="X118" s="113">
        <v>0</v>
      </c>
      <c r="Y118" s="113">
        <v>3</v>
      </c>
      <c r="Z118" s="113">
        <v>3</v>
      </c>
    </row>
    <row r="119" spans="1:26" ht="25.5">
      <c r="A119" s="115">
        <v>115</v>
      </c>
      <c r="B119" s="259" t="s">
        <v>439</v>
      </c>
      <c r="C119" s="113">
        <v>2134</v>
      </c>
      <c r="D119" s="113">
        <v>1441</v>
      </c>
      <c r="E119" s="113">
        <v>3575</v>
      </c>
      <c r="F119" s="113">
        <v>600</v>
      </c>
      <c r="G119" s="113">
        <v>394</v>
      </c>
      <c r="H119" s="113">
        <v>994</v>
      </c>
      <c r="I119" s="113">
        <v>222</v>
      </c>
      <c r="J119" s="113">
        <v>159</v>
      </c>
      <c r="K119" s="113">
        <v>381</v>
      </c>
      <c r="L119" s="113">
        <v>317</v>
      </c>
      <c r="M119" s="113">
        <v>297</v>
      </c>
      <c r="N119" s="113">
        <v>614</v>
      </c>
      <c r="O119" s="113">
        <v>3</v>
      </c>
      <c r="P119" s="113">
        <v>9</v>
      </c>
      <c r="Q119" s="113">
        <v>12</v>
      </c>
      <c r="R119" s="113">
        <v>42</v>
      </c>
      <c r="S119" s="113">
        <v>16</v>
      </c>
      <c r="T119" s="113">
        <v>58</v>
      </c>
      <c r="U119" s="113">
        <v>11</v>
      </c>
      <c r="V119" s="113">
        <v>64</v>
      </c>
      <c r="W119" s="113">
        <v>75</v>
      </c>
      <c r="X119" s="113">
        <v>23</v>
      </c>
      <c r="Y119" s="113">
        <v>14</v>
      </c>
      <c r="Z119" s="113">
        <v>37</v>
      </c>
    </row>
    <row r="120" spans="1:26" ht="25.5">
      <c r="A120" s="115">
        <v>116</v>
      </c>
      <c r="B120" s="259" t="s">
        <v>976</v>
      </c>
      <c r="C120" s="113">
        <v>168</v>
      </c>
      <c r="D120" s="113">
        <v>142</v>
      </c>
      <c r="E120" s="113">
        <v>310</v>
      </c>
      <c r="F120" s="113">
        <v>20</v>
      </c>
      <c r="G120" s="113">
        <v>13</v>
      </c>
      <c r="H120" s="113">
        <v>33</v>
      </c>
      <c r="I120" s="113">
        <v>12</v>
      </c>
      <c r="J120" s="113">
        <v>10</v>
      </c>
      <c r="K120" s="113">
        <v>22</v>
      </c>
      <c r="L120" s="113">
        <v>46</v>
      </c>
      <c r="M120" s="113">
        <v>62</v>
      </c>
      <c r="N120" s="113">
        <v>108</v>
      </c>
      <c r="O120" s="113">
        <v>15</v>
      </c>
      <c r="P120" s="113">
        <v>14</v>
      </c>
      <c r="Q120" s="113">
        <v>29</v>
      </c>
      <c r="R120" s="113">
        <v>20</v>
      </c>
      <c r="S120" s="113">
        <v>35</v>
      </c>
      <c r="T120" s="113">
        <v>55</v>
      </c>
      <c r="U120" s="113">
        <v>28</v>
      </c>
      <c r="V120" s="113">
        <v>8</v>
      </c>
      <c r="W120" s="113">
        <v>36</v>
      </c>
      <c r="X120" s="113">
        <v>3</v>
      </c>
      <c r="Y120" s="113">
        <v>1</v>
      </c>
      <c r="Z120" s="113">
        <v>4</v>
      </c>
    </row>
    <row r="121" spans="1:26">
      <c r="A121" s="115">
        <v>117</v>
      </c>
      <c r="B121" s="259" t="s">
        <v>434</v>
      </c>
      <c r="C121" s="113">
        <v>1509393</v>
      </c>
      <c r="D121" s="113">
        <v>446737</v>
      </c>
      <c r="E121" s="113">
        <v>1956130</v>
      </c>
      <c r="F121" s="113">
        <v>271076</v>
      </c>
      <c r="G121" s="113">
        <v>84495</v>
      </c>
      <c r="H121" s="113">
        <v>355571</v>
      </c>
      <c r="I121" s="113">
        <v>90101</v>
      </c>
      <c r="J121" s="113">
        <v>37574</v>
      </c>
      <c r="K121" s="113">
        <v>127675</v>
      </c>
      <c r="L121" s="113">
        <v>569803</v>
      </c>
      <c r="M121" s="113">
        <v>152899</v>
      </c>
      <c r="N121" s="113">
        <v>722702</v>
      </c>
      <c r="O121" s="113">
        <v>3917</v>
      </c>
      <c r="P121" s="113">
        <v>1468</v>
      </c>
      <c r="Q121" s="113">
        <v>5385</v>
      </c>
      <c r="R121" s="113">
        <v>70349</v>
      </c>
      <c r="S121" s="113">
        <v>16666</v>
      </c>
      <c r="T121" s="113">
        <v>87015</v>
      </c>
      <c r="U121" s="113">
        <v>27513</v>
      </c>
      <c r="V121" s="113">
        <v>8488</v>
      </c>
      <c r="W121" s="113">
        <v>36001</v>
      </c>
      <c r="X121" s="113">
        <v>26414</v>
      </c>
      <c r="Y121" s="113">
        <v>8117</v>
      </c>
      <c r="Z121" s="113">
        <v>34531</v>
      </c>
    </row>
    <row r="122" spans="1:26">
      <c r="A122" s="115">
        <v>118</v>
      </c>
      <c r="B122" s="259" t="s">
        <v>791</v>
      </c>
      <c r="C122" s="113">
        <v>2072</v>
      </c>
      <c r="D122" s="113">
        <v>583</v>
      </c>
      <c r="E122" s="113">
        <v>2655</v>
      </c>
      <c r="F122" s="113">
        <v>54</v>
      </c>
      <c r="G122" s="113">
        <v>21</v>
      </c>
      <c r="H122" s="113">
        <v>75</v>
      </c>
      <c r="I122" s="113">
        <v>8</v>
      </c>
      <c r="J122" s="113">
        <v>2</v>
      </c>
      <c r="K122" s="113">
        <v>10</v>
      </c>
      <c r="L122" s="113">
        <v>93</v>
      </c>
      <c r="M122" s="113">
        <v>34</v>
      </c>
      <c r="N122" s="113">
        <v>127</v>
      </c>
      <c r="O122" s="113">
        <v>4</v>
      </c>
      <c r="P122" s="113">
        <v>0</v>
      </c>
      <c r="Q122" s="113">
        <v>4</v>
      </c>
      <c r="R122" s="113">
        <v>5</v>
      </c>
      <c r="S122" s="113">
        <v>9</v>
      </c>
      <c r="T122" s="113">
        <v>14</v>
      </c>
      <c r="U122" s="113">
        <v>5</v>
      </c>
      <c r="V122" s="113">
        <v>3</v>
      </c>
      <c r="W122" s="113">
        <v>8</v>
      </c>
      <c r="X122" s="113">
        <v>5</v>
      </c>
      <c r="Y122" s="113">
        <v>5</v>
      </c>
      <c r="Z122" s="113">
        <v>10</v>
      </c>
    </row>
    <row r="123" spans="1:26">
      <c r="A123" s="115">
        <v>119</v>
      </c>
      <c r="B123" s="259" t="s">
        <v>977</v>
      </c>
      <c r="C123" s="113">
        <v>32</v>
      </c>
      <c r="D123" s="113">
        <v>28</v>
      </c>
      <c r="E123" s="113">
        <v>60</v>
      </c>
      <c r="F123" s="113">
        <v>5</v>
      </c>
      <c r="G123" s="113">
        <v>2</v>
      </c>
      <c r="H123" s="113">
        <v>7</v>
      </c>
      <c r="I123" s="113">
        <v>4</v>
      </c>
      <c r="J123" s="113">
        <v>2</v>
      </c>
      <c r="K123" s="113">
        <v>6</v>
      </c>
      <c r="L123" s="113">
        <v>11</v>
      </c>
      <c r="M123" s="113">
        <v>14</v>
      </c>
      <c r="N123" s="113">
        <v>25</v>
      </c>
      <c r="O123" s="113">
        <v>0</v>
      </c>
      <c r="P123" s="113">
        <v>0</v>
      </c>
      <c r="Q123" s="113">
        <v>0</v>
      </c>
      <c r="R123" s="113">
        <v>1</v>
      </c>
      <c r="S123" s="113">
        <v>0</v>
      </c>
      <c r="T123" s="113">
        <v>1</v>
      </c>
      <c r="U123" s="113">
        <v>0</v>
      </c>
      <c r="V123" s="113">
        <v>0</v>
      </c>
      <c r="W123" s="113">
        <v>0</v>
      </c>
      <c r="X123" s="113">
        <v>0</v>
      </c>
      <c r="Y123" s="113">
        <v>0</v>
      </c>
      <c r="Z123" s="113">
        <v>0</v>
      </c>
    </row>
    <row r="124" spans="1:26" ht="22.5" customHeight="1">
      <c r="A124" s="115">
        <v>120</v>
      </c>
      <c r="B124" s="259" t="s">
        <v>800</v>
      </c>
      <c r="C124" s="113">
        <v>151</v>
      </c>
      <c r="D124" s="113">
        <v>1074</v>
      </c>
      <c r="E124" s="113">
        <v>1225</v>
      </c>
      <c r="F124" s="113">
        <v>13</v>
      </c>
      <c r="G124" s="113">
        <v>79</v>
      </c>
      <c r="H124" s="113">
        <v>92</v>
      </c>
      <c r="I124" s="113">
        <v>3</v>
      </c>
      <c r="J124" s="113">
        <v>27</v>
      </c>
      <c r="K124" s="113">
        <v>30</v>
      </c>
      <c r="L124" s="113">
        <v>23</v>
      </c>
      <c r="M124" s="113">
        <v>264</v>
      </c>
      <c r="N124" s="113">
        <v>287</v>
      </c>
      <c r="O124" s="113">
        <v>0</v>
      </c>
      <c r="P124" s="113">
        <v>0</v>
      </c>
      <c r="Q124" s="113">
        <v>0</v>
      </c>
      <c r="R124" s="113">
        <v>9</v>
      </c>
      <c r="S124" s="113">
        <v>127</v>
      </c>
      <c r="T124" s="113">
        <v>136</v>
      </c>
      <c r="U124" s="113">
        <v>4</v>
      </c>
      <c r="V124" s="113">
        <v>34</v>
      </c>
      <c r="W124" s="113">
        <v>38</v>
      </c>
      <c r="X124" s="113">
        <v>8</v>
      </c>
      <c r="Y124" s="113">
        <v>45</v>
      </c>
      <c r="Z124" s="113">
        <v>53</v>
      </c>
    </row>
    <row r="125" spans="1:26">
      <c r="A125" s="115">
        <v>121</v>
      </c>
      <c r="B125" s="259" t="s">
        <v>797</v>
      </c>
      <c r="C125" s="113">
        <v>2</v>
      </c>
      <c r="D125" s="113">
        <v>15</v>
      </c>
      <c r="E125" s="113">
        <v>17</v>
      </c>
      <c r="F125" s="113">
        <v>0</v>
      </c>
      <c r="G125" s="113">
        <v>3</v>
      </c>
      <c r="H125" s="113">
        <v>3</v>
      </c>
      <c r="I125" s="113">
        <v>0</v>
      </c>
      <c r="J125" s="113">
        <v>0</v>
      </c>
      <c r="K125" s="113">
        <v>0</v>
      </c>
      <c r="L125" s="113">
        <v>0</v>
      </c>
      <c r="M125" s="113">
        <v>3</v>
      </c>
      <c r="N125" s="113">
        <v>3</v>
      </c>
      <c r="O125" s="113">
        <v>0</v>
      </c>
      <c r="P125" s="113">
        <v>0</v>
      </c>
      <c r="Q125" s="113">
        <v>0</v>
      </c>
      <c r="R125" s="113">
        <v>1</v>
      </c>
      <c r="S125" s="113">
        <v>0</v>
      </c>
      <c r="T125" s="113">
        <v>1</v>
      </c>
      <c r="U125" s="113">
        <v>0</v>
      </c>
      <c r="V125" s="113">
        <v>0</v>
      </c>
      <c r="W125" s="113">
        <v>0</v>
      </c>
      <c r="X125" s="113">
        <v>0</v>
      </c>
      <c r="Y125" s="113">
        <v>0</v>
      </c>
      <c r="Z125" s="113">
        <v>0</v>
      </c>
    </row>
    <row r="126" spans="1:26">
      <c r="A126" s="115">
        <v>122</v>
      </c>
      <c r="B126" s="259" t="s">
        <v>436</v>
      </c>
      <c r="C126" s="113">
        <v>74472</v>
      </c>
      <c r="D126" s="113">
        <v>270872</v>
      </c>
      <c r="E126" s="113">
        <v>345344</v>
      </c>
      <c r="F126" s="113">
        <v>14363</v>
      </c>
      <c r="G126" s="113">
        <v>64593</v>
      </c>
      <c r="H126" s="113">
        <v>78956</v>
      </c>
      <c r="I126" s="113">
        <v>7148</v>
      </c>
      <c r="J126" s="113">
        <v>35259</v>
      </c>
      <c r="K126" s="113">
        <v>42407</v>
      </c>
      <c r="L126" s="113">
        <v>19867</v>
      </c>
      <c r="M126" s="113">
        <v>71466</v>
      </c>
      <c r="N126" s="113">
        <v>91333</v>
      </c>
      <c r="O126" s="113">
        <v>400</v>
      </c>
      <c r="P126" s="113">
        <v>934</v>
      </c>
      <c r="Q126" s="113">
        <v>1334</v>
      </c>
      <c r="R126" s="113">
        <v>2465</v>
      </c>
      <c r="S126" s="113">
        <v>6094</v>
      </c>
      <c r="T126" s="113">
        <v>8559</v>
      </c>
      <c r="U126" s="113">
        <v>2092</v>
      </c>
      <c r="V126" s="113">
        <v>7974</v>
      </c>
      <c r="W126" s="113">
        <v>10066</v>
      </c>
      <c r="X126" s="113">
        <v>1013</v>
      </c>
      <c r="Y126" s="113">
        <v>3280</v>
      </c>
      <c r="Z126" s="113">
        <v>4293</v>
      </c>
    </row>
    <row r="127" spans="1:26">
      <c r="A127" s="115">
        <v>123</v>
      </c>
      <c r="B127" s="259" t="s">
        <v>978</v>
      </c>
      <c r="C127" s="113">
        <v>0</v>
      </c>
      <c r="D127" s="113">
        <v>0</v>
      </c>
      <c r="E127" s="113">
        <v>0</v>
      </c>
      <c r="F127" s="113">
        <v>0</v>
      </c>
      <c r="G127" s="113">
        <v>0</v>
      </c>
      <c r="H127" s="113">
        <v>0</v>
      </c>
      <c r="I127" s="113">
        <v>0</v>
      </c>
      <c r="J127" s="113">
        <v>0</v>
      </c>
      <c r="K127" s="113">
        <v>0</v>
      </c>
      <c r="L127" s="113">
        <v>0</v>
      </c>
      <c r="M127" s="113">
        <v>0</v>
      </c>
      <c r="N127" s="113">
        <v>0</v>
      </c>
      <c r="O127" s="113">
        <v>0</v>
      </c>
      <c r="P127" s="113">
        <v>0</v>
      </c>
      <c r="Q127" s="113">
        <v>0</v>
      </c>
      <c r="R127" s="113">
        <v>0</v>
      </c>
      <c r="S127" s="113">
        <v>0</v>
      </c>
      <c r="T127" s="113">
        <v>0</v>
      </c>
      <c r="U127" s="113">
        <v>0</v>
      </c>
      <c r="V127" s="113">
        <v>0</v>
      </c>
      <c r="W127" s="113">
        <v>0</v>
      </c>
      <c r="X127" s="113">
        <v>0</v>
      </c>
      <c r="Y127" s="113">
        <v>0</v>
      </c>
      <c r="Z127" s="113">
        <v>0</v>
      </c>
    </row>
    <row r="128" spans="1:26" ht="25.5">
      <c r="A128" s="115">
        <v>124</v>
      </c>
      <c r="B128" s="259" t="s">
        <v>428</v>
      </c>
      <c r="C128" s="113">
        <v>11</v>
      </c>
      <c r="D128" s="113">
        <v>17</v>
      </c>
      <c r="E128" s="113">
        <v>28</v>
      </c>
      <c r="F128" s="113">
        <v>0</v>
      </c>
      <c r="G128" s="113">
        <v>0</v>
      </c>
      <c r="H128" s="113">
        <v>0</v>
      </c>
      <c r="I128" s="113">
        <v>0</v>
      </c>
      <c r="J128" s="113">
        <v>0</v>
      </c>
      <c r="K128" s="113">
        <v>0</v>
      </c>
      <c r="L128" s="113">
        <v>4</v>
      </c>
      <c r="M128" s="113">
        <v>10</v>
      </c>
      <c r="N128" s="113">
        <v>14</v>
      </c>
      <c r="O128" s="113">
        <v>0</v>
      </c>
      <c r="P128" s="113">
        <v>0</v>
      </c>
      <c r="Q128" s="113">
        <v>0</v>
      </c>
      <c r="R128" s="113">
        <v>0</v>
      </c>
      <c r="S128" s="113">
        <v>0</v>
      </c>
      <c r="T128" s="113">
        <v>0</v>
      </c>
      <c r="U128" s="113">
        <v>0</v>
      </c>
      <c r="V128" s="113">
        <v>0</v>
      </c>
      <c r="W128" s="113">
        <v>0</v>
      </c>
      <c r="X128" s="113">
        <v>0</v>
      </c>
      <c r="Y128" s="113">
        <v>0</v>
      </c>
      <c r="Z128" s="113">
        <v>0</v>
      </c>
    </row>
    <row r="129" spans="1:26" ht="25.5">
      <c r="A129" s="115">
        <v>125</v>
      </c>
      <c r="B129" s="259" t="s">
        <v>450</v>
      </c>
      <c r="C129" s="113">
        <v>3298</v>
      </c>
      <c r="D129" s="113">
        <v>4519</v>
      </c>
      <c r="E129" s="113">
        <v>7817</v>
      </c>
      <c r="F129" s="113">
        <v>516</v>
      </c>
      <c r="G129" s="113">
        <v>574</v>
      </c>
      <c r="H129" s="113">
        <v>1090</v>
      </c>
      <c r="I129" s="113">
        <v>294</v>
      </c>
      <c r="J129" s="113">
        <v>257</v>
      </c>
      <c r="K129" s="113">
        <v>551</v>
      </c>
      <c r="L129" s="113">
        <v>800</v>
      </c>
      <c r="M129" s="113">
        <v>1092</v>
      </c>
      <c r="N129" s="113">
        <v>1892</v>
      </c>
      <c r="O129" s="113">
        <v>18</v>
      </c>
      <c r="P129" s="113">
        <v>12</v>
      </c>
      <c r="Q129" s="113">
        <v>30</v>
      </c>
      <c r="R129" s="113">
        <v>357</v>
      </c>
      <c r="S129" s="113">
        <v>347</v>
      </c>
      <c r="T129" s="113">
        <v>704</v>
      </c>
      <c r="U129" s="113">
        <v>160</v>
      </c>
      <c r="V129" s="113">
        <v>209</v>
      </c>
      <c r="W129" s="113">
        <v>369</v>
      </c>
      <c r="X129" s="113">
        <v>96</v>
      </c>
      <c r="Y129" s="113">
        <v>108</v>
      </c>
      <c r="Z129" s="113">
        <v>204</v>
      </c>
    </row>
    <row r="130" spans="1:26" ht="25.5">
      <c r="A130" s="115">
        <v>126</v>
      </c>
      <c r="B130" s="259" t="s">
        <v>447</v>
      </c>
      <c r="C130" s="113">
        <v>13410</v>
      </c>
      <c r="D130" s="113">
        <v>9383</v>
      </c>
      <c r="E130" s="113">
        <v>22793</v>
      </c>
      <c r="F130" s="113">
        <v>1188</v>
      </c>
      <c r="G130" s="113">
        <v>842</v>
      </c>
      <c r="H130" s="113">
        <v>2030</v>
      </c>
      <c r="I130" s="113">
        <v>567</v>
      </c>
      <c r="J130" s="113">
        <v>295</v>
      </c>
      <c r="K130" s="113">
        <v>862</v>
      </c>
      <c r="L130" s="113">
        <v>2542</v>
      </c>
      <c r="M130" s="113">
        <v>1494</v>
      </c>
      <c r="N130" s="113">
        <v>4036</v>
      </c>
      <c r="O130" s="113">
        <v>28</v>
      </c>
      <c r="P130" s="113">
        <v>8</v>
      </c>
      <c r="Q130" s="113">
        <v>36</v>
      </c>
      <c r="R130" s="113">
        <v>353</v>
      </c>
      <c r="S130" s="113">
        <v>191</v>
      </c>
      <c r="T130" s="113">
        <v>544</v>
      </c>
      <c r="U130" s="113">
        <v>436</v>
      </c>
      <c r="V130" s="113">
        <v>403</v>
      </c>
      <c r="W130" s="113">
        <v>839</v>
      </c>
      <c r="X130" s="113">
        <v>243</v>
      </c>
      <c r="Y130" s="113">
        <v>155</v>
      </c>
      <c r="Z130" s="113">
        <v>398</v>
      </c>
    </row>
    <row r="131" spans="1:26" ht="25.5">
      <c r="A131" s="115">
        <v>127</v>
      </c>
      <c r="B131" s="259" t="s">
        <v>451</v>
      </c>
      <c r="C131" s="113">
        <v>3997</v>
      </c>
      <c r="D131" s="113">
        <v>2062</v>
      </c>
      <c r="E131" s="113">
        <v>6059</v>
      </c>
      <c r="F131" s="113">
        <v>343</v>
      </c>
      <c r="G131" s="113">
        <v>197</v>
      </c>
      <c r="H131" s="113">
        <v>540</v>
      </c>
      <c r="I131" s="113">
        <v>132</v>
      </c>
      <c r="J131" s="113">
        <v>74</v>
      </c>
      <c r="K131" s="113">
        <v>206</v>
      </c>
      <c r="L131" s="113">
        <v>1310</v>
      </c>
      <c r="M131" s="113">
        <v>704</v>
      </c>
      <c r="N131" s="113">
        <v>2014</v>
      </c>
      <c r="O131" s="113">
        <v>4</v>
      </c>
      <c r="P131" s="113">
        <v>2</v>
      </c>
      <c r="Q131" s="113">
        <v>6</v>
      </c>
      <c r="R131" s="113">
        <v>204</v>
      </c>
      <c r="S131" s="113">
        <v>80</v>
      </c>
      <c r="T131" s="113">
        <v>284</v>
      </c>
      <c r="U131" s="113">
        <v>305</v>
      </c>
      <c r="V131" s="113">
        <v>192</v>
      </c>
      <c r="W131" s="113">
        <v>497</v>
      </c>
      <c r="X131" s="113">
        <v>37</v>
      </c>
      <c r="Y131" s="113">
        <v>10</v>
      </c>
      <c r="Z131" s="113">
        <v>47</v>
      </c>
    </row>
    <row r="132" spans="1:26" ht="25.5">
      <c r="A132" s="115">
        <v>128</v>
      </c>
      <c r="B132" s="259" t="s">
        <v>444</v>
      </c>
      <c r="C132" s="113">
        <v>18445</v>
      </c>
      <c r="D132" s="113">
        <v>15290</v>
      </c>
      <c r="E132" s="113">
        <v>33735</v>
      </c>
      <c r="F132" s="113">
        <v>1611</v>
      </c>
      <c r="G132" s="113">
        <v>1449</v>
      </c>
      <c r="H132" s="113">
        <v>3060</v>
      </c>
      <c r="I132" s="113">
        <v>653</v>
      </c>
      <c r="J132" s="113">
        <v>423</v>
      </c>
      <c r="K132" s="113">
        <v>1076</v>
      </c>
      <c r="L132" s="113">
        <v>3959</v>
      </c>
      <c r="M132" s="113">
        <v>3842</v>
      </c>
      <c r="N132" s="113">
        <v>7801</v>
      </c>
      <c r="O132" s="113">
        <v>53</v>
      </c>
      <c r="P132" s="113">
        <v>24</v>
      </c>
      <c r="Q132" s="113">
        <v>77</v>
      </c>
      <c r="R132" s="113">
        <v>1101</v>
      </c>
      <c r="S132" s="113">
        <v>1308</v>
      </c>
      <c r="T132" s="113">
        <v>2409</v>
      </c>
      <c r="U132" s="113">
        <v>414</v>
      </c>
      <c r="V132" s="113">
        <v>722</v>
      </c>
      <c r="W132" s="113">
        <v>1136</v>
      </c>
      <c r="X132" s="113">
        <v>402</v>
      </c>
      <c r="Y132" s="113">
        <v>329</v>
      </c>
      <c r="Z132" s="113">
        <v>731</v>
      </c>
    </row>
    <row r="133" spans="1:26" ht="25.5">
      <c r="A133" s="115">
        <v>129</v>
      </c>
      <c r="B133" s="259" t="s">
        <v>452</v>
      </c>
      <c r="C133" s="113">
        <v>1103</v>
      </c>
      <c r="D133" s="113">
        <v>930</v>
      </c>
      <c r="E133" s="113">
        <v>2033</v>
      </c>
      <c r="F133" s="113">
        <v>68</v>
      </c>
      <c r="G133" s="113">
        <v>48</v>
      </c>
      <c r="H133" s="113">
        <v>116</v>
      </c>
      <c r="I133" s="113">
        <v>33</v>
      </c>
      <c r="J133" s="113">
        <v>21</v>
      </c>
      <c r="K133" s="113">
        <v>54</v>
      </c>
      <c r="L133" s="113">
        <v>201</v>
      </c>
      <c r="M133" s="113">
        <v>183</v>
      </c>
      <c r="N133" s="113">
        <v>384</v>
      </c>
      <c r="O133" s="113">
        <v>2</v>
      </c>
      <c r="P133" s="113">
        <v>0</v>
      </c>
      <c r="Q133" s="113">
        <v>2</v>
      </c>
      <c r="R133" s="113">
        <v>15</v>
      </c>
      <c r="S133" s="113">
        <v>9</v>
      </c>
      <c r="T133" s="113">
        <v>24</v>
      </c>
      <c r="U133" s="113">
        <v>19</v>
      </c>
      <c r="V133" s="113">
        <v>23</v>
      </c>
      <c r="W133" s="113">
        <v>42</v>
      </c>
      <c r="X133" s="113">
        <v>14</v>
      </c>
      <c r="Y133" s="113">
        <v>6</v>
      </c>
      <c r="Z133" s="113">
        <v>20</v>
      </c>
    </row>
    <row r="134" spans="1:26">
      <c r="A134" s="115">
        <v>130</v>
      </c>
      <c r="B134" s="259" t="s">
        <v>801</v>
      </c>
      <c r="C134" s="113">
        <v>567</v>
      </c>
      <c r="D134" s="113">
        <v>686</v>
      </c>
      <c r="E134" s="113">
        <v>1253</v>
      </c>
      <c r="F134" s="113">
        <v>22</v>
      </c>
      <c r="G134" s="113">
        <v>37</v>
      </c>
      <c r="H134" s="113">
        <v>59</v>
      </c>
      <c r="I134" s="113">
        <v>7</v>
      </c>
      <c r="J134" s="113">
        <v>14</v>
      </c>
      <c r="K134" s="113">
        <v>21</v>
      </c>
      <c r="L134" s="113">
        <v>207</v>
      </c>
      <c r="M134" s="113">
        <v>153</v>
      </c>
      <c r="N134" s="113">
        <v>360</v>
      </c>
      <c r="O134" s="113">
        <v>0</v>
      </c>
      <c r="P134" s="113">
        <v>0</v>
      </c>
      <c r="Q134" s="113">
        <v>0</v>
      </c>
      <c r="R134" s="113">
        <v>109</v>
      </c>
      <c r="S134" s="113">
        <v>74</v>
      </c>
      <c r="T134" s="113">
        <v>183</v>
      </c>
      <c r="U134" s="113">
        <v>57</v>
      </c>
      <c r="V134" s="113">
        <v>43</v>
      </c>
      <c r="W134" s="113">
        <v>100</v>
      </c>
      <c r="X134" s="113">
        <v>2</v>
      </c>
      <c r="Y134" s="113">
        <v>2</v>
      </c>
      <c r="Z134" s="113">
        <v>4</v>
      </c>
    </row>
    <row r="135" spans="1:26">
      <c r="A135" s="115">
        <v>131</v>
      </c>
      <c r="B135" s="259" t="s">
        <v>362</v>
      </c>
      <c r="C135" s="113">
        <v>307336</v>
      </c>
      <c r="D135" s="113">
        <v>149909</v>
      </c>
      <c r="E135" s="113">
        <v>457245</v>
      </c>
      <c r="F135" s="113">
        <v>41691</v>
      </c>
      <c r="G135" s="113">
        <v>19526</v>
      </c>
      <c r="H135" s="113">
        <v>61217</v>
      </c>
      <c r="I135" s="113">
        <v>10676</v>
      </c>
      <c r="J135" s="113">
        <v>6026</v>
      </c>
      <c r="K135" s="113">
        <v>16702</v>
      </c>
      <c r="L135" s="113">
        <v>94556</v>
      </c>
      <c r="M135" s="113">
        <v>39842</v>
      </c>
      <c r="N135" s="113">
        <v>134398</v>
      </c>
      <c r="O135" s="113">
        <v>1616</v>
      </c>
      <c r="P135" s="113">
        <v>684</v>
      </c>
      <c r="Q135" s="113">
        <v>2300</v>
      </c>
      <c r="R135" s="113">
        <v>12911</v>
      </c>
      <c r="S135" s="113">
        <v>6391</v>
      </c>
      <c r="T135" s="113">
        <v>19302</v>
      </c>
      <c r="U135" s="113">
        <v>5046</v>
      </c>
      <c r="V135" s="113">
        <v>3626</v>
      </c>
      <c r="W135" s="113">
        <v>8672</v>
      </c>
      <c r="X135" s="113">
        <v>5296</v>
      </c>
      <c r="Y135" s="113">
        <v>2393</v>
      </c>
      <c r="Z135" s="113">
        <v>7689</v>
      </c>
    </row>
    <row r="136" spans="1:26">
      <c r="A136" s="115">
        <v>132</v>
      </c>
      <c r="B136" s="259" t="s">
        <v>280</v>
      </c>
      <c r="C136" s="113">
        <v>67</v>
      </c>
      <c r="D136" s="113">
        <v>56</v>
      </c>
      <c r="E136" s="113">
        <v>123</v>
      </c>
      <c r="F136" s="113">
        <v>3</v>
      </c>
      <c r="G136" s="113">
        <v>6</v>
      </c>
      <c r="H136" s="113">
        <v>9</v>
      </c>
      <c r="I136" s="113">
        <v>0</v>
      </c>
      <c r="J136" s="113">
        <v>1</v>
      </c>
      <c r="K136" s="113">
        <v>1</v>
      </c>
      <c r="L136" s="113">
        <v>8</v>
      </c>
      <c r="M136" s="113">
        <v>23</v>
      </c>
      <c r="N136" s="113">
        <v>31</v>
      </c>
      <c r="O136" s="113">
        <v>0</v>
      </c>
      <c r="P136" s="113">
        <v>0</v>
      </c>
      <c r="Q136" s="113">
        <v>0</v>
      </c>
      <c r="R136" s="113">
        <v>1</v>
      </c>
      <c r="S136" s="113">
        <v>1</v>
      </c>
      <c r="T136" s="113">
        <v>2</v>
      </c>
      <c r="U136" s="113">
        <v>0</v>
      </c>
      <c r="V136" s="113">
        <v>0</v>
      </c>
      <c r="W136" s="113">
        <v>0</v>
      </c>
      <c r="X136" s="113">
        <v>0</v>
      </c>
      <c r="Y136" s="113">
        <v>0</v>
      </c>
      <c r="Z136" s="113">
        <v>0</v>
      </c>
    </row>
    <row r="137" spans="1:26">
      <c r="A137" s="115">
        <v>133</v>
      </c>
      <c r="B137" s="259" t="s">
        <v>296</v>
      </c>
      <c r="C137" s="113">
        <v>26102</v>
      </c>
      <c r="D137" s="113">
        <v>20209</v>
      </c>
      <c r="E137" s="113">
        <v>46311</v>
      </c>
      <c r="F137" s="113">
        <v>3439</v>
      </c>
      <c r="G137" s="113">
        <v>2326</v>
      </c>
      <c r="H137" s="113">
        <v>5765</v>
      </c>
      <c r="I137" s="113">
        <v>955</v>
      </c>
      <c r="J137" s="113">
        <v>775</v>
      </c>
      <c r="K137" s="113">
        <v>1730</v>
      </c>
      <c r="L137" s="113">
        <v>6255</v>
      </c>
      <c r="M137" s="113">
        <v>4369</v>
      </c>
      <c r="N137" s="113">
        <v>10624</v>
      </c>
      <c r="O137" s="113">
        <v>74</v>
      </c>
      <c r="P137" s="113">
        <v>34</v>
      </c>
      <c r="Q137" s="113">
        <v>108</v>
      </c>
      <c r="R137" s="113">
        <v>669</v>
      </c>
      <c r="S137" s="113">
        <v>576</v>
      </c>
      <c r="T137" s="113">
        <v>1245</v>
      </c>
      <c r="U137" s="113">
        <v>460</v>
      </c>
      <c r="V137" s="113">
        <v>543</v>
      </c>
      <c r="W137" s="113">
        <v>1003</v>
      </c>
      <c r="X137" s="113">
        <v>489</v>
      </c>
      <c r="Y137" s="113">
        <v>378</v>
      </c>
      <c r="Z137" s="113">
        <v>867</v>
      </c>
    </row>
    <row r="138" spans="1:26" ht="25.5">
      <c r="A138" s="115">
        <v>134</v>
      </c>
      <c r="B138" s="259" t="s">
        <v>453</v>
      </c>
      <c r="C138" s="113">
        <v>375</v>
      </c>
      <c r="D138" s="113">
        <v>438</v>
      </c>
      <c r="E138" s="113">
        <v>813</v>
      </c>
      <c r="F138" s="113">
        <v>50</v>
      </c>
      <c r="G138" s="113">
        <v>52</v>
      </c>
      <c r="H138" s="113">
        <v>102</v>
      </c>
      <c r="I138" s="113">
        <v>40</v>
      </c>
      <c r="J138" s="113">
        <v>32</v>
      </c>
      <c r="K138" s="113">
        <v>72</v>
      </c>
      <c r="L138" s="113">
        <v>154</v>
      </c>
      <c r="M138" s="113">
        <v>66</v>
      </c>
      <c r="N138" s="113">
        <v>220</v>
      </c>
      <c r="O138" s="113">
        <v>1</v>
      </c>
      <c r="P138" s="113">
        <v>4</v>
      </c>
      <c r="Q138" s="113">
        <v>5</v>
      </c>
      <c r="R138" s="113">
        <v>19</v>
      </c>
      <c r="S138" s="113">
        <v>9</v>
      </c>
      <c r="T138" s="113">
        <v>28</v>
      </c>
      <c r="U138" s="113">
        <v>3</v>
      </c>
      <c r="V138" s="113">
        <v>14</v>
      </c>
      <c r="W138" s="113">
        <v>17</v>
      </c>
      <c r="X138" s="113">
        <v>11</v>
      </c>
      <c r="Y138" s="113">
        <v>14</v>
      </c>
      <c r="Z138" s="113">
        <v>25</v>
      </c>
    </row>
    <row r="139" spans="1:26" ht="25.5">
      <c r="A139" s="115">
        <v>135</v>
      </c>
      <c r="B139" s="259" t="s">
        <v>344</v>
      </c>
      <c r="C139" s="113">
        <v>140</v>
      </c>
      <c r="D139" s="113">
        <v>351</v>
      </c>
      <c r="E139" s="113">
        <v>491</v>
      </c>
      <c r="F139" s="113">
        <v>14</v>
      </c>
      <c r="G139" s="113">
        <v>66</v>
      </c>
      <c r="H139" s="113">
        <v>80</v>
      </c>
      <c r="I139" s="113">
        <v>5</v>
      </c>
      <c r="J139" s="113">
        <v>19</v>
      </c>
      <c r="K139" s="113">
        <v>24</v>
      </c>
      <c r="L139" s="113">
        <v>57</v>
      </c>
      <c r="M139" s="113">
        <v>153</v>
      </c>
      <c r="N139" s="113">
        <v>210</v>
      </c>
      <c r="O139" s="113">
        <v>0</v>
      </c>
      <c r="P139" s="113">
        <v>0</v>
      </c>
      <c r="Q139" s="113">
        <v>0</v>
      </c>
      <c r="R139" s="113">
        <v>0</v>
      </c>
      <c r="S139" s="113">
        <v>2</v>
      </c>
      <c r="T139" s="113">
        <v>2</v>
      </c>
      <c r="U139" s="113">
        <v>0</v>
      </c>
      <c r="V139" s="113">
        <v>0</v>
      </c>
      <c r="W139" s="113">
        <v>0</v>
      </c>
      <c r="X139" s="113">
        <v>6</v>
      </c>
      <c r="Y139" s="113">
        <v>14</v>
      </c>
      <c r="Z139" s="113">
        <v>20</v>
      </c>
    </row>
    <row r="140" spans="1:26">
      <c r="A140" s="115">
        <v>136</v>
      </c>
      <c r="B140" s="259" t="s">
        <v>284</v>
      </c>
      <c r="C140" s="113">
        <v>839700</v>
      </c>
      <c r="D140" s="113">
        <v>1245330</v>
      </c>
      <c r="E140" s="113">
        <v>2085030</v>
      </c>
      <c r="F140" s="113">
        <v>151785</v>
      </c>
      <c r="G140" s="113">
        <v>199438</v>
      </c>
      <c r="H140" s="113">
        <v>351223</v>
      </c>
      <c r="I140" s="113">
        <v>76364</v>
      </c>
      <c r="J140" s="113">
        <v>99790</v>
      </c>
      <c r="K140" s="113">
        <v>176154</v>
      </c>
      <c r="L140" s="113">
        <v>299280</v>
      </c>
      <c r="M140" s="113">
        <v>428032</v>
      </c>
      <c r="N140" s="113">
        <v>727312</v>
      </c>
      <c r="O140" s="113">
        <v>3369</v>
      </c>
      <c r="P140" s="113">
        <v>2561</v>
      </c>
      <c r="Q140" s="113">
        <v>5930</v>
      </c>
      <c r="R140" s="113">
        <v>37665</v>
      </c>
      <c r="S140" s="113">
        <v>54769</v>
      </c>
      <c r="T140" s="113">
        <v>92434</v>
      </c>
      <c r="U140" s="113">
        <v>10754</v>
      </c>
      <c r="V140" s="113">
        <v>22339</v>
      </c>
      <c r="W140" s="113">
        <v>33093</v>
      </c>
      <c r="X140" s="113">
        <v>20689</v>
      </c>
      <c r="Y140" s="113">
        <v>20342</v>
      </c>
      <c r="Z140" s="113">
        <v>41031</v>
      </c>
    </row>
    <row r="141" spans="1:26">
      <c r="A141" s="115">
        <v>137</v>
      </c>
      <c r="B141" s="259" t="s">
        <v>313</v>
      </c>
      <c r="C141" s="113">
        <v>1563</v>
      </c>
      <c r="D141" s="113">
        <v>2074</v>
      </c>
      <c r="E141" s="113">
        <v>3637</v>
      </c>
      <c r="F141" s="113">
        <v>81</v>
      </c>
      <c r="G141" s="113">
        <v>94</v>
      </c>
      <c r="H141" s="113">
        <v>175</v>
      </c>
      <c r="I141" s="113">
        <v>28</v>
      </c>
      <c r="J141" s="113">
        <v>18</v>
      </c>
      <c r="K141" s="113">
        <v>46</v>
      </c>
      <c r="L141" s="113">
        <v>537</v>
      </c>
      <c r="M141" s="113">
        <v>606</v>
      </c>
      <c r="N141" s="113">
        <v>1143</v>
      </c>
      <c r="O141" s="113">
        <v>2</v>
      </c>
      <c r="P141" s="113">
        <v>7</v>
      </c>
      <c r="Q141" s="113">
        <v>9</v>
      </c>
      <c r="R141" s="113">
        <v>119</v>
      </c>
      <c r="S141" s="113">
        <v>108</v>
      </c>
      <c r="T141" s="113">
        <v>227</v>
      </c>
      <c r="U141" s="113">
        <v>46</v>
      </c>
      <c r="V141" s="113">
        <v>74</v>
      </c>
      <c r="W141" s="113">
        <v>120</v>
      </c>
      <c r="X141" s="113">
        <v>122</v>
      </c>
      <c r="Y141" s="113">
        <v>117</v>
      </c>
      <c r="Z141" s="113">
        <v>239</v>
      </c>
    </row>
    <row r="142" spans="1:26" ht="25.5">
      <c r="A142" s="115">
        <v>138</v>
      </c>
      <c r="B142" s="259" t="s">
        <v>286</v>
      </c>
      <c r="C142" s="113">
        <v>373847</v>
      </c>
      <c r="D142" s="113">
        <v>272503</v>
      </c>
      <c r="E142" s="113">
        <v>646350</v>
      </c>
      <c r="F142" s="113">
        <v>45481</v>
      </c>
      <c r="G142" s="113">
        <v>32192</v>
      </c>
      <c r="H142" s="113">
        <v>77673</v>
      </c>
      <c r="I142" s="113">
        <v>10583</v>
      </c>
      <c r="J142" s="113">
        <v>6633</v>
      </c>
      <c r="K142" s="113">
        <v>17216</v>
      </c>
      <c r="L142" s="113">
        <v>136597</v>
      </c>
      <c r="M142" s="113">
        <v>99464</v>
      </c>
      <c r="N142" s="113">
        <v>236061</v>
      </c>
      <c r="O142" s="113">
        <v>525</v>
      </c>
      <c r="P142" s="113">
        <v>219</v>
      </c>
      <c r="Q142" s="113">
        <v>744</v>
      </c>
      <c r="R142" s="113">
        <v>13352</v>
      </c>
      <c r="S142" s="113">
        <v>8043</v>
      </c>
      <c r="T142" s="113">
        <v>21395</v>
      </c>
      <c r="U142" s="113">
        <v>8656</v>
      </c>
      <c r="V142" s="113">
        <v>7380</v>
      </c>
      <c r="W142" s="113">
        <v>16036</v>
      </c>
      <c r="X142" s="113">
        <v>6571</v>
      </c>
      <c r="Y142" s="113">
        <v>4369</v>
      </c>
      <c r="Z142" s="113">
        <v>10940</v>
      </c>
    </row>
    <row r="143" spans="1:26" ht="38.25">
      <c r="A143" s="115">
        <v>139</v>
      </c>
      <c r="B143" s="259" t="s">
        <v>343</v>
      </c>
      <c r="C143" s="113">
        <v>177</v>
      </c>
      <c r="D143" s="113">
        <v>147</v>
      </c>
      <c r="E143" s="113">
        <v>324</v>
      </c>
      <c r="F143" s="113">
        <v>15</v>
      </c>
      <c r="G143" s="113">
        <v>23</v>
      </c>
      <c r="H143" s="113">
        <v>38</v>
      </c>
      <c r="I143" s="113">
        <v>7</v>
      </c>
      <c r="J143" s="113">
        <v>4</v>
      </c>
      <c r="K143" s="113">
        <v>11</v>
      </c>
      <c r="L143" s="113">
        <v>36</v>
      </c>
      <c r="M143" s="113">
        <v>30</v>
      </c>
      <c r="N143" s="113">
        <v>66</v>
      </c>
      <c r="O143" s="113">
        <v>1</v>
      </c>
      <c r="P143" s="113">
        <v>0</v>
      </c>
      <c r="Q143" s="113">
        <v>1</v>
      </c>
      <c r="R143" s="113">
        <v>4</v>
      </c>
      <c r="S143" s="113">
        <v>2</v>
      </c>
      <c r="T143" s="113">
        <v>6</v>
      </c>
      <c r="U143" s="113">
        <v>2</v>
      </c>
      <c r="V143" s="113">
        <v>4</v>
      </c>
      <c r="W143" s="113">
        <v>6</v>
      </c>
      <c r="X143" s="113">
        <v>8</v>
      </c>
      <c r="Y143" s="113">
        <v>4</v>
      </c>
      <c r="Z143" s="113">
        <v>12</v>
      </c>
    </row>
    <row r="144" spans="1:26" ht="25.5">
      <c r="A144" s="115">
        <v>140</v>
      </c>
      <c r="B144" s="259" t="s">
        <v>311</v>
      </c>
      <c r="C144" s="113">
        <v>6451</v>
      </c>
      <c r="D144" s="113">
        <v>5367</v>
      </c>
      <c r="E144" s="113">
        <v>11818</v>
      </c>
      <c r="F144" s="113">
        <v>812</v>
      </c>
      <c r="G144" s="113">
        <v>879</v>
      </c>
      <c r="H144" s="113">
        <v>1691</v>
      </c>
      <c r="I144" s="113">
        <v>93</v>
      </c>
      <c r="J144" s="113">
        <v>74</v>
      </c>
      <c r="K144" s="113">
        <v>167</v>
      </c>
      <c r="L144" s="113">
        <v>2451</v>
      </c>
      <c r="M144" s="113">
        <v>2364</v>
      </c>
      <c r="N144" s="113">
        <v>4815</v>
      </c>
      <c r="O144" s="113">
        <v>11</v>
      </c>
      <c r="P144" s="113">
        <v>24</v>
      </c>
      <c r="Q144" s="113">
        <v>35</v>
      </c>
      <c r="R144" s="113">
        <v>272</v>
      </c>
      <c r="S144" s="113">
        <v>245</v>
      </c>
      <c r="T144" s="113">
        <v>517</v>
      </c>
      <c r="U144" s="113">
        <v>365</v>
      </c>
      <c r="V144" s="113">
        <v>318</v>
      </c>
      <c r="W144" s="113">
        <v>683</v>
      </c>
      <c r="X144" s="113">
        <v>15</v>
      </c>
      <c r="Y144" s="113">
        <v>17</v>
      </c>
      <c r="Z144" s="113">
        <v>32</v>
      </c>
    </row>
    <row r="145" spans="1:26" ht="25.5">
      <c r="A145" s="115">
        <v>141</v>
      </c>
      <c r="B145" s="259" t="s">
        <v>365</v>
      </c>
      <c r="C145" s="113">
        <v>162257</v>
      </c>
      <c r="D145" s="113">
        <v>157892</v>
      </c>
      <c r="E145" s="113">
        <v>320149</v>
      </c>
      <c r="F145" s="113">
        <v>16358</v>
      </c>
      <c r="G145" s="113">
        <v>14790</v>
      </c>
      <c r="H145" s="113">
        <v>31148</v>
      </c>
      <c r="I145" s="113">
        <v>7841</v>
      </c>
      <c r="J145" s="113">
        <v>7799</v>
      </c>
      <c r="K145" s="113">
        <v>15640</v>
      </c>
      <c r="L145" s="113">
        <v>49395</v>
      </c>
      <c r="M145" s="113">
        <v>46942</v>
      </c>
      <c r="N145" s="113">
        <v>96337</v>
      </c>
      <c r="O145" s="113">
        <v>825</v>
      </c>
      <c r="P145" s="113">
        <v>482</v>
      </c>
      <c r="Q145" s="113">
        <v>1307</v>
      </c>
      <c r="R145" s="113">
        <v>7566</v>
      </c>
      <c r="S145" s="113">
        <v>7701</v>
      </c>
      <c r="T145" s="113">
        <v>15267</v>
      </c>
      <c r="U145" s="113">
        <v>3546</v>
      </c>
      <c r="V145" s="113">
        <v>4493</v>
      </c>
      <c r="W145" s="113">
        <v>8039</v>
      </c>
      <c r="X145" s="113">
        <v>4142</v>
      </c>
      <c r="Y145" s="113">
        <v>3002</v>
      </c>
      <c r="Z145" s="113">
        <v>7144</v>
      </c>
    </row>
    <row r="146" spans="1:26" ht="25.5">
      <c r="A146" s="115">
        <v>142</v>
      </c>
      <c r="B146" s="259" t="s">
        <v>288</v>
      </c>
      <c r="C146" s="113">
        <v>98470</v>
      </c>
      <c r="D146" s="113">
        <v>67741</v>
      </c>
      <c r="E146" s="113">
        <v>166211</v>
      </c>
      <c r="F146" s="113">
        <v>7593</v>
      </c>
      <c r="G146" s="113">
        <v>5484</v>
      </c>
      <c r="H146" s="113">
        <v>13077</v>
      </c>
      <c r="I146" s="113">
        <v>2390</v>
      </c>
      <c r="J146" s="113">
        <v>1441</v>
      </c>
      <c r="K146" s="113">
        <v>3831</v>
      </c>
      <c r="L146" s="113">
        <v>35533</v>
      </c>
      <c r="M146" s="113">
        <v>26201</v>
      </c>
      <c r="N146" s="113">
        <v>61734</v>
      </c>
      <c r="O146" s="113">
        <v>135</v>
      </c>
      <c r="P146" s="113">
        <v>52</v>
      </c>
      <c r="Q146" s="113">
        <v>187</v>
      </c>
      <c r="R146" s="113">
        <v>3591</v>
      </c>
      <c r="S146" s="113">
        <v>1766</v>
      </c>
      <c r="T146" s="113">
        <v>5357</v>
      </c>
      <c r="U146" s="113">
        <v>2558</v>
      </c>
      <c r="V146" s="113">
        <v>1992</v>
      </c>
      <c r="W146" s="113">
        <v>4550</v>
      </c>
      <c r="X146" s="113">
        <v>2125</v>
      </c>
      <c r="Y146" s="113">
        <v>1521</v>
      </c>
      <c r="Z146" s="113">
        <v>3646</v>
      </c>
    </row>
    <row r="147" spans="1:26">
      <c r="A147" s="115">
        <v>143</v>
      </c>
      <c r="B147" s="259" t="s">
        <v>278</v>
      </c>
      <c r="C147" s="113">
        <v>549</v>
      </c>
      <c r="D147" s="113">
        <v>130</v>
      </c>
      <c r="E147" s="113">
        <v>679</v>
      </c>
      <c r="F147" s="113">
        <v>12</v>
      </c>
      <c r="G147" s="113">
        <v>1</v>
      </c>
      <c r="H147" s="113">
        <v>13</v>
      </c>
      <c r="I147" s="113">
        <v>3</v>
      </c>
      <c r="J147" s="113">
        <v>2</v>
      </c>
      <c r="K147" s="113">
        <v>5</v>
      </c>
      <c r="L147" s="113">
        <v>57</v>
      </c>
      <c r="M147" s="113">
        <v>13</v>
      </c>
      <c r="N147" s="113">
        <v>70</v>
      </c>
      <c r="O147" s="113">
        <v>0</v>
      </c>
      <c r="P147" s="113">
        <v>0</v>
      </c>
      <c r="Q147" s="113">
        <v>0</v>
      </c>
      <c r="R147" s="113">
        <v>12</v>
      </c>
      <c r="S147" s="113">
        <v>2</v>
      </c>
      <c r="T147" s="113">
        <v>14</v>
      </c>
      <c r="U147" s="113">
        <v>14</v>
      </c>
      <c r="V147" s="113">
        <v>2</v>
      </c>
      <c r="W147" s="113">
        <v>16</v>
      </c>
      <c r="X147" s="113">
        <v>2</v>
      </c>
      <c r="Y147" s="113">
        <v>1</v>
      </c>
      <c r="Z147" s="113">
        <v>3</v>
      </c>
    </row>
    <row r="148" spans="1:26" ht="25.5">
      <c r="A148" s="115">
        <v>144</v>
      </c>
      <c r="B148" s="259" t="s">
        <v>456</v>
      </c>
      <c r="C148" s="113">
        <v>321</v>
      </c>
      <c r="D148" s="113">
        <v>364</v>
      </c>
      <c r="E148" s="113">
        <v>685</v>
      </c>
      <c r="F148" s="113">
        <v>40</v>
      </c>
      <c r="G148" s="113">
        <v>50</v>
      </c>
      <c r="H148" s="113">
        <v>90</v>
      </c>
      <c r="I148" s="113">
        <v>0</v>
      </c>
      <c r="J148" s="113">
        <v>0</v>
      </c>
      <c r="K148" s="113">
        <v>0</v>
      </c>
      <c r="L148" s="113">
        <v>47</v>
      </c>
      <c r="M148" s="113">
        <v>58</v>
      </c>
      <c r="N148" s="113">
        <v>105</v>
      </c>
      <c r="O148" s="113">
        <v>0</v>
      </c>
      <c r="P148" s="113">
        <v>1</v>
      </c>
      <c r="Q148" s="113">
        <v>1</v>
      </c>
      <c r="R148" s="113">
        <v>0</v>
      </c>
      <c r="S148" s="113">
        <v>0</v>
      </c>
      <c r="T148" s="113">
        <v>0</v>
      </c>
      <c r="U148" s="113">
        <v>77</v>
      </c>
      <c r="V148" s="113">
        <v>82</v>
      </c>
      <c r="W148" s="113">
        <v>159</v>
      </c>
      <c r="X148" s="113">
        <v>29</v>
      </c>
      <c r="Y148" s="113">
        <v>28</v>
      </c>
      <c r="Z148" s="113">
        <v>57</v>
      </c>
    </row>
    <row r="149" spans="1:26">
      <c r="A149" s="115">
        <v>145</v>
      </c>
      <c r="B149" s="259" t="s">
        <v>287</v>
      </c>
      <c r="C149" s="113">
        <v>199052</v>
      </c>
      <c r="D149" s="113">
        <v>319527</v>
      </c>
      <c r="E149" s="113">
        <v>518579</v>
      </c>
      <c r="F149" s="113">
        <v>23926</v>
      </c>
      <c r="G149" s="113">
        <v>34345</v>
      </c>
      <c r="H149" s="113">
        <v>58271</v>
      </c>
      <c r="I149" s="113">
        <v>9717</v>
      </c>
      <c r="J149" s="113">
        <v>11893</v>
      </c>
      <c r="K149" s="113">
        <v>21610</v>
      </c>
      <c r="L149" s="113">
        <v>70938</v>
      </c>
      <c r="M149" s="113">
        <v>115843</v>
      </c>
      <c r="N149" s="113">
        <v>186781</v>
      </c>
      <c r="O149" s="113">
        <v>596</v>
      </c>
      <c r="P149" s="113">
        <v>454</v>
      </c>
      <c r="Q149" s="113">
        <v>1050</v>
      </c>
      <c r="R149" s="113">
        <v>6674</v>
      </c>
      <c r="S149" s="113">
        <v>10825</v>
      </c>
      <c r="T149" s="113">
        <v>17499</v>
      </c>
      <c r="U149" s="113">
        <v>4448</v>
      </c>
      <c r="V149" s="113">
        <v>9623</v>
      </c>
      <c r="W149" s="113">
        <v>14071</v>
      </c>
      <c r="X149" s="113">
        <v>4775</v>
      </c>
      <c r="Y149" s="113">
        <v>5933</v>
      </c>
      <c r="Z149" s="113">
        <v>10708</v>
      </c>
    </row>
    <row r="150" spans="1:26">
      <c r="A150" s="115">
        <v>146</v>
      </c>
      <c r="B150" s="259" t="s">
        <v>290</v>
      </c>
      <c r="C150" s="113">
        <v>33616</v>
      </c>
      <c r="D150" s="113">
        <v>38503</v>
      </c>
      <c r="E150" s="113">
        <v>72119</v>
      </c>
      <c r="F150" s="113">
        <v>3262</v>
      </c>
      <c r="G150" s="113">
        <v>3407</v>
      </c>
      <c r="H150" s="113">
        <v>6669</v>
      </c>
      <c r="I150" s="113">
        <v>1479</v>
      </c>
      <c r="J150" s="113">
        <v>1702</v>
      </c>
      <c r="K150" s="113">
        <v>3181</v>
      </c>
      <c r="L150" s="113">
        <v>8792</v>
      </c>
      <c r="M150" s="113">
        <v>10241</v>
      </c>
      <c r="N150" s="113">
        <v>19033</v>
      </c>
      <c r="O150" s="113">
        <v>105</v>
      </c>
      <c r="P150" s="113">
        <v>108</v>
      </c>
      <c r="Q150" s="113">
        <v>213</v>
      </c>
      <c r="R150" s="113">
        <v>1376</v>
      </c>
      <c r="S150" s="113">
        <v>1427</v>
      </c>
      <c r="T150" s="113">
        <v>2803</v>
      </c>
      <c r="U150" s="113">
        <v>698</v>
      </c>
      <c r="V150" s="113">
        <v>1173</v>
      </c>
      <c r="W150" s="113">
        <v>1871</v>
      </c>
      <c r="X150" s="113">
        <v>820</v>
      </c>
      <c r="Y150" s="113">
        <v>861</v>
      </c>
      <c r="Z150" s="113">
        <v>1681</v>
      </c>
    </row>
    <row r="151" spans="1:26">
      <c r="A151" s="115">
        <v>147</v>
      </c>
      <c r="B151" s="259" t="s">
        <v>300</v>
      </c>
      <c r="C151" s="113">
        <v>5493</v>
      </c>
      <c r="D151" s="113">
        <v>11946</v>
      </c>
      <c r="E151" s="113">
        <v>17439</v>
      </c>
      <c r="F151" s="113">
        <v>362</v>
      </c>
      <c r="G151" s="113">
        <v>804</v>
      </c>
      <c r="H151" s="113">
        <v>1166</v>
      </c>
      <c r="I151" s="113">
        <v>126</v>
      </c>
      <c r="J151" s="113">
        <v>218</v>
      </c>
      <c r="K151" s="113">
        <v>344</v>
      </c>
      <c r="L151" s="113">
        <v>1532</v>
      </c>
      <c r="M151" s="113">
        <v>3159</v>
      </c>
      <c r="N151" s="113">
        <v>4691</v>
      </c>
      <c r="O151" s="113">
        <v>4</v>
      </c>
      <c r="P151" s="113">
        <v>52</v>
      </c>
      <c r="Q151" s="113">
        <v>56</v>
      </c>
      <c r="R151" s="113">
        <v>272</v>
      </c>
      <c r="S151" s="113">
        <v>419</v>
      </c>
      <c r="T151" s="113">
        <v>691</v>
      </c>
      <c r="U151" s="113">
        <v>174</v>
      </c>
      <c r="V151" s="113">
        <v>417</v>
      </c>
      <c r="W151" s="113">
        <v>591</v>
      </c>
      <c r="X151" s="113">
        <v>57</v>
      </c>
      <c r="Y151" s="113">
        <v>90</v>
      </c>
      <c r="Z151" s="113">
        <v>147</v>
      </c>
    </row>
    <row r="152" spans="1:26">
      <c r="A152" s="115">
        <v>148</v>
      </c>
      <c r="B152" s="259" t="s">
        <v>347</v>
      </c>
      <c r="C152" s="113">
        <v>57</v>
      </c>
      <c r="D152" s="113">
        <v>241</v>
      </c>
      <c r="E152" s="113">
        <v>298</v>
      </c>
      <c r="F152" s="113">
        <v>16</v>
      </c>
      <c r="G152" s="113">
        <v>26</v>
      </c>
      <c r="H152" s="113">
        <v>42</v>
      </c>
      <c r="I152" s="113">
        <v>0</v>
      </c>
      <c r="J152" s="113">
        <v>4</v>
      </c>
      <c r="K152" s="113">
        <v>4</v>
      </c>
      <c r="L152" s="113">
        <v>8</v>
      </c>
      <c r="M152" s="113">
        <v>54</v>
      </c>
      <c r="N152" s="113">
        <v>62</v>
      </c>
      <c r="O152" s="113">
        <v>0</v>
      </c>
      <c r="P152" s="113">
        <v>0</v>
      </c>
      <c r="Q152" s="113">
        <v>0</v>
      </c>
      <c r="R152" s="113">
        <v>0</v>
      </c>
      <c r="S152" s="113">
        <v>0</v>
      </c>
      <c r="T152" s="113">
        <v>0</v>
      </c>
      <c r="U152" s="113">
        <v>0</v>
      </c>
      <c r="V152" s="113">
        <v>3</v>
      </c>
      <c r="W152" s="113">
        <v>3</v>
      </c>
      <c r="X152" s="113">
        <v>1</v>
      </c>
      <c r="Y152" s="113">
        <v>0</v>
      </c>
      <c r="Z152" s="113">
        <v>1</v>
      </c>
    </row>
    <row r="153" spans="1:26">
      <c r="A153" s="115">
        <v>149</v>
      </c>
      <c r="B153" s="259" t="s">
        <v>315</v>
      </c>
      <c r="C153" s="113">
        <v>1757</v>
      </c>
      <c r="D153" s="113">
        <v>2405</v>
      </c>
      <c r="E153" s="113">
        <v>4162</v>
      </c>
      <c r="F153" s="113">
        <v>172</v>
      </c>
      <c r="G153" s="113">
        <v>223</v>
      </c>
      <c r="H153" s="113">
        <v>395</v>
      </c>
      <c r="I153" s="113">
        <v>53</v>
      </c>
      <c r="J153" s="113">
        <v>78</v>
      </c>
      <c r="K153" s="113">
        <v>131</v>
      </c>
      <c r="L153" s="113">
        <v>407</v>
      </c>
      <c r="M153" s="113">
        <v>381</v>
      </c>
      <c r="N153" s="113">
        <v>788</v>
      </c>
      <c r="O153" s="113">
        <v>3</v>
      </c>
      <c r="P153" s="113">
        <v>11</v>
      </c>
      <c r="Q153" s="113">
        <v>14</v>
      </c>
      <c r="R153" s="113">
        <v>23</v>
      </c>
      <c r="S153" s="113">
        <v>22</v>
      </c>
      <c r="T153" s="113">
        <v>45</v>
      </c>
      <c r="U153" s="113">
        <v>31</v>
      </c>
      <c r="V153" s="113">
        <v>68</v>
      </c>
      <c r="W153" s="113">
        <v>99</v>
      </c>
      <c r="X153" s="113">
        <v>71</v>
      </c>
      <c r="Y153" s="113">
        <v>80</v>
      </c>
      <c r="Z153" s="113">
        <v>151</v>
      </c>
    </row>
    <row r="154" spans="1:26">
      <c r="A154" s="115">
        <v>150</v>
      </c>
      <c r="B154" s="259" t="s">
        <v>294</v>
      </c>
      <c r="C154" s="113">
        <v>20469</v>
      </c>
      <c r="D154" s="113">
        <v>11269</v>
      </c>
      <c r="E154" s="113">
        <v>31738</v>
      </c>
      <c r="F154" s="113">
        <v>3491</v>
      </c>
      <c r="G154" s="113">
        <v>2480</v>
      </c>
      <c r="H154" s="113">
        <v>5971</v>
      </c>
      <c r="I154" s="113">
        <v>806</v>
      </c>
      <c r="J154" s="113">
        <v>338</v>
      </c>
      <c r="K154" s="113">
        <v>1144</v>
      </c>
      <c r="L154" s="113">
        <v>7917</v>
      </c>
      <c r="M154" s="113">
        <v>5001</v>
      </c>
      <c r="N154" s="113">
        <v>12918</v>
      </c>
      <c r="O154" s="113">
        <v>5</v>
      </c>
      <c r="P154" s="113">
        <v>3</v>
      </c>
      <c r="Q154" s="113">
        <v>8</v>
      </c>
      <c r="R154" s="113">
        <v>817</v>
      </c>
      <c r="S154" s="113">
        <v>302</v>
      </c>
      <c r="T154" s="113">
        <v>1119</v>
      </c>
      <c r="U154" s="113">
        <v>634</v>
      </c>
      <c r="V154" s="113">
        <v>502</v>
      </c>
      <c r="W154" s="113">
        <v>1136</v>
      </c>
      <c r="X154" s="113">
        <v>281</v>
      </c>
      <c r="Y154" s="113">
        <v>101</v>
      </c>
      <c r="Z154" s="113">
        <v>382</v>
      </c>
    </row>
    <row r="155" spans="1:26">
      <c r="A155" s="115">
        <v>151</v>
      </c>
      <c r="B155" s="259" t="s">
        <v>292</v>
      </c>
      <c r="C155" s="113">
        <v>20171</v>
      </c>
      <c r="D155" s="113">
        <v>40693</v>
      </c>
      <c r="E155" s="113">
        <v>60864</v>
      </c>
      <c r="F155" s="113">
        <v>5682</v>
      </c>
      <c r="G155" s="113">
        <v>8757</v>
      </c>
      <c r="H155" s="113">
        <v>14439</v>
      </c>
      <c r="I155" s="113">
        <v>1678</v>
      </c>
      <c r="J155" s="113">
        <v>3018</v>
      </c>
      <c r="K155" s="113">
        <v>4696</v>
      </c>
      <c r="L155" s="113">
        <v>5568</v>
      </c>
      <c r="M155" s="113">
        <v>10461</v>
      </c>
      <c r="N155" s="113">
        <v>16029</v>
      </c>
      <c r="O155" s="113">
        <v>90</v>
      </c>
      <c r="P155" s="113">
        <v>57</v>
      </c>
      <c r="Q155" s="113">
        <v>147</v>
      </c>
      <c r="R155" s="113">
        <v>921</v>
      </c>
      <c r="S155" s="113">
        <v>1837</v>
      </c>
      <c r="T155" s="113">
        <v>2758</v>
      </c>
      <c r="U155" s="113">
        <v>421</v>
      </c>
      <c r="V155" s="113">
        <v>1491</v>
      </c>
      <c r="W155" s="113">
        <v>1912</v>
      </c>
      <c r="X155" s="113">
        <v>397</v>
      </c>
      <c r="Y155" s="113">
        <v>759</v>
      </c>
      <c r="Z155" s="113">
        <v>1156</v>
      </c>
    </row>
    <row r="156" spans="1:26">
      <c r="A156" s="115">
        <v>152</v>
      </c>
      <c r="B156" s="259" t="s">
        <v>308</v>
      </c>
      <c r="C156" s="113">
        <v>2477</v>
      </c>
      <c r="D156" s="113">
        <v>3019</v>
      </c>
      <c r="E156" s="113">
        <v>5496</v>
      </c>
      <c r="F156" s="113">
        <v>449</v>
      </c>
      <c r="G156" s="113">
        <v>352</v>
      </c>
      <c r="H156" s="113">
        <v>801</v>
      </c>
      <c r="I156" s="113">
        <v>148</v>
      </c>
      <c r="J156" s="113">
        <v>73</v>
      </c>
      <c r="K156" s="113">
        <v>221</v>
      </c>
      <c r="L156" s="113">
        <v>787</v>
      </c>
      <c r="M156" s="113">
        <v>847</v>
      </c>
      <c r="N156" s="113">
        <v>1634</v>
      </c>
      <c r="O156" s="113">
        <v>15</v>
      </c>
      <c r="P156" s="113">
        <v>12</v>
      </c>
      <c r="Q156" s="113">
        <v>27</v>
      </c>
      <c r="R156" s="113">
        <v>37</v>
      </c>
      <c r="S156" s="113">
        <v>59</v>
      </c>
      <c r="T156" s="113">
        <v>96</v>
      </c>
      <c r="U156" s="113">
        <v>50</v>
      </c>
      <c r="V156" s="113">
        <v>68</v>
      </c>
      <c r="W156" s="113">
        <v>118</v>
      </c>
      <c r="X156" s="113">
        <v>76</v>
      </c>
      <c r="Y156" s="113">
        <v>64</v>
      </c>
      <c r="Z156" s="113">
        <v>140</v>
      </c>
    </row>
    <row r="157" spans="1:26" ht="25.5">
      <c r="A157" s="115">
        <v>153</v>
      </c>
      <c r="B157" s="259" t="s">
        <v>321</v>
      </c>
      <c r="C157" s="113">
        <v>810</v>
      </c>
      <c r="D157" s="113">
        <v>627</v>
      </c>
      <c r="E157" s="113">
        <v>1437</v>
      </c>
      <c r="F157" s="113">
        <v>197</v>
      </c>
      <c r="G157" s="113">
        <v>120</v>
      </c>
      <c r="H157" s="113">
        <v>317</v>
      </c>
      <c r="I157" s="113">
        <v>53</v>
      </c>
      <c r="J157" s="113">
        <v>46</v>
      </c>
      <c r="K157" s="113">
        <v>99</v>
      </c>
      <c r="L157" s="113">
        <v>97</v>
      </c>
      <c r="M157" s="113">
        <v>121</v>
      </c>
      <c r="N157" s="113">
        <v>218</v>
      </c>
      <c r="O157" s="113">
        <v>4</v>
      </c>
      <c r="P157" s="113">
        <v>0</v>
      </c>
      <c r="Q157" s="113">
        <v>4</v>
      </c>
      <c r="R157" s="113">
        <v>112</v>
      </c>
      <c r="S157" s="113">
        <v>37</v>
      </c>
      <c r="T157" s="113">
        <v>149</v>
      </c>
      <c r="U157" s="113">
        <v>12</v>
      </c>
      <c r="V157" s="113">
        <v>73</v>
      </c>
      <c r="W157" s="113">
        <v>85</v>
      </c>
      <c r="X157" s="113">
        <v>0</v>
      </c>
      <c r="Y157" s="113">
        <v>0</v>
      </c>
      <c r="Z157" s="113">
        <v>0</v>
      </c>
    </row>
    <row r="158" spans="1:26" ht="25.5">
      <c r="A158" s="115">
        <v>154</v>
      </c>
      <c r="B158" s="259" t="s">
        <v>330</v>
      </c>
      <c r="C158" s="113">
        <v>133</v>
      </c>
      <c r="D158" s="113">
        <v>585</v>
      </c>
      <c r="E158" s="113">
        <v>718</v>
      </c>
      <c r="F158" s="113">
        <v>6</v>
      </c>
      <c r="G158" s="113">
        <v>38</v>
      </c>
      <c r="H158" s="113">
        <v>44</v>
      </c>
      <c r="I158" s="113">
        <v>6</v>
      </c>
      <c r="J158" s="113">
        <v>12</v>
      </c>
      <c r="K158" s="113">
        <v>18</v>
      </c>
      <c r="L158" s="113">
        <v>44</v>
      </c>
      <c r="M158" s="113">
        <v>123</v>
      </c>
      <c r="N158" s="113">
        <v>167</v>
      </c>
      <c r="O158" s="113">
        <v>1</v>
      </c>
      <c r="P158" s="113">
        <v>1</v>
      </c>
      <c r="Q158" s="113">
        <v>2</v>
      </c>
      <c r="R158" s="113">
        <v>3</v>
      </c>
      <c r="S158" s="113">
        <v>12</v>
      </c>
      <c r="T158" s="113">
        <v>15</v>
      </c>
      <c r="U158" s="113">
        <v>3</v>
      </c>
      <c r="V158" s="113">
        <v>25</v>
      </c>
      <c r="W158" s="113">
        <v>28</v>
      </c>
      <c r="X158" s="113">
        <v>9</v>
      </c>
      <c r="Y158" s="113">
        <v>33</v>
      </c>
      <c r="Z158" s="113">
        <v>42</v>
      </c>
    </row>
    <row r="159" spans="1:26">
      <c r="A159" s="115">
        <v>155</v>
      </c>
      <c r="B159" s="259" t="s">
        <v>327</v>
      </c>
      <c r="C159" s="113">
        <v>546</v>
      </c>
      <c r="D159" s="113">
        <v>492</v>
      </c>
      <c r="E159" s="113">
        <v>1038</v>
      </c>
      <c r="F159" s="113">
        <v>63</v>
      </c>
      <c r="G159" s="113">
        <v>48</v>
      </c>
      <c r="H159" s="113">
        <v>111</v>
      </c>
      <c r="I159" s="113">
        <v>40</v>
      </c>
      <c r="J159" s="113">
        <v>43</v>
      </c>
      <c r="K159" s="113">
        <v>83</v>
      </c>
      <c r="L159" s="113">
        <v>205</v>
      </c>
      <c r="M159" s="113">
        <v>193</v>
      </c>
      <c r="N159" s="113">
        <v>398</v>
      </c>
      <c r="O159" s="113">
        <v>1</v>
      </c>
      <c r="P159" s="113">
        <v>0</v>
      </c>
      <c r="Q159" s="113">
        <v>1</v>
      </c>
      <c r="R159" s="113">
        <v>21</v>
      </c>
      <c r="S159" s="113">
        <v>43</v>
      </c>
      <c r="T159" s="113">
        <v>64</v>
      </c>
      <c r="U159" s="113">
        <v>11</v>
      </c>
      <c r="V159" s="113">
        <v>38</v>
      </c>
      <c r="W159" s="113">
        <v>49</v>
      </c>
      <c r="X159" s="113">
        <v>17</v>
      </c>
      <c r="Y159" s="113">
        <v>15</v>
      </c>
      <c r="Z159" s="113">
        <v>32</v>
      </c>
    </row>
    <row r="160" spans="1:26" ht="25.5">
      <c r="A160" s="115">
        <v>156</v>
      </c>
      <c r="B160" s="259" t="s">
        <v>342</v>
      </c>
      <c r="C160" s="113">
        <v>40</v>
      </c>
      <c r="D160" s="113">
        <v>243</v>
      </c>
      <c r="E160" s="113">
        <v>283</v>
      </c>
      <c r="F160" s="113">
        <v>4</v>
      </c>
      <c r="G160" s="113">
        <v>31</v>
      </c>
      <c r="H160" s="113">
        <v>35</v>
      </c>
      <c r="I160" s="113">
        <v>0</v>
      </c>
      <c r="J160" s="113">
        <v>3</v>
      </c>
      <c r="K160" s="113">
        <v>3</v>
      </c>
      <c r="L160" s="113">
        <v>12</v>
      </c>
      <c r="M160" s="113">
        <v>55</v>
      </c>
      <c r="N160" s="113">
        <v>67</v>
      </c>
      <c r="O160" s="113">
        <v>0</v>
      </c>
      <c r="P160" s="113">
        <v>0</v>
      </c>
      <c r="Q160" s="113">
        <v>0</v>
      </c>
      <c r="R160" s="113">
        <v>5</v>
      </c>
      <c r="S160" s="113">
        <v>0</v>
      </c>
      <c r="T160" s="113">
        <v>5</v>
      </c>
      <c r="U160" s="113">
        <v>2</v>
      </c>
      <c r="V160" s="113">
        <v>9</v>
      </c>
      <c r="W160" s="113">
        <v>11</v>
      </c>
      <c r="X160" s="113">
        <v>3</v>
      </c>
      <c r="Y160" s="113">
        <v>5</v>
      </c>
      <c r="Z160" s="113">
        <v>8</v>
      </c>
    </row>
    <row r="161" spans="1:26" ht="25.5">
      <c r="A161" s="115">
        <v>157</v>
      </c>
      <c r="B161" s="259" t="s">
        <v>314</v>
      </c>
      <c r="C161" s="113">
        <v>2418</v>
      </c>
      <c r="D161" s="113">
        <v>2933</v>
      </c>
      <c r="E161" s="113">
        <v>5351</v>
      </c>
      <c r="F161" s="113">
        <v>316</v>
      </c>
      <c r="G161" s="113">
        <v>263</v>
      </c>
      <c r="H161" s="113">
        <v>579</v>
      </c>
      <c r="I161" s="113">
        <v>73</v>
      </c>
      <c r="J161" s="113">
        <v>83</v>
      </c>
      <c r="K161" s="113">
        <v>156</v>
      </c>
      <c r="L161" s="113">
        <v>426</v>
      </c>
      <c r="M161" s="113">
        <v>569</v>
      </c>
      <c r="N161" s="113">
        <v>995</v>
      </c>
      <c r="O161" s="113">
        <v>18</v>
      </c>
      <c r="P161" s="113">
        <v>11</v>
      </c>
      <c r="Q161" s="113">
        <v>29</v>
      </c>
      <c r="R161" s="113">
        <v>85</v>
      </c>
      <c r="S161" s="113">
        <v>123</v>
      </c>
      <c r="T161" s="113">
        <v>208</v>
      </c>
      <c r="U161" s="113">
        <v>40</v>
      </c>
      <c r="V161" s="113">
        <v>143</v>
      </c>
      <c r="W161" s="113">
        <v>183</v>
      </c>
      <c r="X161" s="113">
        <v>33</v>
      </c>
      <c r="Y161" s="113">
        <v>36</v>
      </c>
      <c r="Z161" s="113">
        <v>69</v>
      </c>
    </row>
    <row r="162" spans="1:26" ht="25.5">
      <c r="A162" s="115">
        <v>158</v>
      </c>
      <c r="B162" s="259" t="s">
        <v>349</v>
      </c>
      <c r="C162" s="113">
        <v>267</v>
      </c>
      <c r="D162" s="113">
        <v>277</v>
      </c>
      <c r="E162" s="113">
        <v>544</v>
      </c>
      <c r="F162" s="113">
        <v>14</v>
      </c>
      <c r="G162" s="113">
        <v>25</v>
      </c>
      <c r="H162" s="113">
        <v>39</v>
      </c>
      <c r="I162" s="113">
        <v>6</v>
      </c>
      <c r="J162" s="113">
        <v>2</v>
      </c>
      <c r="K162" s="113">
        <v>8</v>
      </c>
      <c r="L162" s="113">
        <v>24</v>
      </c>
      <c r="M162" s="113">
        <v>38</v>
      </c>
      <c r="N162" s="113">
        <v>62</v>
      </c>
      <c r="O162" s="113">
        <v>0</v>
      </c>
      <c r="P162" s="113">
        <v>0</v>
      </c>
      <c r="Q162" s="113">
        <v>0</v>
      </c>
      <c r="R162" s="113">
        <v>9</v>
      </c>
      <c r="S162" s="113">
        <v>9</v>
      </c>
      <c r="T162" s="113">
        <v>18</v>
      </c>
      <c r="U162" s="113">
        <v>2</v>
      </c>
      <c r="V162" s="113">
        <v>6</v>
      </c>
      <c r="W162" s="113">
        <v>8</v>
      </c>
      <c r="X162" s="113">
        <v>0</v>
      </c>
      <c r="Y162" s="113">
        <v>0</v>
      </c>
      <c r="Z162" s="113">
        <v>0</v>
      </c>
    </row>
    <row r="163" spans="1:26" ht="25.5">
      <c r="A163" s="115">
        <v>159</v>
      </c>
      <c r="B163" s="259" t="s">
        <v>319</v>
      </c>
      <c r="C163" s="113">
        <v>746</v>
      </c>
      <c r="D163" s="113">
        <v>939</v>
      </c>
      <c r="E163" s="113">
        <v>1685</v>
      </c>
      <c r="F163" s="113">
        <v>91</v>
      </c>
      <c r="G163" s="113">
        <v>93</v>
      </c>
      <c r="H163" s="113">
        <v>184</v>
      </c>
      <c r="I163" s="113">
        <v>73</v>
      </c>
      <c r="J163" s="113">
        <v>77</v>
      </c>
      <c r="K163" s="113">
        <v>150</v>
      </c>
      <c r="L163" s="113">
        <v>235</v>
      </c>
      <c r="M163" s="113">
        <v>297</v>
      </c>
      <c r="N163" s="113">
        <v>532</v>
      </c>
      <c r="O163" s="113">
        <v>2</v>
      </c>
      <c r="P163" s="113">
        <v>3</v>
      </c>
      <c r="Q163" s="113">
        <v>5</v>
      </c>
      <c r="R163" s="113">
        <v>47</v>
      </c>
      <c r="S163" s="113">
        <v>44</v>
      </c>
      <c r="T163" s="113">
        <v>91</v>
      </c>
      <c r="U163" s="113">
        <v>16</v>
      </c>
      <c r="V163" s="113">
        <v>31</v>
      </c>
      <c r="W163" s="113">
        <v>47</v>
      </c>
      <c r="X163" s="113">
        <v>6</v>
      </c>
      <c r="Y163" s="113">
        <v>3</v>
      </c>
      <c r="Z163" s="113">
        <v>9</v>
      </c>
    </row>
    <row r="164" spans="1:26" ht="25.5">
      <c r="A164" s="115">
        <v>160</v>
      </c>
      <c r="B164" s="259" t="s">
        <v>325</v>
      </c>
      <c r="C164" s="113">
        <v>466</v>
      </c>
      <c r="D164" s="113">
        <v>365</v>
      </c>
      <c r="E164" s="113">
        <v>831</v>
      </c>
      <c r="F164" s="113">
        <v>38</v>
      </c>
      <c r="G164" s="113">
        <v>28</v>
      </c>
      <c r="H164" s="113">
        <v>66</v>
      </c>
      <c r="I164" s="113">
        <v>1</v>
      </c>
      <c r="J164" s="113">
        <v>0</v>
      </c>
      <c r="K164" s="113">
        <v>1</v>
      </c>
      <c r="L164" s="113">
        <v>207</v>
      </c>
      <c r="M164" s="113">
        <v>164</v>
      </c>
      <c r="N164" s="113">
        <v>371</v>
      </c>
      <c r="O164" s="113">
        <v>0</v>
      </c>
      <c r="P164" s="113">
        <v>0</v>
      </c>
      <c r="Q164" s="113">
        <v>0</v>
      </c>
      <c r="R164" s="113">
        <v>44</v>
      </c>
      <c r="S164" s="113">
        <v>9</v>
      </c>
      <c r="T164" s="113">
        <v>53</v>
      </c>
      <c r="U164" s="113">
        <v>13</v>
      </c>
      <c r="V164" s="113">
        <v>16</v>
      </c>
      <c r="W164" s="113">
        <v>29</v>
      </c>
      <c r="X164" s="113">
        <v>3</v>
      </c>
      <c r="Y164" s="113">
        <v>1</v>
      </c>
      <c r="Z164" s="113">
        <v>4</v>
      </c>
    </row>
    <row r="165" spans="1:26" ht="25.5">
      <c r="A165" s="115">
        <v>161</v>
      </c>
      <c r="B165" s="259" t="s">
        <v>307</v>
      </c>
      <c r="C165" s="113">
        <v>2868</v>
      </c>
      <c r="D165" s="113">
        <v>2258</v>
      </c>
      <c r="E165" s="113">
        <v>5126</v>
      </c>
      <c r="F165" s="113">
        <v>473</v>
      </c>
      <c r="G165" s="113">
        <v>276</v>
      </c>
      <c r="H165" s="113">
        <v>749</v>
      </c>
      <c r="I165" s="113">
        <v>111</v>
      </c>
      <c r="J165" s="113">
        <v>73</v>
      </c>
      <c r="K165" s="113">
        <v>184</v>
      </c>
      <c r="L165" s="113">
        <v>822</v>
      </c>
      <c r="M165" s="113">
        <v>535</v>
      </c>
      <c r="N165" s="113">
        <v>1357</v>
      </c>
      <c r="O165" s="113">
        <v>5</v>
      </c>
      <c r="P165" s="113">
        <v>3</v>
      </c>
      <c r="Q165" s="113">
        <v>8</v>
      </c>
      <c r="R165" s="113">
        <v>114</v>
      </c>
      <c r="S165" s="113">
        <v>116</v>
      </c>
      <c r="T165" s="113">
        <v>230</v>
      </c>
      <c r="U165" s="113">
        <v>59</v>
      </c>
      <c r="V165" s="113">
        <v>67</v>
      </c>
      <c r="W165" s="113">
        <v>126</v>
      </c>
      <c r="X165" s="113">
        <v>76</v>
      </c>
      <c r="Y165" s="113">
        <v>62</v>
      </c>
      <c r="Z165" s="113">
        <v>138</v>
      </c>
    </row>
    <row r="166" spans="1:26">
      <c r="A166" s="115">
        <v>162</v>
      </c>
      <c r="B166" s="259" t="s">
        <v>318</v>
      </c>
      <c r="C166" s="113">
        <v>2251</v>
      </c>
      <c r="D166" s="113">
        <v>1274</v>
      </c>
      <c r="E166" s="113">
        <v>3525</v>
      </c>
      <c r="F166" s="113">
        <v>474</v>
      </c>
      <c r="G166" s="113">
        <v>223</v>
      </c>
      <c r="H166" s="113">
        <v>697</v>
      </c>
      <c r="I166" s="113">
        <v>117</v>
      </c>
      <c r="J166" s="113">
        <v>50</v>
      </c>
      <c r="K166" s="113">
        <v>167</v>
      </c>
      <c r="L166" s="113">
        <v>788</v>
      </c>
      <c r="M166" s="113">
        <v>421</v>
      </c>
      <c r="N166" s="113">
        <v>1209</v>
      </c>
      <c r="O166" s="113">
        <v>1</v>
      </c>
      <c r="P166" s="113">
        <v>0</v>
      </c>
      <c r="Q166" s="113">
        <v>1</v>
      </c>
      <c r="R166" s="113">
        <v>103</v>
      </c>
      <c r="S166" s="113">
        <v>102</v>
      </c>
      <c r="T166" s="113">
        <v>205</v>
      </c>
      <c r="U166" s="113">
        <v>1</v>
      </c>
      <c r="V166" s="113">
        <v>4</v>
      </c>
      <c r="W166" s="113">
        <v>5</v>
      </c>
      <c r="X166" s="113">
        <v>2</v>
      </c>
      <c r="Y166" s="113">
        <v>1</v>
      </c>
      <c r="Z166" s="113">
        <v>3</v>
      </c>
    </row>
    <row r="167" spans="1:26">
      <c r="A167" s="115">
        <v>163</v>
      </c>
      <c r="B167" s="259" t="s">
        <v>324</v>
      </c>
      <c r="C167" s="113">
        <v>761</v>
      </c>
      <c r="D167" s="113">
        <v>597</v>
      </c>
      <c r="E167" s="113">
        <v>1358</v>
      </c>
      <c r="F167" s="113">
        <v>100</v>
      </c>
      <c r="G167" s="113">
        <v>73</v>
      </c>
      <c r="H167" s="113">
        <v>173</v>
      </c>
      <c r="I167" s="113">
        <v>77</v>
      </c>
      <c r="J167" s="113">
        <v>63</v>
      </c>
      <c r="K167" s="113">
        <v>140</v>
      </c>
      <c r="L167" s="113">
        <v>243</v>
      </c>
      <c r="M167" s="113">
        <v>132</v>
      </c>
      <c r="N167" s="113">
        <v>375</v>
      </c>
      <c r="O167" s="113">
        <v>0</v>
      </c>
      <c r="P167" s="113">
        <v>0</v>
      </c>
      <c r="Q167" s="113">
        <v>0</v>
      </c>
      <c r="R167" s="113">
        <v>14</v>
      </c>
      <c r="S167" s="113">
        <v>8</v>
      </c>
      <c r="T167" s="113">
        <v>22</v>
      </c>
      <c r="U167" s="113">
        <v>3</v>
      </c>
      <c r="V167" s="113">
        <v>4</v>
      </c>
      <c r="W167" s="113">
        <v>7</v>
      </c>
      <c r="X167" s="113">
        <v>12</v>
      </c>
      <c r="Y167" s="113">
        <v>14</v>
      </c>
      <c r="Z167" s="113">
        <v>26</v>
      </c>
    </row>
    <row r="168" spans="1:26" ht="25.5">
      <c r="A168" s="115">
        <v>164</v>
      </c>
      <c r="B168" s="259" t="s">
        <v>305</v>
      </c>
      <c r="C168" s="113">
        <v>3444</v>
      </c>
      <c r="D168" s="113">
        <v>3413</v>
      </c>
      <c r="E168" s="113">
        <v>6857</v>
      </c>
      <c r="F168" s="113">
        <v>698</v>
      </c>
      <c r="G168" s="113">
        <v>549</v>
      </c>
      <c r="H168" s="113">
        <v>1247</v>
      </c>
      <c r="I168" s="113">
        <v>340</v>
      </c>
      <c r="J168" s="113">
        <v>213</v>
      </c>
      <c r="K168" s="113">
        <v>553</v>
      </c>
      <c r="L168" s="113">
        <v>1199</v>
      </c>
      <c r="M168" s="113">
        <v>1091</v>
      </c>
      <c r="N168" s="113">
        <v>2290</v>
      </c>
      <c r="O168" s="113">
        <v>9</v>
      </c>
      <c r="P168" s="113">
        <v>6</v>
      </c>
      <c r="Q168" s="113">
        <v>15</v>
      </c>
      <c r="R168" s="113">
        <v>86</v>
      </c>
      <c r="S168" s="113">
        <v>58</v>
      </c>
      <c r="T168" s="113">
        <v>144</v>
      </c>
      <c r="U168" s="113">
        <v>28</v>
      </c>
      <c r="V168" s="113">
        <v>33</v>
      </c>
      <c r="W168" s="113">
        <v>61</v>
      </c>
      <c r="X168" s="113">
        <v>79</v>
      </c>
      <c r="Y168" s="113">
        <v>47</v>
      </c>
      <c r="Z168" s="113">
        <v>126</v>
      </c>
    </row>
    <row r="169" spans="1:26">
      <c r="A169" s="115">
        <v>165</v>
      </c>
      <c r="B169" s="259" t="s">
        <v>309</v>
      </c>
      <c r="C169" s="113">
        <v>2782</v>
      </c>
      <c r="D169" s="113">
        <v>3086</v>
      </c>
      <c r="E169" s="113">
        <v>5868</v>
      </c>
      <c r="F169" s="113">
        <v>603</v>
      </c>
      <c r="G169" s="113">
        <v>497</v>
      </c>
      <c r="H169" s="113">
        <v>1100</v>
      </c>
      <c r="I169" s="113">
        <v>325</v>
      </c>
      <c r="J169" s="113">
        <v>273</v>
      </c>
      <c r="K169" s="113">
        <v>598</v>
      </c>
      <c r="L169" s="113">
        <v>1090</v>
      </c>
      <c r="M169" s="113">
        <v>1170</v>
      </c>
      <c r="N169" s="113">
        <v>2260</v>
      </c>
      <c r="O169" s="113">
        <v>11</v>
      </c>
      <c r="P169" s="113">
        <v>4</v>
      </c>
      <c r="Q169" s="113">
        <v>15</v>
      </c>
      <c r="R169" s="113">
        <v>63</v>
      </c>
      <c r="S169" s="113">
        <v>86</v>
      </c>
      <c r="T169" s="113">
        <v>149</v>
      </c>
      <c r="U169" s="113">
        <v>60</v>
      </c>
      <c r="V169" s="113">
        <v>73</v>
      </c>
      <c r="W169" s="113">
        <v>133</v>
      </c>
      <c r="X169" s="113">
        <v>49</v>
      </c>
      <c r="Y169" s="113">
        <v>60</v>
      </c>
      <c r="Z169" s="113">
        <v>109</v>
      </c>
    </row>
    <row r="170" spans="1:26" ht="25.5">
      <c r="A170" s="115">
        <v>166</v>
      </c>
      <c r="B170" s="259" t="s">
        <v>345</v>
      </c>
      <c r="C170" s="113">
        <v>90</v>
      </c>
      <c r="D170" s="113">
        <v>281</v>
      </c>
      <c r="E170" s="113">
        <v>371</v>
      </c>
      <c r="F170" s="113">
        <v>13</v>
      </c>
      <c r="G170" s="113">
        <v>55</v>
      </c>
      <c r="H170" s="113">
        <v>68</v>
      </c>
      <c r="I170" s="113">
        <v>0</v>
      </c>
      <c r="J170" s="113">
        <v>2</v>
      </c>
      <c r="K170" s="113">
        <v>2</v>
      </c>
      <c r="L170" s="113">
        <v>46</v>
      </c>
      <c r="M170" s="113">
        <v>143</v>
      </c>
      <c r="N170" s="113">
        <v>189</v>
      </c>
      <c r="O170" s="113">
        <v>0</v>
      </c>
      <c r="P170" s="113">
        <v>0</v>
      </c>
      <c r="Q170" s="113">
        <v>0</v>
      </c>
      <c r="R170" s="113">
        <v>0</v>
      </c>
      <c r="S170" s="113">
        <v>4</v>
      </c>
      <c r="T170" s="113">
        <v>4</v>
      </c>
      <c r="U170" s="113">
        <v>3</v>
      </c>
      <c r="V170" s="113">
        <v>28</v>
      </c>
      <c r="W170" s="113">
        <v>31</v>
      </c>
      <c r="X170" s="113">
        <v>0</v>
      </c>
      <c r="Y170" s="113">
        <v>0</v>
      </c>
      <c r="Z170" s="113">
        <v>0</v>
      </c>
    </row>
    <row r="171" spans="1:26" ht="25.5">
      <c r="A171" s="115">
        <v>167</v>
      </c>
      <c r="B171" s="259" t="s">
        <v>336</v>
      </c>
      <c r="C171" s="113">
        <v>1756</v>
      </c>
      <c r="D171" s="113">
        <v>1759</v>
      </c>
      <c r="E171" s="113">
        <v>3515</v>
      </c>
      <c r="F171" s="113">
        <v>125</v>
      </c>
      <c r="G171" s="113">
        <v>111</v>
      </c>
      <c r="H171" s="113">
        <v>236</v>
      </c>
      <c r="I171" s="113">
        <v>52</v>
      </c>
      <c r="J171" s="113">
        <v>34</v>
      </c>
      <c r="K171" s="113">
        <v>86</v>
      </c>
      <c r="L171" s="113">
        <v>322</v>
      </c>
      <c r="M171" s="113">
        <v>235</v>
      </c>
      <c r="N171" s="113">
        <v>557</v>
      </c>
      <c r="O171" s="113">
        <v>6</v>
      </c>
      <c r="P171" s="113">
        <v>2</v>
      </c>
      <c r="Q171" s="113">
        <v>8</v>
      </c>
      <c r="R171" s="113">
        <v>13</v>
      </c>
      <c r="S171" s="113">
        <v>10</v>
      </c>
      <c r="T171" s="113">
        <v>23</v>
      </c>
      <c r="U171" s="113">
        <v>11</v>
      </c>
      <c r="V171" s="113">
        <v>10</v>
      </c>
      <c r="W171" s="113">
        <v>21</v>
      </c>
      <c r="X171" s="113">
        <v>54</v>
      </c>
      <c r="Y171" s="113">
        <v>25</v>
      </c>
      <c r="Z171" s="113">
        <v>79</v>
      </c>
    </row>
    <row r="172" spans="1:26">
      <c r="A172" s="115">
        <v>168</v>
      </c>
      <c r="B172" s="259" t="s">
        <v>304</v>
      </c>
      <c r="C172" s="113">
        <v>17701</v>
      </c>
      <c r="D172" s="113">
        <v>9598</v>
      </c>
      <c r="E172" s="113">
        <v>27299</v>
      </c>
      <c r="F172" s="113">
        <v>1737</v>
      </c>
      <c r="G172" s="113">
        <v>1062</v>
      </c>
      <c r="H172" s="113">
        <v>2799</v>
      </c>
      <c r="I172" s="113">
        <v>496</v>
      </c>
      <c r="J172" s="113">
        <v>247</v>
      </c>
      <c r="K172" s="113">
        <v>743</v>
      </c>
      <c r="L172" s="113">
        <v>3424</v>
      </c>
      <c r="M172" s="113">
        <v>2221</v>
      </c>
      <c r="N172" s="113">
        <v>5645</v>
      </c>
      <c r="O172" s="113">
        <v>36</v>
      </c>
      <c r="P172" s="113">
        <v>12</v>
      </c>
      <c r="Q172" s="113">
        <v>48</v>
      </c>
      <c r="R172" s="113">
        <v>291</v>
      </c>
      <c r="S172" s="113">
        <v>106</v>
      </c>
      <c r="T172" s="113">
        <v>397</v>
      </c>
      <c r="U172" s="113">
        <v>192</v>
      </c>
      <c r="V172" s="113">
        <v>143</v>
      </c>
      <c r="W172" s="113">
        <v>335</v>
      </c>
      <c r="X172" s="113">
        <v>217</v>
      </c>
      <c r="Y172" s="113">
        <v>140</v>
      </c>
      <c r="Z172" s="113">
        <v>357</v>
      </c>
    </row>
    <row r="173" spans="1:26" ht="25.5">
      <c r="A173" s="115">
        <v>169</v>
      </c>
      <c r="B173" s="259" t="s">
        <v>328</v>
      </c>
      <c r="C173" s="113">
        <v>377</v>
      </c>
      <c r="D173" s="113">
        <v>175</v>
      </c>
      <c r="E173" s="113">
        <v>552</v>
      </c>
      <c r="F173" s="113">
        <v>37</v>
      </c>
      <c r="G173" s="113">
        <v>8</v>
      </c>
      <c r="H173" s="113">
        <v>45</v>
      </c>
      <c r="I173" s="113">
        <v>13</v>
      </c>
      <c r="J173" s="113">
        <v>16</v>
      </c>
      <c r="K173" s="113">
        <v>29</v>
      </c>
      <c r="L173" s="113">
        <v>173</v>
      </c>
      <c r="M173" s="113">
        <v>81</v>
      </c>
      <c r="N173" s="113">
        <v>254</v>
      </c>
      <c r="O173" s="113">
        <v>0</v>
      </c>
      <c r="P173" s="113">
        <v>0</v>
      </c>
      <c r="Q173" s="113">
        <v>0</v>
      </c>
      <c r="R173" s="113">
        <v>1</v>
      </c>
      <c r="S173" s="113">
        <v>0</v>
      </c>
      <c r="T173" s="113">
        <v>1</v>
      </c>
      <c r="U173" s="113">
        <v>7</v>
      </c>
      <c r="V173" s="113">
        <v>1</v>
      </c>
      <c r="W173" s="113">
        <v>8</v>
      </c>
      <c r="X173" s="113">
        <v>0</v>
      </c>
      <c r="Y173" s="113">
        <v>0</v>
      </c>
      <c r="Z173" s="113">
        <v>0</v>
      </c>
    </row>
    <row r="174" spans="1:26">
      <c r="A174" s="115">
        <v>170</v>
      </c>
      <c r="B174" s="259" t="s">
        <v>323</v>
      </c>
      <c r="C174" s="113">
        <v>837</v>
      </c>
      <c r="D174" s="113">
        <v>1128</v>
      </c>
      <c r="E174" s="113">
        <v>1965</v>
      </c>
      <c r="F174" s="113">
        <v>179</v>
      </c>
      <c r="G174" s="113">
        <v>169</v>
      </c>
      <c r="H174" s="113">
        <v>348</v>
      </c>
      <c r="I174" s="113">
        <v>45</v>
      </c>
      <c r="J174" s="113">
        <v>41</v>
      </c>
      <c r="K174" s="113">
        <v>86</v>
      </c>
      <c r="L174" s="113">
        <v>230</v>
      </c>
      <c r="M174" s="113">
        <v>247</v>
      </c>
      <c r="N174" s="113">
        <v>477</v>
      </c>
      <c r="O174" s="113">
        <v>6</v>
      </c>
      <c r="P174" s="113">
        <v>6</v>
      </c>
      <c r="Q174" s="113">
        <v>12</v>
      </c>
      <c r="R174" s="113">
        <v>10</v>
      </c>
      <c r="S174" s="113">
        <v>3</v>
      </c>
      <c r="T174" s="113">
        <v>13</v>
      </c>
      <c r="U174" s="113">
        <v>39</v>
      </c>
      <c r="V174" s="113">
        <v>48</v>
      </c>
      <c r="W174" s="113">
        <v>87</v>
      </c>
      <c r="X174" s="113">
        <v>22</v>
      </c>
      <c r="Y174" s="113">
        <v>17</v>
      </c>
      <c r="Z174" s="113">
        <v>39</v>
      </c>
    </row>
    <row r="175" spans="1:26">
      <c r="A175" s="115">
        <v>171</v>
      </c>
      <c r="B175" s="259" t="s">
        <v>340</v>
      </c>
      <c r="C175" s="113">
        <v>259</v>
      </c>
      <c r="D175" s="113">
        <v>14</v>
      </c>
      <c r="E175" s="113">
        <v>273</v>
      </c>
      <c r="F175" s="113">
        <v>0</v>
      </c>
      <c r="G175" s="113">
        <v>0</v>
      </c>
      <c r="H175" s="113">
        <v>0</v>
      </c>
      <c r="I175" s="113">
        <v>0</v>
      </c>
      <c r="J175" s="113">
        <v>0</v>
      </c>
      <c r="K175" s="113">
        <v>0</v>
      </c>
      <c r="L175" s="113">
        <v>0</v>
      </c>
      <c r="M175" s="113">
        <v>0</v>
      </c>
      <c r="N175" s="113">
        <v>0</v>
      </c>
      <c r="O175" s="113">
        <v>0</v>
      </c>
      <c r="P175" s="113">
        <v>0</v>
      </c>
      <c r="Q175" s="113">
        <v>0</v>
      </c>
      <c r="R175" s="113">
        <v>259</v>
      </c>
      <c r="S175" s="113">
        <v>14</v>
      </c>
      <c r="T175" s="113">
        <v>273</v>
      </c>
      <c r="U175" s="113">
        <v>0</v>
      </c>
      <c r="V175" s="113">
        <v>0</v>
      </c>
      <c r="W175" s="113">
        <v>0</v>
      </c>
      <c r="X175" s="113">
        <v>0</v>
      </c>
      <c r="Y175" s="113">
        <v>0</v>
      </c>
      <c r="Z175" s="113">
        <v>0</v>
      </c>
    </row>
    <row r="176" spans="1:26" ht="25.5">
      <c r="A176" s="115">
        <v>172</v>
      </c>
      <c r="B176" s="259" t="s">
        <v>339</v>
      </c>
      <c r="C176" s="113">
        <v>174</v>
      </c>
      <c r="D176" s="113">
        <v>433</v>
      </c>
      <c r="E176" s="113">
        <v>607</v>
      </c>
      <c r="F176" s="113">
        <v>14</v>
      </c>
      <c r="G176" s="113">
        <v>63</v>
      </c>
      <c r="H176" s="113">
        <v>77</v>
      </c>
      <c r="I176" s="113">
        <v>2</v>
      </c>
      <c r="J176" s="113">
        <v>13</v>
      </c>
      <c r="K176" s="113">
        <v>15</v>
      </c>
      <c r="L176" s="113">
        <v>72</v>
      </c>
      <c r="M176" s="113">
        <v>118</v>
      </c>
      <c r="N176" s="113">
        <v>190</v>
      </c>
      <c r="O176" s="113">
        <v>0</v>
      </c>
      <c r="P176" s="113">
        <v>0</v>
      </c>
      <c r="Q176" s="113">
        <v>0</v>
      </c>
      <c r="R176" s="113">
        <v>1</v>
      </c>
      <c r="S176" s="113">
        <v>4</v>
      </c>
      <c r="T176" s="113">
        <v>5</v>
      </c>
      <c r="U176" s="113">
        <v>7</v>
      </c>
      <c r="V176" s="113">
        <v>21</v>
      </c>
      <c r="W176" s="113">
        <v>28</v>
      </c>
      <c r="X176" s="113">
        <v>5</v>
      </c>
      <c r="Y176" s="113">
        <v>2</v>
      </c>
      <c r="Z176" s="113">
        <v>7</v>
      </c>
    </row>
    <row r="177" spans="1:26">
      <c r="A177" s="115">
        <v>173</v>
      </c>
      <c r="B177" s="259" t="s">
        <v>331</v>
      </c>
      <c r="C177" s="113">
        <v>305</v>
      </c>
      <c r="D177" s="113">
        <v>528</v>
      </c>
      <c r="E177" s="113">
        <v>833</v>
      </c>
      <c r="F177" s="113">
        <v>21</v>
      </c>
      <c r="G177" s="113">
        <v>22</v>
      </c>
      <c r="H177" s="113">
        <v>43</v>
      </c>
      <c r="I177" s="113">
        <v>9</v>
      </c>
      <c r="J177" s="113">
        <v>25</v>
      </c>
      <c r="K177" s="113">
        <v>34</v>
      </c>
      <c r="L177" s="113">
        <v>56</v>
      </c>
      <c r="M177" s="113">
        <v>139</v>
      </c>
      <c r="N177" s="113">
        <v>195</v>
      </c>
      <c r="O177" s="113">
        <v>0</v>
      </c>
      <c r="P177" s="113">
        <v>0</v>
      </c>
      <c r="Q177" s="113">
        <v>0</v>
      </c>
      <c r="R177" s="113">
        <v>14</v>
      </c>
      <c r="S177" s="113">
        <v>11</v>
      </c>
      <c r="T177" s="113">
        <v>25</v>
      </c>
      <c r="U177" s="113">
        <v>3</v>
      </c>
      <c r="V177" s="113">
        <v>8</v>
      </c>
      <c r="W177" s="113">
        <v>11</v>
      </c>
      <c r="X177" s="113">
        <v>2</v>
      </c>
      <c r="Y177" s="113">
        <v>6</v>
      </c>
      <c r="Z177" s="113">
        <v>8</v>
      </c>
    </row>
    <row r="178" spans="1:26">
      <c r="A178" s="115">
        <v>174</v>
      </c>
      <c r="B178" s="259" t="s">
        <v>326</v>
      </c>
      <c r="C178" s="113">
        <v>1217</v>
      </c>
      <c r="D178" s="113">
        <v>1190</v>
      </c>
      <c r="E178" s="113">
        <v>2407</v>
      </c>
      <c r="F178" s="113">
        <v>229</v>
      </c>
      <c r="G178" s="113">
        <v>105</v>
      </c>
      <c r="H178" s="113">
        <v>334</v>
      </c>
      <c r="I178" s="113">
        <v>62</v>
      </c>
      <c r="J178" s="113">
        <v>61</v>
      </c>
      <c r="K178" s="113">
        <v>123</v>
      </c>
      <c r="L178" s="113">
        <v>291</v>
      </c>
      <c r="M178" s="113">
        <v>235</v>
      </c>
      <c r="N178" s="113">
        <v>526</v>
      </c>
      <c r="O178" s="113">
        <v>4</v>
      </c>
      <c r="P178" s="113">
        <v>3</v>
      </c>
      <c r="Q178" s="113">
        <v>7</v>
      </c>
      <c r="R178" s="113">
        <v>2</v>
      </c>
      <c r="S178" s="113">
        <v>1</v>
      </c>
      <c r="T178" s="113">
        <v>3</v>
      </c>
      <c r="U178" s="113">
        <v>14</v>
      </c>
      <c r="V178" s="113">
        <v>7</v>
      </c>
      <c r="W178" s="113">
        <v>21</v>
      </c>
      <c r="X178" s="113">
        <v>7</v>
      </c>
      <c r="Y178" s="113">
        <v>7</v>
      </c>
      <c r="Z178" s="113">
        <v>14</v>
      </c>
    </row>
    <row r="179" spans="1:26">
      <c r="A179" s="115">
        <v>175</v>
      </c>
      <c r="B179" s="259" t="s">
        <v>329</v>
      </c>
      <c r="C179" s="113">
        <v>1136</v>
      </c>
      <c r="D179" s="113">
        <v>629</v>
      </c>
      <c r="E179" s="113">
        <v>1765</v>
      </c>
      <c r="F179" s="113">
        <v>188</v>
      </c>
      <c r="G179" s="113">
        <v>90</v>
      </c>
      <c r="H179" s="113">
        <v>278</v>
      </c>
      <c r="I179" s="113">
        <v>95</v>
      </c>
      <c r="J179" s="113">
        <v>40</v>
      </c>
      <c r="K179" s="113">
        <v>135</v>
      </c>
      <c r="L179" s="113">
        <v>336</v>
      </c>
      <c r="M179" s="113">
        <v>169</v>
      </c>
      <c r="N179" s="113">
        <v>505</v>
      </c>
      <c r="O179" s="113">
        <v>0</v>
      </c>
      <c r="P179" s="113">
        <v>0</v>
      </c>
      <c r="Q179" s="113">
        <v>0</v>
      </c>
      <c r="R179" s="113">
        <v>46</v>
      </c>
      <c r="S179" s="113">
        <v>6</v>
      </c>
      <c r="T179" s="113">
        <v>52</v>
      </c>
      <c r="U179" s="113">
        <v>50</v>
      </c>
      <c r="V179" s="113">
        <v>19</v>
      </c>
      <c r="W179" s="113">
        <v>69</v>
      </c>
      <c r="X179" s="113">
        <v>13</v>
      </c>
      <c r="Y179" s="113">
        <v>7</v>
      </c>
      <c r="Z179" s="113">
        <v>20</v>
      </c>
    </row>
    <row r="180" spans="1:26" ht="25.5">
      <c r="A180" s="115">
        <v>176</v>
      </c>
      <c r="B180" s="259" t="s">
        <v>302</v>
      </c>
      <c r="C180" s="113">
        <v>7417</v>
      </c>
      <c r="D180" s="113">
        <v>3455</v>
      </c>
      <c r="E180" s="113">
        <v>10872</v>
      </c>
      <c r="F180" s="113">
        <v>1226</v>
      </c>
      <c r="G180" s="113">
        <v>524</v>
      </c>
      <c r="H180" s="113">
        <v>1750</v>
      </c>
      <c r="I180" s="113">
        <v>487</v>
      </c>
      <c r="J180" s="113">
        <v>219</v>
      </c>
      <c r="K180" s="113">
        <v>706</v>
      </c>
      <c r="L180" s="113">
        <v>2345</v>
      </c>
      <c r="M180" s="113">
        <v>1054</v>
      </c>
      <c r="N180" s="113">
        <v>3399</v>
      </c>
      <c r="O180" s="113">
        <v>0</v>
      </c>
      <c r="P180" s="113">
        <v>0</v>
      </c>
      <c r="Q180" s="113">
        <v>0</v>
      </c>
      <c r="R180" s="113">
        <v>234</v>
      </c>
      <c r="S180" s="113">
        <v>62</v>
      </c>
      <c r="T180" s="113">
        <v>296</v>
      </c>
      <c r="U180" s="113">
        <v>202</v>
      </c>
      <c r="V180" s="113">
        <v>108</v>
      </c>
      <c r="W180" s="113">
        <v>310</v>
      </c>
      <c r="X180" s="113">
        <v>176</v>
      </c>
      <c r="Y180" s="113">
        <v>85</v>
      </c>
      <c r="Z180" s="113">
        <v>261</v>
      </c>
    </row>
    <row r="181" spans="1:26">
      <c r="A181" s="115">
        <v>177</v>
      </c>
      <c r="B181" s="259" t="s">
        <v>317</v>
      </c>
      <c r="C181" s="113">
        <v>1185</v>
      </c>
      <c r="D181" s="113">
        <v>1914</v>
      </c>
      <c r="E181" s="113">
        <v>3099</v>
      </c>
      <c r="F181" s="113">
        <v>137</v>
      </c>
      <c r="G181" s="113">
        <v>170</v>
      </c>
      <c r="H181" s="113">
        <v>307</v>
      </c>
      <c r="I181" s="113">
        <v>76</v>
      </c>
      <c r="J181" s="113">
        <v>107</v>
      </c>
      <c r="K181" s="113">
        <v>183</v>
      </c>
      <c r="L181" s="113">
        <v>308</v>
      </c>
      <c r="M181" s="113">
        <v>452</v>
      </c>
      <c r="N181" s="113">
        <v>760</v>
      </c>
      <c r="O181" s="113">
        <v>4</v>
      </c>
      <c r="P181" s="113">
        <v>0</v>
      </c>
      <c r="Q181" s="113">
        <v>4</v>
      </c>
      <c r="R181" s="113">
        <v>49</v>
      </c>
      <c r="S181" s="113">
        <v>92</v>
      </c>
      <c r="T181" s="113">
        <v>141</v>
      </c>
      <c r="U181" s="113">
        <v>36</v>
      </c>
      <c r="V181" s="113">
        <v>102</v>
      </c>
      <c r="W181" s="113">
        <v>138</v>
      </c>
      <c r="X181" s="113">
        <v>13</v>
      </c>
      <c r="Y181" s="113">
        <v>28</v>
      </c>
      <c r="Z181" s="113">
        <v>41</v>
      </c>
    </row>
    <row r="182" spans="1:26" ht="25.5">
      <c r="A182" s="115">
        <v>178</v>
      </c>
      <c r="B182" s="259" t="s">
        <v>979</v>
      </c>
      <c r="C182" s="113">
        <v>11</v>
      </c>
      <c r="D182" s="113">
        <v>8</v>
      </c>
      <c r="E182" s="113">
        <v>19</v>
      </c>
      <c r="F182" s="113">
        <v>1</v>
      </c>
      <c r="G182" s="113">
        <v>1</v>
      </c>
      <c r="H182" s="113">
        <v>2</v>
      </c>
      <c r="I182" s="113">
        <v>1</v>
      </c>
      <c r="J182" s="113">
        <v>1</v>
      </c>
      <c r="K182" s="113">
        <v>2</v>
      </c>
      <c r="L182" s="113">
        <v>3</v>
      </c>
      <c r="M182" s="113">
        <v>2</v>
      </c>
      <c r="N182" s="113">
        <v>5</v>
      </c>
      <c r="O182" s="113">
        <v>0</v>
      </c>
      <c r="P182" s="113">
        <v>0</v>
      </c>
      <c r="Q182" s="113">
        <v>0</v>
      </c>
      <c r="R182" s="113">
        <v>0</v>
      </c>
      <c r="S182" s="113">
        <v>0</v>
      </c>
      <c r="T182" s="113">
        <v>0</v>
      </c>
      <c r="U182" s="113">
        <v>0</v>
      </c>
      <c r="V182" s="113">
        <v>0</v>
      </c>
      <c r="W182" s="113">
        <v>0</v>
      </c>
      <c r="X182" s="113">
        <v>0</v>
      </c>
      <c r="Y182" s="113">
        <v>0</v>
      </c>
      <c r="Z182" s="113">
        <v>0</v>
      </c>
    </row>
    <row r="183" spans="1:26">
      <c r="A183" s="115">
        <v>179</v>
      </c>
      <c r="B183" s="259" t="s">
        <v>332</v>
      </c>
      <c r="C183" s="113">
        <v>47</v>
      </c>
      <c r="D183" s="113">
        <v>26</v>
      </c>
      <c r="E183" s="113">
        <v>73</v>
      </c>
      <c r="F183" s="113">
        <v>9</v>
      </c>
      <c r="G183" s="113">
        <v>2</v>
      </c>
      <c r="H183" s="113">
        <v>11</v>
      </c>
      <c r="I183" s="113">
        <v>3</v>
      </c>
      <c r="J183" s="113">
        <v>0</v>
      </c>
      <c r="K183" s="113">
        <v>3</v>
      </c>
      <c r="L183" s="113">
        <v>16</v>
      </c>
      <c r="M183" s="113">
        <v>6</v>
      </c>
      <c r="N183" s="113">
        <v>22</v>
      </c>
      <c r="O183" s="113">
        <v>0</v>
      </c>
      <c r="P183" s="113">
        <v>0</v>
      </c>
      <c r="Q183" s="113">
        <v>0</v>
      </c>
      <c r="R183" s="113">
        <v>5</v>
      </c>
      <c r="S183" s="113">
        <v>1</v>
      </c>
      <c r="T183" s="113">
        <v>6</v>
      </c>
      <c r="U183" s="113">
        <v>1</v>
      </c>
      <c r="V183" s="113">
        <v>1</v>
      </c>
      <c r="W183" s="113">
        <v>2</v>
      </c>
      <c r="X183" s="113">
        <v>3</v>
      </c>
      <c r="Y183" s="113">
        <v>2</v>
      </c>
      <c r="Z183" s="113">
        <v>5</v>
      </c>
    </row>
    <row r="184" spans="1:26">
      <c r="A184" s="115">
        <v>180</v>
      </c>
      <c r="B184" s="259" t="s">
        <v>306</v>
      </c>
      <c r="C184" s="113">
        <v>3108</v>
      </c>
      <c r="D184" s="113">
        <v>6327</v>
      </c>
      <c r="E184" s="113">
        <v>9435</v>
      </c>
      <c r="F184" s="113">
        <v>308</v>
      </c>
      <c r="G184" s="113">
        <v>502</v>
      </c>
      <c r="H184" s="113">
        <v>810</v>
      </c>
      <c r="I184" s="113">
        <v>132</v>
      </c>
      <c r="J184" s="113">
        <v>192</v>
      </c>
      <c r="K184" s="113">
        <v>324</v>
      </c>
      <c r="L184" s="113">
        <v>886</v>
      </c>
      <c r="M184" s="113">
        <v>1566</v>
      </c>
      <c r="N184" s="113">
        <v>2452</v>
      </c>
      <c r="O184" s="113">
        <v>1</v>
      </c>
      <c r="P184" s="113">
        <v>2</v>
      </c>
      <c r="Q184" s="113">
        <v>3</v>
      </c>
      <c r="R184" s="113">
        <v>157</v>
      </c>
      <c r="S184" s="113">
        <v>226</v>
      </c>
      <c r="T184" s="113">
        <v>383</v>
      </c>
      <c r="U184" s="113">
        <v>79</v>
      </c>
      <c r="V184" s="113">
        <v>244</v>
      </c>
      <c r="W184" s="113">
        <v>323</v>
      </c>
      <c r="X184" s="113">
        <v>16</v>
      </c>
      <c r="Y184" s="113">
        <v>89</v>
      </c>
      <c r="Z184" s="113">
        <v>105</v>
      </c>
    </row>
    <row r="185" spans="1:26">
      <c r="A185" s="115">
        <v>181</v>
      </c>
      <c r="B185" s="259" t="s">
        <v>293</v>
      </c>
      <c r="C185" s="113">
        <v>19477</v>
      </c>
      <c r="D185" s="113">
        <v>21975</v>
      </c>
      <c r="E185" s="113">
        <v>41452</v>
      </c>
      <c r="F185" s="113">
        <v>2244</v>
      </c>
      <c r="G185" s="113">
        <v>2588</v>
      </c>
      <c r="H185" s="113">
        <v>4832</v>
      </c>
      <c r="I185" s="113">
        <v>686</v>
      </c>
      <c r="J185" s="113">
        <v>777</v>
      </c>
      <c r="K185" s="113">
        <v>1463</v>
      </c>
      <c r="L185" s="113">
        <v>6972</v>
      </c>
      <c r="M185" s="113">
        <v>8338</v>
      </c>
      <c r="N185" s="113">
        <v>15310</v>
      </c>
      <c r="O185" s="113">
        <v>21</v>
      </c>
      <c r="P185" s="113">
        <v>22</v>
      </c>
      <c r="Q185" s="113">
        <v>43</v>
      </c>
      <c r="R185" s="113">
        <v>898</v>
      </c>
      <c r="S185" s="113">
        <v>1054</v>
      </c>
      <c r="T185" s="113">
        <v>1952</v>
      </c>
      <c r="U185" s="113">
        <v>262</v>
      </c>
      <c r="V185" s="113">
        <v>394</v>
      </c>
      <c r="W185" s="113">
        <v>656</v>
      </c>
      <c r="X185" s="113">
        <v>497</v>
      </c>
      <c r="Y185" s="113">
        <v>503</v>
      </c>
      <c r="Z185" s="113">
        <v>1000</v>
      </c>
    </row>
    <row r="186" spans="1:26">
      <c r="A186" s="115">
        <v>182</v>
      </c>
      <c r="B186" s="259" t="s">
        <v>283</v>
      </c>
      <c r="C186" s="113">
        <v>3392</v>
      </c>
      <c r="D186" s="113">
        <v>6125</v>
      </c>
      <c r="E186" s="113">
        <v>9517</v>
      </c>
      <c r="F186" s="113">
        <v>671</v>
      </c>
      <c r="G186" s="113">
        <v>891</v>
      </c>
      <c r="H186" s="113">
        <v>1562</v>
      </c>
      <c r="I186" s="113">
        <v>172</v>
      </c>
      <c r="J186" s="113">
        <v>211</v>
      </c>
      <c r="K186" s="113">
        <v>383</v>
      </c>
      <c r="L186" s="113">
        <v>1154</v>
      </c>
      <c r="M186" s="113">
        <v>2498</v>
      </c>
      <c r="N186" s="113">
        <v>3652</v>
      </c>
      <c r="O186" s="113">
        <v>51</v>
      </c>
      <c r="P186" s="113">
        <v>17</v>
      </c>
      <c r="Q186" s="113">
        <v>68</v>
      </c>
      <c r="R186" s="113">
        <v>124</v>
      </c>
      <c r="S186" s="113">
        <v>182</v>
      </c>
      <c r="T186" s="113">
        <v>306</v>
      </c>
      <c r="U186" s="113">
        <v>146</v>
      </c>
      <c r="V186" s="113">
        <v>330</v>
      </c>
      <c r="W186" s="113">
        <v>476</v>
      </c>
      <c r="X186" s="113">
        <v>86</v>
      </c>
      <c r="Y186" s="113">
        <v>79</v>
      </c>
      <c r="Z186" s="113">
        <v>165</v>
      </c>
    </row>
    <row r="187" spans="1:26">
      <c r="A187" s="115">
        <v>183</v>
      </c>
      <c r="B187" s="259" t="s">
        <v>322</v>
      </c>
      <c r="C187" s="113">
        <v>1121</v>
      </c>
      <c r="D187" s="113">
        <v>1061</v>
      </c>
      <c r="E187" s="113">
        <v>2182</v>
      </c>
      <c r="F187" s="113">
        <v>108</v>
      </c>
      <c r="G187" s="113">
        <v>69</v>
      </c>
      <c r="H187" s="113">
        <v>177</v>
      </c>
      <c r="I187" s="113">
        <v>38</v>
      </c>
      <c r="J187" s="113">
        <v>21</v>
      </c>
      <c r="K187" s="113">
        <v>59</v>
      </c>
      <c r="L187" s="113">
        <v>283</v>
      </c>
      <c r="M187" s="113">
        <v>228</v>
      </c>
      <c r="N187" s="113">
        <v>511</v>
      </c>
      <c r="O187" s="113">
        <v>8</v>
      </c>
      <c r="P187" s="113">
        <v>2</v>
      </c>
      <c r="Q187" s="113">
        <v>10</v>
      </c>
      <c r="R187" s="113">
        <v>30</v>
      </c>
      <c r="S187" s="113">
        <v>24</v>
      </c>
      <c r="T187" s="113">
        <v>54</v>
      </c>
      <c r="U187" s="113">
        <v>57</v>
      </c>
      <c r="V187" s="113">
        <v>53</v>
      </c>
      <c r="W187" s="113">
        <v>110</v>
      </c>
      <c r="X187" s="113">
        <v>62</v>
      </c>
      <c r="Y187" s="113">
        <v>43</v>
      </c>
      <c r="Z187" s="113">
        <v>105</v>
      </c>
    </row>
    <row r="188" spans="1:26">
      <c r="A188" s="115">
        <v>184</v>
      </c>
      <c r="B188" s="259" t="s">
        <v>303</v>
      </c>
      <c r="C188" s="113">
        <v>5725</v>
      </c>
      <c r="D188" s="113">
        <v>7006</v>
      </c>
      <c r="E188" s="113">
        <v>12731</v>
      </c>
      <c r="F188" s="113">
        <v>632</v>
      </c>
      <c r="G188" s="113">
        <v>724</v>
      </c>
      <c r="H188" s="113">
        <v>1356</v>
      </c>
      <c r="I188" s="113">
        <v>327</v>
      </c>
      <c r="J188" s="113">
        <v>463</v>
      </c>
      <c r="K188" s="113">
        <v>790</v>
      </c>
      <c r="L188" s="113">
        <v>1875</v>
      </c>
      <c r="M188" s="113">
        <v>2602</v>
      </c>
      <c r="N188" s="113">
        <v>4477</v>
      </c>
      <c r="O188" s="113">
        <v>13</v>
      </c>
      <c r="P188" s="113">
        <v>12</v>
      </c>
      <c r="Q188" s="113">
        <v>25</v>
      </c>
      <c r="R188" s="113">
        <v>122</v>
      </c>
      <c r="S188" s="113">
        <v>294</v>
      </c>
      <c r="T188" s="113">
        <v>416</v>
      </c>
      <c r="U188" s="113">
        <v>76</v>
      </c>
      <c r="V188" s="113">
        <v>277</v>
      </c>
      <c r="W188" s="113">
        <v>353</v>
      </c>
      <c r="X188" s="113">
        <v>217</v>
      </c>
      <c r="Y188" s="113">
        <v>169</v>
      </c>
      <c r="Z188" s="113">
        <v>386</v>
      </c>
    </row>
    <row r="189" spans="1:26">
      <c r="A189" s="115">
        <v>185</v>
      </c>
      <c r="B189" s="259" t="s">
        <v>297</v>
      </c>
      <c r="C189" s="113">
        <v>10751</v>
      </c>
      <c r="D189" s="113">
        <v>9773</v>
      </c>
      <c r="E189" s="113">
        <v>20524</v>
      </c>
      <c r="F189" s="113">
        <v>885</v>
      </c>
      <c r="G189" s="113">
        <v>825</v>
      </c>
      <c r="H189" s="113">
        <v>1710</v>
      </c>
      <c r="I189" s="113">
        <v>436</v>
      </c>
      <c r="J189" s="113">
        <v>366</v>
      </c>
      <c r="K189" s="113">
        <v>802</v>
      </c>
      <c r="L189" s="113">
        <v>2942</v>
      </c>
      <c r="M189" s="113">
        <v>2634</v>
      </c>
      <c r="N189" s="113">
        <v>5576</v>
      </c>
      <c r="O189" s="113">
        <v>15</v>
      </c>
      <c r="P189" s="113">
        <v>31</v>
      </c>
      <c r="Q189" s="113">
        <v>46</v>
      </c>
      <c r="R189" s="113">
        <v>421</v>
      </c>
      <c r="S189" s="113">
        <v>434</v>
      </c>
      <c r="T189" s="113">
        <v>855</v>
      </c>
      <c r="U189" s="113">
        <v>199</v>
      </c>
      <c r="V189" s="113">
        <v>255</v>
      </c>
      <c r="W189" s="113">
        <v>454</v>
      </c>
      <c r="X189" s="113">
        <v>154</v>
      </c>
      <c r="Y189" s="113">
        <v>92</v>
      </c>
      <c r="Z189" s="113">
        <v>246</v>
      </c>
    </row>
    <row r="190" spans="1:26">
      <c r="A190" s="115">
        <v>186</v>
      </c>
      <c r="B190" s="259" t="s">
        <v>291</v>
      </c>
      <c r="C190" s="113">
        <v>30958</v>
      </c>
      <c r="D190" s="113">
        <v>39186</v>
      </c>
      <c r="E190" s="113">
        <v>70144</v>
      </c>
      <c r="F190" s="113">
        <v>7420</v>
      </c>
      <c r="G190" s="113">
        <v>7514</v>
      </c>
      <c r="H190" s="113">
        <v>14934</v>
      </c>
      <c r="I190" s="113">
        <v>5926</v>
      </c>
      <c r="J190" s="113">
        <v>6253</v>
      </c>
      <c r="K190" s="113">
        <v>12179</v>
      </c>
      <c r="L190" s="113">
        <v>9038</v>
      </c>
      <c r="M190" s="113">
        <v>11409</v>
      </c>
      <c r="N190" s="113">
        <v>20447</v>
      </c>
      <c r="O190" s="113">
        <v>96</v>
      </c>
      <c r="P190" s="113">
        <v>90</v>
      </c>
      <c r="Q190" s="113">
        <v>186</v>
      </c>
      <c r="R190" s="113">
        <v>641</v>
      </c>
      <c r="S190" s="113">
        <v>681</v>
      </c>
      <c r="T190" s="113">
        <v>1322</v>
      </c>
      <c r="U190" s="113">
        <v>1021</v>
      </c>
      <c r="V190" s="113">
        <v>1815</v>
      </c>
      <c r="W190" s="113">
        <v>2836</v>
      </c>
      <c r="X190" s="113">
        <v>270</v>
      </c>
      <c r="Y190" s="113">
        <v>396</v>
      </c>
      <c r="Z190" s="113">
        <v>666</v>
      </c>
    </row>
    <row r="191" spans="1:26" ht="25.5">
      <c r="A191" s="115">
        <v>187</v>
      </c>
      <c r="B191" s="259" t="s">
        <v>454</v>
      </c>
      <c r="C191" s="113">
        <v>257</v>
      </c>
      <c r="D191" s="113">
        <v>275</v>
      </c>
      <c r="E191" s="113">
        <v>532</v>
      </c>
      <c r="F191" s="113">
        <v>43</v>
      </c>
      <c r="G191" s="113">
        <v>28</v>
      </c>
      <c r="H191" s="113">
        <v>71</v>
      </c>
      <c r="I191" s="113">
        <v>13</v>
      </c>
      <c r="J191" s="113">
        <v>20</v>
      </c>
      <c r="K191" s="113">
        <v>33</v>
      </c>
      <c r="L191" s="113">
        <v>101</v>
      </c>
      <c r="M191" s="113">
        <v>96</v>
      </c>
      <c r="N191" s="113">
        <v>197</v>
      </c>
      <c r="O191" s="113">
        <v>1</v>
      </c>
      <c r="P191" s="113">
        <v>0</v>
      </c>
      <c r="Q191" s="113">
        <v>1</v>
      </c>
      <c r="R191" s="113">
        <v>1</v>
      </c>
      <c r="S191" s="113">
        <v>0</v>
      </c>
      <c r="T191" s="113">
        <v>1</v>
      </c>
      <c r="U191" s="113">
        <v>1</v>
      </c>
      <c r="V191" s="113">
        <v>3</v>
      </c>
      <c r="W191" s="113">
        <v>4</v>
      </c>
      <c r="X191" s="113">
        <v>24</v>
      </c>
      <c r="Y191" s="113">
        <v>13</v>
      </c>
      <c r="Z191" s="113">
        <v>37</v>
      </c>
    </row>
    <row r="192" spans="1:26" ht="25.5">
      <c r="A192" s="115">
        <v>188</v>
      </c>
      <c r="B192" s="259" t="s">
        <v>795</v>
      </c>
      <c r="C192" s="113">
        <v>105</v>
      </c>
      <c r="D192" s="113">
        <v>228</v>
      </c>
      <c r="E192" s="113">
        <v>333</v>
      </c>
      <c r="F192" s="113">
        <v>13</v>
      </c>
      <c r="G192" s="113">
        <v>24</v>
      </c>
      <c r="H192" s="113">
        <v>37</v>
      </c>
      <c r="I192" s="113">
        <v>1</v>
      </c>
      <c r="J192" s="113">
        <v>20</v>
      </c>
      <c r="K192" s="113">
        <v>21</v>
      </c>
      <c r="L192" s="113">
        <v>31</v>
      </c>
      <c r="M192" s="113">
        <v>41</v>
      </c>
      <c r="N192" s="113">
        <v>72</v>
      </c>
      <c r="O192" s="113">
        <v>0</v>
      </c>
      <c r="P192" s="113">
        <v>0</v>
      </c>
      <c r="Q192" s="113">
        <v>0</v>
      </c>
      <c r="R192" s="113">
        <v>0</v>
      </c>
      <c r="S192" s="113">
        <v>1</v>
      </c>
      <c r="T192" s="113">
        <v>1</v>
      </c>
      <c r="U192" s="113">
        <v>1</v>
      </c>
      <c r="V192" s="113">
        <v>15</v>
      </c>
      <c r="W192" s="113">
        <v>16</v>
      </c>
      <c r="X192" s="113">
        <v>1</v>
      </c>
      <c r="Y192" s="113">
        <v>6</v>
      </c>
      <c r="Z192" s="113">
        <v>7</v>
      </c>
    </row>
    <row r="193" spans="1:26" ht="25.5">
      <c r="A193" s="115">
        <v>189</v>
      </c>
      <c r="B193" s="259" t="s">
        <v>815</v>
      </c>
      <c r="C193" s="113">
        <v>190</v>
      </c>
      <c r="D193" s="113">
        <v>40</v>
      </c>
      <c r="E193" s="113">
        <v>230</v>
      </c>
      <c r="F193" s="113">
        <v>23</v>
      </c>
      <c r="G193" s="113">
        <v>4</v>
      </c>
      <c r="H193" s="113">
        <v>27</v>
      </c>
      <c r="I193" s="113">
        <v>7</v>
      </c>
      <c r="J193" s="113">
        <v>0</v>
      </c>
      <c r="K193" s="113">
        <v>7</v>
      </c>
      <c r="L193" s="113">
        <v>51</v>
      </c>
      <c r="M193" s="113">
        <v>9</v>
      </c>
      <c r="N193" s="113">
        <v>60</v>
      </c>
      <c r="O193" s="113">
        <v>3</v>
      </c>
      <c r="P193" s="113">
        <v>0</v>
      </c>
      <c r="Q193" s="113">
        <v>3</v>
      </c>
      <c r="R193" s="113">
        <v>0</v>
      </c>
      <c r="S193" s="113">
        <v>0</v>
      </c>
      <c r="T193" s="113">
        <v>0</v>
      </c>
      <c r="U193" s="113">
        <v>1</v>
      </c>
      <c r="V193" s="113">
        <v>0</v>
      </c>
      <c r="W193" s="113">
        <v>1</v>
      </c>
      <c r="X193" s="113">
        <v>7</v>
      </c>
      <c r="Y193" s="113">
        <v>2</v>
      </c>
      <c r="Z193" s="113">
        <v>9</v>
      </c>
    </row>
    <row r="194" spans="1:26" ht="25.5">
      <c r="A194" s="115">
        <v>190</v>
      </c>
      <c r="B194" s="259" t="s">
        <v>301</v>
      </c>
      <c r="C194" s="113">
        <v>3170</v>
      </c>
      <c r="D194" s="113">
        <v>12098</v>
      </c>
      <c r="E194" s="113">
        <v>15268</v>
      </c>
      <c r="F194" s="113">
        <v>437</v>
      </c>
      <c r="G194" s="113">
        <v>1742</v>
      </c>
      <c r="H194" s="113">
        <v>2179</v>
      </c>
      <c r="I194" s="113">
        <v>205</v>
      </c>
      <c r="J194" s="113">
        <v>901</v>
      </c>
      <c r="K194" s="113">
        <v>1106</v>
      </c>
      <c r="L194" s="113">
        <v>999</v>
      </c>
      <c r="M194" s="113">
        <v>3347</v>
      </c>
      <c r="N194" s="113">
        <v>4346</v>
      </c>
      <c r="O194" s="113">
        <v>2</v>
      </c>
      <c r="P194" s="113">
        <v>8</v>
      </c>
      <c r="Q194" s="113">
        <v>10</v>
      </c>
      <c r="R194" s="113">
        <v>60</v>
      </c>
      <c r="S194" s="113">
        <v>168</v>
      </c>
      <c r="T194" s="113">
        <v>228</v>
      </c>
      <c r="U194" s="113">
        <v>72</v>
      </c>
      <c r="V194" s="113">
        <v>576</v>
      </c>
      <c r="W194" s="113">
        <v>648</v>
      </c>
      <c r="X194" s="113">
        <v>38</v>
      </c>
      <c r="Y194" s="113">
        <v>142</v>
      </c>
      <c r="Z194" s="113">
        <v>180</v>
      </c>
    </row>
    <row r="195" spans="1:26" ht="25.5">
      <c r="A195" s="115">
        <v>191</v>
      </c>
      <c r="B195" s="259" t="s">
        <v>320</v>
      </c>
      <c r="C195" s="113">
        <v>1210</v>
      </c>
      <c r="D195" s="113">
        <v>952</v>
      </c>
      <c r="E195" s="113">
        <v>2162</v>
      </c>
      <c r="F195" s="113">
        <v>112</v>
      </c>
      <c r="G195" s="113">
        <v>138</v>
      </c>
      <c r="H195" s="113">
        <v>250</v>
      </c>
      <c r="I195" s="113">
        <v>45</v>
      </c>
      <c r="J195" s="113">
        <v>25</v>
      </c>
      <c r="K195" s="113">
        <v>70</v>
      </c>
      <c r="L195" s="113">
        <v>296</v>
      </c>
      <c r="M195" s="113">
        <v>224</v>
      </c>
      <c r="N195" s="113">
        <v>520</v>
      </c>
      <c r="O195" s="113">
        <v>5</v>
      </c>
      <c r="P195" s="113">
        <v>1</v>
      </c>
      <c r="Q195" s="113">
        <v>6</v>
      </c>
      <c r="R195" s="113">
        <v>27</v>
      </c>
      <c r="S195" s="113">
        <v>5</v>
      </c>
      <c r="T195" s="113">
        <v>32</v>
      </c>
      <c r="U195" s="113">
        <v>70</v>
      </c>
      <c r="V195" s="113">
        <v>29</v>
      </c>
      <c r="W195" s="113">
        <v>99</v>
      </c>
      <c r="X195" s="113">
        <v>62</v>
      </c>
      <c r="Y195" s="113">
        <v>18</v>
      </c>
      <c r="Z195" s="113">
        <v>80</v>
      </c>
    </row>
    <row r="196" spans="1:26" ht="38.25">
      <c r="A196" s="115">
        <v>192</v>
      </c>
      <c r="B196" s="259" t="s">
        <v>335</v>
      </c>
      <c r="C196" s="113">
        <v>207</v>
      </c>
      <c r="D196" s="113">
        <v>96</v>
      </c>
      <c r="E196" s="113">
        <v>303</v>
      </c>
      <c r="F196" s="113">
        <v>16</v>
      </c>
      <c r="G196" s="113">
        <v>10</v>
      </c>
      <c r="H196" s="113">
        <v>26</v>
      </c>
      <c r="I196" s="113">
        <v>9</v>
      </c>
      <c r="J196" s="113">
        <v>5</v>
      </c>
      <c r="K196" s="113">
        <v>14</v>
      </c>
      <c r="L196" s="113">
        <v>67</v>
      </c>
      <c r="M196" s="113">
        <v>29</v>
      </c>
      <c r="N196" s="113">
        <v>96</v>
      </c>
      <c r="O196" s="113">
        <v>0</v>
      </c>
      <c r="P196" s="113">
        <v>0</v>
      </c>
      <c r="Q196" s="113">
        <v>0</v>
      </c>
      <c r="R196" s="113">
        <v>8</v>
      </c>
      <c r="S196" s="113">
        <v>0</v>
      </c>
      <c r="T196" s="113">
        <v>8</v>
      </c>
      <c r="U196" s="113">
        <v>5</v>
      </c>
      <c r="V196" s="113">
        <v>0</v>
      </c>
      <c r="W196" s="113">
        <v>5</v>
      </c>
      <c r="X196" s="113">
        <v>8</v>
      </c>
      <c r="Y196" s="113">
        <v>3</v>
      </c>
      <c r="Z196" s="113">
        <v>11</v>
      </c>
    </row>
    <row r="197" spans="1:26" ht="25.5">
      <c r="A197" s="115">
        <v>193</v>
      </c>
      <c r="B197" s="259" t="s">
        <v>348</v>
      </c>
      <c r="C197" s="113">
        <v>21</v>
      </c>
      <c r="D197" s="113">
        <v>60</v>
      </c>
      <c r="E197" s="113">
        <v>81</v>
      </c>
      <c r="F197" s="113">
        <v>6</v>
      </c>
      <c r="G197" s="113">
        <v>3</v>
      </c>
      <c r="H197" s="113">
        <v>9</v>
      </c>
      <c r="I197" s="113">
        <v>0</v>
      </c>
      <c r="J197" s="113">
        <v>0</v>
      </c>
      <c r="K197" s="113">
        <v>0</v>
      </c>
      <c r="L197" s="113">
        <v>8</v>
      </c>
      <c r="M197" s="113">
        <v>15</v>
      </c>
      <c r="N197" s="113">
        <v>23</v>
      </c>
      <c r="O197" s="113">
        <v>0</v>
      </c>
      <c r="P197" s="113">
        <v>0</v>
      </c>
      <c r="Q197" s="113">
        <v>0</v>
      </c>
      <c r="R197" s="113">
        <v>5</v>
      </c>
      <c r="S197" s="113">
        <v>7</v>
      </c>
      <c r="T197" s="113">
        <v>12</v>
      </c>
      <c r="U197" s="113">
        <v>0</v>
      </c>
      <c r="V197" s="113">
        <v>3</v>
      </c>
      <c r="W197" s="113">
        <v>3</v>
      </c>
      <c r="X197" s="113">
        <v>0</v>
      </c>
      <c r="Y197" s="113">
        <v>0</v>
      </c>
      <c r="Z197" s="113">
        <v>0</v>
      </c>
    </row>
    <row r="198" spans="1:26" ht="38.25">
      <c r="A198" s="115">
        <v>194</v>
      </c>
      <c r="B198" s="259" t="s">
        <v>334</v>
      </c>
      <c r="C198" s="113">
        <v>194</v>
      </c>
      <c r="D198" s="113">
        <v>293</v>
      </c>
      <c r="E198" s="113">
        <v>487</v>
      </c>
      <c r="F198" s="113">
        <v>21</v>
      </c>
      <c r="G198" s="113">
        <v>24</v>
      </c>
      <c r="H198" s="113">
        <v>45</v>
      </c>
      <c r="I198" s="113">
        <v>7</v>
      </c>
      <c r="J198" s="113">
        <v>6</v>
      </c>
      <c r="K198" s="113">
        <v>13</v>
      </c>
      <c r="L198" s="113">
        <v>85</v>
      </c>
      <c r="M198" s="113">
        <v>91</v>
      </c>
      <c r="N198" s="113">
        <v>176</v>
      </c>
      <c r="O198" s="113">
        <v>1</v>
      </c>
      <c r="P198" s="113">
        <v>0</v>
      </c>
      <c r="Q198" s="113">
        <v>1</v>
      </c>
      <c r="R198" s="113">
        <v>13</v>
      </c>
      <c r="S198" s="113">
        <v>19</v>
      </c>
      <c r="T198" s="113">
        <v>32</v>
      </c>
      <c r="U198" s="113">
        <v>3</v>
      </c>
      <c r="V198" s="113">
        <v>19</v>
      </c>
      <c r="W198" s="113">
        <v>22</v>
      </c>
      <c r="X198" s="113">
        <v>2</v>
      </c>
      <c r="Y198" s="113">
        <v>1</v>
      </c>
      <c r="Z198" s="113">
        <v>3</v>
      </c>
    </row>
    <row r="199" spans="1:26" ht="25.5">
      <c r="A199" s="115">
        <v>195</v>
      </c>
      <c r="B199" s="259" t="s">
        <v>338</v>
      </c>
      <c r="C199" s="113">
        <v>294</v>
      </c>
      <c r="D199" s="113">
        <v>558</v>
      </c>
      <c r="E199" s="113">
        <v>852</v>
      </c>
      <c r="F199" s="113">
        <v>54</v>
      </c>
      <c r="G199" s="113">
        <v>60</v>
      </c>
      <c r="H199" s="113">
        <v>114</v>
      </c>
      <c r="I199" s="113">
        <v>3</v>
      </c>
      <c r="J199" s="113">
        <v>8</v>
      </c>
      <c r="K199" s="113">
        <v>11</v>
      </c>
      <c r="L199" s="113">
        <v>114</v>
      </c>
      <c r="M199" s="113">
        <v>207</v>
      </c>
      <c r="N199" s="113">
        <v>321</v>
      </c>
      <c r="O199" s="113">
        <v>0</v>
      </c>
      <c r="P199" s="113">
        <v>1</v>
      </c>
      <c r="Q199" s="113">
        <v>1</v>
      </c>
      <c r="R199" s="113">
        <v>12</v>
      </c>
      <c r="S199" s="113">
        <v>59</v>
      </c>
      <c r="T199" s="113">
        <v>71</v>
      </c>
      <c r="U199" s="113">
        <v>4</v>
      </c>
      <c r="V199" s="113">
        <v>22</v>
      </c>
      <c r="W199" s="113">
        <v>26</v>
      </c>
      <c r="X199" s="113">
        <v>4</v>
      </c>
      <c r="Y199" s="113">
        <v>16</v>
      </c>
      <c r="Z199" s="113">
        <v>20</v>
      </c>
    </row>
    <row r="200" spans="1:26" ht="38.25">
      <c r="A200" s="115">
        <v>196</v>
      </c>
      <c r="B200" s="259" t="s">
        <v>351</v>
      </c>
      <c r="C200" s="113">
        <v>35</v>
      </c>
      <c r="D200" s="113">
        <v>52</v>
      </c>
      <c r="E200" s="113">
        <v>87</v>
      </c>
      <c r="F200" s="113">
        <v>3</v>
      </c>
      <c r="G200" s="113">
        <v>4</v>
      </c>
      <c r="H200" s="113">
        <v>7</v>
      </c>
      <c r="I200" s="113">
        <v>2</v>
      </c>
      <c r="J200" s="113">
        <v>2</v>
      </c>
      <c r="K200" s="113">
        <v>4</v>
      </c>
      <c r="L200" s="113">
        <v>8</v>
      </c>
      <c r="M200" s="113">
        <v>18</v>
      </c>
      <c r="N200" s="113">
        <v>26</v>
      </c>
      <c r="O200" s="113">
        <v>0</v>
      </c>
      <c r="P200" s="113">
        <v>0</v>
      </c>
      <c r="Q200" s="113">
        <v>0</v>
      </c>
      <c r="R200" s="113">
        <v>1</v>
      </c>
      <c r="S200" s="113">
        <v>1</v>
      </c>
      <c r="T200" s="113">
        <v>2</v>
      </c>
      <c r="U200" s="113">
        <v>1</v>
      </c>
      <c r="V200" s="113">
        <v>1</v>
      </c>
      <c r="W200" s="113">
        <v>2</v>
      </c>
      <c r="X200" s="113">
        <v>0</v>
      </c>
      <c r="Y200" s="113">
        <v>1</v>
      </c>
      <c r="Z200" s="113">
        <v>1</v>
      </c>
    </row>
    <row r="201" spans="1:26" ht="25.5">
      <c r="A201" s="115">
        <v>197</v>
      </c>
      <c r="B201" s="259" t="s">
        <v>341</v>
      </c>
      <c r="C201" s="113">
        <v>52</v>
      </c>
      <c r="D201" s="113">
        <v>126</v>
      </c>
      <c r="E201" s="113">
        <v>178</v>
      </c>
      <c r="F201" s="113">
        <v>2</v>
      </c>
      <c r="G201" s="113">
        <v>12</v>
      </c>
      <c r="H201" s="113">
        <v>14</v>
      </c>
      <c r="I201" s="113">
        <v>1</v>
      </c>
      <c r="J201" s="113">
        <v>2</v>
      </c>
      <c r="K201" s="113">
        <v>3</v>
      </c>
      <c r="L201" s="113">
        <v>7</v>
      </c>
      <c r="M201" s="113">
        <v>40</v>
      </c>
      <c r="N201" s="113">
        <v>47</v>
      </c>
      <c r="O201" s="113">
        <v>0</v>
      </c>
      <c r="P201" s="113">
        <v>0</v>
      </c>
      <c r="Q201" s="113">
        <v>0</v>
      </c>
      <c r="R201" s="113">
        <v>5</v>
      </c>
      <c r="S201" s="113">
        <v>8</v>
      </c>
      <c r="T201" s="113">
        <v>13</v>
      </c>
      <c r="U201" s="113">
        <v>6</v>
      </c>
      <c r="V201" s="113">
        <v>1</v>
      </c>
      <c r="W201" s="113">
        <v>7</v>
      </c>
      <c r="X201" s="113">
        <v>3</v>
      </c>
      <c r="Y201" s="113">
        <v>5</v>
      </c>
      <c r="Z201" s="113">
        <v>8</v>
      </c>
    </row>
    <row r="202" spans="1:26" ht="25.5">
      <c r="A202" s="115">
        <v>198</v>
      </c>
      <c r="B202" s="259" t="s">
        <v>980</v>
      </c>
      <c r="C202" s="113">
        <v>54</v>
      </c>
      <c r="D202" s="113">
        <v>64</v>
      </c>
      <c r="E202" s="113">
        <v>118</v>
      </c>
      <c r="F202" s="113">
        <v>7</v>
      </c>
      <c r="G202" s="113">
        <v>8</v>
      </c>
      <c r="H202" s="113">
        <v>15</v>
      </c>
      <c r="I202" s="113">
        <v>5</v>
      </c>
      <c r="J202" s="113">
        <v>8</v>
      </c>
      <c r="K202" s="113">
        <v>13</v>
      </c>
      <c r="L202" s="113">
        <v>19</v>
      </c>
      <c r="M202" s="113">
        <v>18</v>
      </c>
      <c r="N202" s="113">
        <v>37</v>
      </c>
      <c r="O202" s="113">
        <v>0</v>
      </c>
      <c r="P202" s="113">
        <v>0</v>
      </c>
      <c r="Q202" s="113">
        <v>0</v>
      </c>
      <c r="R202" s="113">
        <v>0</v>
      </c>
      <c r="S202" s="113">
        <v>0</v>
      </c>
      <c r="T202" s="113">
        <v>0</v>
      </c>
      <c r="U202" s="113">
        <v>1</v>
      </c>
      <c r="V202" s="113">
        <v>1</v>
      </c>
      <c r="W202" s="113">
        <v>2</v>
      </c>
      <c r="X202" s="113">
        <v>8</v>
      </c>
      <c r="Y202" s="113">
        <v>4</v>
      </c>
      <c r="Z202" s="113">
        <v>12</v>
      </c>
    </row>
    <row r="203" spans="1:26">
      <c r="A203" s="115">
        <v>199</v>
      </c>
      <c r="B203" s="259" t="s">
        <v>285</v>
      </c>
      <c r="C203" s="113">
        <v>382741</v>
      </c>
      <c r="D203" s="113">
        <v>569027</v>
      </c>
      <c r="E203" s="113">
        <v>951768</v>
      </c>
      <c r="F203" s="113">
        <v>53271</v>
      </c>
      <c r="G203" s="113">
        <v>69044</v>
      </c>
      <c r="H203" s="113">
        <v>122315</v>
      </c>
      <c r="I203" s="113">
        <v>22191</v>
      </c>
      <c r="J203" s="113">
        <v>28070</v>
      </c>
      <c r="K203" s="113">
        <v>50261</v>
      </c>
      <c r="L203" s="113">
        <v>154897</v>
      </c>
      <c r="M203" s="113">
        <v>240699</v>
      </c>
      <c r="N203" s="113">
        <v>395596</v>
      </c>
      <c r="O203" s="113">
        <v>825</v>
      </c>
      <c r="P203" s="113">
        <v>595</v>
      </c>
      <c r="Q203" s="113">
        <v>1420</v>
      </c>
      <c r="R203" s="113">
        <v>13115</v>
      </c>
      <c r="S203" s="113">
        <v>21748</v>
      </c>
      <c r="T203" s="113">
        <v>34863</v>
      </c>
      <c r="U203" s="113">
        <v>8006</v>
      </c>
      <c r="V203" s="113">
        <v>19082</v>
      </c>
      <c r="W203" s="113">
        <v>27088</v>
      </c>
      <c r="X203" s="113">
        <v>9740</v>
      </c>
      <c r="Y203" s="113">
        <v>12545</v>
      </c>
      <c r="Z203" s="113">
        <v>22285</v>
      </c>
    </row>
    <row r="204" spans="1:26">
      <c r="A204" s="115">
        <v>200</v>
      </c>
      <c r="B204" s="259" t="s">
        <v>337</v>
      </c>
      <c r="C204" s="113">
        <v>633</v>
      </c>
      <c r="D204" s="113">
        <v>974</v>
      </c>
      <c r="E204" s="113">
        <v>1607</v>
      </c>
      <c r="F204" s="113">
        <v>69</v>
      </c>
      <c r="G204" s="113">
        <v>130</v>
      </c>
      <c r="H204" s="113">
        <v>199</v>
      </c>
      <c r="I204" s="113">
        <v>25</v>
      </c>
      <c r="J204" s="113">
        <v>29</v>
      </c>
      <c r="K204" s="113">
        <v>54</v>
      </c>
      <c r="L204" s="113">
        <v>229</v>
      </c>
      <c r="M204" s="113">
        <v>433</v>
      </c>
      <c r="N204" s="113">
        <v>662</v>
      </c>
      <c r="O204" s="113">
        <v>0</v>
      </c>
      <c r="P204" s="113">
        <v>1</v>
      </c>
      <c r="Q204" s="113">
        <v>1</v>
      </c>
      <c r="R204" s="113">
        <v>22</v>
      </c>
      <c r="S204" s="113">
        <v>46</v>
      </c>
      <c r="T204" s="113">
        <v>68</v>
      </c>
      <c r="U204" s="113">
        <v>8</v>
      </c>
      <c r="V204" s="113">
        <v>38</v>
      </c>
      <c r="W204" s="113">
        <v>46</v>
      </c>
      <c r="X204" s="113">
        <v>2</v>
      </c>
      <c r="Y204" s="113">
        <v>8</v>
      </c>
      <c r="Z204" s="113">
        <v>10</v>
      </c>
    </row>
    <row r="205" spans="1:26">
      <c r="A205" s="115">
        <v>201</v>
      </c>
      <c r="B205" s="259" t="s">
        <v>289</v>
      </c>
      <c r="C205" s="113">
        <v>94080</v>
      </c>
      <c r="D205" s="113">
        <v>40996</v>
      </c>
      <c r="E205" s="113">
        <v>135076</v>
      </c>
      <c r="F205" s="113">
        <v>11519</v>
      </c>
      <c r="G205" s="113">
        <v>5130</v>
      </c>
      <c r="H205" s="113">
        <v>16649</v>
      </c>
      <c r="I205" s="113">
        <v>4066</v>
      </c>
      <c r="J205" s="113">
        <v>1619</v>
      </c>
      <c r="K205" s="113">
        <v>5685</v>
      </c>
      <c r="L205" s="113">
        <v>26757</v>
      </c>
      <c r="M205" s="113">
        <v>12739</v>
      </c>
      <c r="N205" s="113">
        <v>39496</v>
      </c>
      <c r="O205" s="113">
        <v>259</v>
      </c>
      <c r="P205" s="113">
        <v>62</v>
      </c>
      <c r="Q205" s="113">
        <v>321</v>
      </c>
      <c r="R205" s="113">
        <v>4323</v>
      </c>
      <c r="S205" s="113">
        <v>1930</v>
      </c>
      <c r="T205" s="113">
        <v>6253</v>
      </c>
      <c r="U205" s="113">
        <v>2709</v>
      </c>
      <c r="V205" s="113">
        <v>1523</v>
      </c>
      <c r="W205" s="113">
        <v>4232</v>
      </c>
      <c r="X205" s="113">
        <v>3669</v>
      </c>
      <c r="Y205" s="113">
        <v>969</v>
      </c>
      <c r="Z205" s="113">
        <v>4638</v>
      </c>
    </row>
    <row r="206" spans="1:26" ht="25.5">
      <c r="A206" s="115">
        <v>202</v>
      </c>
      <c r="B206" s="259" t="s">
        <v>812</v>
      </c>
      <c r="C206" s="113">
        <v>67</v>
      </c>
      <c r="D206" s="113">
        <v>34</v>
      </c>
      <c r="E206" s="113">
        <v>101</v>
      </c>
      <c r="F206" s="113">
        <v>7</v>
      </c>
      <c r="G206" s="113">
        <v>3</v>
      </c>
      <c r="H206" s="113">
        <v>10</v>
      </c>
      <c r="I206" s="113">
        <v>0</v>
      </c>
      <c r="J206" s="113">
        <v>0</v>
      </c>
      <c r="K206" s="113">
        <v>0</v>
      </c>
      <c r="L206" s="113">
        <v>37</v>
      </c>
      <c r="M206" s="113">
        <v>23</v>
      </c>
      <c r="N206" s="113">
        <v>60</v>
      </c>
      <c r="O206" s="113">
        <v>0</v>
      </c>
      <c r="P206" s="113">
        <v>0</v>
      </c>
      <c r="Q206" s="113">
        <v>0</v>
      </c>
      <c r="R206" s="113">
        <v>1</v>
      </c>
      <c r="S206" s="113">
        <v>0</v>
      </c>
      <c r="T206" s="113">
        <v>1</v>
      </c>
      <c r="U206" s="113">
        <v>2</v>
      </c>
      <c r="V206" s="113">
        <v>0</v>
      </c>
      <c r="W206" s="113">
        <v>2</v>
      </c>
      <c r="X206" s="113">
        <v>5</v>
      </c>
      <c r="Y206" s="113">
        <v>1</v>
      </c>
      <c r="Z206" s="113">
        <v>6</v>
      </c>
    </row>
    <row r="207" spans="1:26">
      <c r="A207" s="115">
        <v>203</v>
      </c>
      <c r="B207" s="259" t="s">
        <v>346</v>
      </c>
      <c r="C207" s="113">
        <v>114</v>
      </c>
      <c r="D207" s="113">
        <v>82</v>
      </c>
      <c r="E207" s="113">
        <v>196</v>
      </c>
      <c r="F207" s="113">
        <v>7</v>
      </c>
      <c r="G207" s="113">
        <v>4</v>
      </c>
      <c r="H207" s="113">
        <v>11</v>
      </c>
      <c r="I207" s="113">
        <v>1</v>
      </c>
      <c r="J207" s="113">
        <v>1</v>
      </c>
      <c r="K207" s="113">
        <v>2</v>
      </c>
      <c r="L207" s="113">
        <v>17</v>
      </c>
      <c r="M207" s="113">
        <v>8</v>
      </c>
      <c r="N207" s="113">
        <v>25</v>
      </c>
      <c r="O207" s="113">
        <v>0</v>
      </c>
      <c r="P207" s="113">
        <v>0</v>
      </c>
      <c r="Q207" s="113">
        <v>0</v>
      </c>
      <c r="R207" s="113">
        <v>0</v>
      </c>
      <c r="S207" s="113">
        <v>1</v>
      </c>
      <c r="T207" s="113">
        <v>1</v>
      </c>
      <c r="U207" s="113">
        <v>0</v>
      </c>
      <c r="V207" s="113">
        <v>1</v>
      </c>
      <c r="W207" s="113">
        <v>1</v>
      </c>
      <c r="X207" s="113">
        <v>0</v>
      </c>
      <c r="Y207" s="113">
        <v>0</v>
      </c>
      <c r="Z207" s="113">
        <v>0</v>
      </c>
    </row>
    <row r="208" spans="1:26">
      <c r="A208" s="115">
        <v>204</v>
      </c>
      <c r="B208" s="259" t="s">
        <v>981</v>
      </c>
      <c r="C208" s="113">
        <v>28</v>
      </c>
      <c r="D208" s="113">
        <v>36</v>
      </c>
      <c r="E208" s="113">
        <v>64</v>
      </c>
      <c r="F208" s="113">
        <v>1</v>
      </c>
      <c r="G208" s="113">
        <v>0</v>
      </c>
      <c r="H208" s="113">
        <v>1</v>
      </c>
      <c r="I208" s="113">
        <v>0</v>
      </c>
      <c r="J208" s="113">
        <v>0</v>
      </c>
      <c r="K208" s="113">
        <v>0</v>
      </c>
      <c r="L208" s="113">
        <v>4</v>
      </c>
      <c r="M208" s="113">
        <v>4</v>
      </c>
      <c r="N208" s="113">
        <v>8</v>
      </c>
      <c r="O208" s="113">
        <v>0</v>
      </c>
      <c r="P208" s="113">
        <v>0</v>
      </c>
      <c r="Q208" s="113">
        <v>0</v>
      </c>
      <c r="R208" s="113">
        <v>0</v>
      </c>
      <c r="S208" s="113">
        <v>0</v>
      </c>
      <c r="T208" s="113">
        <v>0</v>
      </c>
      <c r="U208" s="113">
        <v>1</v>
      </c>
      <c r="V208" s="113">
        <v>2</v>
      </c>
      <c r="W208" s="113">
        <v>3</v>
      </c>
      <c r="X208" s="113">
        <v>0</v>
      </c>
      <c r="Y208" s="113">
        <v>0</v>
      </c>
      <c r="Z208" s="113">
        <v>0</v>
      </c>
    </row>
    <row r="209" spans="1:26" ht="25.5">
      <c r="A209" s="115">
        <v>205</v>
      </c>
      <c r="B209" s="259" t="s">
        <v>312</v>
      </c>
      <c r="C209" s="113">
        <v>2131</v>
      </c>
      <c r="D209" s="113">
        <v>1851</v>
      </c>
      <c r="E209" s="113">
        <v>3982</v>
      </c>
      <c r="F209" s="113">
        <v>289</v>
      </c>
      <c r="G209" s="113">
        <v>217</v>
      </c>
      <c r="H209" s="113">
        <v>506</v>
      </c>
      <c r="I209" s="113">
        <v>161</v>
      </c>
      <c r="J209" s="113">
        <v>167</v>
      </c>
      <c r="K209" s="113">
        <v>328</v>
      </c>
      <c r="L209" s="113">
        <v>741</v>
      </c>
      <c r="M209" s="113">
        <v>625</v>
      </c>
      <c r="N209" s="113">
        <v>1366</v>
      </c>
      <c r="O209" s="113">
        <v>3</v>
      </c>
      <c r="P209" s="113">
        <v>2</v>
      </c>
      <c r="Q209" s="113">
        <v>5</v>
      </c>
      <c r="R209" s="113">
        <v>71</v>
      </c>
      <c r="S209" s="113">
        <v>52</v>
      </c>
      <c r="T209" s="113">
        <v>123</v>
      </c>
      <c r="U209" s="113">
        <v>37</v>
      </c>
      <c r="V209" s="113">
        <v>29</v>
      </c>
      <c r="W209" s="113">
        <v>66</v>
      </c>
      <c r="X209" s="113">
        <v>90</v>
      </c>
      <c r="Y209" s="113">
        <v>42</v>
      </c>
      <c r="Z209" s="113">
        <v>132</v>
      </c>
    </row>
    <row r="210" spans="1:26">
      <c r="A210" s="115">
        <v>206</v>
      </c>
      <c r="B210" s="259" t="s">
        <v>982</v>
      </c>
      <c r="C210" s="113">
        <v>14</v>
      </c>
      <c r="D210" s="113">
        <v>9</v>
      </c>
      <c r="E210" s="113">
        <v>23</v>
      </c>
      <c r="F210" s="113">
        <v>2</v>
      </c>
      <c r="G210" s="113">
        <v>0</v>
      </c>
      <c r="H210" s="113">
        <v>2</v>
      </c>
      <c r="I210" s="113">
        <v>0</v>
      </c>
      <c r="J210" s="113">
        <v>0</v>
      </c>
      <c r="K210" s="113">
        <v>0</v>
      </c>
      <c r="L210" s="113">
        <v>3</v>
      </c>
      <c r="M210" s="113">
        <v>1</v>
      </c>
      <c r="N210" s="113">
        <v>4</v>
      </c>
      <c r="O210" s="113">
        <v>0</v>
      </c>
      <c r="P210" s="113">
        <v>0</v>
      </c>
      <c r="Q210" s="113">
        <v>0</v>
      </c>
      <c r="R210" s="113">
        <v>0</v>
      </c>
      <c r="S210" s="113">
        <v>0</v>
      </c>
      <c r="T210" s="113">
        <v>0</v>
      </c>
      <c r="U210" s="113">
        <v>0</v>
      </c>
      <c r="V210" s="113">
        <v>0</v>
      </c>
      <c r="W210" s="113">
        <v>0</v>
      </c>
      <c r="X210" s="113">
        <v>0</v>
      </c>
      <c r="Y210" s="113">
        <v>0</v>
      </c>
      <c r="Z210" s="113">
        <v>0</v>
      </c>
    </row>
    <row r="211" spans="1:26">
      <c r="A211" s="115">
        <v>207</v>
      </c>
      <c r="B211" s="259" t="s">
        <v>804</v>
      </c>
      <c r="C211" s="113">
        <v>0</v>
      </c>
      <c r="D211" s="113">
        <v>34</v>
      </c>
      <c r="E211" s="113">
        <v>34</v>
      </c>
      <c r="F211" s="113">
        <v>0</v>
      </c>
      <c r="G211" s="113">
        <v>0</v>
      </c>
      <c r="H211" s="113">
        <v>0</v>
      </c>
      <c r="I211" s="113">
        <v>0</v>
      </c>
      <c r="J211" s="113">
        <v>0</v>
      </c>
      <c r="K211" s="113">
        <v>0</v>
      </c>
      <c r="L211" s="113">
        <v>0</v>
      </c>
      <c r="M211" s="113">
        <v>21</v>
      </c>
      <c r="N211" s="113">
        <v>21</v>
      </c>
      <c r="O211" s="113">
        <v>0</v>
      </c>
      <c r="P211" s="113">
        <v>0</v>
      </c>
      <c r="Q211" s="113">
        <v>0</v>
      </c>
      <c r="R211" s="113">
        <v>0</v>
      </c>
      <c r="S211" s="113">
        <v>0</v>
      </c>
      <c r="T211" s="113">
        <v>0</v>
      </c>
      <c r="U211" s="113">
        <v>0</v>
      </c>
      <c r="V211" s="113">
        <v>0</v>
      </c>
      <c r="W211" s="113">
        <v>0</v>
      </c>
      <c r="X211" s="113">
        <v>0</v>
      </c>
      <c r="Y211" s="113">
        <v>0</v>
      </c>
      <c r="Z211" s="113">
        <v>0</v>
      </c>
    </row>
    <row r="212" spans="1:26">
      <c r="A212" s="115">
        <v>208</v>
      </c>
      <c r="B212" s="259" t="s">
        <v>799</v>
      </c>
      <c r="C212" s="113">
        <v>1559</v>
      </c>
      <c r="D212" s="113">
        <v>1221</v>
      </c>
      <c r="E212" s="113">
        <v>2780</v>
      </c>
      <c r="F212" s="113">
        <v>30</v>
      </c>
      <c r="G212" s="113">
        <v>10</v>
      </c>
      <c r="H212" s="113">
        <v>40</v>
      </c>
      <c r="I212" s="113">
        <v>34</v>
      </c>
      <c r="J212" s="113">
        <v>13</v>
      </c>
      <c r="K212" s="113">
        <v>47</v>
      </c>
      <c r="L212" s="113">
        <v>232</v>
      </c>
      <c r="M212" s="113">
        <v>57</v>
      </c>
      <c r="N212" s="113">
        <v>289</v>
      </c>
      <c r="O212" s="113">
        <v>0</v>
      </c>
      <c r="P212" s="113">
        <v>0</v>
      </c>
      <c r="Q212" s="113">
        <v>0</v>
      </c>
      <c r="R212" s="113">
        <v>21</v>
      </c>
      <c r="S212" s="113">
        <v>6</v>
      </c>
      <c r="T212" s="113">
        <v>27</v>
      </c>
      <c r="U212" s="113">
        <v>26</v>
      </c>
      <c r="V212" s="113">
        <v>6</v>
      </c>
      <c r="W212" s="113">
        <v>32</v>
      </c>
      <c r="X212" s="113">
        <v>0</v>
      </c>
      <c r="Y212" s="113">
        <v>0</v>
      </c>
      <c r="Z212" s="113">
        <v>0</v>
      </c>
    </row>
    <row r="213" spans="1:26">
      <c r="A213" s="115">
        <v>209</v>
      </c>
      <c r="B213" s="259" t="s">
        <v>790</v>
      </c>
      <c r="C213" s="113">
        <v>338</v>
      </c>
      <c r="D213" s="113">
        <v>383</v>
      </c>
      <c r="E213" s="113">
        <v>721</v>
      </c>
      <c r="F213" s="113">
        <v>36</v>
      </c>
      <c r="G213" s="113">
        <v>20</v>
      </c>
      <c r="H213" s="113">
        <v>56</v>
      </c>
      <c r="I213" s="113">
        <v>13</v>
      </c>
      <c r="J213" s="113">
        <v>11</v>
      </c>
      <c r="K213" s="113">
        <v>24</v>
      </c>
      <c r="L213" s="113">
        <v>89</v>
      </c>
      <c r="M213" s="113">
        <v>105</v>
      </c>
      <c r="N213" s="113">
        <v>194</v>
      </c>
      <c r="O213" s="113">
        <v>1</v>
      </c>
      <c r="P213" s="113">
        <v>3</v>
      </c>
      <c r="Q213" s="113">
        <v>4</v>
      </c>
      <c r="R213" s="113">
        <v>16</v>
      </c>
      <c r="S213" s="113">
        <v>14</v>
      </c>
      <c r="T213" s="113">
        <v>30</v>
      </c>
      <c r="U213" s="113">
        <v>69</v>
      </c>
      <c r="V213" s="113">
        <v>95</v>
      </c>
      <c r="W213" s="113">
        <v>164</v>
      </c>
      <c r="X213" s="113">
        <v>8</v>
      </c>
      <c r="Y213" s="113">
        <v>4</v>
      </c>
      <c r="Z213" s="113">
        <v>12</v>
      </c>
    </row>
    <row r="214" spans="1:26" ht="25.5">
      <c r="A214" s="115">
        <v>210</v>
      </c>
      <c r="B214" s="259" t="s">
        <v>983</v>
      </c>
      <c r="C214" s="113">
        <v>12</v>
      </c>
      <c r="D214" s="113">
        <v>16</v>
      </c>
      <c r="E214" s="113">
        <v>28</v>
      </c>
      <c r="F214" s="113">
        <v>5</v>
      </c>
      <c r="G214" s="113">
        <v>5</v>
      </c>
      <c r="H214" s="113">
        <v>10</v>
      </c>
      <c r="I214" s="113">
        <v>0</v>
      </c>
      <c r="J214" s="113">
        <v>0</v>
      </c>
      <c r="K214" s="113">
        <v>0</v>
      </c>
      <c r="L214" s="113">
        <v>2</v>
      </c>
      <c r="M214" s="113">
        <v>1</v>
      </c>
      <c r="N214" s="113">
        <v>3</v>
      </c>
      <c r="O214" s="113">
        <v>0</v>
      </c>
      <c r="P214" s="113">
        <v>0</v>
      </c>
      <c r="Q214" s="113">
        <v>0</v>
      </c>
      <c r="R214" s="113">
        <v>0</v>
      </c>
      <c r="S214" s="113">
        <v>0</v>
      </c>
      <c r="T214" s="113">
        <v>0</v>
      </c>
      <c r="U214" s="113">
        <v>0</v>
      </c>
      <c r="V214" s="113">
        <v>0</v>
      </c>
      <c r="W214" s="113">
        <v>0</v>
      </c>
      <c r="X214" s="113">
        <v>0</v>
      </c>
      <c r="Y214" s="113">
        <v>0</v>
      </c>
      <c r="Z214" s="113">
        <v>0</v>
      </c>
    </row>
    <row r="215" spans="1:26" ht="25.5">
      <c r="A215" s="115">
        <v>211</v>
      </c>
      <c r="B215" s="259" t="s">
        <v>789</v>
      </c>
      <c r="C215" s="113">
        <v>3688</v>
      </c>
      <c r="D215" s="113">
        <v>2317</v>
      </c>
      <c r="E215" s="113">
        <v>6005</v>
      </c>
      <c r="F215" s="113">
        <v>488</v>
      </c>
      <c r="G215" s="113">
        <v>287</v>
      </c>
      <c r="H215" s="113">
        <v>775</v>
      </c>
      <c r="I215" s="113">
        <v>256</v>
      </c>
      <c r="J215" s="113">
        <v>268</v>
      </c>
      <c r="K215" s="113">
        <v>524</v>
      </c>
      <c r="L215" s="113">
        <v>655</v>
      </c>
      <c r="M215" s="113">
        <v>392</v>
      </c>
      <c r="N215" s="113">
        <v>1047</v>
      </c>
      <c r="O215" s="113">
        <v>10</v>
      </c>
      <c r="P215" s="113">
        <v>2</v>
      </c>
      <c r="Q215" s="113">
        <v>12</v>
      </c>
      <c r="R215" s="113">
        <v>110</v>
      </c>
      <c r="S215" s="113">
        <v>85</v>
      </c>
      <c r="T215" s="113">
        <v>195</v>
      </c>
      <c r="U215" s="113">
        <v>38</v>
      </c>
      <c r="V215" s="113">
        <v>50</v>
      </c>
      <c r="W215" s="113">
        <v>88</v>
      </c>
      <c r="X215" s="113">
        <v>86</v>
      </c>
      <c r="Y215" s="113">
        <v>62</v>
      </c>
      <c r="Z215" s="113">
        <v>148</v>
      </c>
    </row>
    <row r="216" spans="1:26">
      <c r="A216" s="115">
        <v>212</v>
      </c>
      <c r="B216" s="259" t="s">
        <v>792</v>
      </c>
      <c r="C216" s="113">
        <v>712</v>
      </c>
      <c r="D216" s="113">
        <v>841</v>
      </c>
      <c r="E216" s="113">
        <v>1553</v>
      </c>
      <c r="F216" s="113">
        <v>46</v>
      </c>
      <c r="G216" s="113">
        <v>72</v>
      </c>
      <c r="H216" s="113">
        <v>118</v>
      </c>
      <c r="I216" s="113">
        <v>34</v>
      </c>
      <c r="J216" s="113">
        <v>29</v>
      </c>
      <c r="K216" s="113">
        <v>63</v>
      </c>
      <c r="L216" s="113">
        <v>195</v>
      </c>
      <c r="M216" s="113">
        <v>251</v>
      </c>
      <c r="N216" s="113">
        <v>446</v>
      </c>
      <c r="O216" s="113">
        <v>0</v>
      </c>
      <c r="P216" s="113">
        <v>0</v>
      </c>
      <c r="Q216" s="113">
        <v>0</v>
      </c>
      <c r="R216" s="113">
        <v>74</v>
      </c>
      <c r="S216" s="113">
        <v>69</v>
      </c>
      <c r="T216" s="113">
        <v>143</v>
      </c>
      <c r="U216" s="113">
        <v>24</v>
      </c>
      <c r="V216" s="113">
        <v>87</v>
      </c>
      <c r="W216" s="113">
        <v>111</v>
      </c>
      <c r="X216" s="113">
        <v>25</v>
      </c>
      <c r="Y216" s="113">
        <v>30</v>
      </c>
      <c r="Z216" s="113">
        <v>55</v>
      </c>
    </row>
    <row r="217" spans="1:26" ht="25.5">
      <c r="A217" s="115">
        <v>213</v>
      </c>
      <c r="B217" s="259" t="s">
        <v>793</v>
      </c>
      <c r="C217" s="113">
        <v>248</v>
      </c>
      <c r="D217" s="113">
        <v>102</v>
      </c>
      <c r="E217" s="113">
        <v>350</v>
      </c>
      <c r="F217" s="113">
        <v>34</v>
      </c>
      <c r="G217" s="113">
        <v>11</v>
      </c>
      <c r="H217" s="113">
        <v>45</v>
      </c>
      <c r="I217" s="113">
        <v>8</v>
      </c>
      <c r="J217" s="113">
        <v>4</v>
      </c>
      <c r="K217" s="113">
        <v>12</v>
      </c>
      <c r="L217" s="113">
        <v>77</v>
      </c>
      <c r="M217" s="113">
        <v>29</v>
      </c>
      <c r="N217" s="113">
        <v>106</v>
      </c>
      <c r="O217" s="113">
        <v>2</v>
      </c>
      <c r="P217" s="113">
        <v>0</v>
      </c>
      <c r="Q217" s="113">
        <v>2</v>
      </c>
      <c r="R217" s="113">
        <v>9</v>
      </c>
      <c r="S217" s="113">
        <v>3</v>
      </c>
      <c r="T217" s="113">
        <v>12</v>
      </c>
      <c r="U217" s="113">
        <v>4</v>
      </c>
      <c r="V217" s="113">
        <v>3</v>
      </c>
      <c r="W217" s="113">
        <v>7</v>
      </c>
      <c r="X217" s="113">
        <v>6</v>
      </c>
      <c r="Y217" s="113">
        <v>4</v>
      </c>
      <c r="Z217" s="113">
        <v>10</v>
      </c>
    </row>
    <row r="218" spans="1:26">
      <c r="A218" s="115">
        <v>214</v>
      </c>
      <c r="B218" s="259" t="s">
        <v>805</v>
      </c>
      <c r="C218" s="113">
        <v>201</v>
      </c>
      <c r="D218" s="113">
        <v>4</v>
      </c>
      <c r="E218" s="113">
        <v>205</v>
      </c>
      <c r="F218" s="113">
        <v>20</v>
      </c>
      <c r="G218" s="113">
        <v>0</v>
      </c>
      <c r="H218" s="113">
        <v>20</v>
      </c>
      <c r="I218" s="113">
        <v>0</v>
      </c>
      <c r="J218" s="113">
        <v>0</v>
      </c>
      <c r="K218" s="113">
        <v>0</v>
      </c>
      <c r="L218" s="113">
        <v>77</v>
      </c>
      <c r="M218" s="113">
        <v>1</v>
      </c>
      <c r="N218" s="113">
        <v>78</v>
      </c>
      <c r="O218" s="113">
        <v>0</v>
      </c>
      <c r="P218" s="113">
        <v>0</v>
      </c>
      <c r="Q218" s="113">
        <v>0</v>
      </c>
      <c r="R218" s="113">
        <v>13</v>
      </c>
      <c r="S218" s="113">
        <v>0</v>
      </c>
      <c r="T218" s="113">
        <v>13</v>
      </c>
      <c r="U218" s="113">
        <v>0</v>
      </c>
      <c r="V218" s="113">
        <v>0</v>
      </c>
      <c r="W218" s="113">
        <v>0</v>
      </c>
      <c r="X218" s="113">
        <v>2</v>
      </c>
      <c r="Y218" s="113">
        <v>0</v>
      </c>
      <c r="Z218" s="113">
        <v>2</v>
      </c>
    </row>
    <row r="219" spans="1:26" ht="22.5" customHeight="1">
      <c r="A219" s="115">
        <v>215</v>
      </c>
      <c r="B219" s="259" t="s">
        <v>431</v>
      </c>
      <c r="C219" s="113">
        <v>2363</v>
      </c>
      <c r="D219" s="113">
        <v>1722</v>
      </c>
      <c r="E219" s="113">
        <v>4085</v>
      </c>
      <c r="F219" s="113">
        <v>386</v>
      </c>
      <c r="G219" s="113">
        <v>249</v>
      </c>
      <c r="H219" s="113">
        <v>635</v>
      </c>
      <c r="I219" s="113">
        <v>157</v>
      </c>
      <c r="J219" s="113">
        <v>140</v>
      </c>
      <c r="K219" s="113">
        <v>297</v>
      </c>
      <c r="L219" s="113">
        <v>795</v>
      </c>
      <c r="M219" s="113">
        <v>621</v>
      </c>
      <c r="N219" s="113">
        <v>1416</v>
      </c>
      <c r="O219" s="113">
        <v>2</v>
      </c>
      <c r="P219" s="113">
        <v>4</v>
      </c>
      <c r="Q219" s="113">
        <v>6</v>
      </c>
      <c r="R219" s="113">
        <v>246</v>
      </c>
      <c r="S219" s="113">
        <v>120</v>
      </c>
      <c r="T219" s="113">
        <v>366</v>
      </c>
      <c r="U219" s="113">
        <v>25</v>
      </c>
      <c r="V219" s="113">
        <v>17</v>
      </c>
      <c r="W219" s="113">
        <v>42</v>
      </c>
      <c r="X219" s="113">
        <v>33</v>
      </c>
      <c r="Y219" s="113">
        <v>43</v>
      </c>
      <c r="Z219" s="113">
        <v>76</v>
      </c>
    </row>
    <row r="220" spans="1:26" ht="25.5">
      <c r="A220" s="115">
        <v>216</v>
      </c>
      <c r="B220" s="259" t="s">
        <v>814</v>
      </c>
      <c r="C220" s="113">
        <v>118</v>
      </c>
      <c r="D220" s="113">
        <v>79</v>
      </c>
      <c r="E220" s="113">
        <v>197</v>
      </c>
      <c r="F220" s="113">
        <v>2</v>
      </c>
      <c r="G220" s="113">
        <v>0</v>
      </c>
      <c r="H220" s="113">
        <v>2</v>
      </c>
      <c r="I220" s="113">
        <v>0</v>
      </c>
      <c r="J220" s="113">
        <v>0</v>
      </c>
      <c r="K220" s="113">
        <v>0</v>
      </c>
      <c r="L220" s="113">
        <v>13</v>
      </c>
      <c r="M220" s="113">
        <v>11</v>
      </c>
      <c r="N220" s="113">
        <v>24</v>
      </c>
      <c r="O220" s="113">
        <v>0</v>
      </c>
      <c r="P220" s="113">
        <v>0</v>
      </c>
      <c r="Q220" s="113">
        <v>0</v>
      </c>
      <c r="R220" s="113">
        <v>2</v>
      </c>
      <c r="S220" s="113">
        <v>1</v>
      </c>
      <c r="T220" s="113">
        <v>3</v>
      </c>
      <c r="U220" s="113">
        <v>2</v>
      </c>
      <c r="V220" s="113">
        <v>0</v>
      </c>
      <c r="W220" s="113">
        <v>2</v>
      </c>
      <c r="X220" s="113">
        <v>1</v>
      </c>
      <c r="Y220" s="113">
        <v>4</v>
      </c>
      <c r="Z220" s="113">
        <v>5</v>
      </c>
    </row>
    <row r="221" spans="1:26" ht="25.5">
      <c r="A221" s="115">
        <v>217</v>
      </c>
      <c r="B221" s="259" t="s">
        <v>299</v>
      </c>
      <c r="C221" s="113">
        <v>10694</v>
      </c>
      <c r="D221" s="113">
        <v>6888</v>
      </c>
      <c r="E221" s="113">
        <v>17582</v>
      </c>
      <c r="F221" s="113">
        <v>597</v>
      </c>
      <c r="G221" s="113">
        <v>388</v>
      </c>
      <c r="H221" s="113">
        <v>985</v>
      </c>
      <c r="I221" s="113">
        <v>264</v>
      </c>
      <c r="J221" s="113">
        <v>254</v>
      </c>
      <c r="K221" s="113">
        <v>518</v>
      </c>
      <c r="L221" s="113">
        <v>1813</v>
      </c>
      <c r="M221" s="113">
        <v>1084</v>
      </c>
      <c r="N221" s="113">
        <v>2897</v>
      </c>
      <c r="O221" s="113">
        <v>5</v>
      </c>
      <c r="P221" s="113">
        <v>10</v>
      </c>
      <c r="Q221" s="113">
        <v>15</v>
      </c>
      <c r="R221" s="113">
        <v>193</v>
      </c>
      <c r="S221" s="113">
        <v>119</v>
      </c>
      <c r="T221" s="113">
        <v>312</v>
      </c>
      <c r="U221" s="113">
        <v>639</v>
      </c>
      <c r="V221" s="113">
        <v>507</v>
      </c>
      <c r="W221" s="113">
        <v>1146</v>
      </c>
      <c r="X221" s="113">
        <v>72</v>
      </c>
      <c r="Y221" s="113">
        <v>31</v>
      </c>
      <c r="Z221" s="113">
        <v>103</v>
      </c>
    </row>
    <row r="222" spans="1:26" ht="25.5">
      <c r="A222" s="115">
        <v>218</v>
      </c>
      <c r="B222" s="259" t="s">
        <v>310</v>
      </c>
      <c r="C222" s="113">
        <v>2025</v>
      </c>
      <c r="D222" s="113">
        <v>1077</v>
      </c>
      <c r="E222" s="113">
        <v>3102</v>
      </c>
      <c r="F222" s="113">
        <v>387</v>
      </c>
      <c r="G222" s="113">
        <v>153</v>
      </c>
      <c r="H222" s="113">
        <v>540</v>
      </c>
      <c r="I222" s="113">
        <v>222</v>
      </c>
      <c r="J222" s="113">
        <v>89</v>
      </c>
      <c r="K222" s="113">
        <v>311</v>
      </c>
      <c r="L222" s="113">
        <v>489</v>
      </c>
      <c r="M222" s="113">
        <v>238</v>
      </c>
      <c r="N222" s="113">
        <v>727</v>
      </c>
      <c r="O222" s="113">
        <v>38</v>
      </c>
      <c r="P222" s="113">
        <v>5</v>
      </c>
      <c r="Q222" s="113">
        <v>43</v>
      </c>
      <c r="R222" s="113">
        <v>7</v>
      </c>
      <c r="S222" s="113">
        <v>1</v>
      </c>
      <c r="T222" s="113">
        <v>8</v>
      </c>
      <c r="U222" s="113">
        <v>4</v>
      </c>
      <c r="V222" s="113">
        <v>0</v>
      </c>
      <c r="W222" s="113">
        <v>4</v>
      </c>
      <c r="X222" s="113">
        <v>59</v>
      </c>
      <c r="Y222" s="113">
        <v>9</v>
      </c>
      <c r="Z222" s="113">
        <v>68</v>
      </c>
    </row>
    <row r="223" spans="1:26">
      <c r="A223" s="115">
        <v>219</v>
      </c>
      <c r="B223" s="259" t="s">
        <v>433</v>
      </c>
      <c r="C223" s="113">
        <v>129937</v>
      </c>
      <c r="D223" s="113">
        <v>104662</v>
      </c>
      <c r="E223" s="113">
        <v>234599</v>
      </c>
      <c r="F223" s="113">
        <v>16532</v>
      </c>
      <c r="G223" s="113">
        <v>12558</v>
      </c>
      <c r="H223" s="113">
        <v>29090</v>
      </c>
      <c r="I223" s="113">
        <v>7138</v>
      </c>
      <c r="J223" s="113">
        <v>6459</v>
      </c>
      <c r="K223" s="113">
        <v>13597</v>
      </c>
      <c r="L223" s="113">
        <v>37089</v>
      </c>
      <c r="M223" s="113">
        <v>28004</v>
      </c>
      <c r="N223" s="113">
        <v>65093</v>
      </c>
      <c r="O223" s="113">
        <v>633</v>
      </c>
      <c r="P223" s="113">
        <v>300</v>
      </c>
      <c r="Q223" s="113">
        <v>933</v>
      </c>
      <c r="R223" s="113">
        <v>2410</v>
      </c>
      <c r="S223" s="113">
        <v>2289</v>
      </c>
      <c r="T223" s="113">
        <v>4699</v>
      </c>
      <c r="U223" s="113">
        <v>2230</v>
      </c>
      <c r="V223" s="113">
        <v>2368</v>
      </c>
      <c r="W223" s="113">
        <v>4598</v>
      </c>
      <c r="X223" s="113">
        <v>1897</v>
      </c>
      <c r="Y223" s="113">
        <v>1275</v>
      </c>
      <c r="Z223" s="113">
        <v>3172</v>
      </c>
    </row>
    <row r="224" spans="1:26">
      <c r="A224" s="115">
        <v>220</v>
      </c>
      <c r="B224" s="259" t="s">
        <v>794</v>
      </c>
      <c r="C224" s="113">
        <v>11</v>
      </c>
      <c r="D224" s="113">
        <v>30</v>
      </c>
      <c r="E224" s="113">
        <v>41</v>
      </c>
      <c r="F224" s="113">
        <v>1</v>
      </c>
      <c r="G224" s="113">
        <v>1</v>
      </c>
      <c r="H224" s="113">
        <v>2</v>
      </c>
      <c r="I224" s="113">
        <v>0</v>
      </c>
      <c r="J224" s="113">
        <v>3</v>
      </c>
      <c r="K224" s="113">
        <v>3</v>
      </c>
      <c r="L224" s="113">
        <v>0</v>
      </c>
      <c r="M224" s="113">
        <v>1</v>
      </c>
      <c r="N224" s="113">
        <v>1</v>
      </c>
      <c r="O224" s="113">
        <v>0</v>
      </c>
      <c r="P224" s="113">
        <v>0</v>
      </c>
      <c r="Q224" s="113">
        <v>0</v>
      </c>
      <c r="R224" s="113">
        <v>2</v>
      </c>
      <c r="S224" s="113">
        <v>1</v>
      </c>
      <c r="T224" s="113">
        <v>3</v>
      </c>
      <c r="U224" s="113">
        <v>0</v>
      </c>
      <c r="V224" s="113">
        <v>3</v>
      </c>
      <c r="W224" s="113">
        <v>3</v>
      </c>
      <c r="X224" s="113">
        <v>0</v>
      </c>
      <c r="Y224" s="113">
        <v>0</v>
      </c>
      <c r="Z224" s="113">
        <v>0</v>
      </c>
    </row>
    <row r="225" spans="1:26">
      <c r="A225" s="115">
        <v>221</v>
      </c>
      <c r="B225" s="259" t="s">
        <v>275</v>
      </c>
      <c r="C225" s="113">
        <v>111225</v>
      </c>
      <c r="D225" s="113">
        <v>97208</v>
      </c>
      <c r="E225" s="113">
        <v>208433</v>
      </c>
      <c r="F225" s="113">
        <v>12047</v>
      </c>
      <c r="G225" s="113">
        <v>7895</v>
      </c>
      <c r="H225" s="113">
        <v>19942</v>
      </c>
      <c r="I225" s="113">
        <v>4630</v>
      </c>
      <c r="J225" s="113">
        <v>3770</v>
      </c>
      <c r="K225" s="113">
        <v>8400</v>
      </c>
      <c r="L225" s="113">
        <v>29008</v>
      </c>
      <c r="M225" s="113">
        <v>24238</v>
      </c>
      <c r="N225" s="113">
        <v>53246</v>
      </c>
      <c r="O225" s="113">
        <v>479</v>
      </c>
      <c r="P225" s="113">
        <v>185</v>
      </c>
      <c r="Q225" s="113">
        <v>664</v>
      </c>
      <c r="R225" s="113">
        <v>5526</v>
      </c>
      <c r="S225" s="113">
        <v>4072</v>
      </c>
      <c r="T225" s="113">
        <v>9598</v>
      </c>
      <c r="U225" s="113">
        <v>4622</v>
      </c>
      <c r="V225" s="113">
        <v>5965</v>
      </c>
      <c r="W225" s="113">
        <v>10587</v>
      </c>
      <c r="X225" s="113">
        <v>2413</v>
      </c>
      <c r="Y225" s="113">
        <v>1936</v>
      </c>
      <c r="Z225" s="113">
        <v>4349</v>
      </c>
    </row>
    <row r="226" spans="1:26">
      <c r="A226" s="115">
        <v>222</v>
      </c>
      <c r="B226" s="259" t="s">
        <v>295</v>
      </c>
      <c r="C226" s="113">
        <v>14704</v>
      </c>
      <c r="D226" s="113">
        <v>23063</v>
      </c>
      <c r="E226" s="113">
        <v>37767</v>
      </c>
      <c r="F226" s="113">
        <v>1355</v>
      </c>
      <c r="G226" s="113">
        <v>2366</v>
      </c>
      <c r="H226" s="113">
        <v>3721</v>
      </c>
      <c r="I226" s="113">
        <v>529</v>
      </c>
      <c r="J226" s="113">
        <v>637</v>
      </c>
      <c r="K226" s="113">
        <v>1166</v>
      </c>
      <c r="L226" s="113">
        <v>6459</v>
      </c>
      <c r="M226" s="113">
        <v>10295</v>
      </c>
      <c r="N226" s="113">
        <v>16754</v>
      </c>
      <c r="O226" s="113">
        <v>4</v>
      </c>
      <c r="P226" s="113">
        <v>4</v>
      </c>
      <c r="Q226" s="113">
        <v>8</v>
      </c>
      <c r="R226" s="113">
        <v>1624</v>
      </c>
      <c r="S226" s="113">
        <v>2525</v>
      </c>
      <c r="T226" s="113">
        <v>4149</v>
      </c>
      <c r="U226" s="113">
        <v>488</v>
      </c>
      <c r="V226" s="113">
        <v>1012</v>
      </c>
      <c r="W226" s="113">
        <v>1500</v>
      </c>
      <c r="X226" s="113">
        <v>171</v>
      </c>
      <c r="Y226" s="113">
        <v>372</v>
      </c>
      <c r="Z226" s="113">
        <v>543</v>
      </c>
    </row>
    <row r="227" spans="1:26">
      <c r="A227" s="115">
        <v>223</v>
      </c>
      <c r="B227" s="259" t="s">
        <v>802</v>
      </c>
      <c r="C227" s="113">
        <v>21</v>
      </c>
      <c r="D227" s="113">
        <v>39</v>
      </c>
      <c r="E227" s="113">
        <v>60</v>
      </c>
      <c r="F227" s="113">
        <v>0</v>
      </c>
      <c r="G227" s="113">
        <v>0</v>
      </c>
      <c r="H227" s="113">
        <v>0</v>
      </c>
      <c r="I227" s="113">
        <v>8</v>
      </c>
      <c r="J227" s="113">
        <v>17</v>
      </c>
      <c r="K227" s="113">
        <v>25</v>
      </c>
      <c r="L227" s="113">
        <v>0</v>
      </c>
      <c r="M227" s="113">
        <v>0</v>
      </c>
      <c r="N227" s="113">
        <v>0</v>
      </c>
      <c r="O227" s="113">
        <v>0</v>
      </c>
      <c r="P227" s="113">
        <v>0</v>
      </c>
      <c r="Q227" s="113">
        <v>0</v>
      </c>
      <c r="R227" s="113">
        <v>3</v>
      </c>
      <c r="S227" s="113">
        <v>8</v>
      </c>
      <c r="T227" s="113">
        <v>11</v>
      </c>
      <c r="U227" s="113">
        <v>0</v>
      </c>
      <c r="V227" s="113">
        <v>0</v>
      </c>
      <c r="W227" s="113">
        <v>0</v>
      </c>
      <c r="X227" s="113">
        <v>0</v>
      </c>
      <c r="Y227" s="113">
        <v>0</v>
      </c>
      <c r="Z227" s="113">
        <v>0</v>
      </c>
    </row>
    <row r="228" spans="1:26">
      <c r="A228" s="115">
        <v>224</v>
      </c>
      <c r="B228" s="259" t="s">
        <v>808</v>
      </c>
      <c r="C228" s="113">
        <v>1</v>
      </c>
      <c r="D228" s="113">
        <v>2</v>
      </c>
      <c r="E228" s="113">
        <v>3</v>
      </c>
      <c r="F228" s="113">
        <v>0</v>
      </c>
      <c r="G228" s="113">
        <v>1</v>
      </c>
      <c r="H228" s="113">
        <v>1</v>
      </c>
      <c r="I228" s="113">
        <v>0</v>
      </c>
      <c r="J228" s="113">
        <v>0</v>
      </c>
      <c r="K228" s="113">
        <v>0</v>
      </c>
      <c r="L228" s="113">
        <v>1</v>
      </c>
      <c r="M228" s="113">
        <v>1</v>
      </c>
      <c r="N228" s="113">
        <v>2</v>
      </c>
      <c r="O228" s="113">
        <v>0</v>
      </c>
      <c r="P228" s="113">
        <v>0</v>
      </c>
      <c r="Q228" s="113">
        <v>0</v>
      </c>
      <c r="R228" s="113">
        <v>0</v>
      </c>
      <c r="S228" s="113">
        <v>0</v>
      </c>
      <c r="T228" s="113">
        <v>0</v>
      </c>
      <c r="U228" s="113">
        <v>0</v>
      </c>
      <c r="V228" s="113">
        <v>1</v>
      </c>
      <c r="W228" s="113">
        <v>1</v>
      </c>
      <c r="X228" s="113">
        <v>0</v>
      </c>
      <c r="Y228" s="113">
        <v>0</v>
      </c>
      <c r="Z228" s="113">
        <v>0</v>
      </c>
    </row>
    <row r="229" spans="1:26" ht="25.5">
      <c r="A229" s="115">
        <v>225</v>
      </c>
      <c r="B229" s="259" t="s">
        <v>984</v>
      </c>
      <c r="C229" s="113">
        <v>80</v>
      </c>
      <c r="D229" s="113">
        <v>70</v>
      </c>
      <c r="E229" s="113">
        <v>150</v>
      </c>
      <c r="F229" s="113">
        <v>10</v>
      </c>
      <c r="G229" s="113">
        <v>12</v>
      </c>
      <c r="H229" s="113">
        <v>22</v>
      </c>
      <c r="I229" s="113">
        <v>16</v>
      </c>
      <c r="J229" s="113">
        <v>8</v>
      </c>
      <c r="K229" s="113">
        <v>24</v>
      </c>
      <c r="L229" s="113">
        <v>47</v>
      </c>
      <c r="M229" s="113">
        <v>44</v>
      </c>
      <c r="N229" s="113">
        <v>91</v>
      </c>
      <c r="O229" s="113">
        <v>2</v>
      </c>
      <c r="P229" s="113">
        <v>0</v>
      </c>
      <c r="Q229" s="113">
        <v>2</v>
      </c>
      <c r="R229" s="113">
        <v>2</v>
      </c>
      <c r="S229" s="113">
        <v>0</v>
      </c>
      <c r="T229" s="113">
        <v>2</v>
      </c>
      <c r="U229" s="113">
        <v>0</v>
      </c>
      <c r="V229" s="113">
        <v>0</v>
      </c>
      <c r="W229" s="113">
        <v>0</v>
      </c>
      <c r="X229" s="113">
        <v>0</v>
      </c>
      <c r="Y229" s="113">
        <v>0</v>
      </c>
      <c r="Z229" s="113">
        <v>0</v>
      </c>
    </row>
    <row r="230" spans="1:26" ht="25.5">
      <c r="A230" s="115">
        <v>226</v>
      </c>
      <c r="B230" s="259" t="s">
        <v>985</v>
      </c>
      <c r="C230" s="113">
        <v>49</v>
      </c>
      <c r="D230" s="113">
        <v>42</v>
      </c>
      <c r="E230" s="113">
        <v>91</v>
      </c>
      <c r="F230" s="113">
        <v>12</v>
      </c>
      <c r="G230" s="113">
        <v>13</v>
      </c>
      <c r="H230" s="113">
        <v>25</v>
      </c>
      <c r="I230" s="113">
        <v>4</v>
      </c>
      <c r="J230" s="113">
        <v>3</v>
      </c>
      <c r="K230" s="113">
        <v>7</v>
      </c>
      <c r="L230" s="113">
        <v>33</v>
      </c>
      <c r="M230" s="113">
        <v>26</v>
      </c>
      <c r="N230" s="113">
        <v>59</v>
      </c>
      <c r="O230" s="113">
        <v>0</v>
      </c>
      <c r="P230" s="113">
        <v>0</v>
      </c>
      <c r="Q230" s="113">
        <v>0</v>
      </c>
      <c r="R230" s="113">
        <v>0</v>
      </c>
      <c r="S230" s="113">
        <v>6</v>
      </c>
      <c r="T230" s="113">
        <v>6</v>
      </c>
      <c r="U230" s="113">
        <v>0</v>
      </c>
      <c r="V230" s="113">
        <v>0</v>
      </c>
      <c r="W230" s="113">
        <v>0</v>
      </c>
      <c r="X230" s="113">
        <v>0</v>
      </c>
      <c r="Y230" s="113">
        <v>0</v>
      </c>
      <c r="Z230" s="113">
        <v>0</v>
      </c>
    </row>
    <row r="231" spans="1:26" ht="25.5">
      <c r="A231" s="115">
        <v>227</v>
      </c>
      <c r="B231" s="259" t="s">
        <v>426</v>
      </c>
      <c r="C231" s="113">
        <v>286</v>
      </c>
      <c r="D231" s="113">
        <v>0</v>
      </c>
      <c r="E231" s="113">
        <v>286</v>
      </c>
      <c r="F231" s="113">
        <v>38</v>
      </c>
      <c r="G231" s="113">
        <v>0</v>
      </c>
      <c r="H231" s="113">
        <v>38</v>
      </c>
      <c r="I231" s="113">
        <v>29</v>
      </c>
      <c r="J231" s="113">
        <v>0</v>
      </c>
      <c r="K231" s="113">
        <v>29</v>
      </c>
      <c r="L231" s="113">
        <v>195</v>
      </c>
      <c r="M231" s="113">
        <v>0</v>
      </c>
      <c r="N231" s="113">
        <v>195</v>
      </c>
      <c r="O231" s="113">
        <v>0</v>
      </c>
      <c r="P231" s="113">
        <v>0</v>
      </c>
      <c r="Q231" s="113">
        <v>0</v>
      </c>
      <c r="R231" s="113">
        <v>0</v>
      </c>
      <c r="S231" s="113">
        <v>0</v>
      </c>
      <c r="T231" s="113">
        <v>0</v>
      </c>
      <c r="U231" s="113">
        <v>0</v>
      </c>
      <c r="V231" s="113">
        <v>0</v>
      </c>
      <c r="W231" s="113">
        <v>0</v>
      </c>
      <c r="X231" s="113">
        <v>12</v>
      </c>
      <c r="Y231" s="113">
        <v>0</v>
      </c>
      <c r="Z231" s="113">
        <v>12</v>
      </c>
    </row>
    <row r="232" spans="1:26">
      <c r="A232" s="115">
        <v>228</v>
      </c>
      <c r="B232" s="259" t="s">
        <v>373</v>
      </c>
      <c r="C232" s="113">
        <v>34443</v>
      </c>
      <c r="D232" s="113">
        <v>21315</v>
      </c>
      <c r="E232" s="113">
        <v>55758</v>
      </c>
      <c r="F232" s="113">
        <v>2967</v>
      </c>
      <c r="G232" s="113">
        <v>3502</v>
      </c>
      <c r="H232" s="113">
        <v>6469</v>
      </c>
      <c r="I232" s="113">
        <v>1546</v>
      </c>
      <c r="J232" s="113">
        <v>1735</v>
      </c>
      <c r="K232" s="113">
        <v>3281</v>
      </c>
      <c r="L232" s="113">
        <v>7669</v>
      </c>
      <c r="M232" s="113">
        <v>7757</v>
      </c>
      <c r="N232" s="113">
        <v>15426</v>
      </c>
      <c r="O232" s="113">
        <v>9</v>
      </c>
      <c r="P232" s="113">
        <v>8</v>
      </c>
      <c r="Q232" s="113">
        <v>17</v>
      </c>
      <c r="R232" s="113">
        <v>82</v>
      </c>
      <c r="S232" s="113">
        <v>93</v>
      </c>
      <c r="T232" s="113">
        <v>175</v>
      </c>
      <c r="U232" s="113">
        <v>304</v>
      </c>
      <c r="V232" s="113">
        <v>82</v>
      </c>
      <c r="W232" s="113">
        <v>386</v>
      </c>
      <c r="X232" s="113">
        <v>286</v>
      </c>
      <c r="Y232" s="113">
        <v>101</v>
      </c>
      <c r="Z232" s="113">
        <v>387</v>
      </c>
    </row>
    <row r="233" spans="1:26">
      <c r="A233" s="115">
        <v>229</v>
      </c>
      <c r="B233" s="259" t="s">
        <v>333</v>
      </c>
      <c r="C233" s="113">
        <v>195</v>
      </c>
      <c r="D233" s="113">
        <v>94</v>
      </c>
      <c r="E233" s="113">
        <v>289</v>
      </c>
      <c r="F233" s="113">
        <v>15</v>
      </c>
      <c r="G233" s="113">
        <v>2</v>
      </c>
      <c r="H233" s="113">
        <v>17</v>
      </c>
      <c r="I233" s="113">
        <v>2</v>
      </c>
      <c r="J233" s="113">
        <v>0</v>
      </c>
      <c r="K233" s="113">
        <v>2</v>
      </c>
      <c r="L233" s="113">
        <v>42</v>
      </c>
      <c r="M233" s="113">
        <v>36</v>
      </c>
      <c r="N233" s="113">
        <v>78</v>
      </c>
      <c r="O233" s="113">
        <v>2</v>
      </c>
      <c r="P233" s="113">
        <v>0</v>
      </c>
      <c r="Q233" s="113">
        <v>2</v>
      </c>
      <c r="R233" s="113">
        <v>0</v>
      </c>
      <c r="S233" s="113">
        <v>0</v>
      </c>
      <c r="T233" s="113">
        <v>0</v>
      </c>
      <c r="U233" s="113">
        <v>0</v>
      </c>
      <c r="V233" s="113">
        <v>0</v>
      </c>
      <c r="W233" s="113">
        <v>0</v>
      </c>
      <c r="X233" s="113">
        <v>26</v>
      </c>
      <c r="Y233" s="113">
        <v>6</v>
      </c>
      <c r="Z233" s="113">
        <v>32</v>
      </c>
    </row>
    <row r="234" spans="1:26">
      <c r="A234" s="115">
        <v>230</v>
      </c>
      <c r="B234" s="259" t="s">
        <v>393</v>
      </c>
      <c r="C234" s="113">
        <v>2955</v>
      </c>
      <c r="D234" s="113">
        <v>3561</v>
      </c>
      <c r="E234" s="113">
        <v>6516</v>
      </c>
      <c r="F234" s="113">
        <v>416</v>
      </c>
      <c r="G234" s="113">
        <v>558</v>
      </c>
      <c r="H234" s="113">
        <v>974</v>
      </c>
      <c r="I234" s="113">
        <v>395</v>
      </c>
      <c r="J234" s="113">
        <v>524</v>
      </c>
      <c r="K234" s="113">
        <v>919</v>
      </c>
      <c r="L234" s="113">
        <v>916</v>
      </c>
      <c r="M234" s="113">
        <v>1393</v>
      </c>
      <c r="N234" s="113">
        <v>2309</v>
      </c>
      <c r="O234" s="113">
        <v>6</v>
      </c>
      <c r="P234" s="113">
        <v>5</v>
      </c>
      <c r="Q234" s="113">
        <v>11</v>
      </c>
      <c r="R234" s="113">
        <v>6</v>
      </c>
      <c r="S234" s="113">
        <v>1</v>
      </c>
      <c r="T234" s="113">
        <v>7</v>
      </c>
      <c r="U234" s="113">
        <v>9</v>
      </c>
      <c r="V234" s="113">
        <v>4</v>
      </c>
      <c r="W234" s="113">
        <v>13</v>
      </c>
      <c r="X234" s="113">
        <v>146</v>
      </c>
      <c r="Y234" s="113">
        <v>99</v>
      </c>
      <c r="Z234" s="113">
        <v>245</v>
      </c>
    </row>
    <row r="235" spans="1:26">
      <c r="A235" s="115">
        <v>231</v>
      </c>
      <c r="B235" s="259" t="s">
        <v>803</v>
      </c>
      <c r="C235" s="113">
        <v>65</v>
      </c>
      <c r="D235" s="113">
        <v>131</v>
      </c>
      <c r="E235" s="113">
        <v>196</v>
      </c>
      <c r="F235" s="113">
        <v>25</v>
      </c>
      <c r="G235" s="113">
        <v>43</v>
      </c>
      <c r="H235" s="113">
        <v>68</v>
      </c>
      <c r="I235" s="113">
        <v>6</v>
      </c>
      <c r="J235" s="113">
        <v>1</v>
      </c>
      <c r="K235" s="113">
        <v>7</v>
      </c>
      <c r="L235" s="113">
        <v>17</v>
      </c>
      <c r="M235" s="113">
        <v>33</v>
      </c>
      <c r="N235" s="113">
        <v>50</v>
      </c>
      <c r="O235" s="113">
        <v>0</v>
      </c>
      <c r="P235" s="113">
        <v>0</v>
      </c>
      <c r="Q235" s="113">
        <v>0</v>
      </c>
      <c r="R235" s="113">
        <v>0</v>
      </c>
      <c r="S235" s="113">
        <v>9</v>
      </c>
      <c r="T235" s="113">
        <v>9</v>
      </c>
      <c r="U235" s="113">
        <v>0</v>
      </c>
      <c r="V235" s="113">
        <v>5</v>
      </c>
      <c r="W235" s="113">
        <v>5</v>
      </c>
      <c r="X235" s="113">
        <v>0</v>
      </c>
      <c r="Y235" s="113">
        <v>8</v>
      </c>
      <c r="Z235" s="113">
        <v>8</v>
      </c>
    </row>
    <row r="236" spans="1:26">
      <c r="A236" s="115">
        <v>232</v>
      </c>
      <c r="B236" s="259" t="s">
        <v>316</v>
      </c>
      <c r="C236" s="113">
        <v>1008</v>
      </c>
      <c r="D236" s="113">
        <v>1955</v>
      </c>
      <c r="E236" s="113">
        <v>2963</v>
      </c>
      <c r="F236" s="113">
        <v>114</v>
      </c>
      <c r="G236" s="113">
        <v>198</v>
      </c>
      <c r="H236" s="113">
        <v>312</v>
      </c>
      <c r="I236" s="113">
        <v>29</v>
      </c>
      <c r="J236" s="113">
        <v>77</v>
      </c>
      <c r="K236" s="113">
        <v>106</v>
      </c>
      <c r="L236" s="113">
        <v>353</v>
      </c>
      <c r="M236" s="113">
        <v>673</v>
      </c>
      <c r="N236" s="113">
        <v>1026</v>
      </c>
      <c r="O236" s="113">
        <v>0</v>
      </c>
      <c r="P236" s="113">
        <v>0</v>
      </c>
      <c r="Q236" s="113">
        <v>0</v>
      </c>
      <c r="R236" s="113">
        <v>20</v>
      </c>
      <c r="S236" s="113">
        <v>15</v>
      </c>
      <c r="T236" s="113">
        <v>35</v>
      </c>
      <c r="U236" s="113">
        <v>3</v>
      </c>
      <c r="V236" s="113">
        <v>18</v>
      </c>
      <c r="W236" s="113">
        <v>21</v>
      </c>
      <c r="X236" s="113">
        <v>35</v>
      </c>
      <c r="Y236" s="113">
        <v>59</v>
      </c>
      <c r="Z236" s="113">
        <v>94</v>
      </c>
    </row>
    <row r="237" spans="1:26">
      <c r="A237" s="115">
        <v>233</v>
      </c>
      <c r="B237" s="259" t="s">
        <v>419</v>
      </c>
      <c r="C237" s="113">
        <v>86</v>
      </c>
      <c r="D237" s="113">
        <v>11</v>
      </c>
      <c r="E237" s="113">
        <v>97</v>
      </c>
      <c r="F237" s="113">
        <v>4</v>
      </c>
      <c r="G237" s="113">
        <v>0</v>
      </c>
      <c r="H237" s="113">
        <v>4</v>
      </c>
      <c r="I237" s="113">
        <v>1</v>
      </c>
      <c r="J237" s="113">
        <v>0</v>
      </c>
      <c r="K237" s="113">
        <v>1</v>
      </c>
      <c r="L237" s="113">
        <v>8</v>
      </c>
      <c r="M237" s="113">
        <v>0</v>
      </c>
      <c r="N237" s="113">
        <v>8</v>
      </c>
      <c r="O237" s="113">
        <v>0</v>
      </c>
      <c r="P237" s="113">
        <v>0</v>
      </c>
      <c r="Q237" s="113">
        <v>0</v>
      </c>
      <c r="R237" s="113">
        <v>0</v>
      </c>
      <c r="S237" s="113">
        <v>0</v>
      </c>
      <c r="T237" s="113">
        <v>0</v>
      </c>
      <c r="U237" s="113">
        <v>0</v>
      </c>
      <c r="V237" s="113">
        <v>0</v>
      </c>
      <c r="W237" s="113">
        <v>0</v>
      </c>
      <c r="X237" s="113">
        <v>0</v>
      </c>
      <c r="Y237" s="113">
        <v>0</v>
      </c>
      <c r="Z237" s="113">
        <v>0</v>
      </c>
    </row>
    <row r="238" spans="1:26">
      <c r="A238" s="115">
        <v>234</v>
      </c>
      <c r="B238" s="259" t="s">
        <v>986</v>
      </c>
      <c r="C238" s="113">
        <v>1</v>
      </c>
      <c r="D238" s="113">
        <v>1</v>
      </c>
      <c r="E238" s="113">
        <v>2</v>
      </c>
      <c r="F238" s="113">
        <v>0</v>
      </c>
      <c r="G238" s="113">
        <v>0</v>
      </c>
      <c r="H238" s="113">
        <v>0</v>
      </c>
      <c r="I238" s="113">
        <v>0</v>
      </c>
      <c r="J238" s="113">
        <v>0</v>
      </c>
      <c r="K238" s="113">
        <v>0</v>
      </c>
      <c r="L238" s="113">
        <v>0</v>
      </c>
      <c r="M238" s="113">
        <v>0</v>
      </c>
      <c r="N238" s="113">
        <v>0</v>
      </c>
      <c r="O238" s="113">
        <v>0</v>
      </c>
      <c r="P238" s="113">
        <v>0</v>
      </c>
      <c r="Q238" s="113">
        <v>0</v>
      </c>
      <c r="R238" s="113">
        <v>0</v>
      </c>
      <c r="S238" s="113">
        <v>0</v>
      </c>
      <c r="T238" s="113">
        <v>0</v>
      </c>
      <c r="U238" s="113">
        <v>0</v>
      </c>
      <c r="V238" s="113">
        <v>0</v>
      </c>
      <c r="W238" s="113">
        <v>0</v>
      </c>
      <c r="X238" s="113">
        <v>0</v>
      </c>
      <c r="Y238" s="113">
        <v>0</v>
      </c>
      <c r="Z238" s="113">
        <v>0</v>
      </c>
    </row>
    <row r="239" spans="1:26">
      <c r="A239" s="115">
        <v>235</v>
      </c>
      <c r="B239" s="259" t="s">
        <v>276</v>
      </c>
      <c r="C239" s="113">
        <v>312</v>
      </c>
      <c r="D239" s="113">
        <v>128</v>
      </c>
      <c r="E239" s="113">
        <v>440</v>
      </c>
      <c r="F239" s="113">
        <v>31</v>
      </c>
      <c r="G239" s="113">
        <v>8</v>
      </c>
      <c r="H239" s="113">
        <v>39</v>
      </c>
      <c r="I239" s="113">
        <v>8</v>
      </c>
      <c r="J239" s="113">
        <v>7</v>
      </c>
      <c r="K239" s="113">
        <v>15</v>
      </c>
      <c r="L239" s="113">
        <v>46</v>
      </c>
      <c r="M239" s="113">
        <v>30</v>
      </c>
      <c r="N239" s="113">
        <v>76</v>
      </c>
      <c r="O239" s="113">
        <v>1</v>
      </c>
      <c r="P239" s="113">
        <v>0</v>
      </c>
      <c r="Q239" s="113">
        <v>1</v>
      </c>
      <c r="R239" s="113">
        <v>0</v>
      </c>
      <c r="S239" s="113">
        <v>0</v>
      </c>
      <c r="T239" s="113">
        <v>0</v>
      </c>
      <c r="U239" s="113">
        <v>0</v>
      </c>
      <c r="V239" s="113">
        <v>0</v>
      </c>
      <c r="W239" s="113">
        <v>0</v>
      </c>
      <c r="X239" s="113">
        <v>28</v>
      </c>
      <c r="Y239" s="113">
        <v>15</v>
      </c>
      <c r="Z239" s="113">
        <v>43</v>
      </c>
    </row>
    <row r="240" spans="1:26">
      <c r="A240" s="115">
        <v>236</v>
      </c>
      <c r="B240" s="259" t="s">
        <v>417</v>
      </c>
      <c r="C240" s="113">
        <v>425</v>
      </c>
      <c r="D240" s="113">
        <v>168</v>
      </c>
      <c r="E240" s="113">
        <v>593</v>
      </c>
      <c r="F240" s="113">
        <v>99</v>
      </c>
      <c r="G240" s="113">
        <v>61</v>
      </c>
      <c r="H240" s="113">
        <v>160</v>
      </c>
      <c r="I240" s="113">
        <v>7</v>
      </c>
      <c r="J240" s="113">
        <v>15</v>
      </c>
      <c r="K240" s="113">
        <v>22</v>
      </c>
      <c r="L240" s="113">
        <v>263</v>
      </c>
      <c r="M240" s="113">
        <v>69</v>
      </c>
      <c r="N240" s="113">
        <v>332</v>
      </c>
      <c r="O240" s="113">
        <v>0</v>
      </c>
      <c r="P240" s="113">
        <v>0</v>
      </c>
      <c r="Q240" s="113">
        <v>0</v>
      </c>
      <c r="R240" s="113">
        <v>0</v>
      </c>
      <c r="S240" s="113">
        <v>0</v>
      </c>
      <c r="T240" s="113">
        <v>0</v>
      </c>
      <c r="U240" s="113">
        <v>0</v>
      </c>
      <c r="V240" s="113">
        <v>0</v>
      </c>
      <c r="W240" s="113">
        <v>0</v>
      </c>
      <c r="X240" s="113">
        <v>23</v>
      </c>
      <c r="Y240" s="113">
        <v>9</v>
      </c>
      <c r="Z240" s="113">
        <v>32</v>
      </c>
    </row>
    <row r="241" spans="1:26">
      <c r="A241" s="1018" t="s">
        <v>60</v>
      </c>
      <c r="B241" s="1018"/>
      <c r="C241" s="115">
        <v>22028992</v>
      </c>
      <c r="D241" s="115">
        <v>20128123</v>
      </c>
      <c r="E241" s="115">
        <v>42157115</v>
      </c>
      <c r="F241" s="115">
        <v>3361117</v>
      </c>
      <c r="G241" s="115">
        <v>3074735</v>
      </c>
      <c r="H241" s="115">
        <v>6435852</v>
      </c>
      <c r="I241" s="115">
        <v>1338515</v>
      </c>
      <c r="J241" s="115">
        <v>1314862</v>
      </c>
      <c r="K241" s="115">
        <v>2653377</v>
      </c>
      <c r="L241" s="115">
        <v>8290864</v>
      </c>
      <c r="M241" s="115">
        <v>7578959</v>
      </c>
      <c r="N241" s="115">
        <v>15869823</v>
      </c>
      <c r="O241" s="115">
        <v>50180</v>
      </c>
      <c r="P241" s="115">
        <v>36189</v>
      </c>
      <c r="Q241" s="115">
        <v>86369</v>
      </c>
      <c r="R241" s="115">
        <v>1039010</v>
      </c>
      <c r="S241" s="115">
        <v>1003037</v>
      </c>
      <c r="T241" s="115">
        <v>2042047</v>
      </c>
      <c r="U241" s="115">
        <v>419875</v>
      </c>
      <c r="V241" s="115">
        <v>468440</v>
      </c>
      <c r="W241" s="115">
        <v>888315</v>
      </c>
      <c r="X241" s="115">
        <v>348462</v>
      </c>
      <c r="Y241" s="115">
        <v>294959</v>
      </c>
      <c r="Z241" s="115">
        <v>643421</v>
      </c>
    </row>
  </sheetData>
  <mergeCells count="14">
    <mergeCell ref="L1:T1"/>
    <mergeCell ref="O2:Q2"/>
    <mergeCell ref="R2:T2"/>
    <mergeCell ref="C1:K1"/>
    <mergeCell ref="A241:B241"/>
    <mergeCell ref="A1:B1"/>
    <mergeCell ref="A2:A3"/>
    <mergeCell ref="B2:B3"/>
    <mergeCell ref="C2:E2"/>
    <mergeCell ref="U2:W2"/>
    <mergeCell ref="X2:Z2"/>
    <mergeCell ref="F2:H2"/>
    <mergeCell ref="I2:K2"/>
    <mergeCell ref="L2:N2"/>
  </mergeCells>
  <pageMargins left="0.51181102362204722" right="0.51181102362204722" top="0.39370078740157483" bottom="0.39370078740157483" header="0.19685039370078741" footer="7.874015748031496E-2"/>
  <pageSetup paperSize="9" scale="66" firstPageNumber="28" pageOrder="overThenDown" orientation="portrait" useFirstPageNumber="1" r:id="rId1"/>
  <headerFooter>
    <oddFooter>&amp;L&amp;9AISHE 2021-22&amp;CT-11</oddFooter>
  </headerFooter>
  <rowBreaks count="4" manualBreakCount="4">
    <brk id="54" max="25" man="1"/>
    <brk id="104" max="25" man="1"/>
    <brk id="154" max="25" man="1"/>
    <brk id="204" max="25" man="1"/>
  </rowBreaks>
  <colBreaks count="2" manualBreakCount="2">
    <brk id="11" max="240" man="1"/>
    <brk id="20" max="240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9CE6-7533-4540-B5E7-9B53018F3837}">
  <sheetPr>
    <tabColor rgb="FF00B050"/>
  </sheetPr>
  <dimension ref="A1:Z81"/>
  <sheetViews>
    <sheetView view="pageBreakPreview" zoomScaleSheetLayoutView="100" workbookViewId="0">
      <pane ySplit="4" topLeftCell="A5" activePane="bottomLeft" state="frozen"/>
      <selection activeCell="F15" sqref="F15"/>
      <selection pane="bottomLeft" activeCell="C3" sqref="C1:H1048576"/>
    </sheetView>
  </sheetViews>
  <sheetFormatPr defaultColWidth="9.28515625" defaultRowHeight="15"/>
  <cols>
    <col min="1" max="1" width="4.140625" style="744" bestFit="1" customWidth="1"/>
    <col min="2" max="2" width="57.85546875" style="745" bestFit="1" customWidth="1"/>
    <col min="3" max="8" width="14.42578125" style="746" customWidth="1"/>
    <col min="9" max="17" width="10" style="746" customWidth="1"/>
    <col min="18" max="26" width="10.140625" style="746" customWidth="1"/>
    <col min="27" max="16384" width="9.28515625" style="740"/>
  </cols>
  <sheetData>
    <row r="1" spans="1:26" s="731" customFormat="1" ht="33" customHeight="1">
      <c r="A1" s="1025"/>
      <c r="B1" s="1025"/>
      <c r="C1" s="1026" t="s">
        <v>895</v>
      </c>
      <c r="D1" s="1027"/>
      <c r="E1" s="1027"/>
      <c r="F1" s="1027"/>
      <c r="G1" s="1027"/>
      <c r="H1" s="1027"/>
      <c r="I1" s="1026" t="s">
        <v>895</v>
      </c>
      <c r="J1" s="1026"/>
      <c r="K1" s="1026"/>
      <c r="L1" s="1026"/>
      <c r="M1" s="1026"/>
      <c r="N1" s="1026"/>
      <c r="O1" s="1026"/>
      <c r="P1" s="1026"/>
      <c r="Q1" s="1026"/>
      <c r="R1" s="1026" t="s">
        <v>458</v>
      </c>
      <c r="S1" s="1026"/>
      <c r="T1" s="1026"/>
      <c r="U1" s="1026"/>
      <c r="V1" s="1026"/>
      <c r="W1" s="1026"/>
      <c r="X1" s="1026"/>
      <c r="Y1" s="1026"/>
      <c r="Z1" s="1026"/>
    </row>
    <row r="2" spans="1:26" s="733" customFormat="1" ht="28.5" customHeight="1">
      <c r="A2" s="1028" t="s">
        <v>167</v>
      </c>
      <c r="B2" s="1029" t="s">
        <v>459</v>
      </c>
      <c r="C2" s="1030" t="s">
        <v>136</v>
      </c>
      <c r="D2" s="1030"/>
      <c r="E2" s="1030"/>
      <c r="F2" s="1030" t="s">
        <v>460</v>
      </c>
      <c r="G2" s="1030"/>
      <c r="H2" s="1030"/>
      <c r="I2" s="1030" t="s">
        <v>242</v>
      </c>
      <c r="J2" s="1030"/>
      <c r="K2" s="1030"/>
      <c r="L2" s="1030" t="s">
        <v>243</v>
      </c>
      <c r="M2" s="1030"/>
      <c r="N2" s="1030"/>
      <c r="O2" s="1016" t="s">
        <v>105</v>
      </c>
      <c r="P2" s="1016"/>
      <c r="Q2" s="1016"/>
      <c r="R2" s="1016" t="s">
        <v>106</v>
      </c>
      <c r="S2" s="1016"/>
      <c r="T2" s="1016"/>
      <c r="U2" s="1016" t="s">
        <v>107</v>
      </c>
      <c r="V2" s="1016"/>
      <c r="W2" s="1016"/>
      <c r="X2" s="1016" t="s">
        <v>225</v>
      </c>
      <c r="Y2" s="1016"/>
      <c r="Z2" s="1016"/>
    </row>
    <row r="3" spans="1:26" s="734" customFormat="1" ht="18" customHeight="1">
      <c r="A3" s="1028"/>
      <c r="B3" s="1029"/>
      <c r="C3" s="261" t="s">
        <v>87</v>
      </c>
      <c r="D3" s="261" t="s">
        <v>88</v>
      </c>
      <c r="E3" s="261" t="s">
        <v>12</v>
      </c>
      <c r="F3" s="261" t="s">
        <v>87</v>
      </c>
      <c r="G3" s="261" t="s">
        <v>88</v>
      </c>
      <c r="H3" s="261" t="s">
        <v>12</v>
      </c>
      <c r="I3" s="261" t="s">
        <v>87</v>
      </c>
      <c r="J3" s="261" t="s">
        <v>88</v>
      </c>
      <c r="K3" s="261" t="s">
        <v>12</v>
      </c>
      <c r="L3" s="261" t="s">
        <v>87</v>
      </c>
      <c r="M3" s="261" t="s">
        <v>88</v>
      </c>
      <c r="N3" s="261" t="s">
        <v>12</v>
      </c>
      <c r="O3" s="251" t="s">
        <v>87</v>
      </c>
      <c r="P3" s="251" t="s">
        <v>88</v>
      </c>
      <c r="Q3" s="251" t="s">
        <v>12</v>
      </c>
      <c r="R3" s="251" t="s">
        <v>87</v>
      </c>
      <c r="S3" s="251" t="s">
        <v>88</v>
      </c>
      <c r="T3" s="251" t="s">
        <v>12</v>
      </c>
      <c r="U3" s="251" t="s">
        <v>87</v>
      </c>
      <c r="V3" s="251" t="s">
        <v>88</v>
      </c>
      <c r="W3" s="251" t="s">
        <v>12</v>
      </c>
      <c r="X3" s="251" t="s">
        <v>87</v>
      </c>
      <c r="Y3" s="251" t="s">
        <v>88</v>
      </c>
      <c r="Z3" s="251" t="s">
        <v>12</v>
      </c>
    </row>
    <row r="4" spans="1:26" s="736" customFormat="1" ht="12">
      <c r="A4" s="735">
        <v>1</v>
      </c>
      <c r="B4" s="735">
        <v>2</v>
      </c>
      <c r="C4" s="735">
        <v>3</v>
      </c>
      <c r="D4" s="735">
        <v>4</v>
      </c>
      <c r="E4" s="735">
        <v>5</v>
      </c>
      <c r="F4" s="735">
        <v>6</v>
      </c>
      <c r="G4" s="735">
        <v>7</v>
      </c>
      <c r="H4" s="735">
        <v>8</v>
      </c>
      <c r="I4" s="735">
        <v>9</v>
      </c>
      <c r="J4" s="735">
        <v>10</v>
      </c>
      <c r="K4" s="735">
        <v>11</v>
      </c>
      <c r="L4" s="735">
        <v>12</v>
      </c>
      <c r="M4" s="735">
        <v>13</v>
      </c>
      <c r="N4" s="735">
        <v>14</v>
      </c>
      <c r="O4" s="735">
        <v>15</v>
      </c>
      <c r="P4" s="735">
        <v>16</v>
      </c>
      <c r="Q4" s="735">
        <v>17</v>
      </c>
      <c r="R4" s="735">
        <v>18</v>
      </c>
      <c r="S4" s="735">
        <v>19</v>
      </c>
      <c r="T4" s="735">
        <v>20</v>
      </c>
      <c r="U4" s="735">
        <v>21</v>
      </c>
      <c r="V4" s="735">
        <v>22</v>
      </c>
      <c r="W4" s="735">
        <v>23</v>
      </c>
      <c r="X4" s="735">
        <v>24</v>
      </c>
      <c r="Y4" s="735">
        <v>25</v>
      </c>
      <c r="Z4" s="735">
        <v>26</v>
      </c>
    </row>
    <row r="5" spans="1:26">
      <c r="A5" s="737">
        <v>1</v>
      </c>
      <c r="B5" s="738" t="s">
        <v>438</v>
      </c>
      <c r="C5" s="739">
        <v>0</v>
      </c>
      <c r="D5" s="739">
        <v>614</v>
      </c>
      <c r="E5" s="739">
        <v>614</v>
      </c>
      <c r="F5" s="739">
        <v>0</v>
      </c>
      <c r="G5" s="739">
        <v>245</v>
      </c>
      <c r="H5" s="739">
        <v>245</v>
      </c>
      <c r="I5" s="739">
        <v>0</v>
      </c>
      <c r="J5" s="739">
        <v>249</v>
      </c>
      <c r="K5" s="739">
        <v>249</v>
      </c>
      <c r="L5" s="739">
        <v>0</v>
      </c>
      <c r="M5" s="739">
        <v>61</v>
      </c>
      <c r="N5" s="739">
        <v>61</v>
      </c>
      <c r="O5" s="739">
        <v>0</v>
      </c>
      <c r="P5" s="739">
        <v>0</v>
      </c>
      <c r="Q5" s="739">
        <v>0</v>
      </c>
      <c r="R5" s="739">
        <v>0</v>
      </c>
      <c r="S5" s="739">
        <v>0</v>
      </c>
      <c r="T5" s="739">
        <v>0</v>
      </c>
      <c r="U5" s="739">
        <v>0</v>
      </c>
      <c r="V5" s="739">
        <v>0</v>
      </c>
      <c r="W5" s="739">
        <v>0</v>
      </c>
      <c r="X5" s="739">
        <v>0</v>
      </c>
      <c r="Y5" s="739">
        <v>4</v>
      </c>
      <c r="Z5" s="739">
        <v>4</v>
      </c>
    </row>
    <row r="6" spans="1:26">
      <c r="A6" s="737">
        <v>2</v>
      </c>
      <c r="B6" s="738" t="s">
        <v>298</v>
      </c>
      <c r="C6" s="739">
        <v>9</v>
      </c>
      <c r="D6" s="739">
        <v>5</v>
      </c>
      <c r="E6" s="739">
        <v>14</v>
      </c>
      <c r="F6" s="739">
        <v>1</v>
      </c>
      <c r="G6" s="739">
        <v>1</v>
      </c>
      <c r="H6" s="739">
        <v>2</v>
      </c>
      <c r="I6" s="739">
        <v>1</v>
      </c>
      <c r="J6" s="739">
        <v>0</v>
      </c>
      <c r="K6" s="739">
        <v>1</v>
      </c>
      <c r="L6" s="739">
        <v>1</v>
      </c>
      <c r="M6" s="739">
        <v>0</v>
      </c>
      <c r="N6" s="739">
        <v>1</v>
      </c>
      <c r="O6" s="739">
        <v>0</v>
      </c>
      <c r="P6" s="739">
        <v>0</v>
      </c>
      <c r="Q6" s="739">
        <v>0</v>
      </c>
      <c r="R6" s="739">
        <v>0</v>
      </c>
      <c r="S6" s="739">
        <v>0</v>
      </c>
      <c r="T6" s="739">
        <v>0</v>
      </c>
      <c r="U6" s="739">
        <v>0</v>
      </c>
      <c r="V6" s="739">
        <v>0</v>
      </c>
      <c r="W6" s="739">
        <v>0</v>
      </c>
      <c r="X6" s="739">
        <v>0</v>
      </c>
      <c r="Y6" s="739">
        <v>0</v>
      </c>
      <c r="Z6" s="739">
        <v>0</v>
      </c>
    </row>
    <row r="7" spans="1:26">
      <c r="A7" s="737">
        <v>3</v>
      </c>
      <c r="B7" s="738" t="s">
        <v>356</v>
      </c>
      <c r="C7" s="739">
        <v>106194</v>
      </c>
      <c r="D7" s="739">
        <v>88928</v>
      </c>
      <c r="E7" s="739">
        <v>195122</v>
      </c>
      <c r="F7" s="739">
        <v>14937</v>
      </c>
      <c r="G7" s="739">
        <v>12175</v>
      </c>
      <c r="H7" s="739">
        <v>27112</v>
      </c>
      <c r="I7" s="739">
        <v>6398</v>
      </c>
      <c r="J7" s="739">
        <v>5623</v>
      </c>
      <c r="K7" s="739">
        <v>12021</v>
      </c>
      <c r="L7" s="739">
        <v>33821</v>
      </c>
      <c r="M7" s="739">
        <v>20903</v>
      </c>
      <c r="N7" s="739">
        <v>54724</v>
      </c>
      <c r="O7" s="739">
        <v>837</v>
      </c>
      <c r="P7" s="739">
        <v>487</v>
      </c>
      <c r="Q7" s="739">
        <v>1324</v>
      </c>
      <c r="R7" s="739">
        <v>0</v>
      </c>
      <c r="S7" s="739">
        <v>0</v>
      </c>
      <c r="T7" s="739">
        <v>0</v>
      </c>
      <c r="U7" s="739">
        <v>0</v>
      </c>
      <c r="V7" s="739">
        <v>0</v>
      </c>
      <c r="W7" s="739">
        <v>0</v>
      </c>
      <c r="X7" s="739">
        <v>1409</v>
      </c>
      <c r="Y7" s="739">
        <v>806</v>
      </c>
      <c r="Z7" s="739">
        <v>2215</v>
      </c>
    </row>
    <row r="8" spans="1:26">
      <c r="A8" s="737">
        <v>4</v>
      </c>
      <c r="B8" s="738" t="s">
        <v>352</v>
      </c>
      <c r="C8" s="739">
        <v>1146718</v>
      </c>
      <c r="D8" s="739">
        <v>799405</v>
      </c>
      <c r="E8" s="739">
        <v>1946123</v>
      </c>
      <c r="F8" s="739">
        <v>203504</v>
      </c>
      <c r="G8" s="739">
        <v>134458</v>
      </c>
      <c r="H8" s="739">
        <v>337962</v>
      </c>
      <c r="I8" s="739">
        <v>65807</v>
      </c>
      <c r="J8" s="739">
        <v>51071</v>
      </c>
      <c r="K8" s="739">
        <v>116878</v>
      </c>
      <c r="L8" s="739">
        <v>324201</v>
      </c>
      <c r="M8" s="739">
        <v>202178</v>
      </c>
      <c r="N8" s="739">
        <v>526379</v>
      </c>
      <c r="O8" s="739">
        <v>2265</v>
      </c>
      <c r="P8" s="739">
        <v>1135</v>
      </c>
      <c r="Q8" s="739">
        <v>3400</v>
      </c>
      <c r="R8" s="739">
        <v>34997</v>
      </c>
      <c r="S8" s="739">
        <v>25240</v>
      </c>
      <c r="T8" s="739">
        <v>60237</v>
      </c>
      <c r="U8" s="739">
        <v>6213</v>
      </c>
      <c r="V8" s="739">
        <v>5484</v>
      </c>
      <c r="W8" s="739">
        <v>11697</v>
      </c>
      <c r="X8" s="739">
        <v>9060</v>
      </c>
      <c r="Y8" s="739">
        <v>5308</v>
      </c>
      <c r="Z8" s="739">
        <v>14368</v>
      </c>
    </row>
    <row r="9" spans="1:26">
      <c r="A9" s="737">
        <v>5</v>
      </c>
      <c r="B9" s="738" t="s">
        <v>368</v>
      </c>
      <c r="C9" s="739">
        <v>0</v>
      </c>
      <c r="D9" s="739">
        <v>0</v>
      </c>
      <c r="E9" s="739">
        <v>0</v>
      </c>
      <c r="F9" s="739">
        <v>0</v>
      </c>
      <c r="G9" s="739">
        <v>0</v>
      </c>
      <c r="H9" s="739">
        <v>0</v>
      </c>
      <c r="I9" s="739">
        <v>0</v>
      </c>
      <c r="J9" s="739">
        <v>0</v>
      </c>
      <c r="K9" s="739">
        <v>0</v>
      </c>
      <c r="L9" s="739">
        <v>0</v>
      </c>
      <c r="M9" s="739">
        <v>0</v>
      </c>
      <c r="N9" s="739">
        <v>0</v>
      </c>
      <c r="O9" s="739">
        <v>0</v>
      </c>
      <c r="P9" s="739">
        <v>0</v>
      </c>
      <c r="Q9" s="739">
        <v>0</v>
      </c>
      <c r="R9" s="739">
        <v>0</v>
      </c>
      <c r="S9" s="739">
        <v>0</v>
      </c>
      <c r="T9" s="739">
        <v>0</v>
      </c>
      <c r="U9" s="739">
        <v>0</v>
      </c>
      <c r="V9" s="739">
        <v>0</v>
      </c>
      <c r="W9" s="739">
        <v>0</v>
      </c>
      <c r="X9" s="739">
        <v>0</v>
      </c>
      <c r="Y9" s="739">
        <v>0</v>
      </c>
      <c r="Z9" s="739">
        <v>0</v>
      </c>
    </row>
    <row r="10" spans="1:26">
      <c r="A10" s="737">
        <v>6</v>
      </c>
      <c r="B10" s="738" t="s">
        <v>360</v>
      </c>
      <c r="C10" s="739">
        <v>33572</v>
      </c>
      <c r="D10" s="739">
        <v>15902</v>
      </c>
      <c r="E10" s="739">
        <v>49474</v>
      </c>
      <c r="F10" s="739">
        <v>2758</v>
      </c>
      <c r="G10" s="739">
        <v>1550</v>
      </c>
      <c r="H10" s="739">
        <v>4308</v>
      </c>
      <c r="I10" s="739">
        <v>298</v>
      </c>
      <c r="J10" s="739">
        <v>194</v>
      </c>
      <c r="K10" s="739">
        <v>492</v>
      </c>
      <c r="L10" s="739">
        <v>10402</v>
      </c>
      <c r="M10" s="739">
        <v>5211</v>
      </c>
      <c r="N10" s="739">
        <v>15613</v>
      </c>
      <c r="O10" s="739">
        <v>25</v>
      </c>
      <c r="P10" s="739">
        <v>10</v>
      </c>
      <c r="Q10" s="739">
        <v>35</v>
      </c>
      <c r="R10" s="739">
        <v>1639</v>
      </c>
      <c r="S10" s="739">
        <v>815</v>
      </c>
      <c r="T10" s="739">
        <v>2454</v>
      </c>
      <c r="U10" s="739">
        <v>303</v>
      </c>
      <c r="V10" s="739">
        <v>253</v>
      </c>
      <c r="W10" s="739">
        <v>556</v>
      </c>
      <c r="X10" s="739">
        <v>187</v>
      </c>
      <c r="Y10" s="739">
        <v>117</v>
      </c>
      <c r="Z10" s="739">
        <v>304</v>
      </c>
    </row>
    <row r="11" spans="1:26">
      <c r="A11" s="737">
        <v>7</v>
      </c>
      <c r="B11" s="738" t="s">
        <v>379</v>
      </c>
      <c r="C11" s="739">
        <v>100</v>
      </c>
      <c r="D11" s="739">
        <v>60</v>
      </c>
      <c r="E11" s="739">
        <v>160</v>
      </c>
      <c r="F11" s="739">
        <v>11</v>
      </c>
      <c r="G11" s="739">
        <v>2</v>
      </c>
      <c r="H11" s="739">
        <v>13</v>
      </c>
      <c r="I11" s="739">
        <v>2</v>
      </c>
      <c r="J11" s="739">
        <v>5</v>
      </c>
      <c r="K11" s="739">
        <v>7</v>
      </c>
      <c r="L11" s="739">
        <v>50</v>
      </c>
      <c r="M11" s="739">
        <v>30</v>
      </c>
      <c r="N11" s="739">
        <v>80</v>
      </c>
      <c r="O11" s="739">
        <v>0</v>
      </c>
      <c r="P11" s="739">
        <v>0</v>
      </c>
      <c r="Q11" s="739">
        <v>0</v>
      </c>
      <c r="R11" s="739">
        <v>0</v>
      </c>
      <c r="S11" s="739">
        <v>0</v>
      </c>
      <c r="T11" s="739">
        <v>0</v>
      </c>
      <c r="U11" s="739">
        <v>0</v>
      </c>
      <c r="V11" s="739">
        <v>0</v>
      </c>
      <c r="W11" s="739">
        <v>0</v>
      </c>
      <c r="X11" s="739">
        <v>0</v>
      </c>
      <c r="Y11" s="739">
        <v>0</v>
      </c>
      <c r="Z11" s="739">
        <v>0</v>
      </c>
    </row>
    <row r="12" spans="1:26">
      <c r="A12" s="737">
        <v>8</v>
      </c>
      <c r="B12" s="738" t="s">
        <v>361</v>
      </c>
      <c r="C12" s="739">
        <v>39833</v>
      </c>
      <c r="D12" s="739">
        <v>12360</v>
      </c>
      <c r="E12" s="739">
        <v>52193</v>
      </c>
      <c r="F12" s="739">
        <v>5348</v>
      </c>
      <c r="G12" s="739">
        <v>1765</v>
      </c>
      <c r="H12" s="739">
        <v>7113</v>
      </c>
      <c r="I12" s="739">
        <v>847</v>
      </c>
      <c r="J12" s="739">
        <v>325</v>
      </c>
      <c r="K12" s="739">
        <v>1172</v>
      </c>
      <c r="L12" s="739">
        <v>9872</v>
      </c>
      <c r="M12" s="739">
        <v>3451</v>
      </c>
      <c r="N12" s="739">
        <v>13323</v>
      </c>
      <c r="O12" s="739">
        <v>74</v>
      </c>
      <c r="P12" s="739">
        <v>10</v>
      </c>
      <c r="Q12" s="739">
        <v>84</v>
      </c>
      <c r="R12" s="739">
        <v>192</v>
      </c>
      <c r="S12" s="739">
        <v>89</v>
      </c>
      <c r="T12" s="739">
        <v>281</v>
      </c>
      <c r="U12" s="739">
        <v>178</v>
      </c>
      <c r="V12" s="739">
        <v>102</v>
      </c>
      <c r="W12" s="739">
        <v>280</v>
      </c>
      <c r="X12" s="739">
        <v>479</v>
      </c>
      <c r="Y12" s="739">
        <v>129</v>
      </c>
      <c r="Z12" s="739">
        <v>608</v>
      </c>
    </row>
    <row r="13" spans="1:26">
      <c r="A13" s="737">
        <v>9</v>
      </c>
      <c r="B13" s="738" t="s">
        <v>961</v>
      </c>
      <c r="C13" s="739">
        <v>13769</v>
      </c>
      <c r="D13" s="739">
        <v>7967</v>
      </c>
      <c r="E13" s="739">
        <v>21736</v>
      </c>
      <c r="F13" s="739">
        <v>985</v>
      </c>
      <c r="G13" s="739">
        <v>561</v>
      </c>
      <c r="H13" s="739">
        <v>1546</v>
      </c>
      <c r="I13" s="739">
        <v>32</v>
      </c>
      <c r="J13" s="739">
        <v>10</v>
      </c>
      <c r="K13" s="739">
        <v>42</v>
      </c>
      <c r="L13" s="739">
        <v>1585</v>
      </c>
      <c r="M13" s="739">
        <v>810</v>
      </c>
      <c r="N13" s="739">
        <v>2395</v>
      </c>
      <c r="O13" s="739">
        <v>9</v>
      </c>
      <c r="P13" s="739">
        <v>2</v>
      </c>
      <c r="Q13" s="739">
        <v>11</v>
      </c>
      <c r="R13" s="739">
        <v>0</v>
      </c>
      <c r="S13" s="739">
        <v>0</v>
      </c>
      <c r="T13" s="739">
        <v>0</v>
      </c>
      <c r="U13" s="739">
        <v>0</v>
      </c>
      <c r="V13" s="739">
        <v>0</v>
      </c>
      <c r="W13" s="739">
        <v>0</v>
      </c>
      <c r="X13" s="739">
        <v>0</v>
      </c>
      <c r="Y13" s="739">
        <v>0</v>
      </c>
      <c r="Z13" s="739">
        <v>0</v>
      </c>
    </row>
    <row r="14" spans="1:26">
      <c r="A14" s="737">
        <v>10</v>
      </c>
      <c r="B14" s="738" t="s">
        <v>354</v>
      </c>
      <c r="C14" s="739">
        <v>266661</v>
      </c>
      <c r="D14" s="739">
        <v>164621</v>
      </c>
      <c r="E14" s="739">
        <v>431282</v>
      </c>
      <c r="F14" s="739">
        <v>27123</v>
      </c>
      <c r="G14" s="739">
        <v>15082</v>
      </c>
      <c r="H14" s="739">
        <v>42205</v>
      </c>
      <c r="I14" s="739">
        <v>5827</v>
      </c>
      <c r="J14" s="739">
        <v>2892</v>
      </c>
      <c r="K14" s="739">
        <v>8719</v>
      </c>
      <c r="L14" s="739">
        <v>75284</v>
      </c>
      <c r="M14" s="739">
        <v>46341</v>
      </c>
      <c r="N14" s="739">
        <v>121625</v>
      </c>
      <c r="O14" s="739">
        <v>310</v>
      </c>
      <c r="P14" s="739">
        <v>133</v>
      </c>
      <c r="Q14" s="739">
        <v>443</v>
      </c>
      <c r="R14" s="739">
        <v>4638</v>
      </c>
      <c r="S14" s="739">
        <v>3065</v>
      </c>
      <c r="T14" s="739">
        <v>7703</v>
      </c>
      <c r="U14" s="739">
        <v>1346</v>
      </c>
      <c r="V14" s="739">
        <v>1226</v>
      </c>
      <c r="W14" s="739">
        <v>2572</v>
      </c>
      <c r="X14" s="739">
        <v>1561</v>
      </c>
      <c r="Y14" s="739">
        <v>1037</v>
      </c>
      <c r="Z14" s="739">
        <v>2598</v>
      </c>
    </row>
    <row r="15" spans="1:26">
      <c r="A15" s="737">
        <v>11</v>
      </c>
      <c r="B15" s="738" t="s">
        <v>357</v>
      </c>
      <c r="C15" s="739">
        <v>0</v>
      </c>
      <c r="D15" s="739">
        <v>0</v>
      </c>
      <c r="E15" s="739">
        <v>0</v>
      </c>
      <c r="F15" s="739">
        <v>0</v>
      </c>
      <c r="G15" s="739">
        <v>0</v>
      </c>
      <c r="H15" s="739">
        <v>0</v>
      </c>
      <c r="I15" s="739">
        <v>0</v>
      </c>
      <c r="J15" s="739">
        <v>0</v>
      </c>
      <c r="K15" s="739">
        <v>0</v>
      </c>
      <c r="L15" s="739">
        <v>0</v>
      </c>
      <c r="M15" s="739">
        <v>0</v>
      </c>
      <c r="N15" s="739">
        <v>0</v>
      </c>
      <c r="O15" s="739">
        <v>0</v>
      </c>
      <c r="P15" s="739">
        <v>0</v>
      </c>
      <c r="Q15" s="739">
        <v>0</v>
      </c>
      <c r="R15" s="739">
        <v>0</v>
      </c>
      <c r="S15" s="739">
        <v>0</v>
      </c>
      <c r="T15" s="739">
        <v>0</v>
      </c>
      <c r="U15" s="739">
        <v>0</v>
      </c>
      <c r="V15" s="739">
        <v>0</v>
      </c>
      <c r="W15" s="739">
        <v>0</v>
      </c>
      <c r="X15" s="739">
        <v>0</v>
      </c>
      <c r="Y15" s="739">
        <v>0</v>
      </c>
      <c r="Z15" s="739">
        <v>0</v>
      </c>
    </row>
    <row r="16" spans="1:26">
      <c r="A16" s="737">
        <v>12</v>
      </c>
      <c r="B16" s="738" t="s">
        <v>358</v>
      </c>
      <c r="C16" s="739">
        <v>16932</v>
      </c>
      <c r="D16" s="739">
        <v>16693</v>
      </c>
      <c r="E16" s="739">
        <v>33625</v>
      </c>
      <c r="F16" s="739">
        <v>2236</v>
      </c>
      <c r="G16" s="739">
        <v>1781</v>
      </c>
      <c r="H16" s="739">
        <v>4017</v>
      </c>
      <c r="I16" s="739">
        <v>1197</v>
      </c>
      <c r="J16" s="739">
        <v>895</v>
      </c>
      <c r="K16" s="739">
        <v>2092</v>
      </c>
      <c r="L16" s="739">
        <v>5201</v>
      </c>
      <c r="M16" s="739">
        <v>4641</v>
      </c>
      <c r="N16" s="739">
        <v>9842</v>
      </c>
      <c r="O16" s="739">
        <v>211</v>
      </c>
      <c r="P16" s="739">
        <v>103</v>
      </c>
      <c r="Q16" s="739">
        <v>314</v>
      </c>
      <c r="R16" s="739">
        <v>2293</v>
      </c>
      <c r="S16" s="739">
        <v>4498</v>
      </c>
      <c r="T16" s="739">
        <v>6791</v>
      </c>
      <c r="U16" s="739">
        <v>157</v>
      </c>
      <c r="V16" s="739">
        <v>248</v>
      </c>
      <c r="W16" s="739">
        <v>405</v>
      </c>
      <c r="X16" s="739">
        <v>193</v>
      </c>
      <c r="Y16" s="739">
        <v>124</v>
      </c>
      <c r="Z16" s="739">
        <v>317</v>
      </c>
    </row>
    <row r="17" spans="1:26">
      <c r="A17" s="737">
        <v>13</v>
      </c>
      <c r="B17" s="738" t="s">
        <v>384</v>
      </c>
      <c r="C17" s="739">
        <v>640</v>
      </c>
      <c r="D17" s="739">
        <v>746</v>
      </c>
      <c r="E17" s="739">
        <v>1386</v>
      </c>
      <c r="F17" s="739">
        <v>112</v>
      </c>
      <c r="G17" s="739">
        <v>129</v>
      </c>
      <c r="H17" s="739">
        <v>241</v>
      </c>
      <c r="I17" s="739">
        <v>9</v>
      </c>
      <c r="J17" s="739">
        <v>6</v>
      </c>
      <c r="K17" s="739">
        <v>15</v>
      </c>
      <c r="L17" s="739">
        <v>299</v>
      </c>
      <c r="M17" s="739">
        <v>353</v>
      </c>
      <c r="N17" s="739">
        <v>652</v>
      </c>
      <c r="O17" s="739">
        <v>2</v>
      </c>
      <c r="P17" s="739">
        <v>3</v>
      </c>
      <c r="Q17" s="739">
        <v>5</v>
      </c>
      <c r="R17" s="739">
        <v>28</v>
      </c>
      <c r="S17" s="739">
        <v>28</v>
      </c>
      <c r="T17" s="739">
        <v>56</v>
      </c>
      <c r="U17" s="739">
        <v>40</v>
      </c>
      <c r="V17" s="739">
        <v>46</v>
      </c>
      <c r="W17" s="739">
        <v>86</v>
      </c>
      <c r="X17" s="739">
        <v>0</v>
      </c>
      <c r="Y17" s="739">
        <v>1</v>
      </c>
      <c r="Z17" s="739">
        <v>1</v>
      </c>
    </row>
    <row r="18" spans="1:26">
      <c r="A18" s="737">
        <v>14</v>
      </c>
      <c r="B18" s="738" t="s">
        <v>378</v>
      </c>
      <c r="C18" s="739">
        <v>17951</v>
      </c>
      <c r="D18" s="739">
        <v>4201</v>
      </c>
      <c r="E18" s="739">
        <v>22152</v>
      </c>
      <c r="F18" s="739">
        <v>1159</v>
      </c>
      <c r="G18" s="739">
        <v>286</v>
      </c>
      <c r="H18" s="739">
        <v>1445</v>
      </c>
      <c r="I18" s="739">
        <v>247</v>
      </c>
      <c r="J18" s="739">
        <v>138</v>
      </c>
      <c r="K18" s="739">
        <v>385</v>
      </c>
      <c r="L18" s="812">
        <v>2849</v>
      </c>
      <c r="M18" s="812">
        <v>353</v>
      </c>
      <c r="N18" s="812">
        <v>3202</v>
      </c>
      <c r="O18" s="739">
        <v>22</v>
      </c>
      <c r="P18" s="739">
        <v>4</v>
      </c>
      <c r="Q18" s="739">
        <v>26</v>
      </c>
      <c r="R18" s="739">
        <v>4</v>
      </c>
      <c r="S18" s="739">
        <v>2</v>
      </c>
      <c r="T18" s="739">
        <v>6</v>
      </c>
      <c r="U18" s="739">
        <v>1</v>
      </c>
      <c r="V18" s="739">
        <v>2</v>
      </c>
      <c r="W18" s="739">
        <v>3</v>
      </c>
      <c r="X18" s="739">
        <v>462</v>
      </c>
      <c r="Y18" s="739">
        <v>79</v>
      </c>
      <c r="Z18" s="739">
        <v>541</v>
      </c>
    </row>
    <row r="19" spans="1:26" ht="30">
      <c r="A19" s="737">
        <v>15</v>
      </c>
      <c r="B19" s="738" t="s">
        <v>385</v>
      </c>
      <c r="C19" s="739">
        <v>20</v>
      </c>
      <c r="D19" s="739">
        <v>1</v>
      </c>
      <c r="E19" s="739">
        <v>21</v>
      </c>
      <c r="F19" s="739">
        <v>0</v>
      </c>
      <c r="G19" s="739">
        <v>0</v>
      </c>
      <c r="H19" s="739">
        <v>0</v>
      </c>
      <c r="I19" s="739">
        <v>0</v>
      </c>
      <c r="J19" s="739">
        <v>0</v>
      </c>
      <c r="K19" s="739">
        <v>0</v>
      </c>
      <c r="L19" s="739">
        <v>20</v>
      </c>
      <c r="M19" s="739">
        <v>1</v>
      </c>
      <c r="N19" s="739">
        <v>21</v>
      </c>
      <c r="O19" s="739">
        <v>0</v>
      </c>
      <c r="P19" s="739">
        <v>0</v>
      </c>
      <c r="Q19" s="739">
        <v>0</v>
      </c>
      <c r="R19" s="739">
        <v>0</v>
      </c>
      <c r="S19" s="739">
        <v>0</v>
      </c>
      <c r="T19" s="739">
        <v>0</v>
      </c>
      <c r="U19" s="739">
        <v>0</v>
      </c>
      <c r="V19" s="739">
        <v>0</v>
      </c>
      <c r="W19" s="739">
        <v>0</v>
      </c>
      <c r="X19" s="739">
        <v>0</v>
      </c>
      <c r="Y19" s="739">
        <v>0</v>
      </c>
      <c r="Z19" s="739">
        <v>0</v>
      </c>
    </row>
    <row r="20" spans="1:26">
      <c r="A20" s="737">
        <v>16</v>
      </c>
      <c r="B20" s="738" t="s">
        <v>399</v>
      </c>
      <c r="C20" s="739">
        <v>8546</v>
      </c>
      <c r="D20" s="739">
        <v>3165</v>
      </c>
      <c r="E20" s="739">
        <v>11711</v>
      </c>
      <c r="F20" s="739">
        <v>340</v>
      </c>
      <c r="G20" s="739">
        <v>129</v>
      </c>
      <c r="H20" s="739">
        <v>469</v>
      </c>
      <c r="I20" s="739">
        <v>271</v>
      </c>
      <c r="J20" s="739">
        <v>171</v>
      </c>
      <c r="K20" s="739">
        <v>442</v>
      </c>
      <c r="L20" s="739">
        <v>1078</v>
      </c>
      <c r="M20" s="739">
        <v>385</v>
      </c>
      <c r="N20" s="739">
        <v>1463</v>
      </c>
      <c r="O20" s="739">
        <v>18</v>
      </c>
      <c r="P20" s="739">
        <v>3</v>
      </c>
      <c r="Q20" s="739">
        <v>21</v>
      </c>
      <c r="R20" s="739">
        <v>3</v>
      </c>
      <c r="S20" s="739">
        <v>0</v>
      </c>
      <c r="T20" s="739">
        <v>3</v>
      </c>
      <c r="U20" s="739">
        <v>1</v>
      </c>
      <c r="V20" s="739">
        <v>0</v>
      </c>
      <c r="W20" s="739">
        <v>1</v>
      </c>
      <c r="X20" s="739">
        <v>50</v>
      </c>
      <c r="Y20" s="739">
        <v>27</v>
      </c>
      <c r="Z20" s="739">
        <v>77</v>
      </c>
    </row>
    <row r="21" spans="1:26">
      <c r="A21" s="737">
        <v>17</v>
      </c>
      <c r="B21" s="738" t="s">
        <v>427</v>
      </c>
      <c r="C21" s="739">
        <v>51</v>
      </c>
      <c r="D21" s="739">
        <v>27</v>
      </c>
      <c r="E21" s="739">
        <v>78</v>
      </c>
      <c r="F21" s="739">
        <v>0</v>
      </c>
      <c r="G21" s="739">
        <v>2</v>
      </c>
      <c r="H21" s="739">
        <v>2</v>
      </c>
      <c r="I21" s="739">
        <v>1</v>
      </c>
      <c r="J21" s="739">
        <v>2</v>
      </c>
      <c r="K21" s="739">
        <v>3</v>
      </c>
      <c r="L21" s="739">
        <v>15</v>
      </c>
      <c r="M21" s="739">
        <v>10</v>
      </c>
      <c r="N21" s="739">
        <v>25</v>
      </c>
      <c r="O21" s="739">
        <v>0</v>
      </c>
      <c r="P21" s="739">
        <v>0</v>
      </c>
      <c r="Q21" s="739">
        <v>0</v>
      </c>
      <c r="R21" s="739">
        <v>44</v>
      </c>
      <c r="S21" s="739">
        <v>23</v>
      </c>
      <c r="T21" s="739">
        <v>67</v>
      </c>
      <c r="U21" s="739">
        <v>0</v>
      </c>
      <c r="V21" s="739">
        <v>0</v>
      </c>
      <c r="W21" s="739">
        <v>0</v>
      </c>
      <c r="X21" s="739">
        <v>0</v>
      </c>
      <c r="Y21" s="739">
        <v>0</v>
      </c>
      <c r="Z21" s="739">
        <v>0</v>
      </c>
    </row>
    <row r="22" spans="1:26">
      <c r="A22" s="737">
        <v>18</v>
      </c>
      <c r="B22" s="738" t="s">
        <v>405</v>
      </c>
      <c r="C22" s="739">
        <v>250</v>
      </c>
      <c r="D22" s="739">
        <v>59</v>
      </c>
      <c r="E22" s="739">
        <v>309</v>
      </c>
      <c r="F22" s="739">
        <v>27</v>
      </c>
      <c r="G22" s="739">
        <v>5</v>
      </c>
      <c r="H22" s="739">
        <v>32</v>
      </c>
      <c r="I22" s="739">
        <v>17</v>
      </c>
      <c r="J22" s="739">
        <v>6</v>
      </c>
      <c r="K22" s="739">
        <v>23</v>
      </c>
      <c r="L22" s="739">
        <v>92</v>
      </c>
      <c r="M22" s="739">
        <v>25</v>
      </c>
      <c r="N22" s="739">
        <v>117</v>
      </c>
      <c r="O22" s="739">
        <v>1</v>
      </c>
      <c r="P22" s="739">
        <v>0</v>
      </c>
      <c r="Q22" s="739">
        <v>1</v>
      </c>
      <c r="R22" s="739">
        <v>9</v>
      </c>
      <c r="S22" s="739">
        <v>1</v>
      </c>
      <c r="T22" s="739">
        <v>10</v>
      </c>
      <c r="U22" s="739">
        <v>5</v>
      </c>
      <c r="V22" s="739">
        <v>1</v>
      </c>
      <c r="W22" s="739">
        <v>6</v>
      </c>
      <c r="X22" s="739">
        <v>1</v>
      </c>
      <c r="Y22" s="739">
        <v>0</v>
      </c>
      <c r="Z22" s="739">
        <v>1</v>
      </c>
    </row>
    <row r="23" spans="1:26">
      <c r="A23" s="737">
        <v>19</v>
      </c>
      <c r="B23" s="738" t="s">
        <v>388</v>
      </c>
      <c r="C23" s="739">
        <v>348</v>
      </c>
      <c r="D23" s="739">
        <v>135</v>
      </c>
      <c r="E23" s="739">
        <v>483</v>
      </c>
      <c r="F23" s="739">
        <v>123</v>
      </c>
      <c r="G23" s="739">
        <v>51</v>
      </c>
      <c r="H23" s="739">
        <v>174</v>
      </c>
      <c r="I23" s="739">
        <v>1</v>
      </c>
      <c r="J23" s="739">
        <v>0</v>
      </c>
      <c r="K23" s="739">
        <v>1</v>
      </c>
      <c r="L23" s="739">
        <v>131</v>
      </c>
      <c r="M23" s="739">
        <v>46</v>
      </c>
      <c r="N23" s="739">
        <v>177</v>
      </c>
      <c r="O23" s="739">
        <v>0</v>
      </c>
      <c r="P23" s="739">
        <v>0</v>
      </c>
      <c r="Q23" s="739">
        <v>0</v>
      </c>
      <c r="R23" s="739">
        <v>0</v>
      </c>
      <c r="S23" s="739">
        <v>0</v>
      </c>
      <c r="T23" s="739">
        <v>0</v>
      </c>
      <c r="U23" s="739">
        <v>0</v>
      </c>
      <c r="V23" s="739">
        <v>0</v>
      </c>
      <c r="W23" s="739">
        <v>0</v>
      </c>
      <c r="X23" s="739">
        <v>0</v>
      </c>
      <c r="Y23" s="739">
        <v>0</v>
      </c>
      <c r="Z23" s="739">
        <v>0</v>
      </c>
    </row>
    <row r="24" spans="1:26">
      <c r="A24" s="737">
        <v>20</v>
      </c>
      <c r="B24" s="738" t="s">
        <v>376</v>
      </c>
      <c r="C24" s="739">
        <v>7038</v>
      </c>
      <c r="D24" s="739">
        <v>5891</v>
      </c>
      <c r="E24" s="739">
        <v>12929</v>
      </c>
      <c r="F24" s="739">
        <v>1327</v>
      </c>
      <c r="G24" s="739">
        <v>1025</v>
      </c>
      <c r="H24" s="739">
        <v>2352</v>
      </c>
      <c r="I24" s="739">
        <v>468</v>
      </c>
      <c r="J24" s="739">
        <v>290</v>
      </c>
      <c r="K24" s="739">
        <v>758</v>
      </c>
      <c r="L24" s="739">
        <v>3070</v>
      </c>
      <c r="M24" s="739">
        <v>2391</v>
      </c>
      <c r="N24" s="739">
        <v>5461</v>
      </c>
      <c r="O24" s="739">
        <v>28</v>
      </c>
      <c r="P24" s="739">
        <v>14</v>
      </c>
      <c r="Q24" s="739">
        <v>42</v>
      </c>
      <c r="R24" s="739">
        <v>214</v>
      </c>
      <c r="S24" s="739">
        <v>186</v>
      </c>
      <c r="T24" s="739">
        <v>400</v>
      </c>
      <c r="U24" s="739">
        <v>179</v>
      </c>
      <c r="V24" s="739">
        <v>224</v>
      </c>
      <c r="W24" s="739">
        <v>403</v>
      </c>
      <c r="X24" s="739">
        <v>12</v>
      </c>
      <c r="Y24" s="739">
        <v>5</v>
      </c>
      <c r="Z24" s="739">
        <v>17</v>
      </c>
    </row>
    <row r="25" spans="1:26">
      <c r="A25" s="737">
        <v>21</v>
      </c>
      <c r="B25" s="738" t="s">
        <v>394</v>
      </c>
      <c r="C25" s="739">
        <v>12136</v>
      </c>
      <c r="D25" s="739">
        <v>11154</v>
      </c>
      <c r="E25" s="739">
        <v>23290</v>
      </c>
      <c r="F25" s="739">
        <v>1906</v>
      </c>
      <c r="G25" s="739">
        <v>1534</v>
      </c>
      <c r="H25" s="739">
        <v>3440</v>
      </c>
      <c r="I25" s="739">
        <v>961</v>
      </c>
      <c r="J25" s="739">
        <v>789</v>
      </c>
      <c r="K25" s="739">
        <v>1750</v>
      </c>
      <c r="L25" s="739">
        <v>5302</v>
      </c>
      <c r="M25" s="739">
        <v>4033</v>
      </c>
      <c r="N25" s="739">
        <v>9335</v>
      </c>
      <c r="O25" s="739">
        <v>86</v>
      </c>
      <c r="P25" s="739">
        <v>36</v>
      </c>
      <c r="Q25" s="739">
        <v>122</v>
      </c>
      <c r="R25" s="739">
        <v>233</v>
      </c>
      <c r="S25" s="739">
        <v>197</v>
      </c>
      <c r="T25" s="739">
        <v>430</v>
      </c>
      <c r="U25" s="739">
        <v>69</v>
      </c>
      <c r="V25" s="739">
        <v>105</v>
      </c>
      <c r="W25" s="739">
        <v>174</v>
      </c>
      <c r="X25" s="739">
        <v>347</v>
      </c>
      <c r="Y25" s="739">
        <v>230</v>
      </c>
      <c r="Z25" s="739">
        <v>577</v>
      </c>
    </row>
    <row r="26" spans="1:26">
      <c r="A26" s="737">
        <v>22</v>
      </c>
      <c r="B26" s="738" t="s">
        <v>383</v>
      </c>
      <c r="C26" s="739">
        <v>911</v>
      </c>
      <c r="D26" s="739">
        <v>1294</v>
      </c>
      <c r="E26" s="739">
        <v>2205</v>
      </c>
      <c r="F26" s="739">
        <v>149</v>
      </c>
      <c r="G26" s="739">
        <v>264</v>
      </c>
      <c r="H26" s="739">
        <v>413</v>
      </c>
      <c r="I26" s="739">
        <v>6</v>
      </c>
      <c r="J26" s="739">
        <v>9</v>
      </c>
      <c r="K26" s="739">
        <v>15</v>
      </c>
      <c r="L26" s="739">
        <v>519</v>
      </c>
      <c r="M26" s="739">
        <v>701</v>
      </c>
      <c r="N26" s="739">
        <v>1220</v>
      </c>
      <c r="O26" s="739">
        <v>2</v>
      </c>
      <c r="P26" s="739">
        <v>0</v>
      </c>
      <c r="Q26" s="739">
        <v>2</v>
      </c>
      <c r="R26" s="739">
        <v>35</v>
      </c>
      <c r="S26" s="739">
        <v>42</v>
      </c>
      <c r="T26" s="739">
        <v>77</v>
      </c>
      <c r="U26" s="739">
        <v>48</v>
      </c>
      <c r="V26" s="739">
        <v>61</v>
      </c>
      <c r="W26" s="739">
        <v>109</v>
      </c>
      <c r="X26" s="739">
        <v>0</v>
      </c>
      <c r="Y26" s="739">
        <v>0</v>
      </c>
      <c r="Z26" s="739">
        <v>0</v>
      </c>
    </row>
    <row r="27" spans="1:26">
      <c r="A27" s="737">
        <v>23</v>
      </c>
      <c r="B27" s="738" t="s">
        <v>407</v>
      </c>
      <c r="C27" s="739">
        <v>0</v>
      </c>
      <c r="D27" s="739">
        <v>2</v>
      </c>
      <c r="E27" s="739">
        <v>2</v>
      </c>
      <c r="F27" s="739">
        <v>0</v>
      </c>
      <c r="G27" s="739">
        <v>0</v>
      </c>
      <c r="H27" s="739">
        <v>0</v>
      </c>
      <c r="I27" s="739">
        <v>0</v>
      </c>
      <c r="J27" s="739">
        <v>0</v>
      </c>
      <c r="K27" s="739">
        <v>0</v>
      </c>
      <c r="L27" s="739">
        <v>0</v>
      </c>
      <c r="M27" s="739">
        <v>2</v>
      </c>
      <c r="N27" s="739">
        <v>2</v>
      </c>
      <c r="O27" s="739">
        <v>0</v>
      </c>
      <c r="P27" s="739">
        <v>0</v>
      </c>
      <c r="Q27" s="739">
        <v>0</v>
      </c>
      <c r="R27" s="739">
        <v>0</v>
      </c>
      <c r="S27" s="739">
        <v>0</v>
      </c>
      <c r="T27" s="739">
        <v>0</v>
      </c>
      <c r="U27" s="739">
        <v>0</v>
      </c>
      <c r="V27" s="739">
        <v>1</v>
      </c>
      <c r="W27" s="739">
        <v>1</v>
      </c>
      <c r="X27" s="739">
        <v>0</v>
      </c>
      <c r="Y27" s="739">
        <v>0</v>
      </c>
      <c r="Z27" s="739">
        <v>0</v>
      </c>
    </row>
    <row r="28" spans="1:26">
      <c r="A28" s="737">
        <v>24</v>
      </c>
      <c r="B28" s="738" t="s">
        <v>396</v>
      </c>
      <c r="C28" s="739">
        <v>51</v>
      </c>
      <c r="D28" s="739">
        <v>33</v>
      </c>
      <c r="E28" s="739">
        <v>84</v>
      </c>
      <c r="F28" s="739">
        <v>11</v>
      </c>
      <c r="G28" s="739">
        <v>6</v>
      </c>
      <c r="H28" s="739">
        <v>17</v>
      </c>
      <c r="I28" s="739">
        <v>0</v>
      </c>
      <c r="J28" s="739">
        <v>0</v>
      </c>
      <c r="K28" s="739">
        <v>0</v>
      </c>
      <c r="L28" s="739">
        <v>31</v>
      </c>
      <c r="M28" s="739">
        <v>24</v>
      </c>
      <c r="N28" s="739">
        <v>55</v>
      </c>
      <c r="O28" s="739">
        <v>0</v>
      </c>
      <c r="P28" s="739">
        <v>0</v>
      </c>
      <c r="Q28" s="739">
        <v>0</v>
      </c>
      <c r="R28" s="739">
        <v>0</v>
      </c>
      <c r="S28" s="739">
        <v>0</v>
      </c>
      <c r="T28" s="739">
        <v>0</v>
      </c>
      <c r="U28" s="739">
        <v>0</v>
      </c>
      <c r="V28" s="739">
        <v>0</v>
      </c>
      <c r="W28" s="739">
        <v>0</v>
      </c>
      <c r="X28" s="739">
        <v>0</v>
      </c>
      <c r="Y28" s="739">
        <v>0</v>
      </c>
      <c r="Z28" s="739">
        <v>0</v>
      </c>
    </row>
    <row r="29" spans="1:26">
      <c r="A29" s="737">
        <v>25</v>
      </c>
      <c r="B29" s="738" t="s">
        <v>363</v>
      </c>
      <c r="C29" s="739">
        <v>44</v>
      </c>
      <c r="D29" s="739">
        <v>21</v>
      </c>
      <c r="E29" s="739">
        <v>65</v>
      </c>
      <c r="F29" s="739">
        <v>0</v>
      </c>
      <c r="G29" s="739">
        <v>0</v>
      </c>
      <c r="H29" s="739">
        <v>0</v>
      </c>
      <c r="I29" s="739">
        <v>4</v>
      </c>
      <c r="J29" s="739">
        <v>2</v>
      </c>
      <c r="K29" s="739">
        <v>6</v>
      </c>
      <c r="L29" s="739">
        <v>25</v>
      </c>
      <c r="M29" s="739">
        <v>11</v>
      </c>
      <c r="N29" s="739">
        <v>36</v>
      </c>
      <c r="O29" s="739">
        <v>0</v>
      </c>
      <c r="P29" s="739">
        <v>0</v>
      </c>
      <c r="Q29" s="739">
        <v>0</v>
      </c>
      <c r="R29" s="739">
        <v>0</v>
      </c>
      <c r="S29" s="739">
        <v>0</v>
      </c>
      <c r="T29" s="739">
        <v>0</v>
      </c>
      <c r="U29" s="739">
        <v>0</v>
      </c>
      <c r="V29" s="739">
        <v>0</v>
      </c>
      <c r="W29" s="739">
        <v>0</v>
      </c>
      <c r="X29" s="739">
        <v>3</v>
      </c>
      <c r="Y29" s="739">
        <v>3</v>
      </c>
      <c r="Z29" s="739">
        <v>6</v>
      </c>
    </row>
    <row r="30" spans="1:26">
      <c r="A30" s="737">
        <v>26</v>
      </c>
      <c r="B30" s="738" t="s">
        <v>372</v>
      </c>
      <c r="C30" s="739">
        <v>3705</v>
      </c>
      <c r="D30" s="739">
        <v>4286</v>
      </c>
      <c r="E30" s="739">
        <v>7991</v>
      </c>
      <c r="F30" s="739">
        <v>634</v>
      </c>
      <c r="G30" s="739">
        <v>614</v>
      </c>
      <c r="H30" s="739">
        <v>1248</v>
      </c>
      <c r="I30" s="739">
        <v>446</v>
      </c>
      <c r="J30" s="739">
        <v>811</v>
      </c>
      <c r="K30" s="739">
        <v>1257</v>
      </c>
      <c r="L30" s="739">
        <v>788</v>
      </c>
      <c r="M30" s="739">
        <v>860</v>
      </c>
      <c r="N30" s="739">
        <v>1648</v>
      </c>
      <c r="O30" s="739">
        <v>8</v>
      </c>
      <c r="P30" s="739">
        <v>9</v>
      </c>
      <c r="Q30" s="739">
        <v>17</v>
      </c>
      <c r="R30" s="739">
        <v>14</v>
      </c>
      <c r="S30" s="739">
        <v>11</v>
      </c>
      <c r="T30" s="739">
        <v>25</v>
      </c>
      <c r="U30" s="739">
        <v>14</v>
      </c>
      <c r="V30" s="739">
        <v>17</v>
      </c>
      <c r="W30" s="739">
        <v>31</v>
      </c>
      <c r="X30" s="739">
        <v>44</v>
      </c>
      <c r="Y30" s="739">
        <v>29</v>
      </c>
      <c r="Z30" s="739">
        <v>73</v>
      </c>
    </row>
    <row r="31" spans="1:26">
      <c r="A31" s="737">
        <v>27</v>
      </c>
      <c r="B31" s="738" t="s">
        <v>359</v>
      </c>
      <c r="C31" s="739">
        <v>420</v>
      </c>
      <c r="D31" s="739">
        <v>695</v>
      </c>
      <c r="E31" s="739">
        <v>1115</v>
      </c>
      <c r="F31" s="739">
        <v>57</v>
      </c>
      <c r="G31" s="739">
        <v>76</v>
      </c>
      <c r="H31" s="739">
        <v>133</v>
      </c>
      <c r="I31" s="739">
        <v>19</v>
      </c>
      <c r="J31" s="739">
        <v>16</v>
      </c>
      <c r="K31" s="739">
        <v>35</v>
      </c>
      <c r="L31" s="739">
        <v>112</v>
      </c>
      <c r="M31" s="739">
        <v>167</v>
      </c>
      <c r="N31" s="739">
        <v>279</v>
      </c>
      <c r="O31" s="739">
        <v>2</v>
      </c>
      <c r="P31" s="739">
        <v>1</v>
      </c>
      <c r="Q31" s="739">
        <v>3</v>
      </c>
      <c r="R31" s="739">
        <v>0</v>
      </c>
      <c r="S31" s="739">
        <v>0</v>
      </c>
      <c r="T31" s="739">
        <v>0</v>
      </c>
      <c r="U31" s="739">
        <v>0</v>
      </c>
      <c r="V31" s="739">
        <v>0</v>
      </c>
      <c r="W31" s="739">
        <v>0</v>
      </c>
      <c r="X31" s="739">
        <v>21</v>
      </c>
      <c r="Y31" s="739">
        <v>27</v>
      </c>
      <c r="Z31" s="739">
        <v>48</v>
      </c>
    </row>
    <row r="32" spans="1:26">
      <c r="A32" s="737">
        <v>28</v>
      </c>
      <c r="B32" s="738" t="s">
        <v>364</v>
      </c>
      <c r="C32" s="739">
        <v>587</v>
      </c>
      <c r="D32" s="739">
        <v>689</v>
      </c>
      <c r="E32" s="739">
        <v>1276</v>
      </c>
      <c r="F32" s="739">
        <v>124</v>
      </c>
      <c r="G32" s="739">
        <v>118</v>
      </c>
      <c r="H32" s="739">
        <v>242</v>
      </c>
      <c r="I32" s="739">
        <v>46</v>
      </c>
      <c r="J32" s="739">
        <v>63</v>
      </c>
      <c r="K32" s="739">
        <v>109</v>
      </c>
      <c r="L32" s="739">
        <v>249</v>
      </c>
      <c r="M32" s="739">
        <v>284</v>
      </c>
      <c r="N32" s="739">
        <v>533</v>
      </c>
      <c r="O32" s="739">
        <v>4</v>
      </c>
      <c r="P32" s="739">
        <v>3</v>
      </c>
      <c r="Q32" s="739">
        <v>7</v>
      </c>
      <c r="R32" s="739">
        <v>0</v>
      </c>
      <c r="S32" s="739">
        <v>0</v>
      </c>
      <c r="T32" s="739">
        <v>0</v>
      </c>
      <c r="U32" s="739">
        <v>0</v>
      </c>
      <c r="V32" s="739">
        <v>0</v>
      </c>
      <c r="W32" s="739">
        <v>0</v>
      </c>
      <c r="X32" s="739">
        <v>18</v>
      </c>
      <c r="Y32" s="739">
        <v>18</v>
      </c>
      <c r="Z32" s="739">
        <v>36</v>
      </c>
    </row>
    <row r="33" spans="1:26">
      <c r="A33" s="737">
        <v>29</v>
      </c>
      <c r="B33" s="738" t="s">
        <v>381</v>
      </c>
      <c r="C33" s="739">
        <v>12</v>
      </c>
      <c r="D33" s="739">
        <v>18</v>
      </c>
      <c r="E33" s="739">
        <v>30</v>
      </c>
      <c r="F33" s="739">
        <v>6</v>
      </c>
      <c r="G33" s="739">
        <v>4</v>
      </c>
      <c r="H33" s="739">
        <v>10</v>
      </c>
      <c r="I33" s="739">
        <v>6</v>
      </c>
      <c r="J33" s="739">
        <v>14</v>
      </c>
      <c r="K33" s="739">
        <v>20</v>
      </c>
      <c r="L33" s="739">
        <v>0</v>
      </c>
      <c r="M33" s="739">
        <v>0</v>
      </c>
      <c r="N33" s="739">
        <v>0</v>
      </c>
      <c r="O33" s="739">
        <v>0</v>
      </c>
      <c r="P33" s="739">
        <v>0</v>
      </c>
      <c r="Q33" s="739">
        <v>0</v>
      </c>
      <c r="R33" s="739">
        <v>0</v>
      </c>
      <c r="S33" s="739">
        <v>0</v>
      </c>
      <c r="T33" s="739">
        <v>0</v>
      </c>
      <c r="U33" s="739">
        <v>0</v>
      </c>
      <c r="V33" s="739">
        <v>0</v>
      </c>
      <c r="W33" s="739">
        <v>0</v>
      </c>
      <c r="X33" s="739">
        <v>0</v>
      </c>
      <c r="Y33" s="739">
        <v>0</v>
      </c>
      <c r="Z33" s="739">
        <v>0</v>
      </c>
    </row>
    <row r="34" spans="1:26">
      <c r="A34" s="737">
        <v>30</v>
      </c>
      <c r="B34" s="738" t="s">
        <v>353</v>
      </c>
      <c r="C34" s="739">
        <v>134355</v>
      </c>
      <c r="D34" s="739">
        <v>86427</v>
      </c>
      <c r="E34" s="739">
        <v>220782</v>
      </c>
      <c r="F34" s="739">
        <v>20146</v>
      </c>
      <c r="G34" s="739">
        <v>12854</v>
      </c>
      <c r="H34" s="739">
        <v>33000</v>
      </c>
      <c r="I34" s="739">
        <v>7690</v>
      </c>
      <c r="J34" s="739">
        <v>6094</v>
      </c>
      <c r="K34" s="739">
        <v>13784</v>
      </c>
      <c r="L34" s="739">
        <v>52403</v>
      </c>
      <c r="M34" s="739">
        <v>34143</v>
      </c>
      <c r="N34" s="739">
        <v>86546</v>
      </c>
      <c r="O34" s="739">
        <v>187</v>
      </c>
      <c r="P34" s="739">
        <v>66</v>
      </c>
      <c r="Q34" s="739">
        <v>253</v>
      </c>
      <c r="R34" s="739">
        <v>4649</v>
      </c>
      <c r="S34" s="739">
        <v>2672</v>
      </c>
      <c r="T34" s="739">
        <v>7321</v>
      </c>
      <c r="U34" s="739">
        <v>565</v>
      </c>
      <c r="V34" s="739">
        <v>637</v>
      </c>
      <c r="W34" s="739">
        <v>1202</v>
      </c>
      <c r="X34" s="739">
        <v>747</v>
      </c>
      <c r="Y34" s="739">
        <v>483</v>
      </c>
      <c r="Z34" s="739">
        <v>1230</v>
      </c>
    </row>
    <row r="35" spans="1:26">
      <c r="A35" s="737">
        <v>31</v>
      </c>
      <c r="B35" s="738" t="s">
        <v>355</v>
      </c>
      <c r="C35" s="739">
        <v>0</v>
      </c>
      <c r="D35" s="739">
        <v>0</v>
      </c>
      <c r="E35" s="739">
        <v>0</v>
      </c>
      <c r="F35" s="739">
        <v>0</v>
      </c>
      <c r="G35" s="739">
        <v>0</v>
      </c>
      <c r="H35" s="739">
        <v>0</v>
      </c>
      <c r="I35" s="739">
        <v>0</v>
      </c>
      <c r="J35" s="739">
        <v>0</v>
      </c>
      <c r="K35" s="739">
        <v>0</v>
      </c>
      <c r="L35" s="739">
        <v>0</v>
      </c>
      <c r="M35" s="739">
        <v>0</v>
      </c>
      <c r="N35" s="739">
        <v>0</v>
      </c>
      <c r="O35" s="739">
        <v>0</v>
      </c>
      <c r="P35" s="739">
        <v>0</v>
      </c>
      <c r="Q35" s="739">
        <v>0</v>
      </c>
      <c r="R35" s="739">
        <v>0</v>
      </c>
      <c r="S35" s="739">
        <v>0</v>
      </c>
      <c r="T35" s="739">
        <v>0</v>
      </c>
      <c r="U35" s="739">
        <v>0</v>
      </c>
      <c r="V35" s="739">
        <v>0</v>
      </c>
      <c r="W35" s="739">
        <v>0</v>
      </c>
      <c r="X35" s="739">
        <v>0</v>
      </c>
      <c r="Y35" s="739">
        <v>0</v>
      </c>
      <c r="Z35" s="739">
        <v>0</v>
      </c>
    </row>
    <row r="36" spans="1:26">
      <c r="A36" s="737">
        <v>32</v>
      </c>
      <c r="B36" s="738" t="s">
        <v>798</v>
      </c>
      <c r="C36" s="739">
        <v>467</v>
      </c>
      <c r="D36" s="739">
        <v>227</v>
      </c>
      <c r="E36" s="739">
        <v>694</v>
      </c>
      <c r="F36" s="739">
        <v>47</v>
      </c>
      <c r="G36" s="739">
        <v>23</v>
      </c>
      <c r="H36" s="739">
        <v>70</v>
      </c>
      <c r="I36" s="739">
        <v>22</v>
      </c>
      <c r="J36" s="739">
        <v>15</v>
      </c>
      <c r="K36" s="739">
        <v>37</v>
      </c>
      <c r="L36" s="739">
        <v>95</v>
      </c>
      <c r="M36" s="739">
        <v>27</v>
      </c>
      <c r="N36" s="739">
        <v>122</v>
      </c>
      <c r="O36" s="739">
        <v>2</v>
      </c>
      <c r="P36" s="739">
        <v>1</v>
      </c>
      <c r="Q36" s="739">
        <v>3</v>
      </c>
      <c r="R36" s="739">
        <v>0</v>
      </c>
      <c r="S36" s="739">
        <v>0</v>
      </c>
      <c r="T36" s="739">
        <v>0</v>
      </c>
      <c r="U36" s="739">
        <v>0</v>
      </c>
      <c r="V36" s="739">
        <v>0</v>
      </c>
      <c r="W36" s="739">
        <v>0</v>
      </c>
      <c r="X36" s="739">
        <v>9</v>
      </c>
      <c r="Y36" s="739">
        <v>6</v>
      </c>
      <c r="Z36" s="739">
        <v>15</v>
      </c>
    </row>
    <row r="37" spans="1:26">
      <c r="A37" s="737">
        <v>33</v>
      </c>
      <c r="B37" s="738" t="s">
        <v>440</v>
      </c>
      <c r="C37" s="739">
        <v>12886</v>
      </c>
      <c r="D37" s="739">
        <v>10700</v>
      </c>
      <c r="E37" s="739">
        <v>23586</v>
      </c>
      <c r="F37" s="739">
        <v>1446</v>
      </c>
      <c r="G37" s="739">
        <v>1357</v>
      </c>
      <c r="H37" s="739">
        <v>2803</v>
      </c>
      <c r="I37" s="739">
        <v>300</v>
      </c>
      <c r="J37" s="739">
        <v>181</v>
      </c>
      <c r="K37" s="739">
        <v>481</v>
      </c>
      <c r="L37" s="739">
        <v>5482</v>
      </c>
      <c r="M37" s="739">
        <v>4436</v>
      </c>
      <c r="N37" s="739">
        <v>9918</v>
      </c>
      <c r="O37" s="739">
        <v>20</v>
      </c>
      <c r="P37" s="739">
        <v>4</v>
      </c>
      <c r="Q37" s="739">
        <v>24</v>
      </c>
      <c r="R37" s="739">
        <v>328</v>
      </c>
      <c r="S37" s="739">
        <v>436</v>
      </c>
      <c r="T37" s="739">
        <v>764</v>
      </c>
      <c r="U37" s="739">
        <v>362</v>
      </c>
      <c r="V37" s="739">
        <v>492</v>
      </c>
      <c r="W37" s="739">
        <v>854</v>
      </c>
      <c r="X37" s="739">
        <v>85</v>
      </c>
      <c r="Y37" s="739">
        <v>83</v>
      </c>
      <c r="Z37" s="739">
        <v>168</v>
      </c>
    </row>
    <row r="38" spans="1:26">
      <c r="A38" s="737">
        <v>34</v>
      </c>
      <c r="B38" s="738" t="s">
        <v>435</v>
      </c>
      <c r="C38" s="739">
        <v>1816</v>
      </c>
      <c r="D38" s="739">
        <v>2594</v>
      </c>
      <c r="E38" s="739">
        <v>4410</v>
      </c>
      <c r="F38" s="739">
        <v>249</v>
      </c>
      <c r="G38" s="739">
        <v>304</v>
      </c>
      <c r="H38" s="739">
        <v>553</v>
      </c>
      <c r="I38" s="739">
        <v>463</v>
      </c>
      <c r="J38" s="739">
        <v>561</v>
      </c>
      <c r="K38" s="739">
        <v>1024</v>
      </c>
      <c r="L38" s="739">
        <v>843</v>
      </c>
      <c r="M38" s="739">
        <v>1165</v>
      </c>
      <c r="N38" s="739">
        <v>2008</v>
      </c>
      <c r="O38" s="739">
        <v>58</v>
      </c>
      <c r="P38" s="739">
        <v>32</v>
      </c>
      <c r="Q38" s="739">
        <v>90</v>
      </c>
      <c r="R38" s="739">
        <v>16</v>
      </c>
      <c r="S38" s="739">
        <v>50</v>
      </c>
      <c r="T38" s="739">
        <v>66</v>
      </c>
      <c r="U38" s="739">
        <v>54</v>
      </c>
      <c r="V38" s="739">
        <v>121</v>
      </c>
      <c r="W38" s="739">
        <v>175</v>
      </c>
      <c r="X38" s="739">
        <v>0</v>
      </c>
      <c r="Y38" s="739">
        <v>3</v>
      </c>
      <c r="Z38" s="739">
        <v>3</v>
      </c>
    </row>
    <row r="39" spans="1:26">
      <c r="A39" s="737">
        <v>35</v>
      </c>
      <c r="B39" s="738" t="s">
        <v>972</v>
      </c>
      <c r="C39" s="739">
        <v>116</v>
      </c>
      <c r="D39" s="739">
        <v>177</v>
      </c>
      <c r="E39" s="739">
        <v>293</v>
      </c>
      <c r="F39" s="739">
        <v>16</v>
      </c>
      <c r="G39" s="739">
        <v>37</v>
      </c>
      <c r="H39" s="739">
        <v>53</v>
      </c>
      <c r="I39" s="739">
        <v>24</v>
      </c>
      <c r="J39" s="739">
        <v>49</v>
      </c>
      <c r="K39" s="739">
        <v>73</v>
      </c>
      <c r="L39" s="739">
        <v>53</v>
      </c>
      <c r="M39" s="739">
        <v>71</v>
      </c>
      <c r="N39" s="739">
        <v>124</v>
      </c>
      <c r="O39" s="739">
        <v>0</v>
      </c>
      <c r="P39" s="739">
        <v>1</v>
      </c>
      <c r="Q39" s="739">
        <v>1</v>
      </c>
      <c r="R39" s="739">
        <v>15</v>
      </c>
      <c r="S39" s="739">
        <v>3</v>
      </c>
      <c r="T39" s="739">
        <v>18</v>
      </c>
      <c r="U39" s="739">
        <v>0</v>
      </c>
      <c r="V39" s="739">
        <v>0</v>
      </c>
      <c r="W39" s="739">
        <v>0</v>
      </c>
      <c r="X39" s="739">
        <v>0</v>
      </c>
      <c r="Y39" s="739">
        <v>0</v>
      </c>
      <c r="Z39" s="739">
        <v>0</v>
      </c>
    </row>
    <row r="40" spans="1:26">
      <c r="A40" s="737">
        <v>36</v>
      </c>
      <c r="B40" s="738" t="s">
        <v>973</v>
      </c>
      <c r="C40" s="739">
        <v>5</v>
      </c>
      <c r="D40" s="739">
        <v>46</v>
      </c>
      <c r="E40" s="739">
        <v>51</v>
      </c>
      <c r="F40" s="739">
        <v>0</v>
      </c>
      <c r="G40" s="739">
        <v>0</v>
      </c>
      <c r="H40" s="739">
        <v>0</v>
      </c>
      <c r="I40" s="739">
        <v>0</v>
      </c>
      <c r="J40" s="739">
        <v>0</v>
      </c>
      <c r="K40" s="739">
        <v>0</v>
      </c>
      <c r="L40" s="739">
        <v>0</v>
      </c>
      <c r="M40" s="739">
        <v>0</v>
      </c>
      <c r="N40" s="739">
        <v>0</v>
      </c>
      <c r="O40" s="739">
        <v>0</v>
      </c>
      <c r="P40" s="739">
        <v>0</v>
      </c>
      <c r="Q40" s="739">
        <v>0</v>
      </c>
      <c r="R40" s="739">
        <v>1</v>
      </c>
      <c r="S40" s="739">
        <v>1</v>
      </c>
      <c r="T40" s="739">
        <v>2</v>
      </c>
      <c r="U40" s="739">
        <v>3</v>
      </c>
      <c r="V40" s="739">
        <v>9</v>
      </c>
      <c r="W40" s="739">
        <v>12</v>
      </c>
      <c r="X40" s="739">
        <v>0</v>
      </c>
      <c r="Y40" s="739">
        <v>0</v>
      </c>
      <c r="Z40" s="739">
        <v>0</v>
      </c>
    </row>
    <row r="41" spans="1:26">
      <c r="A41" s="737">
        <v>37</v>
      </c>
      <c r="B41" s="738" t="s">
        <v>962</v>
      </c>
      <c r="C41" s="739">
        <v>3</v>
      </c>
      <c r="D41" s="739">
        <v>41</v>
      </c>
      <c r="E41" s="739">
        <v>44</v>
      </c>
      <c r="F41" s="739">
        <v>0</v>
      </c>
      <c r="G41" s="739">
        <v>3</v>
      </c>
      <c r="H41" s="739">
        <v>3</v>
      </c>
      <c r="I41" s="739">
        <v>0</v>
      </c>
      <c r="J41" s="739">
        <v>0</v>
      </c>
      <c r="K41" s="739">
        <v>0</v>
      </c>
      <c r="L41" s="739">
        <v>0</v>
      </c>
      <c r="M41" s="739">
        <v>0</v>
      </c>
      <c r="N41" s="739">
        <v>0</v>
      </c>
      <c r="O41" s="739">
        <v>0</v>
      </c>
      <c r="P41" s="739">
        <v>0</v>
      </c>
      <c r="Q41" s="739">
        <v>0</v>
      </c>
      <c r="R41" s="739">
        <v>0</v>
      </c>
      <c r="S41" s="739">
        <v>3</v>
      </c>
      <c r="T41" s="739">
        <v>3</v>
      </c>
      <c r="U41" s="739">
        <v>0</v>
      </c>
      <c r="V41" s="739">
        <v>11</v>
      </c>
      <c r="W41" s="739">
        <v>11</v>
      </c>
      <c r="X41" s="739">
        <v>0</v>
      </c>
      <c r="Y41" s="739">
        <v>0</v>
      </c>
      <c r="Z41" s="739">
        <v>0</v>
      </c>
    </row>
    <row r="42" spans="1:26">
      <c r="A42" s="737">
        <v>38</v>
      </c>
      <c r="B42" s="738" t="s">
        <v>437</v>
      </c>
      <c r="C42" s="739">
        <v>102</v>
      </c>
      <c r="D42" s="739">
        <v>102</v>
      </c>
      <c r="E42" s="739">
        <v>204</v>
      </c>
      <c r="F42" s="739">
        <v>18</v>
      </c>
      <c r="G42" s="739">
        <v>12</v>
      </c>
      <c r="H42" s="739">
        <v>30</v>
      </c>
      <c r="I42" s="739">
        <v>5</v>
      </c>
      <c r="J42" s="739">
        <v>0</v>
      </c>
      <c r="K42" s="739">
        <v>5</v>
      </c>
      <c r="L42" s="739">
        <v>19</v>
      </c>
      <c r="M42" s="739">
        <v>14</v>
      </c>
      <c r="N42" s="739">
        <v>33</v>
      </c>
      <c r="O42" s="739">
        <v>0</v>
      </c>
      <c r="P42" s="739">
        <v>0</v>
      </c>
      <c r="Q42" s="739">
        <v>0</v>
      </c>
      <c r="R42" s="739">
        <v>0</v>
      </c>
      <c r="S42" s="739">
        <v>0</v>
      </c>
      <c r="T42" s="739">
        <v>0</v>
      </c>
      <c r="U42" s="739">
        <v>0</v>
      </c>
      <c r="V42" s="739">
        <v>0</v>
      </c>
      <c r="W42" s="739">
        <v>0</v>
      </c>
      <c r="X42" s="739">
        <v>4</v>
      </c>
      <c r="Y42" s="739">
        <v>11</v>
      </c>
      <c r="Z42" s="739">
        <v>15</v>
      </c>
    </row>
    <row r="43" spans="1:26">
      <c r="A43" s="737">
        <v>39</v>
      </c>
      <c r="B43" s="738" t="s">
        <v>439</v>
      </c>
      <c r="C43" s="739">
        <v>786</v>
      </c>
      <c r="D43" s="739">
        <v>452</v>
      </c>
      <c r="E43" s="739">
        <v>1238</v>
      </c>
      <c r="F43" s="739">
        <v>269</v>
      </c>
      <c r="G43" s="739">
        <v>175</v>
      </c>
      <c r="H43" s="739">
        <v>444</v>
      </c>
      <c r="I43" s="739">
        <v>33</v>
      </c>
      <c r="J43" s="739">
        <v>11</v>
      </c>
      <c r="K43" s="739">
        <v>44</v>
      </c>
      <c r="L43" s="739">
        <v>131</v>
      </c>
      <c r="M43" s="739">
        <v>102</v>
      </c>
      <c r="N43" s="739">
        <v>233</v>
      </c>
      <c r="O43" s="739">
        <v>0</v>
      </c>
      <c r="P43" s="739">
        <v>1</v>
      </c>
      <c r="Q43" s="739">
        <v>1</v>
      </c>
      <c r="R43" s="739">
        <v>0</v>
      </c>
      <c r="S43" s="739">
        <v>0</v>
      </c>
      <c r="T43" s="739">
        <v>0</v>
      </c>
      <c r="U43" s="739">
        <v>0</v>
      </c>
      <c r="V43" s="739">
        <v>0</v>
      </c>
      <c r="W43" s="739">
        <v>0</v>
      </c>
      <c r="X43" s="739">
        <v>1</v>
      </c>
      <c r="Y43" s="739">
        <v>3</v>
      </c>
      <c r="Z43" s="739">
        <v>4</v>
      </c>
    </row>
    <row r="44" spans="1:26" ht="16.5" customHeight="1">
      <c r="A44" s="737">
        <v>40</v>
      </c>
      <c r="B44" s="738" t="s">
        <v>976</v>
      </c>
      <c r="C44" s="739">
        <v>11</v>
      </c>
      <c r="D44" s="739">
        <v>7</v>
      </c>
      <c r="E44" s="739">
        <v>18</v>
      </c>
      <c r="F44" s="739">
        <v>0</v>
      </c>
      <c r="G44" s="739">
        <v>0</v>
      </c>
      <c r="H44" s="739">
        <v>0</v>
      </c>
      <c r="I44" s="739">
        <v>0</v>
      </c>
      <c r="J44" s="739">
        <v>0</v>
      </c>
      <c r="K44" s="739">
        <v>0</v>
      </c>
      <c r="L44" s="739">
        <v>0</v>
      </c>
      <c r="M44" s="739">
        <v>0</v>
      </c>
      <c r="N44" s="739">
        <v>0</v>
      </c>
      <c r="O44" s="739">
        <v>0</v>
      </c>
      <c r="P44" s="739">
        <v>0</v>
      </c>
      <c r="Q44" s="739">
        <v>0</v>
      </c>
      <c r="R44" s="739">
        <v>0</v>
      </c>
      <c r="S44" s="739">
        <v>0</v>
      </c>
      <c r="T44" s="739">
        <v>0</v>
      </c>
      <c r="U44" s="739">
        <v>10</v>
      </c>
      <c r="V44" s="739">
        <v>0</v>
      </c>
      <c r="W44" s="739">
        <v>10</v>
      </c>
      <c r="X44" s="739">
        <v>0</v>
      </c>
      <c r="Y44" s="739">
        <v>0</v>
      </c>
      <c r="Z44" s="739">
        <v>0</v>
      </c>
    </row>
    <row r="45" spans="1:26" ht="16.5" customHeight="1">
      <c r="A45" s="737">
        <v>41</v>
      </c>
      <c r="B45" s="738" t="s">
        <v>434</v>
      </c>
      <c r="C45" s="739">
        <v>45082</v>
      </c>
      <c r="D45" s="739">
        <v>48388</v>
      </c>
      <c r="E45" s="739">
        <v>93470</v>
      </c>
      <c r="F45" s="739">
        <v>6801</v>
      </c>
      <c r="G45" s="739">
        <v>8475</v>
      </c>
      <c r="H45" s="739">
        <v>15276</v>
      </c>
      <c r="I45" s="739">
        <v>2805</v>
      </c>
      <c r="J45" s="739">
        <v>2600</v>
      </c>
      <c r="K45" s="739">
        <v>5405</v>
      </c>
      <c r="L45" s="739">
        <v>15569</v>
      </c>
      <c r="M45" s="739">
        <v>12974</v>
      </c>
      <c r="N45" s="739">
        <v>28543</v>
      </c>
      <c r="O45" s="739">
        <v>177</v>
      </c>
      <c r="P45" s="739">
        <v>203</v>
      </c>
      <c r="Q45" s="739">
        <v>380</v>
      </c>
      <c r="R45" s="739">
        <v>546</v>
      </c>
      <c r="S45" s="739">
        <v>448</v>
      </c>
      <c r="T45" s="739">
        <v>994</v>
      </c>
      <c r="U45" s="739">
        <v>407</v>
      </c>
      <c r="V45" s="739">
        <v>356</v>
      </c>
      <c r="W45" s="739">
        <v>763</v>
      </c>
      <c r="X45" s="739">
        <v>803</v>
      </c>
      <c r="Y45" s="739">
        <v>543</v>
      </c>
      <c r="Z45" s="739">
        <v>1346</v>
      </c>
    </row>
    <row r="46" spans="1:26">
      <c r="A46" s="737">
        <v>42</v>
      </c>
      <c r="B46" s="738" t="s">
        <v>791</v>
      </c>
      <c r="C46" s="739">
        <v>22</v>
      </c>
      <c r="D46" s="739">
        <v>9</v>
      </c>
      <c r="E46" s="739">
        <v>31</v>
      </c>
      <c r="F46" s="739">
        <v>1</v>
      </c>
      <c r="G46" s="739">
        <v>0</v>
      </c>
      <c r="H46" s="739">
        <v>1</v>
      </c>
      <c r="I46" s="739">
        <v>0</v>
      </c>
      <c r="J46" s="739">
        <v>0</v>
      </c>
      <c r="K46" s="739">
        <v>0</v>
      </c>
      <c r="L46" s="739">
        <v>5</v>
      </c>
      <c r="M46" s="739">
        <v>2</v>
      </c>
      <c r="N46" s="739">
        <v>7</v>
      </c>
      <c r="O46" s="739">
        <v>0</v>
      </c>
      <c r="P46" s="739">
        <v>0</v>
      </c>
      <c r="Q46" s="739">
        <v>0</v>
      </c>
      <c r="R46" s="739">
        <v>0</v>
      </c>
      <c r="S46" s="739">
        <v>0</v>
      </c>
      <c r="T46" s="739">
        <v>0</v>
      </c>
      <c r="U46" s="739">
        <v>0</v>
      </c>
      <c r="V46" s="739">
        <v>0</v>
      </c>
      <c r="W46" s="739">
        <v>0</v>
      </c>
      <c r="X46" s="739">
        <v>0</v>
      </c>
      <c r="Y46" s="739">
        <v>0</v>
      </c>
      <c r="Z46" s="739">
        <v>0</v>
      </c>
    </row>
    <row r="47" spans="1:26" ht="16.5" customHeight="1">
      <c r="A47" s="737">
        <v>43</v>
      </c>
      <c r="B47" s="738" t="s">
        <v>436</v>
      </c>
      <c r="C47" s="739">
        <v>698</v>
      </c>
      <c r="D47" s="739">
        <v>1440</v>
      </c>
      <c r="E47" s="739">
        <v>2138</v>
      </c>
      <c r="F47" s="739">
        <v>179</v>
      </c>
      <c r="G47" s="739">
        <v>451</v>
      </c>
      <c r="H47" s="739">
        <v>630</v>
      </c>
      <c r="I47" s="739">
        <v>125</v>
      </c>
      <c r="J47" s="739">
        <v>233</v>
      </c>
      <c r="K47" s="739">
        <v>358</v>
      </c>
      <c r="L47" s="739">
        <v>191</v>
      </c>
      <c r="M47" s="739">
        <v>320</v>
      </c>
      <c r="N47" s="739">
        <v>511</v>
      </c>
      <c r="O47" s="739">
        <v>0</v>
      </c>
      <c r="P47" s="739">
        <v>2</v>
      </c>
      <c r="Q47" s="739">
        <v>2</v>
      </c>
      <c r="R47" s="739">
        <v>0</v>
      </c>
      <c r="S47" s="739">
        <v>3</v>
      </c>
      <c r="T47" s="739">
        <v>3</v>
      </c>
      <c r="U47" s="739">
        <v>0</v>
      </c>
      <c r="V47" s="739">
        <v>3</v>
      </c>
      <c r="W47" s="739">
        <v>3</v>
      </c>
      <c r="X47" s="739">
        <v>2</v>
      </c>
      <c r="Y47" s="739">
        <v>9</v>
      </c>
      <c r="Z47" s="739">
        <v>11</v>
      </c>
    </row>
    <row r="48" spans="1:26">
      <c r="A48" s="737">
        <v>44</v>
      </c>
      <c r="B48" s="738" t="s">
        <v>447</v>
      </c>
      <c r="C48" s="739">
        <v>182</v>
      </c>
      <c r="D48" s="739">
        <v>49</v>
      </c>
      <c r="E48" s="739">
        <v>231</v>
      </c>
      <c r="F48" s="739">
        <v>21</v>
      </c>
      <c r="G48" s="739">
        <v>4</v>
      </c>
      <c r="H48" s="739">
        <v>25</v>
      </c>
      <c r="I48" s="739">
        <v>1</v>
      </c>
      <c r="J48" s="739">
        <v>0</v>
      </c>
      <c r="K48" s="739">
        <v>1</v>
      </c>
      <c r="L48" s="739">
        <v>143</v>
      </c>
      <c r="M48" s="739">
        <v>39</v>
      </c>
      <c r="N48" s="739">
        <v>182</v>
      </c>
      <c r="O48" s="739">
        <v>0</v>
      </c>
      <c r="P48" s="739">
        <v>0</v>
      </c>
      <c r="Q48" s="739">
        <v>0</v>
      </c>
      <c r="R48" s="739">
        <v>0</v>
      </c>
      <c r="S48" s="739">
        <v>0</v>
      </c>
      <c r="T48" s="739">
        <v>0</v>
      </c>
      <c r="U48" s="739">
        <v>0</v>
      </c>
      <c r="V48" s="739">
        <v>0</v>
      </c>
      <c r="W48" s="739">
        <v>0</v>
      </c>
      <c r="X48" s="739">
        <v>0</v>
      </c>
      <c r="Y48" s="739">
        <v>0</v>
      </c>
      <c r="Z48" s="739">
        <v>0</v>
      </c>
    </row>
    <row r="49" spans="1:26">
      <c r="A49" s="737">
        <v>45</v>
      </c>
      <c r="B49" s="738" t="s">
        <v>451</v>
      </c>
      <c r="C49" s="739">
        <v>0</v>
      </c>
      <c r="D49" s="739">
        <v>0</v>
      </c>
      <c r="E49" s="739">
        <v>0</v>
      </c>
      <c r="F49" s="739">
        <v>0</v>
      </c>
      <c r="G49" s="739">
        <v>0</v>
      </c>
      <c r="H49" s="739">
        <v>0</v>
      </c>
      <c r="I49" s="739">
        <v>0</v>
      </c>
      <c r="J49" s="739">
        <v>0</v>
      </c>
      <c r="K49" s="739">
        <v>0</v>
      </c>
      <c r="L49" s="739">
        <v>0</v>
      </c>
      <c r="M49" s="739">
        <v>0</v>
      </c>
      <c r="N49" s="739">
        <v>0</v>
      </c>
      <c r="O49" s="739">
        <v>0</v>
      </c>
      <c r="P49" s="739">
        <v>0</v>
      </c>
      <c r="Q49" s="739">
        <v>0</v>
      </c>
      <c r="R49" s="739">
        <v>0</v>
      </c>
      <c r="S49" s="739">
        <v>0</v>
      </c>
      <c r="T49" s="739">
        <v>0</v>
      </c>
      <c r="U49" s="739">
        <v>0</v>
      </c>
      <c r="V49" s="739">
        <v>0</v>
      </c>
      <c r="W49" s="739">
        <v>0</v>
      </c>
      <c r="X49" s="739">
        <v>0</v>
      </c>
      <c r="Y49" s="739">
        <v>0</v>
      </c>
      <c r="Z49" s="739">
        <v>0</v>
      </c>
    </row>
    <row r="50" spans="1:26">
      <c r="A50" s="737">
        <v>46</v>
      </c>
      <c r="B50" s="738" t="s">
        <v>362</v>
      </c>
      <c r="C50" s="739">
        <v>990</v>
      </c>
      <c r="D50" s="739">
        <v>537</v>
      </c>
      <c r="E50" s="739">
        <v>1527</v>
      </c>
      <c r="F50" s="739">
        <v>123</v>
      </c>
      <c r="G50" s="739">
        <v>110</v>
      </c>
      <c r="H50" s="739">
        <v>233</v>
      </c>
      <c r="I50" s="739">
        <v>5</v>
      </c>
      <c r="J50" s="739">
        <v>3</v>
      </c>
      <c r="K50" s="739">
        <v>8</v>
      </c>
      <c r="L50" s="739">
        <v>540</v>
      </c>
      <c r="M50" s="739">
        <v>290</v>
      </c>
      <c r="N50" s="739">
        <v>830</v>
      </c>
      <c r="O50" s="739">
        <v>2</v>
      </c>
      <c r="P50" s="739">
        <v>3</v>
      </c>
      <c r="Q50" s="739">
        <v>5</v>
      </c>
      <c r="R50" s="739">
        <v>15</v>
      </c>
      <c r="S50" s="739">
        <v>18</v>
      </c>
      <c r="T50" s="739">
        <v>33</v>
      </c>
      <c r="U50" s="739">
        <v>3</v>
      </c>
      <c r="V50" s="739">
        <v>6</v>
      </c>
      <c r="W50" s="739">
        <v>9</v>
      </c>
      <c r="X50" s="739">
        <v>0</v>
      </c>
      <c r="Y50" s="739">
        <v>0</v>
      </c>
      <c r="Z50" s="739">
        <v>0</v>
      </c>
    </row>
    <row r="51" spans="1:26">
      <c r="A51" s="737">
        <v>47</v>
      </c>
      <c r="B51" s="738" t="s">
        <v>296</v>
      </c>
      <c r="C51" s="739">
        <v>2531</v>
      </c>
      <c r="D51" s="739">
        <v>1322</v>
      </c>
      <c r="E51" s="739">
        <v>3853</v>
      </c>
      <c r="F51" s="739">
        <v>246</v>
      </c>
      <c r="G51" s="739">
        <v>91</v>
      </c>
      <c r="H51" s="739">
        <v>337</v>
      </c>
      <c r="I51" s="739">
        <v>8</v>
      </c>
      <c r="J51" s="739">
        <v>10</v>
      </c>
      <c r="K51" s="739">
        <v>18</v>
      </c>
      <c r="L51" s="739">
        <v>641</v>
      </c>
      <c r="M51" s="739">
        <v>198</v>
      </c>
      <c r="N51" s="739">
        <v>839</v>
      </c>
      <c r="O51" s="739">
        <v>0</v>
      </c>
      <c r="P51" s="739">
        <v>0</v>
      </c>
      <c r="Q51" s="739">
        <v>0</v>
      </c>
      <c r="R51" s="739">
        <v>6</v>
      </c>
      <c r="S51" s="739">
        <v>8</v>
      </c>
      <c r="T51" s="739">
        <v>14</v>
      </c>
      <c r="U51" s="739">
        <v>8</v>
      </c>
      <c r="V51" s="739">
        <v>8</v>
      </c>
      <c r="W51" s="739">
        <v>16</v>
      </c>
      <c r="X51" s="739">
        <v>7</v>
      </c>
      <c r="Y51" s="739">
        <v>4</v>
      </c>
      <c r="Z51" s="739">
        <v>11</v>
      </c>
    </row>
    <row r="52" spans="1:26">
      <c r="A52" s="737">
        <v>48</v>
      </c>
      <c r="B52" s="738" t="s">
        <v>284</v>
      </c>
      <c r="C52" s="739">
        <v>369406</v>
      </c>
      <c r="D52" s="739">
        <v>455303</v>
      </c>
      <c r="E52" s="739">
        <v>824709</v>
      </c>
      <c r="F52" s="739">
        <v>57590</v>
      </c>
      <c r="G52" s="739">
        <v>65705</v>
      </c>
      <c r="H52" s="739">
        <v>123295</v>
      </c>
      <c r="I52" s="739">
        <v>24866</v>
      </c>
      <c r="J52" s="739">
        <v>27406</v>
      </c>
      <c r="K52" s="739">
        <v>52272</v>
      </c>
      <c r="L52" s="739">
        <v>120821</v>
      </c>
      <c r="M52" s="739">
        <v>124057</v>
      </c>
      <c r="N52" s="739">
        <v>244878</v>
      </c>
      <c r="O52" s="739">
        <v>1847</v>
      </c>
      <c r="P52" s="739">
        <v>1100</v>
      </c>
      <c r="Q52" s="739">
        <v>2947</v>
      </c>
      <c r="R52" s="739">
        <v>20354</v>
      </c>
      <c r="S52" s="739">
        <v>22852</v>
      </c>
      <c r="T52" s="739">
        <v>43206</v>
      </c>
      <c r="U52" s="739">
        <v>2806</v>
      </c>
      <c r="V52" s="739">
        <v>4752</v>
      </c>
      <c r="W52" s="739">
        <v>7558</v>
      </c>
      <c r="X52" s="739">
        <v>13548</v>
      </c>
      <c r="Y52" s="739">
        <v>10026</v>
      </c>
      <c r="Z52" s="739">
        <v>23574</v>
      </c>
    </row>
    <row r="53" spans="1:26">
      <c r="A53" s="737">
        <v>49</v>
      </c>
      <c r="B53" s="738" t="s">
        <v>286</v>
      </c>
      <c r="C53" s="739">
        <v>70728</v>
      </c>
      <c r="D53" s="739">
        <v>49633</v>
      </c>
      <c r="E53" s="739">
        <v>120361</v>
      </c>
      <c r="F53" s="739">
        <v>7324</v>
      </c>
      <c r="G53" s="739">
        <v>5597</v>
      </c>
      <c r="H53" s="739">
        <v>12921</v>
      </c>
      <c r="I53" s="739">
        <v>981</v>
      </c>
      <c r="J53" s="739">
        <v>657</v>
      </c>
      <c r="K53" s="739">
        <v>1638</v>
      </c>
      <c r="L53" s="739">
        <v>30392</v>
      </c>
      <c r="M53" s="739">
        <v>22867</v>
      </c>
      <c r="N53" s="739">
        <v>53259</v>
      </c>
      <c r="O53" s="739">
        <v>28</v>
      </c>
      <c r="P53" s="739">
        <v>14</v>
      </c>
      <c r="Q53" s="739">
        <v>42</v>
      </c>
      <c r="R53" s="739">
        <v>617</v>
      </c>
      <c r="S53" s="739">
        <v>453</v>
      </c>
      <c r="T53" s="739">
        <v>1070</v>
      </c>
      <c r="U53" s="739">
        <v>416</v>
      </c>
      <c r="V53" s="739">
        <v>342</v>
      </c>
      <c r="W53" s="739">
        <v>758</v>
      </c>
      <c r="X53" s="739">
        <v>700</v>
      </c>
      <c r="Y53" s="739">
        <v>559</v>
      </c>
      <c r="Z53" s="739">
        <v>1259</v>
      </c>
    </row>
    <row r="54" spans="1:26">
      <c r="A54" s="737">
        <v>50</v>
      </c>
      <c r="B54" s="738" t="s">
        <v>311</v>
      </c>
      <c r="C54" s="739">
        <v>3427</v>
      </c>
      <c r="D54" s="739">
        <v>3910</v>
      </c>
      <c r="E54" s="739">
        <v>7337</v>
      </c>
      <c r="F54" s="739">
        <v>595</v>
      </c>
      <c r="G54" s="739">
        <v>728</v>
      </c>
      <c r="H54" s="739">
        <v>1323</v>
      </c>
      <c r="I54" s="739">
        <v>35</v>
      </c>
      <c r="J54" s="739">
        <v>38</v>
      </c>
      <c r="K54" s="739">
        <v>73</v>
      </c>
      <c r="L54" s="739">
        <v>1724</v>
      </c>
      <c r="M54" s="739">
        <v>1944</v>
      </c>
      <c r="N54" s="739">
        <v>3668</v>
      </c>
      <c r="O54" s="739">
        <v>2</v>
      </c>
      <c r="P54" s="739">
        <v>4</v>
      </c>
      <c r="Q54" s="739">
        <v>6</v>
      </c>
      <c r="R54" s="739">
        <v>168</v>
      </c>
      <c r="S54" s="739">
        <v>199</v>
      </c>
      <c r="T54" s="739">
        <v>367</v>
      </c>
      <c r="U54" s="739">
        <v>239</v>
      </c>
      <c r="V54" s="739">
        <v>271</v>
      </c>
      <c r="W54" s="739">
        <v>510</v>
      </c>
      <c r="X54" s="739">
        <v>0</v>
      </c>
      <c r="Y54" s="739">
        <v>0</v>
      </c>
      <c r="Z54" s="739">
        <v>0</v>
      </c>
    </row>
    <row r="55" spans="1:26">
      <c r="A55" s="737">
        <v>51</v>
      </c>
      <c r="B55" s="738" t="s">
        <v>288</v>
      </c>
      <c r="C55" s="739">
        <v>17635</v>
      </c>
      <c r="D55" s="739">
        <v>10918</v>
      </c>
      <c r="E55" s="739">
        <v>28553</v>
      </c>
      <c r="F55" s="739">
        <v>947</v>
      </c>
      <c r="G55" s="739">
        <v>677</v>
      </c>
      <c r="H55" s="739">
        <v>1624</v>
      </c>
      <c r="I55" s="739">
        <v>170</v>
      </c>
      <c r="J55" s="739">
        <v>70</v>
      </c>
      <c r="K55" s="739">
        <v>240</v>
      </c>
      <c r="L55" s="739">
        <v>5237</v>
      </c>
      <c r="M55" s="739">
        <v>4200</v>
      </c>
      <c r="N55" s="739">
        <v>9437</v>
      </c>
      <c r="O55" s="739">
        <v>18</v>
      </c>
      <c r="P55" s="739">
        <v>6</v>
      </c>
      <c r="Q55" s="739">
        <v>24</v>
      </c>
      <c r="R55" s="739">
        <v>86</v>
      </c>
      <c r="S55" s="739">
        <v>50</v>
      </c>
      <c r="T55" s="739">
        <v>136</v>
      </c>
      <c r="U55" s="739">
        <v>29</v>
      </c>
      <c r="V55" s="739">
        <v>32</v>
      </c>
      <c r="W55" s="739">
        <v>61</v>
      </c>
      <c r="X55" s="739">
        <v>131</v>
      </c>
      <c r="Y55" s="739">
        <v>88</v>
      </c>
      <c r="Z55" s="739">
        <v>219</v>
      </c>
    </row>
    <row r="56" spans="1:26">
      <c r="A56" s="737">
        <v>52</v>
      </c>
      <c r="B56" s="738" t="s">
        <v>287</v>
      </c>
      <c r="C56" s="739">
        <v>62705</v>
      </c>
      <c r="D56" s="739">
        <v>89377</v>
      </c>
      <c r="E56" s="739">
        <v>152082</v>
      </c>
      <c r="F56" s="739">
        <v>6080</v>
      </c>
      <c r="G56" s="739">
        <v>7892</v>
      </c>
      <c r="H56" s="739">
        <v>13972</v>
      </c>
      <c r="I56" s="739">
        <v>1705</v>
      </c>
      <c r="J56" s="739">
        <v>1739</v>
      </c>
      <c r="K56" s="739">
        <v>3444</v>
      </c>
      <c r="L56" s="739">
        <v>17225</v>
      </c>
      <c r="M56" s="739">
        <v>23934</v>
      </c>
      <c r="N56" s="739">
        <v>41159</v>
      </c>
      <c r="O56" s="739">
        <v>177</v>
      </c>
      <c r="P56" s="739">
        <v>97</v>
      </c>
      <c r="Q56" s="739">
        <v>274</v>
      </c>
      <c r="R56" s="739">
        <v>1809</v>
      </c>
      <c r="S56" s="739">
        <v>2216</v>
      </c>
      <c r="T56" s="739">
        <v>4025</v>
      </c>
      <c r="U56" s="739">
        <v>1127</v>
      </c>
      <c r="V56" s="739">
        <v>1906</v>
      </c>
      <c r="W56" s="739">
        <v>3033</v>
      </c>
      <c r="X56" s="739">
        <v>2489</v>
      </c>
      <c r="Y56" s="739">
        <v>2364</v>
      </c>
      <c r="Z56" s="739">
        <v>4853</v>
      </c>
    </row>
    <row r="57" spans="1:26">
      <c r="A57" s="737">
        <v>53</v>
      </c>
      <c r="B57" s="738" t="s">
        <v>294</v>
      </c>
      <c r="C57" s="739">
        <v>22</v>
      </c>
      <c r="D57" s="739">
        <v>5</v>
      </c>
      <c r="E57" s="739">
        <v>27</v>
      </c>
      <c r="F57" s="739">
        <v>2</v>
      </c>
      <c r="G57" s="739">
        <v>0</v>
      </c>
      <c r="H57" s="739">
        <v>2</v>
      </c>
      <c r="I57" s="739">
        <v>0</v>
      </c>
      <c r="J57" s="739">
        <v>0</v>
      </c>
      <c r="K57" s="739">
        <v>0</v>
      </c>
      <c r="L57" s="739">
        <v>1</v>
      </c>
      <c r="M57" s="739">
        <v>0</v>
      </c>
      <c r="N57" s="739">
        <v>1</v>
      </c>
      <c r="O57" s="739">
        <v>0</v>
      </c>
      <c r="P57" s="739">
        <v>0</v>
      </c>
      <c r="Q57" s="739">
        <v>0</v>
      </c>
      <c r="R57" s="739">
        <v>0</v>
      </c>
      <c r="S57" s="739">
        <v>0</v>
      </c>
      <c r="T57" s="739">
        <v>0</v>
      </c>
      <c r="U57" s="739">
        <v>0</v>
      </c>
      <c r="V57" s="739">
        <v>0</v>
      </c>
      <c r="W57" s="739">
        <v>0</v>
      </c>
      <c r="X57" s="739">
        <v>1</v>
      </c>
      <c r="Y57" s="739">
        <v>0</v>
      </c>
      <c r="Z57" s="739">
        <v>1</v>
      </c>
    </row>
    <row r="58" spans="1:26">
      <c r="A58" s="737">
        <v>54</v>
      </c>
      <c r="B58" s="738" t="s">
        <v>308</v>
      </c>
      <c r="C58" s="739">
        <v>362</v>
      </c>
      <c r="D58" s="739">
        <v>657</v>
      </c>
      <c r="E58" s="739">
        <v>1019</v>
      </c>
      <c r="F58" s="739">
        <v>59</v>
      </c>
      <c r="G58" s="739">
        <v>84</v>
      </c>
      <c r="H58" s="739">
        <v>143</v>
      </c>
      <c r="I58" s="739">
        <v>7</v>
      </c>
      <c r="J58" s="739">
        <v>5</v>
      </c>
      <c r="K58" s="739">
        <v>12</v>
      </c>
      <c r="L58" s="739">
        <v>156</v>
      </c>
      <c r="M58" s="739">
        <v>202</v>
      </c>
      <c r="N58" s="739">
        <v>358</v>
      </c>
      <c r="O58" s="739">
        <v>1</v>
      </c>
      <c r="P58" s="739">
        <v>3</v>
      </c>
      <c r="Q58" s="739">
        <v>4</v>
      </c>
      <c r="R58" s="739">
        <v>16</v>
      </c>
      <c r="S58" s="739">
        <v>17</v>
      </c>
      <c r="T58" s="739">
        <v>33</v>
      </c>
      <c r="U58" s="739">
        <v>19</v>
      </c>
      <c r="V58" s="739">
        <v>24</v>
      </c>
      <c r="W58" s="739">
        <v>43</v>
      </c>
      <c r="X58" s="739">
        <v>0</v>
      </c>
      <c r="Y58" s="739">
        <v>0</v>
      </c>
      <c r="Z58" s="739">
        <v>0</v>
      </c>
    </row>
    <row r="59" spans="1:26">
      <c r="A59" s="737">
        <v>55</v>
      </c>
      <c r="B59" s="738" t="s">
        <v>314</v>
      </c>
      <c r="C59" s="739">
        <v>584</v>
      </c>
      <c r="D59" s="739">
        <v>304</v>
      </c>
      <c r="E59" s="739">
        <v>888</v>
      </c>
      <c r="F59" s="739">
        <v>83</v>
      </c>
      <c r="G59" s="739">
        <v>39</v>
      </c>
      <c r="H59" s="739">
        <v>122</v>
      </c>
      <c r="I59" s="739">
        <v>12</v>
      </c>
      <c r="J59" s="739">
        <v>15</v>
      </c>
      <c r="K59" s="739">
        <v>27</v>
      </c>
      <c r="L59" s="739">
        <v>99</v>
      </c>
      <c r="M59" s="739">
        <v>52</v>
      </c>
      <c r="N59" s="739">
        <v>151</v>
      </c>
      <c r="O59" s="739">
        <v>3</v>
      </c>
      <c r="P59" s="739">
        <v>0</v>
      </c>
      <c r="Q59" s="739">
        <v>3</v>
      </c>
      <c r="R59" s="739">
        <v>0</v>
      </c>
      <c r="S59" s="739">
        <v>0</v>
      </c>
      <c r="T59" s="739">
        <v>0</v>
      </c>
      <c r="U59" s="739">
        <v>0</v>
      </c>
      <c r="V59" s="739">
        <v>0</v>
      </c>
      <c r="W59" s="739">
        <v>0</v>
      </c>
      <c r="X59" s="739">
        <v>8</v>
      </c>
      <c r="Y59" s="739">
        <v>3</v>
      </c>
      <c r="Z59" s="739">
        <v>11</v>
      </c>
    </row>
    <row r="60" spans="1:26">
      <c r="A60" s="737">
        <v>56</v>
      </c>
      <c r="B60" s="738" t="s">
        <v>319</v>
      </c>
      <c r="C60" s="739">
        <v>111</v>
      </c>
      <c r="D60" s="739">
        <v>97</v>
      </c>
      <c r="E60" s="739">
        <v>208</v>
      </c>
      <c r="F60" s="739">
        <v>7</v>
      </c>
      <c r="G60" s="739">
        <v>7</v>
      </c>
      <c r="H60" s="739">
        <v>14</v>
      </c>
      <c r="I60" s="739">
        <v>0</v>
      </c>
      <c r="J60" s="739">
        <v>1</v>
      </c>
      <c r="K60" s="739">
        <v>1</v>
      </c>
      <c r="L60" s="739">
        <v>50</v>
      </c>
      <c r="M60" s="739">
        <v>51</v>
      </c>
      <c r="N60" s="739">
        <v>101</v>
      </c>
      <c r="O60" s="739">
        <v>0</v>
      </c>
      <c r="P60" s="739">
        <v>2</v>
      </c>
      <c r="Q60" s="739">
        <v>2</v>
      </c>
      <c r="R60" s="739">
        <v>2</v>
      </c>
      <c r="S60" s="739">
        <v>0</v>
      </c>
      <c r="T60" s="739">
        <v>2</v>
      </c>
      <c r="U60" s="739">
        <v>0</v>
      </c>
      <c r="V60" s="739">
        <v>0</v>
      </c>
      <c r="W60" s="739">
        <v>0</v>
      </c>
      <c r="X60" s="739">
        <v>0</v>
      </c>
      <c r="Y60" s="739">
        <v>0</v>
      </c>
      <c r="Z60" s="739">
        <v>0</v>
      </c>
    </row>
    <row r="61" spans="1:26">
      <c r="A61" s="737">
        <v>57</v>
      </c>
      <c r="B61" s="738" t="s">
        <v>307</v>
      </c>
      <c r="C61" s="739">
        <v>712</v>
      </c>
      <c r="D61" s="739">
        <v>353</v>
      </c>
      <c r="E61" s="739">
        <v>1065</v>
      </c>
      <c r="F61" s="739">
        <v>113</v>
      </c>
      <c r="G61" s="739">
        <v>37</v>
      </c>
      <c r="H61" s="739">
        <v>150</v>
      </c>
      <c r="I61" s="739">
        <v>4</v>
      </c>
      <c r="J61" s="739">
        <v>1</v>
      </c>
      <c r="K61" s="739">
        <v>5</v>
      </c>
      <c r="L61" s="739">
        <v>211</v>
      </c>
      <c r="M61" s="739">
        <v>62</v>
      </c>
      <c r="N61" s="739">
        <v>273</v>
      </c>
      <c r="O61" s="739">
        <v>3</v>
      </c>
      <c r="P61" s="739">
        <v>0</v>
      </c>
      <c r="Q61" s="739">
        <v>3</v>
      </c>
      <c r="R61" s="739">
        <v>1</v>
      </c>
      <c r="S61" s="739">
        <v>0</v>
      </c>
      <c r="T61" s="739">
        <v>1</v>
      </c>
      <c r="U61" s="739">
        <v>3</v>
      </c>
      <c r="V61" s="739">
        <v>3</v>
      </c>
      <c r="W61" s="739">
        <v>6</v>
      </c>
      <c r="X61" s="739">
        <v>11</v>
      </c>
      <c r="Y61" s="739">
        <v>7</v>
      </c>
      <c r="Z61" s="739">
        <v>18</v>
      </c>
    </row>
    <row r="62" spans="1:26">
      <c r="A62" s="737">
        <v>58</v>
      </c>
      <c r="B62" s="738" t="s">
        <v>318</v>
      </c>
      <c r="C62" s="739">
        <v>1435</v>
      </c>
      <c r="D62" s="739">
        <v>632</v>
      </c>
      <c r="E62" s="739">
        <v>2067</v>
      </c>
      <c r="F62" s="739">
        <v>194</v>
      </c>
      <c r="G62" s="739">
        <v>70</v>
      </c>
      <c r="H62" s="739">
        <v>264</v>
      </c>
      <c r="I62" s="739">
        <v>29</v>
      </c>
      <c r="J62" s="739">
        <v>9</v>
      </c>
      <c r="K62" s="739">
        <v>38</v>
      </c>
      <c r="L62" s="739">
        <v>639</v>
      </c>
      <c r="M62" s="739">
        <v>321</v>
      </c>
      <c r="N62" s="739">
        <v>960</v>
      </c>
      <c r="O62" s="739">
        <v>1</v>
      </c>
      <c r="P62" s="739">
        <v>0</v>
      </c>
      <c r="Q62" s="739">
        <v>1</v>
      </c>
      <c r="R62" s="739">
        <v>86</v>
      </c>
      <c r="S62" s="739">
        <v>84</v>
      </c>
      <c r="T62" s="739">
        <v>170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>
      <c r="A63" s="737">
        <v>59</v>
      </c>
      <c r="B63" s="738" t="s">
        <v>305</v>
      </c>
      <c r="C63" s="739">
        <v>1742</v>
      </c>
      <c r="D63" s="739">
        <v>1799</v>
      </c>
      <c r="E63" s="739">
        <v>3541</v>
      </c>
      <c r="F63" s="739">
        <v>235</v>
      </c>
      <c r="G63" s="739">
        <v>216</v>
      </c>
      <c r="H63" s="739">
        <v>451</v>
      </c>
      <c r="I63" s="739">
        <v>186</v>
      </c>
      <c r="J63" s="739">
        <v>79</v>
      </c>
      <c r="K63" s="739">
        <v>265</v>
      </c>
      <c r="L63" s="739">
        <v>564</v>
      </c>
      <c r="M63" s="739">
        <v>497</v>
      </c>
      <c r="N63" s="739">
        <v>1061</v>
      </c>
      <c r="O63" s="739">
        <v>6</v>
      </c>
      <c r="P63" s="739">
        <v>4</v>
      </c>
      <c r="Q63" s="739">
        <v>10</v>
      </c>
      <c r="R63" s="739">
        <v>13</v>
      </c>
      <c r="S63" s="739">
        <v>8</v>
      </c>
      <c r="T63" s="739">
        <v>21</v>
      </c>
      <c r="U63" s="739">
        <v>2</v>
      </c>
      <c r="V63" s="739">
        <v>12</v>
      </c>
      <c r="W63" s="739">
        <v>14</v>
      </c>
      <c r="X63" s="739">
        <v>45</v>
      </c>
      <c r="Y63" s="739">
        <v>19</v>
      </c>
      <c r="Z63" s="739">
        <v>64</v>
      </c>
    </row>
    <row r="64" spans="1:26">
      <c r="A64" s="737">
        <v>60</v>
      </c>
      <c r="B64" s="738" t="s">
        <v>309</v>
      </c>
      <c r="C64" s="739">
        <v>1022</v>
      </c>
      <c r="D64" s="739">
        <v>1063</v>
      </c>
      <c r="E64" s="739">
        <v>2085</v>
      </c>
      <c r="F64" s="739">
        <v>189</v>
      </c>
      <c r="G64" s="739">
        <v>143</v>
      </c>
      <c r="H64" s="739">
        <v>332</v>
      </c>
      <c r="I64" s="739">
        <v>67</v>
      </c>
      <c r="J64" s="739">
        <v>55</v>
      </c>
      <c r="K64" s="739">
        <v>122</v>
      </c>
      <c r="L64" s="739">
        <v>525</v>
      </c>
      <c r="M64" s="739">
        <v>532</v>
      </c>
      <c r="N64" s="739">
        <v>1057</v>
      </c>
      <c r="O64" s="739">
        <v>4</v>
      </c>
      <c r="P64" s="739">
        <v>1</v>
      </c>
      <c r="Q64" s="739">
        <v>5</v>
      </c>
      <c r="R64" s="739">
        <v>17</v>
      </c>
      <c r="S64" s="739">
        <v>20</v>
      </c>
      <c r="T64" s="739">
        <v>37</v>
      </c>
      <c r="U64" s="739">
        <v>32</v>
      </c>
      <c r="V64" s="739">
        <v>27</v>
      </c>
      <c r="W64" s="739">
        <v>59</v>
      </c>
      <c r="X64" s="739">
        <v>7</v>
      </c>
      <c r="Y64" s="739">
        <v>15</v>
      </c>
      <c r="Z64" s="739">
        <v>22</v>
      </c>
    </row>
    <row r="65" spans="1:26">
      <c r="A65" s="737">
        <v>61</v>
      </c>
      <c r="B65" s="738" t="s">
        <v>345</v>
      </c>
      <c r="C65" s="739">
        <v>59</v>
      </c>
      <c r="D65" s="739">
        <v>88</v>
      </c>
      <c r="E65" s="739">
        <v>147</v>
      </c>
      <c r="F65" s="739">
        <v>8</v>
      </c>
      <c r="G65" s="739">
        <v>28</v>
      </c>
      <c r="H65" s="739">
        <v>36</v>
      </c>
      <c r="I65" s="739">
        <v>0</v>
      </c>
      <c r="J65" s="739">
        <v>1</v>
      </c>
      <c r="K65" s="739">
        <v>1</v>
      </c>
      <c r="L65" s="739">
        <v>25</v>
      </c>
      <c r="M65" s="739">
        <v>32</v>
      </c>
      <c r="N65" s="739">
        <v>57</v>
      </c>
      <c r="O65" s="739">
        <v>0</v>
      </c>
      <c r="P65" s="739">
        <v>0</v>
      </c>
      <c r="Q65" s="739">
        <v>0</v>
      </c>
      <c r="R65" s="739">
        <v>0</v>
      </c>
      <c r="S65" s="739">
        <v>0</v>
      </c>
      <c r="T65" s="739">
        <v>0</v>
      </c>
      <c r="U65" s="739">
        <v>0</v>
      </c>
      <c r="V65" s="739">
        <v>0</v>
      </c>
      <c r="W65" s="739">
        <v>0</v>
      </c>
      <c r="X65" s="739">
        <v>0</v>
      </c>
      <c r="Y65" s="739">
        <v>0</v>
      </c>
      <c r="Z65" s="739">
        <v>0</v>
      </c>
    </row>
    <row r="66" spans="1:26">
      <c r="A66" s="737">
        <v>62</v>
      </c>
      <c r="B66" s="738" t="s">
        <v>336</v>
      </c>
      <c r="C66" s="739">
        <v>1419</v>
      </c>
      <c r="D66" s="739">
        <v>1450</v>
      </c>
      <c r="E66" s="739">
        <v>2869</v>
      </c>
      <c r="F66" s="739">
        <v>82</v>
      </c>
      <c r="G66" s="739">
        <v>82</v>
      </c>
      <c r="H66" s="739">
        <v>164</v>
      </c>
      <c r="I66" s="739">
        <v>46</v>
      </c>
      <c r="J66" s="739">
        <v>27</v>
      </c>
      <c r="K66" s="739">
        <v>73</v>
      </c>
      <c r="L66" s="739">
        <v>264</v>
      </c>
      <c r="M66" s="739">
        <v>182</v>
      </c>
      <c r="N66" s="739">
        <v>446</v>
      </c>
      <c r="O66" s="739">
        <v>6</v>
      </c>
      <c r="P66" s="739">
        <v>2</v>
      </c>
      <c r="Q66" s="739">
        <v>8</v>
      </c>
      <c r="R66" s="739">
        <v>0</v>
      </c>
      <c r="S66" s="739">
        <v>0</v>
      </c>
      <c r="T66" s="739">
        <v>0</v>
      </c>
      <c r="U66" s="739">
        <v>0</v>
      </c>
      <c r="V66" s="739">
        <v>0</v>
      </c>
      <c r="W66" s="739">
        <v>0</v>
      </c>
      <c r="X66" s="739">
        <v>41</v>
      </c>
      <c r="Y66" s="739">
        <v>22</v>
      </c>
      <c r="Z66" s="739">
        <v>63</v>
      </c>
    </row>
    <row r="67" spans="1:26">
      <c r="A67" s="737">
        <v>63</v>
      </c>
      <c r="B67" s="738" t="s">
        <v>304</v>
      </c>
      <c r="C67" s="739">
        <v>13743</v>
      </c>
      <c r="D67" s="739">
        <v>6793</v>
      </c>
      <c r="E67" s="739">
        <v>20536</v>
      </c>
      <c r="F67" s="739">
        <v>1016</v>
      </c>
      <c r="G67" s="739">
        <v>552</v>
      </c>
      <c r="H67" s="739">
        <v>1568</v>
      </c>
      <c r="I67" s="739">
        <v>244</v>
      </c>
      <c r="J67" s="739">
        <v>124</v>
      </c>
      <c r="K67" s="739">
        <v>368</v>
      </c>
      <c r="L67" s="739">
        <v>2651</v>
      </c>
      <c r="M67" s="739">
        <v>1567</v>
      </c>
      <c r="N67" s="739">
        <v>4218</v>
      </c>
      <c r="O67" s="739">
        <v>36</v>
      </c>
      <c r="P67" s="739">
        <v>8</v>
      </c>
      <c r="Q67" s="739">
        <v>44</v>
      </c>
      <c r="R67" s="739">
        <v>0</v>
      </c>
      <c r="S67" s="739">
        <v>0</v>
      </c>
      <c r="T67" s="739">
        <v>0</v>
      </c>
      <c r="U67" s="739">
        <v>0</v>
      </c>
      <c r="V67" s="739">
        <v>0</v>
      </c>
      <c r="W67" s="739">
        <v>0</v>
      </c>
      <c r="X67" s="739">
        <v>106</v>
      </c>
      <c r="Y67" s="739">
        <v>60</v>
      </c>
      <c r="Z67" s="739">
        <v>166</v>
      </c>
    </row>
    <row r="68" spans="1:26">
      <c r="A68" s="737">
        <v>64</v>
      </c>
      <c r="B68" s="738" t="s">
        <v>326</v>
      </c>
      <c r="C68" s="739">
        <v>38</v>
      </c>
      <c r="D68" s="739">
        <v>34</v>
      </c>
      <c r="E68" s="739">
        <v>72</v>
      </c>
      <c r="F68" s="739">
        <v>5</v>
      </c>
      <c r="G68" s="739">
        <v>2</v>
      </c>
      <c r="H68" s="739">
        <v>7</v>
      </c>
      <c r="I68" s="739">
        <v>0</v>
      </c>
      <c r="J68" s="739">
        <v>0</v>
      </c>
      <c r="K68" s="739">
        <v>0</v>
      </c>
      <c r="L68" s="739">
        <v>2</v>
      </c>
      <c r="M68" s="739">
        <v>7</v>
      </c>
      <c r="N68" s="739">
        <v>9</v>
      </c>
      <c r="O68" s="739">
        <v>1</v>
      </c>
      <c r="P68" s="739">
        <v>2</v>
      </c>
      <c r="Q68" s="739">
        <v>3</v>
      </c>
      <c r="R68" s="739">
        <v>1</v>
      </c>
      <c r="S68" s="739">
        <v>0</v>
      </c>
      <c r="T68" s="739">
        <v>1</v>
      </c>
      <c r="U68" s="739">
        <v>4</v>
      </c>
      <c r="V68" s="739">
        <v>2</v>
      </c>
      <c r="W68" s="739">
        <v>6</v>
      </c>
      <c r="X68" s="739">
        <v>0</v>
      </c>
      <c r="Y68" s="739">
        <v>0</v>
      </c>
      <c r="Z68" s="739">
        <v>0</v>
      </c>
    </row>
    <row r="69" spans="1:26">
      <c r="A69" s="737">
        <v>65</v>
      </c>
      <c r="B69" s="738" t="s">
        <v>332</v>
      </c>
      <c r="C69" s="739">
        <v>15</v>
      </c>
      <c r="D69" s="739">
        <v>5</v>
      </c>
      <c r="E69" s="739">
        <v>20</v>
      </c>
      <c r="F69" s="739">
        <v>3</v>
      </c>
      <c r="G69" s="739">
        <v>0</v>
      </c>
      <c r="H69" s="739">
        <v>3</v>
      </c>
      <c r="I69" s="739">
        <v>0</v>
      </c>
      <c r="J69" s="739">
        <v>0</v>
      </c>
      <c r="K69" s="739">
        <v>0</v>
      </c>
      <c r="L69" s="739">
        <v>4</v>
      </c>
      <c r="M69" s="739">
        <v>0</v>
      </c>
      <c r="N69" s="739">
        <v>4</v>
      </c>
      <c r="O69" s="739">
        <v>0</v>
      </c>
      <c r="P69" s="739">
        <v>0</v>
      </c>
      <c r="Q69" s="739">
        <v>0</v>
      </c>
      <c r="R69" s="739">
        <v>0</v>
      </c>
      <c r="S69" s="739">
        <v>0</v>
      </c>
      <c r="T69" s="739">
        <v>0</v>
      </c>
      <c r="U69" s="739">
        <v>0</v>
      </c>
      <c r="V69" s="739">
        <v>0</v>
      </c>
      <c r="W69" s="739">
        <v>0</v>
      </c>
      <c r="X69" s="739">
        <v>0</v>
      </c>
      <c r="Y69" s="739">
        <v>0</v>
      </c>
      <c r="Z69" s="739">
        <v>0</v>
      </c>
    </row>
    <row r="70" spans="1:26">
      <c r="A70" s="737">
        <v>66</v>
      </c>
      <c r="B70" s="738" t="s">
        <v>283</v>
      </c>
      <c r="C70" s="739">
        <v>20</v>
      </c>
      <c r="D70" s="739">
        <v>9</v>
      </c>
      <c r="E70" s="739">
        <v>29</v>
      </c>
      <c r="F70" s="739">
        <v>5</v>
      </c>
      <c r="G70" s="739">
        <v>2</v>
      </c>
      <c r="H70" s="739">
        <v>7</v>
      </c>
      <c r="I70" s="739">
        <v>2</v>
      </c>
      <c r="J70" s="739">
        <v>1</v>
      </c>
      <c r="K70" s="739">
        <v>3</v>
      </c>
      <c r="L70" s="739">
        <v>10</v>
      </c>
      <c r="M70" s="739">
        <v>4</v>
      </c>
      <c r="N70" s="739">
        <v>14</v>
      </c>
      <c r="O70" s="739">
        <v>0</v>
      </c>
      <c r="P70" s="739">
        <v>0</v>
      </c>
      <c r="Q70" s="739">
        <v>0</v>
      </c>
      <c r="R70" s="739">
        <v>0</v>
      </c>
      <c r="S70" s="739">
        <v>0</v>
      </c>
      <c r="T70" s="739">
        <v>0</v>
      </c>
      <c r="U70" s="739">
        <v>0</v>
      </c>
      <c r="V70" s="739">
        <v>0</v>
      </c>
      <c r="W70" s="739">
        <v>0</v>
      </c>
      <c r="X70" s="739">
        <v>0</v>
      </c>
      <c r="Y70" s="739">
        <v>0</v>
      </c>
      <c r="Z70" s="739">
        <v>0</v>
      </c>
    </row>
    <row r="71" spans="1:26">
      <c r="A71" s="737">
        <v>67</v>
      </c>
      <c r="B71" s="738" t="s">
        <v>303</v>
      </c>
      <c r="C71" s="739">
        <v>457</v>
      </c>
      <c r="D71" s="739">
        <v>471</v>
      </c>
      <c r="E71" s="739">
        <v>928</v>
      </c>
      <c r="F71" s="739">
        <v>45</v>
      </c>
      <c r="G71" s="739">
        <v>67</v>
      </c>
      <c r="H71" s="739">
        <v>112</v>
      </c>
      <c r="I71" s="739">
        <v>20</v>
      </c>
      <c r="J71" s="739">
        <v>19</v>
      </c>
      <c r="K71" s="739">
        <v>39</v>
      </c>
      <c r="L71" s="739">
        <v>164</v>
      </c>
      <c r="M71" s="739">
        <v>189</v>
      </c>
      <c r="N71" s="739">
        <v>353</v>
      </c>
      <c r="O71" s="739">
        <v>0</v>
      </c>
      <c r="P71" s="739">
        <v>0</v>
      </c>
      <c r="Q71" s="739">
        <v>0</v>
      </c>
      <c r="R71" s="739">
        <v>2</v>
      </c>
      <c r="S71" s="739">
        <v>2</v>
      </c>
      <c r="T71" s="739">
        <v>4</v>
      </c>
      <c r="U71" s="739">
        <v>2</v>
      </c>
      <c r="V71" s="739">
        <v>4</v>
      </c>
      <c r="W71" s="739">
        <v>6</v>
      </c>
      <c r="X71" s="739">
        <v>0</v>
      </c>
      <c r="Y71" s="739">
        <v>0</v>
      </c>
      <c r="Z71" s="739">
        <v>0</v>
      </c>
    </row>
    <row r="72" spans="1:26">
      <c r="A72" s="737">
        <v>68</v>
      </c>
      <c r="B72" s="738" t="s">
        <v>291</v>
      </c>
      <c r="C72" s="739">
        <v>8945</v>
      </c>
      <c r="D72" s="739">
        <v>13323</v>
      </c>
      <c r="E72" s="739">
        <v>22268</v>
      </c>
      <c r="F72" s="739">
        <v>1721</v>
      </c>
      <c r="G72" s="739">
        <v>2208</v>
      </c>
      <c r="H72" s="739">
        <v>3929</v>
      </c>
      <c r="I72" s="739">
        <v>766</v>
      </c>
      <c r="J72" s="739">
        <v>1067</v>
      </c>
      <c r="K72" s="739">
        <v>1833</v>
      </c>
      <c r="L72" s="739">
        <v>2468</v>
      </c>
      <c r="M72" s="739">
        <v>3216</v>
      </c>
      <c r="N72" s="739">
        <v>5684</v>
      </c>
      <c r="O72" s="739">
        <v>52</v>
      </c>
      <c r="P72" s="739">
        <v>41</v>
      </c>
      <c r="Q72" s="739">
        <v>93</v>
      </c>
      <c r="R72" s="739">
        <v>248</v>
      </c>
      <c r="S72" s="739">
        <v>93</v>
      </c>
      <c r="T72" s="739">
        <v>341</v>
      </c>
      <c r="U72" s="739">
        <v>22</v>
      </c>
      <c r="V72" s="739">
        <v>23</v>
      </c>
      <c r="W72" s="739">
        <v>45</v>
      </c>
      <c r="X72" s="739">
        <v>77</v>
      </c>
      <c r="Y72" s="739">
        <v>85</v>
      </c>
      <c r="Z72" s="739">
        <v>162</v>
      </c>
    </row>
    <row r="73" spans="1:26">
      <c r="A73" s="737">
        <v>69</v>
      </c>
      <c r="B73" s="738" t="s">
        <v>285</v>
      </c>
      <c r="C73" s="739">
        <v>56340</v>
      </c>
      <c r="D73" s="739">
        <v>57164</v>
      </c>
      <c r="E73" s="739">
        <v>113504</v>
      </c>
      <c r="F73" s="739">
        <v>7850</v>
      </c>
      <c r="G73" s="739">
        <v>6721</v>
      </c>
      <c r="H73" s="739">
        <v>14571</v>
      </c>
      <c r="I73" s="739">
        <v>3233</v>
      </c>
      <c r="J73" s="739">
        <v>2328</v>
      </c>
      <c r="K73" s="739">
        <v>5561</v>
      </c>
      <c r="L73" s="739">
        <v>25058</v>
      </c>
      <c r="M73" s="739">
        <v>25582</v>
      </c>
      <c r="N73" s="739">
        <v>50640</v>
      </c>
      <c r="O73" s="739">
        <v>229</v>
      </c>
      <c r="P73" s="739">
        <v>116</v>
      </c>
      <c r="Q73" s="739">
        <v>345</v>
      </c>
      <c r="R73" s="739">
        <v>1836</v>
      </c>
      <c r="S73" s="739">
        <v>1296</v>
      </c>
      <c r="T73" s="739">
        <v>3132</v>
      </c>
      <c r="U73" s="739">
        <v>633</v>
      </c>
      <c r="V73" s="739">
        <v>713</v>
      </c>
      <c r="W73" s="739">
        <v>1346</v>
      </c>
      <c r="X73" s="739">
        <v>1081</v>
      </c>
      <c r="Y73" s="739">
        <v>972</v>
      </c>
      <c r="Z73" s="739">
        <v>2053</v>
      </c>
    </row>
    <row r="74" spans="1:26">
      <c r="A74" s="737">
        <v>70</v>
      </c>
      <c r="B74" s="738" t="s">
        <v>337</v>
      </c>
      <c r="C74" s="739">
        <v>0</v>
      </c>
      <c r="D74" s="739">
        <v>0</v>
      </c>
      <c r="E74" s="739">
        <v>0</v>
      </c>
      <c r="F74" s="739">
        <v>0</v>
      </c>
      <c r="G74" s="739">
        <v>0</v>
      </c>
      <c r="H74" s="739">
        <v>0</v>
      </c>
      <c r="I74" s="739">
        <v>0</v>
      </c>
      <c r="J74" s="739">
        <v>0</v>
      </c>
      <c r="K74" s="739">
        <v>0</v>
      </c>
      <c r="L74" s="739">
        <v>0</v>
      </c>
      <c r="M74" s="739">
        <v>0</v>
      </c>
      <c r="N74" s="739">
        <v>0</v>
      </c>
      <c r="O74" s="739">
        <v>0</v>
      </c>
      <c r="P74" s="739">
        <v>0</v>
      </c>
      <c r="Q74" s="739">
        <v>0</v>
      </c>
      <c r="R74" s="739">
        <v>0</v>
      </c>
      <c r="S74" s="739">
        <v>0</v>
      </c>
      <c r="T74" s="739">
        <v>0</v>
      </c>
      <c r="U74" s="739">
        <v>0</v>
      </c>
      <c r="V74" s="739">
        <v>0</v>
      </c>
      <c r="W74" s="739">
        <v>0</v>
      </c>
      <c r="X74" s="739">
        <v>0</v>
      </c>
      <c r="Y74" s="739">
        <v>0</v>
      </c>
      <c r="Z74" s="739">
        <v>0</v>
      </c>
    </row>
    <row r="75" spans="1:26">
      <c r="A75" s="737">
        <v>71</v>
      </c>
      <c r="B75" s="738" t="s">
        <v>289</v>
      </c>
      <c r="C75" s="739">
        <v>147</v>
      </c>
      <c r="D75" s="739">
        <v>15</v>
      </c>
      <c r="E75" s="739">
        <v>162</v>
      </c>
      <c r="F75" s="739">
        <v>4</v>
      </c>
      <c r="G75" s="739">
        <v>1</v>
      </c>
      <c r="H75" s="739">
        <v>5</v>
      </c>
      <c r="I75" s="739">
        <v>1</v>
      </c>
      <c r="J75" s="739">
        <v>0</v>
      </c>
      <c r="K75" s="739">
        <v>1</v>
      </c>
      <c r="L75" s="739">
        <v>15</v>
      </c>
      <c r="M75" s="739">
        <v>1</v>
      </c>
      <c r="N75" s="739">
        <v>16</v>
      </c>
      <c r="O75" s="739">
        <v>0</v>
      </c>
      <c r="P75" s="739">
        <v>0</v>
      </c>
      <c r="Q75" s="739">
        <v>0</v>
      </c>
      <c r="R75" s="739">
        <v>0</v>
      </c>
      <c r="S75" s="739">
        <v>0</v>
      </c>
      <c r="T75" s="739">
        <v>0</v>
      </c>
      <c r="U75" s="739">
        <v>0</v>
      </c>
      <c r="V75" s="739">
        <v>0</v>
      </c>
      <c r="W75" s="739">
        <v>0</v>
      </c>
      <c r="X75" s="739">
        <v>3</v>
      </c>
      <c r="Y75" s="739">
        <v>0</v>
      </c>
      <c r="Z75" s="739">
        <v>3</v>
      </c>
    </row>
    <row r="76" spans="1:26">
      <c r="A76" s="737">
        <v>72</v>
      </c>
      <c r="B76" s="738" t="s">
        <v>789</v>
      </c>
      <c r="C76" s="741">
        <v>2298</v>
      </c>
      <c r="D76" s="741">
        <v>1460</v>
      </c>
      <c r="E76" s="739">
        <v>3758</v>
      </c>
      <c r="F76" s="741">
        <v>184</v>
      </c>
      <c r="G76" s="741">
        <v>113</v>
      </c>
      <c r="H76" s="739">
        <v>297</v>
      </c>
      <c r="I76" s="741">
        <v>130</v>
      </c>
      <c r="J76" s="741">
        <v>157</v>
      </c>
      <c r="K76" s="739">
        <v>287</v>
      </c>
      <c r="L76" s="741">
        <v>400</v>
      </c>
      <c r="M76" s="741">
        <v>241</v>
      </c>
      <c r="N76" s="739">
        <v>641</v>
      </c>
      <c r="O76" s="741">
        <v>4</v>
      </c>
      <c r="P76" s="741">
        <v>1</v>
      </c>
      <c r="Q76" s="739">
        <v>5</v>
      </c>
      <c r="R76" s="741">
        <v>4</v>
      </c>
      <c r="S76" s="741">
        <v>5</v>
      </c>
      <c r="T76" s="739">
        <v>9</v>
      </c>
      <c r="U76" s="741">
        <v>7</v>
      </c>
      <c r="V76" s="741">
        <v>7</v>
      </c>
      <c r="W76" s="739">
        <v>14</v>
      </c>
      <c r="X76" s="741">
        <v>30</v>
      </c>
      <c r="Y76" s="741">
        <v>15</v>
      </c>
      <c r="Z76" s="739">
        <v>45</v>
      </c>
    </row>
    <row r="77" spans="1:26">
      <c r="A77" s="737">
        <v>73</v>
      </c>
      <c r="B77" s="738" t="s">
        <v>299</v>
      </c>
      <c r="C77" s="741">
        <v>383</v>
      </c>
      <c r="D77" s="741">
        <v>221</v>
      </c>
      <c r="E77" s="739">
        <v>604</v>
      </c>
      <c r="F77" s="741">
        <v>0</v>
      </c>
      <c r="G77" s="741">
        <v>0</v>
      </c>
      <c r="H77" s="739">
        <v>0</v>
      </c>
      <c r="I77" s="741">
        <v>0</v>
      </c>
      <c r="J77" s="741">
        <v>0</v>
      </c>
      <c r="K77" s="739">
        <v>0</v>
      </c>
      <c r="L77" s="741">
        <v>0</v>
      </c>
      <c r="M77" s="741">
        <v>0</v>
      </c>
      <c r="N77" s="739">
        <v>0</v>
      </c>
      <c r="O77" s="741">
        <v>0</v>
      </c>
      <c r="P77" s="741">
        <v>0</v>
      </c>
      <c r="Q77" s="739">
        <v>0</v>
      </c>
      <c r="R77" s="741">
        <v>10</v>
      </c>
      <c r="S77" s="741">
        <v>7</v>
      </c>
      <c r="T77" s="739">
        <v>17</v>
      </c>
      <c r="U77" s="741">
        <v>0</v>
      </c>
      <c r="V77" s="741">
        <v>0</v>
      </c>
      <c r="W77" s="739">
        <v>0</v>
      </c>
      <c r="X77" s="741">
        <v>0</v>
      </c>
      <c r="Y77" s="741">
        <v>0</v>
      </c>
      <c r="Z77" s="739">
        <v>0</v>
      </c>
    </row>
    <row r="78" spans="1:26">
      <c r="A78" s="737">
        <v>74</v>
      </c>
      <c r="B78" s="738" t="s">
        <v>433</v>
      </c>
      <c r="C78" s="741">
        <v>55975</v>
      </c>
      <c r="D78" s="741">
        <v>39500</v>
      </c>
      <c r="E78" s="739">
        <v>95475</v>
      </c>
      <c r="F78" s="741">
        <v>6445</v>
      </c>
      <c r="G78" s="741">
        <v>4011</v>
      </c>
      <c r="H78" s="739">
        <v>10456</v>
      </c>
      <c r="I78" s="741">
        <v>1681</v>
      </c>
      <c r="J78" s="741">
        <v>1203</v>
      </c>
      <c r="K78" s="739">
        <v>2884</v>
      </c>
      <c r="L78" s="741">
        <v>15502</v>
      </c>
      <c r="M78" s="741">
        <v>9064</v>
      </c>
      <c r="N78" s="739">
        <v>24566</v>
      </c>
      <c r="O78" s="741">
        <v>192</v>
      </c>
      <c r="P78" s="741">
        <v>71</v>
      </c>
      <c r="Q78" s="739">
        <v>263</v>
      </c>
      <c r="R78" s="741">
        <v>551</v>
      </c>
      <c r="S78" s="741">
        <v>730</v>
      </c>
      <c r="T78" s="739">
        <v>1281</v>
      </c>
      <c r="U78" s="741">
        <v>139</v>
      </c>
      <c r="V78" s="741">
        <v>153</v>
      </c>
      <c r="W78" s="739">
        <v>292</v>
      </c>
      <c r="X78" s="741">
        <v>476</v>
      </c>
      <c r="Y78" s="741">
        <v>241</v>
      </c>
      <c r="Z78" s="739">
        <v>717</v>
      </c>
    </row>
    <row r="79" spans="1:26">
      <c r="A79" s="737">
        <v>75</v>
      </c>
      <c r="B79" s="738" t="s">
        <v>275</v>
      </c>
      <c r="C79" s="741">
        <v>30</v>
      </c>
      <c r="D79" s="741">
        <v>16</v>
      </c>
      <c r="E79" s="739">
        <v>46</v>
      </c>
      <c r="F79" s="741">
        <v>9</v>
      </c>
      <c r="G79" s="741">
        <v>1</v>
      </c>
      <c r="H79" s="739">
        <v>10</v>
      </c>
      <c r="I79" s="741">
        <v>0</v>
      </c>
      <c r="J79" s="741">
        <v>0</v>
      </c>
      <c r="K79" s="739">
        <v>0</v>
      </c>
      <c r="L79" s="741">
        <v>14</v>
      </c>
      <c r="M79" s="741">
        <v>5</v>
      </c>
      <c r="N79" s="739">
        <v>19</v>
      </c>
      <c r="O79" s="741">
        <v>0</v>
      </c>
      <c r="P79" s="741">
        <v>0</v>
      </c>
      <c r="Q79" s="739">
        <v>0</v>
      </c>
      <c r="R79" s="741">
        <v>0</v>
      </c>
      <c r="S79" s="741">
        <v>0</v>
      </c>
      <c r="T79" s="739">
        <v>0</v>
      </c>
      <c r="U79" s="741">
        <v>0</v>
      </c>
      <c r="V79" s="741">
        <v>0</v>
      </c>
      <c r="W79" s="739">
        <v>0</v>
      </c>
      <c r="X79" s="741">
        <v>0</v>
      </c>
      <c r="Y79" s="741">
        <v>0</v>
      </c>
      <c r="Z79" s="739">
        <v>0</v>
      </c>
    </row>
    <row r="80" spans="1:26">
      <c r="A80" s="737">
        <v>76</v>
      </c>
      <c r="B80" s="738" t="s">
        <v>373</v>
      </c>
      <c r="C80" s="741">
        <v>70</v>
      </c>
      <c r="D80" s="741">
        <v>39</v>
      </c>
      <c r="E80" s="739">
        <v>109</v>
      </c>
      <c r="F80" s="741">
        <v>6</v>
      </c>
      <c r="G80" s="741">
        <v>2</v>
      </c>
      <c r="H80" s="739">
        <v>8</v>
      </c>
      <c r="I80" s="741">
        <v>0</v>
      </c>
      <c r="J80" s="741">
        <v>0</v>
      </c>
      <c r="K80" s="739">
        <v>0</v>
      </c>
      <c r="L80" s="741">
        <v>10</v>
      </c>
      <c r="M80" s="741">
        <v>7</v>
      </c>
      <c r="N80" s="739">
        <v>17</v>
      </c>
      <c r="O80" s="741">
        <v>0</v>
      </c>
      <c r="P80" s="741">
        <v>0</v>
      </c>
      <c r="Q80" s="739">
        <v>0</v>
      </c>
      <c r="R80" s="741">
        <v>0</v>
      </c>
      <c r="S80" s="741">
        <v>0</v>
      </c>
      <c r="T80" s="739">
        <v>0</v>
      </c>
      <c r="U80" s="741">
        <v>0</v>
      </c>
      <c r="V80" s="741">
        <v>0</v>
      </c>
      <c r="W80" s="739">
        <v>0</v>
      </c>
      <c r="X80" s="741">
        <v>0</v>
      </c>
      <c r="Y80" s="741">
        <v>0</v>
      </c>
      <c r="Z80" s="739">
        <v>0</v>
      </c>
    </row>
    <row r="81" spans="1:26" s="743" customFormat="1" ht="14.25">
      <c r="A81" s="1023" t="s">
        <v>60</v>
      </c>
      <c r="B81" s="1024"/>
      <c r="C81" s="737">
        <v>2546380</v>
      </c>
      <c r="D81" s="737">
        <v>2026129</v>
      </c>
      <c r="E81" s="742">
        <v>4572509</v>
      </c>
      <c r="F81" s="737">
        <v>383241</v>
      </c>
      <c r="G81" s="737">
        <v>290744</v>
      </c>
      <c r="H81" s="742">
        <v>673985</v>
      </c>
      <c r="I81" s="737">
        <v>128577</v>
      </c>
      <c r="J81" s="737">
        <v>108340</v>
      </c>
      <c r="K81" s="742">
        <v>236917</v>
      </c>
      <c r="L81" s="810">
        <v>775343</v>
      </c>
      <c r="M81" s="810">
        <v>565869</v>
      </c>
      <c r="N81" s="811">
        <v>1341212</v>
      </c>
      <c r="O81" s="737">
        <v>6960</v>
      </c>
      <c r="P81" s="737">
        <v>3738</v>
      </c>
      <c r="Q81" s="742">
        <v>10698</v>
      </c>
      <c r="R81" s="737">
        <v>75740</v>
      </c>
      <c r="S81" s="737">
        <v>65871</v>
      </c>
      <c r="T81" s="742">
        <v>141611</v>
      </c>
      <c r="U81" s="737">
        <v>15446</v>
      </c>
      <c r="V81" s="737">
        <v>17684</v>
      </c>
      <c r="W81" s="742">
        <v>33130</v>
      </c>
      <c r="X81" s="737">
        <v>34259</v>
      </c>
      <c r="Y81" s="737">
        <v>23565</v>
      </c>
      <c r="Z81" s="742">
        <v>57824</v>
      </c>
    </row>
  </sheetData>
  <mergeCells count="15">
    <mergeCell ref="A81:B81"/>
    <mergeCell ref="A1:B1"/>
    <mergeCell ref="C1:H1"/>
    <mergeCell ref="I1:Q1"/>
    <mergeCell ref="R1:Z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</mergeCells>
  <pageMargins left="0.51181102362204722" right="0.39370078740157483" top="0.51181102362204722" bottom="0.39370078740157483" header="0.15748031496062992" footer="7.874015748031496E-2"/>
  <pageSetup paperSize="9" scale="59" firstPageNumber="40" pageOrder="overThenDown" orientation="portrait" useFirstPageNumber="1" r:id="rId1"/>
  <headerFooter>
    <oddFooter>&amp;LAISHE 2021-22&amp;CT-11a</oddFooter>
  </headerFooter>
  <colBreaks count="2" manualBreakCount="2">
    <brk id="8" max="80" man="1"/>
    <brk id="17" max="80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1946-BB7D-4FDE-9EED-767A4BEEA150}">
  <sheetPr>
    <tabColor rgb="FF00B050"/>
  </sheetPr>
  <dimension ref="A1:Z18"/>
  <sheetViews>
    <sheetView view="pageBreakPreview" topLeftCell="D4" zoomScaleNormal="100" zoomScaleSheetLayoutView="100" workbookViewId="0">
      <selection activeCell="AB6" sqref="AB6"/>
    </sheetView>
  </sheetViews>
  <sheetFormatPr defaultColWidth="9.28515625" defaultRowHeight="15"/>
  <cols>
    <col min="1" max="1" width="9.28515625" style="266"/>
    <col min="2" max="2" width="43.28515625" style="258" customWidth="1"/>
    <col min="3" max="8" width="12.28515625" style="266" customWidth="1"/>
    <col min="9" max="17" width="8.5703125" style="256" customWidth="1"/>
    <col min="18" max="26" width="8" style="256" customWidth="1"/>
    <col min="27" max="16384" width="9.28515625" style="256"/>
  </cols>
  <sheetData>
    <row r="1" spans="1:26" ht="15.75">
      <c r="A1" s="1025" t="s">
        <v>987</v>
      </c>
      <c r="B1" s="1025"/>
      <c r="C1" s="1031" t="s">
        <v>1075</v>
      </c>
      <c r="D1" s="1027"/>
      <c r="E1" s="1027"/>
      <c r="F1" s="1027"/>
      <c r="G1" s="1027"/>
      <c r="H1" s="1027"/>
      <c r="I1" s="1031" t="str">
        <f>C1</f>
        <v>Programme-wise Enrolment - Private Mode 
(Based on Actual Response)</v>
      </c>
      <c r="J1" s="1031"/>
      <c r="K1" s="1031"/>
      <c r="L1" s="1031"/>
      <c r="M1" s="1031"/>
      <c r="N1" s="1031"/>
      <c r="O1" s="1031"/>
      <c r="P1" s="1031"/>
      <c r="Q1" s="1031"/>
      <c r="R1" s="1031" t="str">
        <f>C1</f>
        <v>Programme-wise Enrolment - Private Mode 
(Based on Actual Response)</v>
      </c>
      <c r="S1" s="1031"/>
      <c r="T1" s="1031"/>
      <c r="U1" s="1031"/>
      <c r="V1" s="1031"/>
      <c r="W1" s="1031"/>
      <c r="X1" s="1031"/>
      <c r="Y1" s="1031"/>
      <c r="Z1" s="1031"/>
    </row>
    <row r="2" spans="1:26">
      <c r="A2" s="1034" t="s">
        <v>167</v>
      </c>
      <c r="B2" s="1035" t="s">
        <v>459</v>
      </c>
      <c r="C2" s="1030" t="s">
        <v>130</v>
      </c>
      <c r="D2" s="1030"/>
      <c r="E2" s="1030"/>
      <c r="F2" s="1030" t="s">
        <v>460</v>
      </c>
      <c r="G2" s="1030"/>
      <c r="H2" s="1030"/>
      <c r="I2" s="1030" t="s">
        <v>242</v>
      </c>
      <c r="J2" s="1030"/>
      <c r="K2" s="1030"/>
      <c r="L2" s="1030" t="s">
        <v>243</v>
      </c>
      <c r="M2" s="1030"/>
      <c r="N2" s="1030"/>
      <c r="O2" s="1016" t="s">
        <v>105</v>
      </c>
      <c r="P2" s="1016"/>
      <c r="Q2" s="1016"/>
      <c r="R2" s="1016" t="s">
        <v>106</v>
      </c>
      <c r="S2" s="1016"/>
      <c r="T2" s="1016"/>
      <c r="U2" s="1016" t="s">
        <v>107</v>
      </c>
      <c r="V2" s="1016"/>
      <c r="W2" s="1016"/>
      <c r="X2" s="1016" t="s">
        <v>225</v>
      </c>
      <c r="Y2" s="1016"/>
      <c r="Z2" s="1016"/>
    </row>
    <row r="3" spans="1:26">
      <c r="A3" s="1034"/>
      <c r="B3" s="1035"/>
      <c r="C3" s="261" t="s">
        <v>87</v>
      </c>
      <c r="D3" s="261" t="s">
        <v>88</v>
      </c>
      <c r="E3" s="261" t="s">
        <v>12</v>
      </c>
      <c r="F3" s="261" t="s">
        <v>87</v>
      </c>
      <c r="G3" s="261" t="s">
        <v>88</v>
      </c>
      <c r="H3" s="261" t="s">
        <v>12</v>
      </c>
      <c r="I3" s="261" t="s">
        <v>87</v>
      </c>
      <c r="J3" s="261" t="s">
        <v>88</v>
      </c>
      <c r="K3" s="261" t="s">
        <v>12</v>
      </c>
      <c r="L3" s="261" t="s">
        <v>87</v>
      </c>
      <c r="M3" s="261" t="s">
        <v>88</v>
      </c>
      <c r="N3" s="261" t="s">
        <v>12</v>
      </c>
      <c r="O3" s="251" t="s">
        <v>87</v>
      </c>
      <c r="P3" s="251" t="s">
        <v>88</v>
      </c>
      <c r="Q3" s="251" t="s">
        <v>12</v>
      </c>
      <c r="R3" s="251" t="s">
        <v>87</v>
      </c>
      <c r="S3" s="251" t="s">
        <v>88</v>
      </c>
      <c r="T3" s="251" t="s">
        <v>12</v>
      </c>
      <c r="U3" s="251" t="s">
        <v>87</v>
      </c>
      <c r="V3" s="251" t="s">
        <v>88</v>
      </c>
      <c r="W3" s="251" t="s">
        <v>12</v>
      </c>
      <c r="X3" s="251" t="s">
        <v>87</v>
      </c>
      <c r="Y3" s="251" t="s">
        <v>88</v>
      </c>
      <c r="Z3" s="251" t="s">
        <v>12</v>
      </c>
    </row>
    <row r="4" spans="1:26">
      <c r="A4" s="253">
        <v>1</v>
      </c>
      <c r="B4" s="253">
        <v>2</v>
      </c>
      <c r="C4" s="253">
        <v>3</v>
      </c>
      <c r="D4" s="253">
        <v>4</v>
      </c>
      <c r="E4" s="253">
        <v>5</v>
      </c>
      <c r="F4" s="253">
        <v>6</v>
      </c>
      <c r="G4" s="253">
        <v>7</v>
      </c>
      <c r="H4" s="253">
        <v>8</v>
      </c>
      <c r="I4" s="253">
        <v>9</v>
      </c>
      <c r="J4" s="253">
        <v>10</v>
      </c>
      <c r="K4" s="253">
        <v>11</v>
      </c>
      <c r="L4" s="253">
        <v>12</v>
      </c>
      <c r="M4" s="253">
        <v>13</v>
      </c>
      <c r="N4" s="253">
        <v>14</v>
      </c>
      <c r="O4" s="253">
        <v>15</v>
      </c>
      <c r="P4" s="253">
        <v>16</v>
      </c>
      <c r="Q4" s="253">
        <v>17</v>
      </c>
      <c r="R4" s="253">
        <v>18</v>
      </c>
      <c r="S4" s="253">
        <v>19</v>
      </c>
      <c r="T4" s="253">
        <v>20</v>
      </c>
      <c r="U4" s="253">
        <v>21</v>
      </c>
      <c r="V4" s="253">
        <v>22</v>
      </c>
      <c r="W4" s="253">
        <v>23</v>
      </c>
      <c r="X4" s="253">
        <v>24</v>
      </c>
      <c r="Y4" s="253">
        <v>25</v>
      </c>
      <c r="Z4" s="253">
        <v>26</v>
      </c>
    </row>
    <row r="5" spans="1:26" ht="52.5" customHeight="1">
      <c r="A5" s="262">
        <v>1</v>
      </c>
      <c r="B5" s="813" t="s">
        <v>298</v>
      </c>
      <c r="C5" s="148">
        <v>7</v>
      </c>
      <c r="D5" s="148">
        <v>3</v>
      </c>
      <c r="E5" s="148">
        <v>10</v>
      </c>
      <c r="F5" s="148">
        <v>0</v>
      </c>
      <c r="G5" s="148">
        <v>0</v>
      </c>
      <c r="H5" s="148">
        <v>0</v>
      </c>
      <c r="I5" s="148">
        <v>7</v>
      </c>
      <c r="J5" s="148">
        <v>3</v>
      </c>
      <c r="K5" s="148">
        <v>10</v>
      </c>
      <c r="L5" s="148">
        <v>0</v>
      </c>
      <c r="M5" s="148">
        <v>0</v>
      </c>
      <c r="N5" s="148">
        <v>0</v>
      </c>
      <c r="O5" s="148">
        <v>0</v>
      </c>
      <c r="P5" s="148">
        <v>0</v>
      </c>
      <c r="Q5" s="148">
        <v>0</v>
      </c>
      <c r="R5" s="148">
        <v>0</v>
      </c>
      <c r="S5" s="148">
        <v>0</v>
      </c>
      <c r="T5" s="148">
        <v>0</v>
      </c>
      <c r="U5" s="148">
        <v>7</v>
      </c>
      <c r="V5" s="148">
        <v>3</v>
      </c>
      <c r="W5" s="148">
        <v>10</v>
      </c>
      <c r="X5" s="148">
        <v>0</v>
      </c>
      <c r="Y5" s="148">
        <v>0</v>
      </c>
      <c r="Z5" s="148">
        <v>0</v>
      </c>
    </row>
    <row r="6" spans="1:26" ht="52.5" customHeight="1">
      <c r="A6" s="262">
        <v>2</v>
      </c>
      <c r="B6" s="813" t="s">
        <v>356</v>
      </c>
      <c r="C6" s="148">
        <v>9</v>
      </c>
      <c r="D6" s="148">
        <v>6</v>
      </c>
      <c r="E6" s="148">
        <v>15</v>
      </c>
      <c r="F6" s="148">
        <v>0</v>
      </c>
      <c r="G6" s="148">
        <v>0</v>
      </c>
      <c r="H6" s="148">
        <v>0</v>
      </c>
      <c r="I6" s="148">
        <v>0</v>
      </c>
      <c r="J6" s="148">
        <v>0</v>
      </c>
      <c r="K6" s="148">
        <v>0</v>
      </c>
      <c r="L6" s="148">
        <v>2</v>
      </c>
      <c r="M6" s="148">
        <v>2</v>
      </c>
      <c r="N6" s="148">
        <v>4</v>
      </c>
      <c r="O6" s="148">
        <v>0</v>
      </c>
      <c r="P6" s="148">
        <v>0</v>
      </c>
      <c r="Q6" s="148">
        <v>0</v>
      </c>
      <c r="R6" s="148">
        <v>0</v>
      </c>
      <c r="S6" s="148">
        <v>0</v>
      </c>
      <c r="T6" s="148">
        <v>0</v>
      </c>
      <c r="U6" s="148">
        <v>0</v>
      </c>
      <c r="V6" s="148">
        <v>0</v>
      </c>
      <c r="W6" s="148">
        <v>0</v>
      </c>
      <c r="X6" s="148">
        <v>0</v>
      </c>
      <c r="Y6" s="148">
        <v>0</v>
      </c>
      <c r="Z6" s="148">
        <v>0</v>
      </c>
    </row>
    <row r="7" spans="1:26" ht="52.5" customHeight="1">
      <c r="A7" s="262">
        <v>3</v>
      </c>
      <c r="B7" s="813" t="s">
        <v>352</v>
      </c>
      <c r="C7" s="148">
        <v>198351</v>
      </c>
      <c r="D7" s="148">
        <v>139189</v>
      </c>
      <c r="E7" s="148">
        <v>337540</v>
      </c>
      <c r="F7" s="148">
        <v>32635</v>
      </c>
      <c r="G7" s="148">
        <v>19346</v>
      </c>
      <c r="H7" s="148">
        <v>51981</v>
      </c>
      <c r="I7" s="148">
        <v>22271</v>
      </c>
      <c r="J7" s="148">
        <v>13063</v>
      </c>
      <c r="K7" s="148">
        <v>35334</v>
      </c>
      <c r="L7" s="148">
        <v>94771</v>
      </c>
      <c r="M7" s="148">
        <v>66703</v>
      </c>
      <c r="N7" s="148">
        <v>161474</v>
      </c>
      <c r="O7" s="148">
        <v>93</v>
      </c>
      <c r="P7" s="148">
        <v>49</v>
      </c>
      <c r="Q7" s="148">
        <v>142</v>
      </c>
      <c r="R7" s="148">
        <v>1253</v>
      </c>
      <c r="S7" s="148">
        <v>3392</v>
      </c>
      <c r="T7" s="148">
        <v>4645</v>
      </c>
      <c r="U7" s="148">
        <v>26</v>
      </c>
      <c r="V7" s="148">
        <v>36</v>
      </c>
      <c r="W7" s="148">
        <v>62</v>
      </c>
      <c r="X7" s="148">
        <v>305</v>
      </c>
      <c r="Y7" s="148">
        <v>208</v>
      </c>
      <c r="Z7" s="148">
        <v>513</v>
      </c>
    </row>
    <row r="8" spans="1:26" ht="52.5" customHeight="1">
      <c r="A8" s="262">
        <v>4</v>
      </c>
      <c r="B8" s="813" t="s">
        <v>360</v>
      </c>
      <c r="C8" s="148">
        <v>864</v>
      </c>
      <c r="D8" s="148">
        <v>464</v>
      </c>
      <c r="E8" s="148">
        <v>1328</v>
      </c>
      <c r="F8" s="148">
        <v>9</v>
      </c>
      <c r="G8" s="148">
        <v>10</v>
      </c>
      <c r="H8" s="148">
        <v>19</v>
      </c>
      <c r="I8" s="148">
        <v>2</v>
      </c>
      <c r="J8" s="148">
        <v>1</v>
      </c>
      <c r="K8" s="148">
        <v>3</v>
      </c>
      <c r="L8" s="148">
        <v>789</v>
      </c>
      <c r="M8" s="148">
        <v>428</v>
      </c>
      <c r="N8" s="148">
        <v>1217</v>
      </c>
      <c r="O8" s="148">
        <v>0</v>
      </c>
      <c r="P8" s="148">
        <v>0</v>
      </c>
      <c r="Q8" s="148">
        <v>0</v>
      </c>
      <c r="R8" s="148">
        <v>494</v>
      </c>
      <c r="S8" s="148">
        <v>223</v>
      </c>
      <c r="T8" s="148">
        <v>717</v>
      </c>
      <c r="U8" s="148">
        <v>3</v>
      </c>
      <c r="V8" s="148">
        <v>0</v>
      </c>
      <c r="W8" s="148">
        <v>3</v>
      </c>
      <c r="X8" s="148">
        <v>0</v>
      </c>
      <c r="Y8" s="148">
        <v>0</v>
      </c>
      <c r="Z8" s="148">
        <v>0</v>
      </c>
    </row>
    <row r="9" spans="1:26" ht="52.5" customHeight="1">
      <c r="A9" s="262">
        <v>5</v>
      </c>
      <c r="B9" s="813" t="s">
        <v>354</v>
      </c>
      <c r="C9" s="148">
        <v>22139</v>
      </c>
      <c r="D9" s="148">
        <v>15008</v>
      </c>
      <c r="E9" s="148">
        <v>37147</v>
      </c>
      <c r="F9" s="148">
        <v>1726</v>
      </c>
      <c r="G9" s="148">
        <v>1034</v>
      </c>
      <c r="H9" s="148">
        <v>2760</v>
      </c>
      <c r="I9" s="148">
        <v>542</v>
      </c>
      <c r="J9" s="148">
        <v>270</v>
      </c>
      <c r="K9" s="148">
        <v>812</v>
      </c>
      <c r="L9" s="148">
        <v>11363</v>
      </c>
      <c r="M9" s="148">
        <v>8191</v>
      </c>
      <c r="N9" s="148">
        <v>19554</v>
      </c>
      <c r="O9" s="148">
        <v>29</v>
      </c>
      <c r="P9" s="148">
        <v>31</v>
      </c>
      <c r="Q9" s="148">
        <v>60</v>
      </c>
      <c r="R9" s="148">
        <v>2069</v>
      </c>
      <c r="S9" s="148">
        <v>2149</v>
      </c>
      <c r="T9" s="148">
        <v>4218</v>
      </c>
      <c r="U9" s="148">
        <v>7</v>
      </c>
      <c r="V9" s="148">
        <v>7</v>
      </c>
      <c r="W9" s="148">
        <v>14</v>
      </c>
      <c r="X9" s="148">
        <v>11</v>
      </c>
      <c r="Y9" s="148">
        <v>7</v>
      </c>
      <c r="Z9" s="148">
        <v>18</v>
      </c>
    </row>
    <row r="10" spans="1:26" ht="52.5" customHeight="1">
      <c r="A10" s="262">
        <v>6</v>
      </c>
      <c r="B10" s="813" t="s">
        <v>353</v>
      </c>
      <c r="C10" s="148">
        <v>12587</v>
      </c>
      <c r="D10" s="148">
        <v>9439</v>
      </c>
      <c r="E10" s="148">
        <v>22026</v>
      </c>
      <c r="F10" s="148">
        <v>1740</v>
      </c>
      <c r="G10" s="148">
        <v>1187</v>
      </c>
      <c r="H10" s="148">
        <v>2927</v>
      </c>
      <c r="I10" s="148">
        <v>1571</v>
      </c>
      <c r="J10" s="148">
        <v>1155</v>
      </c>
      <c r="K10" s="148">
        <v>2726</v>
      </c>
      <c r="L10" s="148">
        <v>5428</v>
      </c>
      <c r="M10" s="148">
        <v>4023</v>
      </c>
      <c r="N10" s="148">
        <v>9451</v>
      </c>
      <c r="O10" s="148">
        <v>0</v>
      </c>
      <c r="P10" s="148">
        <v>0</v>
      </c>
      <c r="Q10" s="148">
        <v>0</v>
      </c>
      <c r="R10" s="148">
        <v>0</v>
      </c>
      <c r="S10" s="148">
        <v>0</v>
      </c>
      <c r="T10" s="148">
        <v>0</v>
      </c>
      <c r="U10" s="148">
        <v>0</v>
      </c>
      <c r="V10" s="148">
        <v>0</v>
      </c>
      <c r="W10" s="148">
        <v>0</v>
      </c>
      <c r="X10" s="148">
        <v>1</v>
      </c>
      <c r="Y10" s="148">
        <v>4</v>
      </c>
      <c r="Z10" s="148">
        <v>5</v>
      </c>
    </row>
    <row r="11" spans="1:26" ht="52.5" customHeight="1">
      <c r="A11" s="262">
        <v>7</v>
      </c>
      <c r="B11" s="813" t="s">
        <v>440</v>
      </c>
      <c r="C11" s="148">
        <v>163</v>
      </c>
      <c r="D11" s="148">
        <v>407</v>
      </c>
      <c r="E11" s="148">
        <v>570</v>
      </c>
      <c r="F11" s="148">
        <v>0</v>
      </c>
      <c r="G11" s="148">
        <v>0</v>
      </c>
      <c r="H11" s="148">
        <v>0</v>
      </c>
      <c r="I11" s="148">
        <v>0</v>
      </c>
      <c r="J11" s="148">
        <v>0</v>
      </c>
      <c r="K11" s="148">
        <v>0</v>
      </c>
      <c r="L11" s="148">
        <v>163</v>
      </c>
      <c r="M11" s="148">
        <v>407</v>
      </c>
      <c r="N11" s="148">
        <v>570</v>
      </c>
      <c r="O11" s="148">
        <v>0</v>
      </c>
      <c r="P11" s="148">
        <v>0</v>
      </c>
      <c r="Q11" s="148">
        <v>0</v>
      </c>
      <c r="R11" s="148">
        <v>163</v>
      </c>
      <c r="S11" s="148">
        <v>407</v>
      </c>
      <c r="T11" s="148">
        <v>570</v>
      </c>
      <c r="U11" s="148">
        <v>0</v>
      </c>
      <c r="V11" s="148">
        <v>0</v>
      </c>
      <c r="W11" s="148">
        <v>0</v>
      </c>
      <c r="X11" s="148">
        <v>0</v>
      </c>
      <c r="Y11" s="148">
        <v>0</v>
      </c>
      <c r="Z11" s="148">
        <v>0</v>
      </c>
    </row>
    <row r="12" spans="1:26" ht="52.5" customHeight="1">
      <c r="A12" s="262">
        <v>8</v>
      </c>
      <c r="B12" s="813" t="s">
        <v>284</v>
      </c>
      <c r="C12" s="148">
        <v>48436</v>
      </c>
      <c r="D12" s="148">
        <v>71423</v>
      </c>
      <c r="E12" s="148">
        <v>119859</v>
      </c>
      <c r="F12" s="148">
        <v>9518</v>
      </c>
      <c r="G12" s="148">
        <v>9831</v>
      </c>
      <c r="H12" s="148">
        <v>19349</v>
      </c>
      <c r="I12" s="148">
        <v>5891</v>
      </c>
      <c r="J12" s="148">
        <v>6267</v>
      </c>
      <c r="K12" s="148">
        <v>12158</v>
      </c>
      <c r="L12" s="148">
        <v>20622</v>
      </c>
      <c r="M12" s="148">
        <v>29214</v>
      </c>
      <c r="N12" s="148">
        <v>49836</v>
      </c>
      <c r="O12" s="148">
        <v>26</v>
      </c>
      <c r="P12" s="148">
        <v>52</v>
      </c>
      <c r="Q12" s="148">
        <v>78</v>
      </c>
      <c r="R12" s="148">
        <v>108</v>
      </c>
      <c r="S12" s="148">
        <v>157</v>
      </c>
      <c r="T12" s="148">
        <v>265</v>
      </c>
      <c r="U12" s="148">
        <v>0</v>
      </c>
      <c r="V12" s="148">
        <v>7</v>
      </c>
      <c r="W12" s="148">
        <v>7</v>
      </c>
      <c r="X12" s="148">
        <v>104</v>
      </c>
      <c r="Y12" s="148">
        <v>99</v>
      </c>
      <c r="Z12" s="148">
        <v>203</v>
      </c>
    </row>
    <row r="13" spans="1:26" ht="52.5" customHeight="1">
      <c r="A13" s="262">
        <v>9</v>
      </c>
      <c r="B13" s="813" t="s">
        <v>287</v>
      </c>
      <c r="C13" s="148">
        <v>12039</v>
      </c>
      <c r="D13" s="148">
        <v>14205</v>
      </c>
      <c r="E13" s="148">
        <v>26244</v>
      </c>
      <c r="F13" s="148">
        <v>909</v>
      </c>
      <c r="G13" s="148">
        <v>778</v>
      </c>
      <c r="H13" s="148">
        <v>1687</v>
      </c>
      <c r="I13" s="148">
        <v>816</v>
      </c>
      <c r="J13" s="148">
        <v>1091</v>
      </c>
      <c r="K13" s="148">
        <v>1907</v>
      </c>
      <c r="L13" s="148">
        <v>4855</v>
      </c>
      <c r="M13" s="148">
        <v>5069</v>
      </c>
      <c r="N13" s="148">
        <v>9924</v>
      </c>
      <c r="O13" s="148">
        <v>30</v>
      </c>
      <c r="P13" s="148">
        <v>48</v>
      </c>
      <c r="Q13" s="148">
        <v>78</v>
      </c>
      <c r="R13" s="148">
        <v>0</v>
      </c>
      <c r="S13" s="148">
        <v>0</v>
      </c>
      <c r="T13" s="148">
        <v>0</v>
      </c>
      <c r="U13" s="148">
        <v>0</v>
      </c>
      <c r="V13" s="148">
        <v>0</v>
      </c>
      <c r="W13" s="148">
        <v>0</v>
      </c>
      <c r="X13" s="148">
        <v>105</v>
      </c>
      <c r="Y13" s="148">
        <v>95</v>
      </c>
      <c r="Z13" s="148">
        <v>200</v>
      </c>
    </row>
    <row r="14" spans="1:26" ht="52.5" customHeight="1">
      <c r="A14" s="262">
        <v>10</v>
      </c>
      <c r="B14" s="813" t="s">
        <v>347</v>
      </c>
      <c r="C14" s="148">
        <v>2</v>
      </c>
      <c r="D14" s="148">
        <v>27</v>
      </c>
      <c r="E14" s="148">
        <v>29</v>
      </c>
      <c r="F14" s="148">
        <v>1</v>
      </c>
      <c r="G14" s="148">
        <v>1</v>
      </c>
      <c r="H14" s="148">
        <v>2</v>
      </c>
      <c r="I14" s="148">
        <v>0</v>
      </c>
      <c r="J14" s="148">
        <v>0</v>
      </c>
      <c r="K14" s="148">
        <v>0</v>
      </c>
      <c r="L14" s="148">
        <v>0</v>
      </c>
      <c r="M14" s="148">
        <v>4</v>
      </c>
      <c r="N14" s="148">
        <v>4</v>
      </c>
      <c r="O14" s="148">
        <v>0</v>
      </c>
      <c r="P14" s="148">
        <v>0</v>
      </c>
      <c r="Q14" s="148">
        <v>0</v>
      </c>
      <c r="R14" s="148">
        <v>0</v>
      </c>
      <c r="S14" s="148">
        <v>0</v>
      </c>
      <c r="T14" s="148">
        <v>0</v>
      </c>
      <c r="U14" s="148">
        <v>0</v>
      </c>
      <c r="V14" s="148">
        <v>0</v>
      </c>
      <c r="W14" s="148">
        <v>0</v>
      </c>
      <c r="X14" s="148">
        <v>0</v>
      </c>
      <c r="Y14" s="148">
        <v>0</v>
      </c>
      <c r="Z14" s="148">
        <v>0</v>
      </c>
    </row>
    <row r="15" spans="1:26" ht="52.5" customHeight="1">
      <c r="A15" s="262">
        <v>11</v>
      </c>
      <c r="B15" s="813" t="s">
        <v>323</v>
      </c>
      <c r="C15" s="148">
        <v>34</v>
      </c>
      <c r="D15" s="148">
        <v>19</v>
      </c>
      <c r="E15" s="148">
        <v>53</v>
      </c>
      <c r="F15" s="148">
        <v>3</v>
      </c>
      <c r="G15" s="148">
        <v>0</v>
      </c>
      <c r="H15" s="148">
        <v>3</v>
      </c>
      <c r="I15" s="148">
        <v>6</v>
      </c>
      <c r="J15" s="148">
        <v>0</v>
      </c>
      <c r="K15" s="148">
        <v>6</v>
      </c>
      <c r="L15" s="148">
        <v>17</v>
      </c>
      <c r="M15" s="148">
        <v>4</v>
      </c>
      <c r="N15" s="148">
        <v>21</v>
      </c>
      <c r="O15" s="148">
        <v>0</v>
      </c>
      <c r="P15" s="148">
        <v>0</v>
      </c>
      <c r="Q15" s="148">
        <v>0</v>
      </c>
      <c r="R15" s="148">
        <v>0</v>
      </c>
      <c r="S15" s="148">
        <v>0</v>
      </c>
      <c r="T15" s="148">
        <v>0</v>
      </c>
      <c r="U15" s="148">
        <v>0</v>
      </c>
      <c r="V15" s="148">
        <v>0</v>
      </c>
      <c r="W15" s="148">
        <v>0</v>
      </c>
      <c r="X15" s="148">
        <v>0</v>
      </c>
      <c r="Y15" s="148">
        <v>0</v>
      </c>
      <c r="Z15" s="148">
        <v>0</v>
      </c>
    </row>
    <row r="16" spans="1:26" ht="52.5" customHeight="1">
      <c r="A16" s="262">
        <v>12</v>
      </c>
      <c r="B16" s="813" t="s">
        <v>285</v>
      </c>
      <c r="C16" s="148">
        <v>2095</v>
      </c>
      <c r="D16" s="148">
        <v>1668</v>
      </c>
      <c r="E16" s="148">
        <v>3763</v>
      </c>
      <c r="F16" s="148">
        <v>322</v>
      </c>
      <c r="G16" s="148">
        <v>182</v>
      </c>
      <c r="H16" s="148">
        <v>504</v>
      </c>
      <c r="I16" s="148">
        <v>301</v>
      </c>
      <c r="J16" s="148">
        <v>127</v>
      </c>
      <c r="K16" s="148">
        <v>428</v>
      </c>
      <c r="L16" s="148">
        <v>674</v>
      </c>
      <c r="M16" s="148">
        <v>546</v>
      </c>
      <c r="N16" s="148">
        <v>1220</v>
      </c>
      <c r="O16" s="148">
        <v>0</v>
      </c>
      <c r="P16" s="148">
        <v>0</v>
      </c>
      <c r="Q16" s="148">
        <v>0</v>
      </c>
      <c r="R16" s="148">
        <v>0</v>
      </c>
      <c r="S16" s="148">
        <v>0</v>
      </c>
      <c r="T16" s="148">
        <v>0</v>
      </c>
      <c r="U16" s="148">
        <v>0</v>
      </c>
      <c r="V16" s="148">
        <v>0</v>
      </c>
      <c r="W16" s="148">
        <v>0</v>
      </c>
      <c r="X16" s="148">
        <v>0</v>
      </c>
      <c r="Y16" s="148">
        <v>0</v>
      </c>
      <c r="Z16" s="148">
        <v>0</v>
      </c>
    </row>
    <row r="17" spans="1:26" ht="52.5" customHeight="1">
      <c r="A17" s="262">
        <v>13</v>
      </c>
      <c r="B17" s="813" t="s">
        <v>433</v>
      </c>
      <c r="C17" s="148">
        <v>1</v>
      </c>
      <c r="D17" s="148">
        <v>0</v>
      </c>
      <c r="E17" s="148">
        <v>1</v>
      </c>
      <c r="F17" s="148">
        <v>0</v>
      </c>
      <c r="G17" s="148">
        <v>0</v>
      </c>
      <c r="H17" s="148">
        <v>0</v>
      </c>
      <c r="I17" s="148">
        <v>0</v>
      </c>
      <c r="J17" s="148">
        <v>0</v>
      </c>
      <c r="K17" s="148">
        <v>0</v>
      </c>
      <c r="L17" s="148">
        <v>1</v>
      </c>
      <c r="M17" s="148">
        <v>0</v>
      </c>
      <c r="N17" s="148">
        <v>1</v>
      </c>
      <c r="O17" s="148">
        <v>0</v>
      </c>
      <c r="P17" s="148">
        <v>0</v>
      </c>
      <c r="Q17" s="148">
        <v>0</v>
      </c>
      <c r="R17" s="148">
        <v>0</v>
      </c>
      <c r="S17" s="148">
        <v>0</v>
      </c>
      <c r="T17" s="148">
        <v>0</v>
      </c>
      <c r="U17" s="148">
        <v>0</v>
      </c>
      <c r="V17" s="148">
        <v>0</v>
      </c>
      <c r="W17" s="148">
        <v>0</v>
      </c>
      <c r="X17" s="148">
        <v>0</v>
      </c>
      <c r="Y17" s="148">
        <v>0</v>
      </c>
      <c r="Z17" s="148">
        <v>0</v>
      </c>
    </row>
    <row r="18" spans="1:26" ht="52.5" customHeight="1">
      <c r="A18" s="1032" t="s">
        <v>60</v>
      </c>
      <c r="B18" s="1033"/>
      <c r="C18" s="163">
        <v>296727</v>
      </c>
      <c r="D18" s="163">
        <v>251858</v>
      </c>
      <c r="E18" s="163">
        <v>548585</v>
      </c>
      <c r="F18" s="163">
        <v>46863</v>
      </c>
      <c r="G18" s="163">
        <v>32369</v>
      </c>
      <c r="H18" s="163">
        <v>79232</v>
      </c>
      <c r="I18" s="163">
        <v>31407</v>
      </c>
      <c r="J18" s="163">
        <v>21977</v>
      </c>
      <c r="K18" s="163">
        <v>53384</v>
      </c>
      <c r="L18" s="163">
        <v>138685</v>
      </c>
      <c r="M18" s="163">
        <v>114591</v>
      </c>
      <c r="N18" s="163">
        <v>253276</v>
      </c>
      <c r="O18" s="163">
        <v>178</v>
      </c>
      <c r="P18" s="163">
        <v>180</v>
      </c>
      <c r="Q18" s="163">
        <v>358</v>
      </c>
      <c r="R18" s="163">
        <v>4087</v>
      </c>
      <c r="S18" s="163">
        <v>6328</v>
      </c>
      <c r="T18" s="163">
        <v>10415</v>
      </c>
      <c r="U18" s="163">
        <v>43</v>
      </c>
      <c r="V18" s="163">
        <v>53</v>
      </c>
      <c r="W18" s="163">
        <v>96</v>
      </c>
      <c r="X18" s="163">
        <v>526</v>
      </c>
      <c r="Y18" s="163">
        <v>413</v>
      </c>
      <c r="Z18" s="163">
        <v>939</v>
      </c>
    </row>
  </sheetData>
  <mergeCells count="15">
    <mergeCell ref="A18:B18"/>
    <mergeCell ref="A1:B1"/>
    <mergeCell ref="C1:H1"/>
    <mergeCell ref="A2:A3"/>
    <mergeCell ref="B2:B3"/>
    <mergeCell ref="C2:E2"/>
    <mergeCell ref="F2:H2"/>
    <mergeCell ref="I1:Q1"/>
    <mergeCell ref="R1:Z1"/>
    <mergeCell ref="I2:K2"/>
    <mergeCell ref="L2:N2"/>
    <mergeCell ref="O2:Q2"/>
    <mergeCell ref="R2:T2"/>
    <mergeCell ref="U2:W2"/>
    <mergeCell ref="X2:Z2"/>
  </mergeCells>
  <pageMargins left="0.51181102362204722" right="0.23622047244094491" top="0.74803149606299213" bottom="0.39370078740157483" header="0.15748031496062992" footer="7.874015748031496E-2"/>
  <pageSetup paperSize="9" scale="72" firstPageNumber="40" pageOrder="overThenDown" orientation="portrait" useFirstPageNumber="1" r:id="rId1"/>
  <headerFooter>
    <oddFooter>&amp;LAISHE 2021-22&amp;CT-11a</oddFooter>
  </headerFooter>
  <colBreaks count="2" manualBreakCount="2">
    <brk id="8" max="1048575" man="1"/>
    <brk id="17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F124"/>
  <sheetViews>
    <sheetView view="pageBreakPreview" zoomScaleSheetLayoutView="100" workbookViewId="0">
      <selection activeCell="F15" sqref="F15"/>
    </sheetView>
  </sheetViews>
  <sheetFormatPr defaultColWidth="9.28515625" defaultRowHeight="15"/>
  <cols>
    <col min="1" max="1" width="8.85546875" style="273" customWidth="1"/>
    <col min="2" max="2" width="36.42578125" style="256" customWidth="1"/>
    <col min="3" max="3" width="37.5703125" style="256" bestFit="1" customWidth="1"/>
    <col min="4" max="6" width="17.28515625" style="266" customWidth="1"/>
    <col min="7" max="16384" width="9.28515625" style="256"/>
  </cols>
  <sheetData>
    <row r="1" spans="1:6" ht="38.25" customHeight="1">
      <c r="A1" s="264"/>
      <c r="B1" s="1036" t="s">
        <v>896</v>
      </c>
      <c r="C1" s="1036"/>
      <c r="D1" s="1037"/>
      <c r="E1" s="1037"/>
      <c r="F1" s="1037"/>
    </row>
    <row r="2" spans="1:6" ht="22.5" customHeight="1">
      <c r="A2" s="268" t="s">
        <v>988</v>
      </c>
      <c r="B2" s="1038" t="s">
        <v>461</v>
      </c>
      <c r="C2" s="1038"/>
      <c r="D2" s="268" t="s">
        <v>87</v>
      </c>
      <c r="E2" s="268" t="s">
        <v>88</v>
      </c>
      <c r="F2" s="268" t="s">
        <v>12</v>
      </c>
    </row>
    <row r="3" spans="1:6" ht="13.9" customHeight="1">
      <c r="A3" s="269">
        <v>1</v>
      </c>
      <c r="B3" s="269">
        <v>2</v>
      </c>
      <c r="C3" s="269">
        <v>3</v>
      </c>
      <c r="D3" s="269">
        <v>4</v>
      </c>
      <c r="E3" s="269">
        <v>5</v>
      </c>
      <c r="F3" s="269">
        <v>6</v>
      </c>
    </row>
    <row r="4" spans="1:6" ht="18.75" customHeight="1">
      <c r="A4" s="264">
        <v>1</v>
      </c>
      <c r="B4" s="178" t="s">
        <v>6</v>
      </c>
      <c r="C4" s="270"/>
      <c r="D4" s="148">
        <v>207749</v>
      </c>
      <c r="E4" s="148">
        <v>86630</v>
      </c>
      <c r="F4" s="148">
        <v>294379</v>
      </c>
    </row>
    <row r="5" spans="1:6" ht="18.75" customHeight="1">
      <c r="A5" s="264">
        <v>2</v>
      </c>
      <c r="B5" s="178" t="s">
        <v>989</v>
      </c>
      <c r="C5" s="270"/>
      <c r="D5" s="148">
        <v>21</v>
      </c>
      <c r="E5" s="148">
        <v>10</v>
      </c>
      <c r="F5" s="148">
        <v>31</v>
      </c>
    </row>
    <row r="6" spans="1:6" ht="18.75" customHeight="1">
      <c r="A6" s="264">
        <v>3</v>
      </c>
      <c r="B6" s="178" t="s">
        <v>497</v>
      </c>
      <c r="C6" s="270"/>
      <c r="D6" s="148">
        <v>21010</v>
      </c>
      <c r="E6" s="148">
        <v>21309</v>
      </c>
      <c r="F6" s="148">
        <v>42319</v>
      </c>
    </row>
    <row r="7" spans="1:6" ht="18.75" customHeight="1">
      <c r="A7" s="264">
        <v>4</v>
      </c>
      <c r="B7" s="178" t="s">
        <v>188</v>
      </c>
      <c r="C7" s="271"/>
      <c r="D7" s="148">
        <v>5583302</v>
      </c>
      <c r="E7" s="148">
        <v>5744439</v>
      </c>
      <c r="F7" s="148">
        <v>11327741</v>
      </c>
    </row>
    <row r="8" spans="1:6" ht="18.75" customHeight="1">
      <c r="A8" s="264">
        <v>5</v>
      </c>
      <c r="B8" s="272" t="s">
        <v>189</v>
      </c>
      <c r="C8" s="271"/>
      <c r="D8" s="148">
        <v>2328882</v>
      </c>
      <c r="E8" s="148">
        <v>2079354</v>
      </c>
      <c r="F8" s="148">
        <v>4408236</v>
      </c>
    </row>
    <row r="9" spans="1:6" ht="18.75" customHeight="1">
      <c r="A9" s="264">
        <v>6</v>
      </c>
      <c r="B9" s="272" t="s">
        <v>990</v>
      </c>
      <c r="C9" s="271"/>
      <c r="D9" s="148">
        <v>138</v>
      </c>
      <c r="E9" s="148">
        <v>82</v>
      </c>
      <c r="F9" s="148">
        <v>220</v>
      </c>
    </row>
    <row r="10" spans="1:6" ht="18.75" customHeight="1">
      <c r="A10" s="264">
        <v>7</v>
      </c>
      <c r="B10" s="272" t="s">
        <v>510</v>
      </c>
      <c r="C10" s="271"/>
      <c r="D10" s="148">
        <v>1102</v>
      </c>
      <c r="E10" s="148">
        <v>1409</v>
      </c>
      <c r="F10" s="148">
        <v>2511</v>
      </c>
    </row>
    <row r="11" spans="1:6" ht="18.75" customHeight="1">
      <c r="A11" s="264">
        <v>8</v>
      </c>
      <c r="B11" s="272" t="s">
        <v>506</v>
      </c>
      <c r="C11" s="271"/>
      <c r="D11" s="148">
        <v>3175</v>
      </c>
      <c r="E11" s="148">
        <v>3891</v>
      </c>
      <c r="F11" s="148">
        <v>7066</v>
      </c>
    </row>
    <row r="12" spans="1:6" ht="18.75" customHeight="1">
      <c r="A12" s="264">
        <v>9</v>
      </c>
      <c r="B12" s="272" t="s">
        <v>511</v>
      </c>
      <c r="C12" s="271"/>
      <c r="D12" s="148">
        <v>559</v>
      </c>
      <c r="E12" s="148">
        <v>311</v>
      </c>
      <c r="F12" s="148">
        <v>870</v>
      </c>
    </row>
    <row r="13" spans="1:6" ht="18.75" customHeight="1">
      <c r="A13" s="264">
        <v>10</v>
      </c>
      <c r="B13" s="272" t="s">
        <v>500</v>
      </c>
      <c r="C13" s="271"/>
      <c r="D13" s="148">
        <v>13819</v>
      </c>
      <c r="E13" s="148">
        <v>31494</v>
      </c>
      <c r="F13" s="148">
        <v>45313</v>
      </c>
    </row>
    <row r="14" spans="1:6" ht="18.75" customHeight="1">
      <c r="A14" s="264">
        <v>11</v>
      </c>
      <c r="B14" s="272" t="s">
        <v>177</v>
      </c>
      <c r="C14" s="271"/>
      <c r="D14" s="148">
        <v>646915</v>
      </c>
      <c r="E14" s="148">
        <v>1072393</v>
      </c>
      <c r="F14" s="148">
        <v>1719308</v>
      </c>
    </row>
    <row r="15" spans="1:6" ht="18.75" customHeight="1">
      <c r="A15" s="264">
        <v>12</v>
      </c>
      <c r="B15" s="1040" t="s">
        <v>192</v>
      </c>
      <c r="C15" s="271" t="s">
        <v>471</v>
      </c>
      <c r="D15" s="148">
        <v>15277</v>
      </c>
      <c r="E15" s="148">
        <v>4982</v>
      </c>
      <c r="F15" s="148">
        <v>20259</v>
      </c>
    </row>
    <row r="16" spans="1:6" ht="18.75" customHeight="1">
      <c r="A16" s="264">
        <v>13</v>
      </c>
      <c r="B16" s="1041"/>
      <c r="C16" s="271" t="s">
        <v>470</v>
      </c>
      <c r="D16" s="148">
        <v>14816</v>
      </c>
      <c r="E16" s="148">
        <v>8392</v>
      </c>
      <c r="F16" s="148">
        <v>23208</v>
      </c>
    </row>
    <row r="17" spans="1:6" ht="18.75" customHeight="1">
      <c r="A17" s="264">
        <v>14</v>
      </c>
      <c r="B17" s="1041"/>
      <c r="C17" s="271" t="s">
        <v>991</v>
      </c>
      <c r="D17" s="148">
        <v>48</v>
      </c>
      <c r="E17" s="148">
        <v>68</v>
      </c>
      <c r="F17" s="148">
        <v>116</v>
      </c>
    </row>
    <row r="18" spans="1:6" ht="18.75" customHeight="1">
      <c r="A18" s="264">
        <v>15</v>
      </c>
      <c r="B18" s="1041"/>
      <c r="C18" s="271" t="s">
        <v>187</v>
      </c>
      <c r="D18" s="148">
        <v>35273</v>
      </c>
      <c r="E18" s="148">
        <v>38497</v>
      </c>
      <c r="F18" s="148">
        <v>73770</v>
      </c>
    </row>
    <row r="19" spans="1:6" ht="18.75" customHeight="1">
      <c r="A19" s="264">
        <v>16</v>
      </c>
      <c r="B19" s="1041"/>
      <c r="C19" s="271" t="s">
        <v>992</v>
      </c>
      <c r="D19" s="148">
        <v>1525</v>
      </c>
      <c r="E19" s="148">
        <v>648</v>
      </c>
      <c r="F19" s="148">
        <v>2173</v>
      </c>
    </row>
    <row r="20" spans="1:6" ht="18.75" customHeight="1">
      <c r="A20" s="264">
        <v>17</v>
      </c>
      <c r="B20" s="1041"/>
      <c r="C20" s="271" t="s">
        <v>993</v>
      </c>
      <c r="D20" s="148">
        <v>6896</v>
      </c>
      <c r="E20" s="148">
        <v>3421</v>
      </c>
      <c r="F20" s="148">
        <v>10317</v>
      </c>
    </row>
    <row r="21" spans="1:6" ht="18.75" customHeight="1">
      <c r="A21" s="264">
        <v>18</v>
      </c>
      <c r="B21" s="1041"/>
      <c r="C21" s="271" t="s">
        <v>994</v>
      </c>
      <c r="D21" s="148">
        <v>7861</v>
      </c>
      <c r="E21" s="148">
        <v>3838</v>
      </c>
      <c r="F21" s="148">
        <v>11699</v>
      </c>
    </row>
    <row r="22" spans="1:6" ht="18.75" customHeight="1">
      <c r="A22" s="264">
        <v>19</v>
      </c>
      <c r="B22" s="1041"/>
      <c r="C22" s="271" t="s">
        <v>995</v>
      </c>
      <c r="D22" s="148">
        <v>921</v>
      </c>
      <c r="E22" s="148">
        <v>176</v>
      </c>
      <c r="F22" s="148">
        <v>1097</v>
      </c>
    </row>
    <row r="23" spans="1:6" ht="18.75" customHeight="1">
      <c r="A23" s="264">
        <v>20</v>
      </c>
      <c r="B23" s="1041"/>
      <c r="C23" s="271" t="s">
        <v>996</v>
      </c>
      <c r="D23" s="148">
        <v>238</v>
      </c>
      <c r="E23" s="148">
        <v>36</v>
      </c>
      <c r="F23" s="148">
        <v>274</v>
      </c>
    </row>
    <row r="24" spans="1:6" ht="18.75" customHeight="1">
      <c r="A24" s="264">
        <v>21</v>
      </c>
      <c r="B24" s="1041"/>
      <c r="C24" s="271" t="s">
        <v>817</v>
      </c>
      <c r="D24" s="148">
        <v>838</v>
      </c>
      <c r="E24" s="148">
        <v>13</v>
      </c>
      <c r="F24" s="148">
        <v>851</v>
      </c>
    </row>
    <row r="25" spans="1:6" ht="18.75" customHeight="1">
      <c r="A25" s="264">
        <v>22</v>
      </c>
      <c r="B25" s="1041"/>
      <c r="C25" s="271" t="s">
        <v>469</v>
      </c>
      <c r="D25" s="148">
        <v>42411</v>
      </c>
      <c r="E25" s="148">
        <v>14733</v>
      </c>
      <c r="F25" s="148">
        <v>57144</v>
      </c>
    </row>
    <row r="26" spans="1:6" ht="18.75" customHeight="1">
      <c r="A26" s="264">
        <v>23</v>
      </c>
      <c r="B26" s="1041"/>
      <c r="C26" s="271" t="s">
        <v>997</v>
      </c>
      <c r="D26" s="148">
        <v>52</v>
      </c>
      <c r="E26" s="148">
        <v>27</v>
      </c>
      <c r="F26" s="148">
        <v>79</v>
      </c>
    </row>
    <row r="27" spans="1:6" ht="18.75" customHeight="1">
      <c r="A27" s="264">
        <v>24</v>
      </c>
      <c r="B27" s="1041"/>
      <c r="C27" s="271" t="s">
        <v>465</v>
      </c>
      <c r="D27" s="163">
        <v>325350</v>
      </c>
      <c r="E27" s="163">
        <v>96502</v>
      </c>
      <c r="F27" s="148">
        <v>421852</v>
      </c>
    </row>
    <row r="28" spans="1:6" ht="18.75" customHeight="1">
      <c r="A28" s="264">
        <v>25</v>
      </c>
      <c r="B28" s="1041"/>
      <c r="C28" s="270" t="s">
        <v>462</v>
      </c>
      <c r="D28" s="148">
        <v>825413</v>
      </c>
      <c r="E28" s="148">
        <v>428335</v>
      </c>
      <c r="F28" s="148">
        <v>1253748</v>
      </c>
    </row>
    <row r="29" spans="1:6" ht="18.75" customHeight="1">
      <c r="A29" s="264">
        <v>26</v>
      </c>
      <c r="B29" s="1041"/>
      <c r="C29" s="271" t="s">
        <v>998</v>
      </c>
      <c r="D29" s="148">
        <v>330</v>
      </c>
      <c r="E29" s="148">
        <v>128</v>
      </c>
      <c r="F29" s="148">
        <v>458</v>
      </c>
    </row>
    <row r="30" spans="1:6" ht="18.75" customHeight="1">
      <c r="A30" s="264">
        <v>27</v>
      </c>
      <c r="B30" s="1041"/>
      <c r="C30" s="271" t="s">
        <v>476</v>
      </c>
      <c r="D30" s="148">
        <v>2287</v>
      </c>
      <c r="E30" s="148">
        <v>1295</v>
      </c>
      <c r="F30" s="148">
        <v>3582</v>
      </c>
    </row>
    <row r="31" spans="1:6" ht="18.75" customHeight="1">
      <c r="A31" s="264">
        <v>28</v>
      </c>
      <c r="B31" s="1041"/>
      <c r="C31" s="271" t="s">
        <v>999</v>
      </c>
      <c r="D31" s="148">
        <v>1858</v>
      </c>
      <c r="E31" s="148">
        <v>719</v>
      </c>
      <c r="F31" s="148">
        <v>2577</v>
      </c>
    </row>
    <row r="32" spans="1:6" ht="18.75" customHeight="1">
      <c r="A32" s="264">
        <v>29</v>
      </c>
      <c r="B32" s="1041"/>
      <c r="C32" s="271" t="s">
        <v>1000</v>
      </c>
      <c r="D32" s="148">
        <v>153</v>
      </c>
      <c r="E32" s="148">
        <v>139</v>
      </c>
      <c r="F32" s="148">
        <v>292</v>
      </c>
    </row>
    <row r="33" spans="1:6" ht="18.75" customHeight="1">
      <c r="A33" s="264">
        <v>30</v>
      </c>
      <c r="B33" s="1041"/>
      <c r="C33" s="271" t="s">
        <v>1001</v>
      </c>
      <c r="D33" s="148">
        <v>5554</v>
      </c>
      <c r="E33" s="148">
        <v>2235</v>
      </c>
      <c r="F33" s="148">
        <v>7789</v>
      </c>
    </row>
    <row r="34" spans="1:6" ht="18.75" customHeight="1">
      <c r="A34" s="264">
        <v>31</v>
      </c>
      <c r="B34" s="1041"/>
      <c r="C34" s="271" t="s">
        <v>466</v>
      </c>
      <c r="D34" s="148">
        <v>260362</v>
      </c>
      <c r="E34" s="148">
        <v>91417</v>
      </c>
      <c r="F34" s="148">
        <v>351779</v>
      </c>
    </row>
    <row r="35" spans="1:6" ht="18.75" customHeight="1">
      <c r="A35" s="264">
        <v>32</v>
      </c>
      <c r="B35" s="1041"/>
      <c r="C35" s="271" t="s">
        <v>1002</v>
      </c>
      <c r="D35" s="148">
        <v>17102</v>
      </c>
      <c r="E35" s="148">
        <v>10813</v>
      </c>
      <c r="F35" s="148">
        <v>27915</v>
      </c>
    </row>
    <row r="36" spans="1:6" ht="18.75" customHeight="1">
      <c r="A36" s="264">
        <v>33</v>
      </c>
      <c r="B36" s="1041"/>
      <c r="C36" s="271" t="s">
        <v>464</v>
      </c>
      <c r="D36" s="148">
        <v>357536</v>
      </c>
      <c r="E36" s="148">
        <v>221908</v>
      </c>
      <c r="F36" s="148">
        <v>579444</v>
      </c>
    </row>
    <row r="37" spans="1:6" ht="18.75" customHeight="1">
      <c r="A37" s="264">
        <v>34</v>
      </c>
      <c r="B37" s="1041"/>
      <c r="C37" s="271" t="s">
        <v>192</v>
      </c>
      <c r="D37" s="148">
        <v>76966</v>
      </c>
      <c r="E37" s="148">
        <v>35553</v>
      </c>
      <c r="F37" s="148">
        <v>112519</v>
      </c>
    </row>
    <row r="38" spans="1:6" ht="18.75" customHeight="1">
      <c r="A38" s="264">
        <v>35</v>
      </c>
      <c r="B38" s="1041"/>
      <c r="C38" s="271" t="s">
        <v>1003</v>
      </c>
      <c r="D38" s="148">
        <v>30</v>
      </c>
      <c r="E38" s="148">
        <v>12</v>
      </c>
      <c r="F38" s="148">
        <v>42</v>
      </c>
    </row>
    <row r="39" spans="1:6" ht="18.75" customHeight="1">
      <c r="A39" s="264">
        <v>36</v>
      </c>
      <c r="B39" s="1041"/>
      <c r="C39" s="271" t="s">
        <v>472</v>
      </c>
      <c r="D39" s="148">
        <v>10263</v>
      </c>
      <c r="E39" s="148">
        <v>7943</v>
      </c>
      <c r="F39" s="148">
        <v>18206</v>
      </c>
    </row>
    <row r="40" spans="1:6" ht="18.75" customHeight="1">
      <c r="A40" s="264">
        <v>37</v>
      </c>
      <c r="B40" s="1041"/>
      <c r="C40" s="271" t="s">
        <v>468</v>
      </c>
      <c r="D40" s="148">
        <v>87688</v>
      </c>
      <c r="E40" s="148">
        <v>51382</v>
      </c>
      <c r="F40" s="148">
        <v>139070</v>
      </c>
    </row>
    <row r="41" spans="1:6" ht="18.75" customHeight="1">
      <c r="A41" s="264">
        <v>38</v>
      </c>
      <c r="B41" s="1041"/>
      <c r="C41" s="271" t="s">
        <v>816</v>
      </c>
      <c r="D41" s="148">
        <v>2232</v>
      </c>
      <c r="E41" s="148">
        <v>1603</v>
      </c>
      <c r="F41" s="148">
        <v>3835</v>
      </c>
    </row>
    <row r="42" spans="1:6" ht="18.75" customHeight="1">
      <c r="A42" s="264">
        <v>39</v>
      </c>
      <c r="B42" s="1041"/>
      <c r="C42" s="271" t="s">
        <v>475</v>
      </c>
      <c r="D42" s="148">
        <v>5138</v>
      </c>
      <c r="E42" s="148">
        <v>351</v>
      </c>
      <c r="F42" s="148">
        <v>5489</v>
      </c>
    </row>
    <row r="43" spans="1:6" ht="18.75" customHeight="1">
      <c r="A43" s="264">
        <v>40</v>
      </c>
      <c r="B43" s="1041"/>
      <c r="C43" s="271" t="s">
        <v>1004</v>
      </c>
      <c r="D43" s="148">
        <v>1027</v>
      </c>
      <c r="E43" s="148">
        <v>143</v>
      </c>
      <c r="F43" s="148">
        <v>1170</v>
      </c>
    </row>
    <row r="44" spans="1:6" ht="18.75" customHeight="1">
      <c r="A44" s="264">
        <v>41</v>
      </c>
      <c r="B44" s="1041"/>
      <c r="C44" s="271" t="s">
        <v>463</v>
      </c>
      <c r="D44" s="148">
        <v>502179</v>
      </c>
      <c r="E44" s="148">
        <v>41462</v>
      </c>
      <c r="F44" s="148">
        <v>543641</v>
      </c>
    </row>
    <row r="45" spans="1:6" ht="18.75" customHeight="1">
      <c r="A45" s="264">
        <v>42</v>
      </c>
      <c r="B45" s="1041"/>
      <c r="C45" s="271" t="s">
        <v>1005</v>
      </c>
      <c r="D45" s="148">
        <v>1146</v>
      </c>
      <c r="E45" s="148">
        <v>380</v>
      </c>
      <c r="F45" s="148">
        <v>1526</v>
      </c>
    </row>
    <row r="46" spans="1:6" ht="18.75" customHeight="1">
      <c r="A46" s="264">
        <v>43</v>
      </c>
      <c r="B46" s="1041"/>
      <c r="C46" s="271" t="s">
        <v>473</v>
      </c>
      <c r="D46" s="148">
        <v>8678</v>
      </c>
      <c r="E46" s="148">
        <v>2792</v>
      </c>
      <c r="F46" s="148">
        <v>11470</v>
      </c>
    </row>
    <row r="47" spans="1:6" ht="18.75" customHeight="1">
      <c r="A47" s="264">
        <v>44</v>
      </c>
      <c r="B47" s="1041"/>
      <c r="C47" s="271" t="s">
        <v>474</v>
      </c>
      <c r="D47" s="148">
        <v>9221</v>
      </c>
      <c r="E47" s="148">
        <v>809</v>
      </c>
      <c r="F47" s="148">
        <v>10030</v>
      </c>
    </row>
    <row r="48" spans="1:6" ht="18.75" customHeight="1">
      <c r="A48" s="264">
        <v>45</v>
      </c>
      <c r="B48" s="1041"/>
      <c r="C48" s="271" t="s">
        <v>1006</v>
      </c>
      <c r="D48" s="148">
        <v>71</v>
      </c>
      <c r="E48" s="148">
        <v>25</v>
      </c>
      <c r="F48" s="148">
        <v>96</v>
      </c>
    </row>
    <row r="49" spans="1:6" ht="18.75" customHeight="1">
      <c r="A49" s="264">
        <v>46</v>
      </c>
      <c r="B49" s="1041"/>
      <c r="C49" s="271" t="s">
        <v>467</v>
      </c>
      <c r="D49" s="148">
        <v>138425</v>
      </c>
      <c r="E49" s="148">
        <v>66259</v>
      </c>
      <c r="F49" s="148">
        <v>204684</v>
      </c>
    </row>
    <row r="50" spans="1:6" ht="18.75" customHeight="1">
      <c r="A50" s="264">
        <v>47</v>
      </c>
      <c r="B50" s="1041"/>
      <c r="C50" s="271" t="s">
        <v>1007</v>
      </c>
      <c r="D50" s="148">
        <v>354</v>
      </c>
      <c r="E50" s="148">
        <v>41</v>
      </c>
      <c r="F50" s="148">
        <v>395</v>
      </c>
    </row>
    <row r="51" spans="1:6" ht="18.75" customHeight="1">
      <c r="A51" s="264">
        <v>48</v>
      </c>
      <c r="B51" s="1041"/>
      <c r="C51" s="271" t="s">
        <v>477</v>
      </c>
      <c r="D51" s="148">
        <v>859</v>
      </c>
      <c r="E51" s="148">
        <v>645</v>
      </c>
      <c r="F51" s="148">
        <v>1504</v>
      </c>
    </row>
    <row r="52" spans="1:6" ht="18.75" customHeight="1">
      <c r="A52" s="264">
        <v>49</v>
      </c>
      <c r="B52" s="1041"/>
      <c r="C52" s="271" t="s">
        <v>1008</v>
      </c>
      <c r="D52" s="148">
        <v>130</v>
      </c>
      <c r="E52" s="148">
        <v>30</v>
      </c>
      <c r="F52" s="148">
        <v>160</v>
      </c>
    </row>
    <row r="53" spans="1:6" ht="18.75" customHeight="1">
      <c r="A53" s="264">
        <v>50</v>
      </c>
      <c r="B53" s="1041"/>
      <c r="C53" s="271" t="s">
        <v>523</v>
      </c>
      <c r="D53" s="148">
        <v>26</v>
      </c>
      <c r="E53" s="148">
        <v>22</v>
      </c>
      <c r="F53" s="148">
        <v>48</v>
      </c>
    </row>
    <row r="54" spans="1:6" ht="18.75" customHeight="1">
      <c r="A54" s="264">
        <v>51</v>
      </c>
      <c r="B54" s="1042"/>
      <c r="C54" s="271" t="s">
        <v>1009</v>
      </c>
      <c r="D54" s="148">
        <v>163</v>
      </c>
      <c r="E54" s="148">
        <v>45</v>
      </c>
      <c r="F54" s="148">
        <v>208</v>
      </c>
    </row>
    <row r="55" spans="1:6" s="265" customFormat="1" ht="18.75" customHeight="1">
      <c r="A55" s="264">
        <v>52</v>
      </c>
      <c r="B55" s="272" t="s">
        <v>478</v>
      </c>
      <c r="C55" s="485"/>
      <c r="D55" s="163">
        <v>2766697</v>
      </c>
      <c r="E55" s="163">
        <v>1137819</v>
      </c>
      <c r="F55" s="163">
        <v>3904516</v>
      </c>
    </row>
    <row r="56" spans="1:6" ht="18.75" customHeight="1">
      <c r="A56" s="264">
        <v>53</v>
      </c>
      <c r="B56" s="272" t="s">
        <v>502</v>
      </c>
      <c r="C56" s="271"/>
      <c r="D56" s="148">
        <v>4362</v>
      </c>
      <c r="E56" s="148">
        <v>14284</v>
      </c>
      <c r="F56" s="148">
        <v>18646</v>
      </c>
    </row>
    <row r="57" spans="1:6" ht="18.75" customHeight="1">
      <c r="A57" s="264">
        <v>54</v>
      </c>
      <c r="B57" s="272" t="s">
        <v>178</v>
      </c>
      <c r="C57" s="271"/>
      <c r="D57" s="148">
        <v>23897</v>
      </c>
      <c r="E57" s="148">
        <v>25920</v>
      </c>
      <c r="F57" s="148">
        <v>49817</v>
      </c>
    </row>
    <row r="58" spans="1:6" ht="18.75" customHeight="1">
      <c r="A58" s="264">
        <v>55</v>
      </c>
      <c r="B58" s="272" t="s">
        <v>507</v>
      </c>
      <c r="C58" s="271"/>
      <c r="D58" s="148">
        <v>3474</v>
      </c>
      <c r="E58" s="148">
        <v>2968</v>
      </c>
      <c r="F58" s="148">
        <v>6442</v>
      </c>
    </row>
    <row r="59" spans="1:6" ht="18.75" customHeight="1">
      <c r="A59" s="264">
        <v>56</v>
      </c>
      <c r="B59" s="272" t="s">
        <v>513</v>
      </c>
      <c r="C59" s="271"/>
      <c r="D59" s="148">
        <v>1007</v>
      </c>
      <c r="E59" s="148">
        <v>1353</v>
      </c>
      <c r="F59" s="148">
        <v>2360</v>
      </c>
    </row>
    <row r="60" spans="1:6" ht="18.75" customHeight="1">
      <c r="A60" s="264">
        <v>57</v>
      </c>
      <c r="B60" s="272" t="s">
        <v>496</v>
      </c>
      <c r="C60" s="271"/>
      <c r="D60" s="148">
        <v>93263</v>
      </c>
      <c r="E60" s="148">
        <v>113451</v>
      </c>
      <c r="F60" s="148">
        <v>206714</v>
      </c>
    </row>
    <row r="61" spans="1:6" ht="18.75" customHeight="1">
      <c r="A61" s="264">
        <v>58</v>
      </c>
      <c r="B61" s="272" t="s">
        <v>514</v>
      </c>
      <c r="C61" s="271"/>
      <c r="D61" s="148">
        <v>338</v>
      </c>
      <c r="E61" s="148">
        <v>469</v>
      </c>
      <c r="F61" s="148">
        <v>807</v>
      </c>
    </row>
    <row r="62" spans="1:6" ht="18.75" customHeight="1">
      <c r="A62" s="264">
        <v>59</v>
      </c>
      <c r="B62" s="272" t="s">
        <v>210</v>
      </c>
      <c r="C62" s="271"/>
      <c r="D62" s="148">
        <v>7414</v>
      </c>
      <c r="E62" s="148">
        <v>77585</v>
      </c>
      <c r="F62" s="148">
        <v>84999</v>
      </c>
    </row>
    <row r="63" spans="1:6" ht="18.75" customHeight="1">
      <c r="A63" s="264">
        <v>60</v>
      </c>
      <c r="B63" s="272" t="s">
        <v>505</v>
      </c>
      <c r="C63" s="271"/>
      <c r="D63" s="148">
        <v>17010</v>
      </c>
      <c r="E63" s="148">
        <v>4741</v>
      </c>
      <c r="F63" s="148">
        <v>21751</v>
      </c>
    </row>
    <row r="64" spans="1:6" ht="18.75" customHeight="1">
      <c r="A64" s="264">
        <v>61</v>
      </c>
      <c r="B64" s="272" t="s">
        <v>495</v>
      </c>
      <c r="C64" s="271"/>
      <c r="D64" s="148">
        <v>134853</v>
      </c>
      <c r="E64" s="148">
        <v>220743</v>
      </c>
      <c r="F64" s="148">
        <v>355596</v>
      </c>
    </row>
    <row r="65" spans="1:6" ht="18.75" customHeight="1">
      <c r="A65" s="264">
        <v>62</v>
      </c>
      <c r="B65" s="272" t="s">
        <v>468</v>
      </c>
      <c r="C65" s="271"/>
      <c r="D65" s="148">
        <v>50</v>
      </c>
      <c r="E65" s="148">
        <v>40</v>
      </c>
      <c r="F65" s="148">
        <v>90</v>
      </c>
    </row>
    <row r="66" spans="1:6" ht="18.75" customHeight="1">
      <c r="A66" s="264">
        <v>63</v>
      </c>
      <c r="B66" s="272" t="s">
        <v>494</v>
      </c>
      <c r="C66" s="271"/>
      <c r="D66" s="148">
        <v>579083</v>
      </c>
      <c r="E66" s="148">
        <v>348928</v>
      </c>
      <c r="F66" s="148">
        <v>928011</v>
      </c>
    </row>
    <row r="67" spans="1:6" ht="18.75" customHeight="1">
      <c r="A67" s="264">
        <v>64</v>
      </c>
      <c r="B67" s="272" t="s">
        <v>180</v>
      </c>
      <c r="C67" s="271"/>
      <c r="D67" s="148">
        <v>17087</v>
      </c>
      <c r="E67" s="148">
        <v>16392</v>
      </c>
      <c r="F67" s="148">
        <v>33479</v>
      </c>
    </row>
    <row r="68" spans="1:6" ht="18.75" customHeight="1">
      <c r="A68" s="264">
        <v>65</v>
      </c>
      <c r="B68" s="272" t="s">
        <v>8</v>
      </c>
      <c r="C68" s="271"/>
      <c r="D68" s="148">
        <v>352791</v>
      </c>
      <c r="E68" s="148">
        <v>177658</v>
      </c>
      <c r="F68" s="148">
        <v>530449</v>
      </c>
    </row>
    <row r="69" spans="1:6" ht="18.75" customHeight="1">
      <c r="A69" s="264">
        <v>66</v>
      </c>
      <c r="B69" s="178" t="s">
        <v>499</v>
      </c>
      <c r="C69" s="270"/>
      <c r="D69" s="148">
        <v>34747</v>
      </c>
      <c r="E69" s="148">
        <v>26448</v>
      </c>
      <c r="F69" s="148">
        <v>61195</v>
      </c>
    </row>
    <row r="70" spans="1:6" ht="18.75" customHeight="1">
      <c r="A70" s="264">
        <v>67</v>
      </c>
      <c r="B70" s="178" t="s">
        <v>501</v>
      </c>
      <c r="C70" s="270"/>
      <c r="D70" s="148">
        <v>2856</v>
      </c>
      <c r="E70" s="148">
        <v>4963</v>
      </c>
      <c r="F70" s="148">
        <v>7819</v>
      </c>
    </row>
    <row r="71" spans="1:6" s="265" customFormat="1" ht="18.75" customHeight="1">
      <c r="A71" s="264">
        <v>68</v>
      </c>
      <c r="B71" s="178" t="s">
        <v>182</v>
      </c>
      <c r="C71" s="270"/>
      <c r="D71" s="148">
        <v>568069</v>
      </c>
      <c r="E71" s="148">
        <v>329457</v>
      </c>
      <c r="F71" s="148">
        <v>897526</v>
      </c>
    </row>
    <row r="72" spans="1:6" ht="18.75" customHeight="1">
      <c r="A72" s="264">
        <v>69</v>
      </c>
      <c r="B72" s="178" t="s">
        <v>512</v>
      </c>
      <c r="C72" s="270"/>
      <c r="D72" s="148">
        <v>1368</v>
      </c>
      <c r="E72" s="148">
        <v>187</v>
      </c>
      <c r="F72" s="148">
        <v>1555</v>
      </c>
    </row>
    <row r="73" spans="1:6" ht="18.75" customHeight="1">
      <c r="A73" s="264">
        <v>70</v>
      </c>
      <c r="B73" s="1040" t="s">
        <v>479</v>
      </c>
      <c r="C73" s="270" t="s">
        <v>584</v>
      </c>
      <c r="D73" s="148">
        <v>262</v>
      </c>
      <c r="E73" s="148">
        <v>221</v>
      </c>
      <c r="F73" s="148">
        <v>483</v>
      </c>
    </row>
    <row r="74" spans="1:6" ht="18.75" customHeight="1">
      <c r="A74" s="264">
        <v>71</v>
      </c>
      <c r="B74" s="1041"/>
      <c r="C74" s="270" t="s">
        <v>572</v>
      </c>
      <c r="D74" s="148">
        <v>78</v>
      </c>
      <c r="E74" s="148">
        <v>103</v>
      </c>
      <c r="F74" s="148">
        <v>181</v>
      </c>
    </row>
    <row r="75" spans="1:6" ht="18.75" customHeight="1">
      <c r="A75" s="264">
        <v>72</v>
      </c>
      <c r="B75" s="1041"/>
      <c r="C75" s="270" t="s">
        <v>482</v>
      </c>
      <c r="D75" s="148">
        <v>41165</v>
      </c>
      <c r="E75" s="148">
        <v>54312</v>
      </c>
      <c r="F75" s="148">
        <v>95477</v>
      </c>
    </row>
    <row r="76" spans="1:6" ht="18.75" customHeight="1">
      <c r="A76" s="264">
        <v>73</v>
      </c>
      <c r="B76" s="1041"/>
      <c r="C76" s="270" t="s">
        <v>578</v>
      </c>
      <c r="D76" s="148">
        <v>1242</v>
      </c>
      <c r="E76" s="148">
        <v>1022</v>
      </c>
      <c r="F76" s="148">
        <v>2264</v>
      </c>
    </row>
    <row r="77" spans="1:6" ht="18.75" customHeight="1">
      <c r="A77" s="264">
        <v>74</v>
      </c>
      <c r="B77" s="1041"/>
      <c r="C77" s="270" t="s">
        <v>587</v>
      </c>
      <c r="D77" s="148">
        <v>1245</v>
      </c>
      <c r="E77" s="148">
        <v>2301</v>
      </c>
      <c r="F77" s="148">
        <v>3546</v>
      </c>
    </row>
    <row r="78" spans="1:6" ht="18.75" customHeight="1">
      <c r="A78" s="264">
        <v>75</v>
      </c>
      <c r="B78" s="1041"/>
      <c r="C78" s="270" t="s">
        <v>590</v>
      </c>
      <c r="D78" s="148">
        <v>40</v>
      </c>
      <c r="E78" s="148">
        <v>78</v>
      </c>
      <c r="F78" s="148">
        <v>118</v>
      </c>
    </row>
    <row r="79" spans="1:6" ht="18.75" customHeight="1">
      <c r="A79" s="264">
        <v>76</v>
      </c>
      <c r="B79" s="1041"/>
      <c r="C79" s="270" t="s">
        <v>481</v>
      </c>
      <c r="D79" s="148">
        <v>26741</v>
      </c>
      <c r="E79" s="148">
        <v>71848</v>
      </c>
      <c r="F79" s="148">
        <v>98589</v>
      </c>
    </row>
    <row r="80" spans="1:6" ht="18.75" customHeight="1">
      <c r="A80" s="264">
        <v>77</v>
      </c>
      <c r="B80" s="1041"/>
      <c r="C80" s="270" t="s">
        <v>579</v>
      </c>
      <c r="D80" s="148">
        <v>264</v>
      </c>
      <c r="E80" s="148">
        <v>317</v>
      </c>
      <c r="F80" s="148">
        <v>581</v>
      </c>
    </row>
    <row r="81" spans="1:6" ht="18.75" customHeight="1">
      <c r="A81" s="264">
        <v>78</v>
      </c>
      <c r="B81" s="1041"/>
      <c r="C81" s="270" t="s">
        <v>586</v>
      </c>
      <c r="D81" s="148">
        <v>206</v>
      </c>
      <c r="E81" s="148">
        <v>181</v>
      </c>
      <c r="F81" s="148">
        <v>387</v>
      </c>
    </row>
    <row r="82" spans="1:6" ht="18.75" customHeight="1">
      <c r="A82" s="264">
        <v>79</v>
      </c>
      <c r="B82" s="1041"/>
      <c r="C82" s="270" t="s">
        <v>480</v>
      </c>
      <c r="D82" s="148">
        <v>120416</v>
      </c>
      <c r="E82" s="148">
        <v>118120</v>
      </c>
      <c r="F82" s="148">
        <v>238536</v>
      </c>
    </row>
    <row r="83" spans="1:6" ht="18.75" customHeight="1">
      <c r="A83" s="264">
        <v>80</v>
      </c>
      <c r="B83" s="1041"/>
      <c r="C83" s="270" t="s">
        <v>491</v>
      </c>
      <c r="D83" s="148">
        <v>823</v>
      </c>
      <c r="E83" s="148">
        <v>1398</v>
      </c>
      <c r="F83" s="148">
        <v>2221</v>
      </c>
    </row>
    <row r="84" spans="1:6" ht="18.75" customHeight="1">
      <c r="A84" s="264">
        <v>81</v>
      </c>
      <c r="B84" s="1041"/>
      <c r="C84" s="270" t="s">
        <v>573</v>
      </c>
      <c r="D84" s="148">
        <v>220</v>
      </c>
      <c r="E84" s="148">
        <v>184</v>
      </c>
      <c r="F84" s="148">
        <v>404</v>
      </c>
    </row>
    <row r="85" spans="1:6" ht="18.75" customHeight="1">
      <c r="A85" s="264">
        <v>82</v>
      </c>
      <c r="B85" s="1041"/>
      <c r="C85" s="270" t="s">
        <v>483</v>
      </c>
      <c r="D85" s="148">
        <v>24428</v>
      </c>
      <c r="E85" s="148">
        <v>37690</v>
      </c>
      <c r="F85" s="148">
        <v>62118</v>
      </c>
    </row>
    <row r="86" spans="1:6" ht="18.75" customHeight="1">
      <c r="A86" s="264">
        <v>83</v>
      </c>
      <c r="B86" s="1041"/>
      <c r="C86" s="270" t="s">
        <v>488</v>
      </c>
      <c r="D86" s="148">
        <v>1372</v>
      </c>
      <c r="E86" s="148">
        <v>1714</v>
      </c>
      <c r="F86" s="148">
        <v>3086</v>
      </c>
    </row>
    <row r="87" spans="1:6" ht="18.75" customHeight="1">
      <c r="A87" s="264">
        <v>84</v>
      </c>
      <c r="B87" s="1041"/>
      <c r="C87" s="270" t="s">
        <v>492</v>
      </c>
      <c r="D87" s="148">
        <v>3216</v>
      </c>
      <c r="E87" s="148">
        <v>4750</v>
      </c>
      <c r="F87" s="148">
        <v>7966</v>
      </c>
    </row>
    <row r="88" spans="1:6" ht="18.75" customHeight="1">
      <c r="A88" s="264">
        <v>85</v>
      </c>
      <c r="B88" s="1041"/>
      <c r="C88" s="270" t="s">
        <v>588</v>
      </c>
      <c r="D88" s="148">
        <v>140</v>
      </c>
      <c r="E88" s="148">
        <v>305</v>
      </c>
      <c r="F88" s="148">
        <v>445</v>
      </c>
    </row>
    <row r="89" spans="1:6" ht="18.75" customHeight="1">
      <c r="A89" s="264">
        <v>86</v>
      </c>
      <c r="B89" s="1041"/>
      <c r="C89" s="270" t="s">
        <v>489</v>
      </c>
      <c r="D89" s="148">
        <v>2590</v>
      </c>
      <c r="E89" s="148">
        <v>2973</v>
      </c>
      <c r="F89" s="148">
        <v>5563</v>
      </c>
    </row>
    <row r="90" spans="1:6" ht="18.75" customHeight="1">
      <c r="A90" s="264">
        <v>87</v>
      </c>
      <c r="B90" s="1041"/>
      <c r="C90" s="270" t="s">
        <v>479</v>
      </c>
      <c r="D90" s="148">
        <v>61081</v>
      </c>
      <c r="E90" s="148">
        <v>87338</v>
      </c>
      <c r="F90" s="148">
        <v>148419</v>
      </c>
    </row>
    <row r="91" spans="1:6" ht="18.75" customHeight="1">
      <c r="A91" s="264">
        <v>88</v>
      </c>
      <c r="B91" s="1041"/>
      <c r="C91" s="270" t="s">
        <v>583</v>
      </c>
      <c r="D91" s="148">
        <v>458</v>
      </c>
      <c r="E91" s="148">
        <v>1297</v>
      </c>
      <c r="F91" s="148">
        <v>1755</v>
      </c>
    </row>
    <row r="92" spans="1:6" ht="18.75" customHeight="1">
      <c r="A92" s="264">
        <v>89</v>
      </c>
      <c r="B92" s="1041"/>
      <c r="C92" s="270" t="s">
        <v>598</v>
      </c>
      <c r="D92" s="148">
        <v>12</v>
      </c>
      <c r="E92" s="148">
        <v>9</v>
      </c>
      <c r="F92" s="148">
        <v>21</v>
      </c>
    </row>
    <row r="93" spans="1:6" ht="18.75" customHeight="1">
      <c r="A93" s="264">
        <v>90</v>
      </c>
      <c r="B93" s="1041"/>
      <c r="C93" s="270" t="s">
        <v>592</v>
      </c>
      <c r="D93" s="148">
        <v>37</v>
      </c>
      <c r="E93" s="148">
        <v>41</v>
      </c>
      <c r="F93" s="148">
        <v>78</v>
      </c>
    </row>
    <row r="94" spans="1:6" ht="18.75" customHeight="1">
      <c r="A94" s="264">
        <v>91</v>
      </c>
      <c r="B94" s="1041"/>
      <c r="C94" s="270" t="s">
        <v>589</v>
      </c>
      <c r="D94" s="148">
        <v>27</v>
      </c>
      <c r="E94" s="148">
        <v>39</v>
      </c>
      <c r="F94" s="148">
        <v>66</v>
      </c>
    </row>
    <row r="95" spans="1:6" ht="18.75" customHeight="1">
      <c r="A95" s="264">
        <v>92</v>
      </c>
      <c r="B95" s="1041"/>
      <c r="C95" s="270" t="s">
        <v>76</v>
      </c>
      <c r="D95" s="148">
        <v>109663</v>
      </c>
      <c r="E95" s="148">
        <v>335367</v>
      </c>
      <c r="F95" s="148">
        <v>445030</v>
      </c>
    </row>
    <row r="96" spans="1:6" ht="18.75" customHeight="1">
      <c r="A96" s="264">
        <v>93</v>
      </c>
      <c r="B96" s="1041"/>
      <c r="C96" s="270" t="s">
        <v>487</v>
      </c>
      <c r="D96" s="148">
        <v>1434</v>
      </c>
      <c r="E96" s="148">
        <v>2771</v>
      </c>
      <c r="F96" s="148">
        <v>4205</v>
      </c>
    </row>
    <row r="97" spans="1:6" ht="18.75" customHeight="1">
      <c r="A97" s="264">
        <v>94</v>
      </c>
      <c r="B97" s="1041"/>
      <c r="C97" s="270" t="s">
        <v>485</v>
      </c>
      <c r="D97" s="148">
        <v>3153</v>
      </c>
      <c r="E97" s="148">
        <v>4808</v>
      </c>
      <c r="F97" s="148">
        <v>7961</v>
      </c>
    </row>
    <row r="98" spans="1:6" ht="18.75" customHeight="1">
      <c r="A98" s="264">
        <v>95</v>
      </c>
      <c r="B98" s="1041"/>
      <c r="C98" s="270" t="s">
        <v>486</v>
      </c>
      <c r="D98" s="148">
        <v>11299</v>
      </c>
      <c r="E98" s="148">
        <v>14793</v>
      </c>
      <c r="F98" s="148">
        <v>26092</v>
      </c>
    </row>
    <row r="99" spans="1:6" ht="18.75" customHeight="1">
      <c r="A99" s="264">
        <v>96</v>
      </c>
      <c r="B99" s="1041"/>
      <c r="C99" s="270" t="s">
        <v>610</v>
      </c>
      <c r="D99" s="148">
        <v>0</v>
      </c>
      <c r="E99" s="148">
        <v>51</v>
      </c>
      <c r="F99" s="148">
        <v>51</v>
      </c>
    </row>
    <row r="100" spans="1:6" ht="18.75" customHeight="1">
      <c r="A100" s="264">
        <v>97</v>
      </c>
      <c r="B100" s="1041"/>
      <c r="C100" s="263" t="s">
        <v>490</v>
      </c>
      <c r="D100" s="262">
        <v>942</v>
      </c>
      <c r="E100" s="262">
        <v>2009</v>
      </c>
      <c r="F100" s="262">
        <v>2951</v>
      </c>
    </row>
    <row r="101" spans="1:6" ht="18.75" customHeight="1">
      <c r="A101" s="264">
        <v>98</v>
      </c>
      <c r="B101" s="1041"/>
      <c r="C101" s="263" t="s">
        <v>574</v>
      </c>
      <c r="D101" s="262">
        <v>222</v>
      </c>
      <c r="E101" s="262">
        <v>188</v>
      </c>
      <c r="F101" s="262">
        <v>410</v>
      </c>
    </row>
    <row r="102" spans="1:6" ht="18.75" customHeight="1">
      <c r="A102" s="264">
        <v>99</v>
      </c>
      <c r="B102" s="1041"/>
      <c r="C102" s="263" t="s">
        <v>200</v>
      </c>
      <c r="D102" s="262">
        <v>271919</v>
      </c>
      <c r="E102" s="262">
        <v>173785</v>
      </c>
      <c r="F102" s="262">
        <v>445704</v>
      </c>
    </row>
    <row r="103" spans="1:6" ht="18.75" customHeight="1">
      <c r="A103" s="264">
        <v>100</v>
      </c>
      <c r="B103" s="1041"/>
      <c r="C103" s="263" t="s">
        <v>581</v>
      </c>
      <c r="D103" s="262">
        <v>150</v>
      </c>
      <c r="E103" s="262">
        <v>152</v>
      </c>
      <c r="F103" s="262">
        <v>302</v>
      </c>
    </row>
    <row r="104" spans="1:6" ht="18.75" customHeight="1">
      <c r="A104" s="264">
        <v>101</v>
      </c>
      <c r="B104" s="1041"/>
      <c r="C104" s="263" t="s">
        <v>201</v>
      </c>
      <c r="D104" s="262">
        <v>33831</v>
      </c>
      <c r="E104" s="262">
        <v>58111</v>
      </c>
      <c r="F104" s="262">
        <v>91942</v>
      </c>
    </row>
    <row r="105" spans="1:6" ht="18.75" customHeight="1">
      <c r="A105" s="264">
        <v>102</v>
      </c>
      <c r="B105" s="1041"/>
      <c r="C105" s="263" t="s">
        <v>1010</v>
      </c>
      <c r="D105" s="262">
        <v>45</v>
      </c>
      <c r="E105" s="262">
        <v>73</v>
      </c>
      <c r="F105" s="262">
        <v>118</v>
      </c>
    </row>
    <row r="106" spans="1:6" ht="18.75" customHeight="1">
      <c r="A106" s="264">
        <v>103</v>
      </c>
      <c r="B106" s="1041"/>
      <c r="C106" s="263" t="s">
        <v>580</v>
      </c>
      <c r="D106" s="262">
        <v>24</v>
      </c>
      <c r="E106" s="262">
        <v>182</v>
      </c>
      <c r="F106" s="262">
        <v>206</v>
      </c>
    </row>
    <row r="107" spans="1:6" ht="18.75" customHeight="1">
      <c r="A107" s="264">
        <v>104</v>
      </c>
      <c r="B107" s="1041"/>
      <c r="C107" s="263" t="s">
        <v>577</v>
      </c>
      <c r="D107" s="262">
        <v>273</v>
      </c>
      <c r="E107" s="262">
        <v>266</v>
      </c>
      <c r="F107" s="262">
        <v>539</v>
      </c>
    </row>
    <row r="108" spans="1:6" ht="18.75" customHeight="1">
      <c r="A108" s="264">
        <v>105</v>
      </c>
      <c r="B108" s="1041"/>
      <c r="C108" s="263" t="s">
        <v>576</v>
      </c>
      <c r="D108" s="262">
        <v>85</v>
      </c>
      <c r="E108" s="262">
        <v>75</v>
      </c>
      <c r="F108" s="262">
        <v>160</v>
      </c>
    </row>
    <row r="109" spans="1:6" ht="18.75" customHeight="1">
      <c r="A109" s="264">
        <v>106</v>
      </c>
      <c r="B109" s="1041"/>
      <c r="C109" s="263" t="s">
        <v>585</v>
      </c>
      <c r="D109" s="262">
        <v>8</v>
      </c>
      <c r="E109" s="262">
        <v>4</v>
      </c>
      <c r="F109" s="262">
        <v>12</v>
      </c>
    </row>
    <row r="110" spans="1:6" ht="18.75" customHeight="1">
      <c r="A110" s="264">
        <v>107</v>
      </c>
      <c r="B110" s="1041"/>
      <c r="C110" s="263" t="s">
        <v>186</v>
      </c>
      <c r="D110" s="262">
        <v>12</v>
      </c>
      <c r="E110" s="262">
        <v>6</v>
      </c>
      <c r="F110" s="262">
        <v>18</v>
      </c>
    </row>
    <row r="111" spans="1:6" ht="18.75" customHeight="1">
      <c r="A111" s="264">
        <v>108</v>
      </c>
      <c r="B111" s="1042"/>
      <c r="C111" s="263" t="s">
        <v>484</v>
      </c>
      <c r="D111" s="262">
        <v>3279</v>
      </c>
      <c r="E111" s="262">
        <v>4417</v>
      </c>
      <c r="F111" s="262">
        <v>7696</v>
      </c>
    </row>
    <row r="112" spans="1:6" s="265" customFormat="1" ht="18.75" customHeight="1">
      <c r="A112" s="264">
        <v>109</v>
      </c>
      <c r="B112" s="267" t="s">
        <v>493</v>
      </c>
      <c r="C112" s="267"/>
      <c r="D112" s="264">
        <v>722402</v>
      </c>
      <c r="E112" s="264">
        <v>983299</v>
      </c>
      <c r="F112" s="264">
        <v>1705701</v>
      </c>
    </row>
    <row r="113" spans="1:6" ht="18.75" customHeight="1">
      <c r="A113" s="264">
        <v>110</v>
      </c>
      <c r="B113" s="263" t="s">
        <v>183</v>
      </c>
      <c r="C113" s="263"/>
      <c r="D113" s="262">
        <v>36480</v>
      </c>
      <c r="E113" s="262">
        <v>24261</v>
      </c>
      <c r="F113" s="262">
        <v>60741</v>
      </c>
    </row>
    <row r="114" spans="1:6" ht="18.75" customHeight="1">
      <c r="A114" s="264">
        <v>111</v>
      </c>
      <c r="B114" s="263" t="s">
        <v>11</v>
      </c>
      <c r="C114" s="263"/>
      <c r="D114" s="262">
        <v>22</v>
      </c>
      <c r="E114" s="262">
        <v>21</v>
      </c>
      <c r="F114" s="262">
        <v>43</v>
      </c>
    </row>
    <row r="115" spans="1:6" ht="18.75" customHeight="1">
      <c r="A115" s="264">
        <v>112</v>
      </c>
      <c r="B115" s="263" t="s">
        <v>504</v>
      </c>
      <c r="C115" s="263"/>
      <c r="D115" s="262">
        <v>34742</v>
      </c>
      <c r="E115" s="262">
        <v>30540</v>
      </c>
      <c r="F115" s="262">
        <v>65282</v>
      </c>
    </row>
    <row r="116" spans="1:6" ht="18.75" customHeight="1">
      <c r="A116" s="264">
        <v>113</v>
      </c>
      <c r="B116" s="263" t="s">
        <v>498</v>
      </c>
      <c r="C116" s="263"/>
      <c r="D116" s="262">
        <v>48524</v>
      </c>
      <c r="E116" s="262">
        <v>20387</v>
      </c>
      <c r="F116" s="262">
        <v>68911</v>
      </c>
    </row>
    <row r="117" spans="1:6" ht="18.75" customHeight="1">
      <c r="A117" s="264">
        <v>114</v>
      </c>
      <c r="B117" s="263" t="s">
        <v>508</v>
      </c>
      <c r="C117" s="263"/>
      <c r="D117" s="262">
        <v>4133</v>
      </c>
      <c r="E117" s="262">
        <v>2482</v>
      </c>
      <c r="F117" s="262">
        <v>6615</v>
      </c>
    </row>
    <row r="118" spans="1:6" ht="18.75" customHeight="1">
      <c r="A118" s="264">
        <v>115</v>
      </c>
      <c r="B118" s="263" t="s">
        <v>186</v>
      </c>
      <c r="C118" s="263"/>
      <c r="D118" s="262">
        <v>2422049</v>
      </c>
      <c r="E118" s="262">
        <v>2496376</v>
      </c>
      <c r="F118" s="262">
        <v>4918425</v>
      </c>
    </row>
    <row r="119" spans="1:6" ht="18.75" customHeight="1">
      <c r="A119" s="264">
        <v>116</v>
      </c>
      <c r="B119" s="263" t="s">
        <v>1011</v>
      </c>
      <c r="C119" s="263"/>
      <c r="D119" s="262">
        <v>150</v>
      </c>
      <c r="E119" s="262">
        <v>49</v>
      </c>
      <c r="F119" s="262">
        <v>199</v>
      </c>
    </row>
    <row r="120" spans="1:6" ht="18.75" customHeight="1">
      <c r="A120" s="264">
        <v>117</v>
      </c>
      <c r="B120" s="263" t="s">
        <v>208</v>
      </c>
      <c r="C120" s="263"/>
      <c r="D120" s="262">
        <v>635523</v>
      </c>
      <c r="E120" s="262">
        <v>649105</v>
      </c>
      <c r="F120" s="262">
        <v>1284628</v>
      </c>
    </row>
    <row r="121" spans="1:6" ht="18.75" customHeight="1">
      <c r="A121" s="264">
        <v>118</v>
      </c>
      <c r="B121" s="263" t="s">
        <v>202</v>
      </c>
      <c r="C121" s="263"/>
      <c r="D121" s="262">
        <v>15447</v>
      </c>
      <c r="E121" s="262">
        <v>15623</v>
      </c>
      <c r="F121" s="262">
        <v>31070</v>
      </c>
    </row>
    <row r="122" spans="1:6" ht="18.75" customHeight="1">
      <c r="A122" s="264">
        <v>119</v>
      </c>
      <c r="B122" s="263" t="s">
        <v>503</v>
      </c>
      <c r="C122" s="263"/>
      <c r="D122" s="262">
        <v>15057</v>
      </c>
      <c r="E122" s="262">
        <v>10261</v>
      </c>
      <c r="F122" s="262">
        <v>25318</v>
      </c>
    </row>
    <row r="123" spans="1:6" ht="18.75" customHeight="1">
      <c r="A123" s="264">
        <v>120</v>
      </c>
      <c r="B123" s="263" t="s">
        <v>509</v>
      </c>
      <c r="C123" s="263"/>
      <c r="D123" s="262">
        <v>0</v>
      </c>
      <c r="E123" s="262">
        <v>1030</v>
      </c>
      <c r="F123" s="262">
        <v>1030</v>
      </c>
    </row>
    <row r="124" spans="1:6">
      <c r="A124" s="1032" t="s">
        <v>60</v>
      </c>
      <c r="B124" s="1039"/>
      <c r="C124" s="1033"/>
      <c r="D124" s="264">
        <v>17349567</v>
      </c>
      <c r="E124" s="264">
        <v>15778162</v>
      </c>
      <c r="F124" s="264">
        <v>33127729</v>
      </c>
    </row>
  </sheetData>
  <mergeCells count="5">
    <mergeCell ref="B1:F1"/>
    <mergeCell ref="B2:C2"/>
    <mergeCell ref="A124:C124"/>
    <mergeCell ref="B15:B54"/>
    <mergeCell ref="B73:B111"/>
  </mergeCells>
  <pageMargins left="0.51181102362204722" right="0.51181102362204722" top="0.39370078740157483" bottom="0.51181102362204722" header="0.31496062992125984" footer="0.31496062992125984"/>
  <pageSetup paperSize="9" scale="65" firstPageNumber="44" orientation="portrait" useFirstPageNumber="1" r:id="rId1"/>
  <headerFooter>
    <oddFooter>&amp;LAISHE 2021-22&amp;CT-12</oddFooter>
  </headerFooter>
  <rowBreaks count="1" manualBreakCount="1">
    <brk id="63" max="5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8EF2-22D1-4622-A696-562B2740E1E0}">
  <sheetPr>
    <tabColor rgb="FF00B050"/>
  </sheetPr>
  <dimension ref="A1:M315"/>
  <sheetViews>
    <sheetView view="pageBreakPreview" zoomScaleSheetLayoutView="100" workbookViewId="0">
      <pane ySplit="4" topLeftCell="A299" activePane="bottomLeft" state="frozen"/>
      <selection activeCell="F15" sqref="F15"/>
      <selection pane="bottomLeft" activeCell="F15" sqref="F15"/>
    </sheetView>
  </sheetViews>
  <sheetFormatPr defaultColWidth="9.28515625" defaultRowHeight="15"/>
  <cols>
    <col min="1" max="1" width="6.5703125" style="744" bestFit="1" customWidth="1"/>
    <col min="2" max="2" width="42.85546875" style="747" bestFit="1" customWidth="1"/>
    <col min="3" max="3" width="42.85546875" style="745" bestFit="1" customWidth="1"/>
    <col min="4" max="6" width="8.28515625" style="746" bestFit="1" customWidth="1"/>
    <col min="7" max="7" width="5.85546875" style="746" bestFit="1" customWidth="1"/>
    <col min="8" max="8" width="8.28515625" style="746" bestFit="1" customWidth="1"/>
    <col min="9" max="9" width="6.140625" style="746" bestFit="1" customWidth="1"/>
    <col min="10" max="12" width="9.42578125" style="746" bestFit="1" customWidth="1"/>
    <col min="13" max="16384" width="9.28515625" style="740"/>
  </cols>
  <sheetData>
    <row r="1" spans="1:12" ht="15.75">
      <c r="A1" s="737"/>
      <c r="B1" s="1026" t="s">
        <v>897</v>
      </c>
      <c r="C1" s="1026"/>
      <c r="D1" s="1026"/>
      <c r="E1" s="1026"/>
      <c r="F1" s="1026"/>
      <c r="G1" s="1026"/>
      <c r="H1" s="1026"/>
      <c r="I1" s="1026"/>
      <c r="J1" s="1026"/>
      <c r="K1" s="1026"/>
      <c r="L1" s="1026"/>
    </row>
    <row r="2" spans="1:12" s="745" customFormat="1">
      <c r="A2" s="1049" t="s">
        <v>988</v>
      </c>
      <c r="B2" s="1049" t="s">
        <v>461</v>
      </c>
      <c r="C2" s="1049"/>
      <c r="D2" s="1029" t="s">
        <v>89</v>
      </c>
      <c r="E2" s="1029"/>
      <c r="F2" s="1029"/>
      <c r="G2" s="1029" t="s">
        <v>90</v>
      </c>
      <c r="H2" s="1029"/>
      <c r="I2" s="1029"/>
      <c r="J2" s="1029" t="s">
        <v>85</v>
      </c>
      <c r="K2" s="1029"/>
      <c r="L2" s="1029"/>
    </row>
    <row r="3" spans="1:12" s="745" customFormat="1">
      <c r="A3" s="1049"/>
      <c r="B3" s="1049"/>
      <c r="C3" s="1049"/>
      <c r="D3" s="732" t="s">
        <v>87</v>
      </c>
      <c r="E3" s="732" t="s">
        <v>88</v>
      </c>
      <c r="F3" s="732" t="s">
        <v>12</v>
      </c>
      <c r="G3" s="732" t="s">
        <v>87</v>
      </c>
      <c r="H3" s="732" t="s">
        <v>88</v>
      </c>
      <c r="I3" s="732" t="s">
        <v>12</v>
      </c>
      <c r="J3" s="732" t="s">
        <v>87</v>
      </c>
      <c r="K3" s="732" t="s">
        <v>88</v>
      </c>
      <c r="L3" s="732" t="s">
        <v>12</v>
      </c>
    </row>
    <row r="4" spans="1:12" s="757" customFormat="1">
      <c r="A4" s="758">
        <v>1</v>
      </c>
      <c r="B4" s="759">
        <v>2</v>
      </c>
      <c r="C4" s="758">
        <v>3</v>
      </c>
      <c r="D4" s="274">
        <v>4</v>
      </c>
      <c r="E4" s="758">
        <v>5</v>
      </c>
      <c r="F4" s="274">
        <v>6</v>
      </c>
      <c r="G4" s="758">
        <v>7</v>
      </c>
      <c r="H4" s="274">
        <v>8</v>
      </c>
      <c r="I4" s="758">
        <v>9</v>
      </c>
      <c r="J4" s="274">
        <v>10</v>
      </c>
      <c r="K4" s="758">
        <v>11</v>
      </c>
      <c r="L4" s="274">
        <v>12</v>
      </c>
    </row>
    <row r="5" spans="1:12" ht="16.5" customHeight="1">
      <c r="A5" s="737">
        <v>1</v>
      </c>
      <c r="B5" s="1043" t="s">
        <v>6</v>
      </c>
      <c r="C5" s="276" t="s">
        <v>6</v>
      </c>
      <c r="D5" s="277">
        <v>3381</v>
      </c>
      <c r="E5" s="277">
        <v>2753</v>
      </c>
      <c r="F5" s="277">
        <v>6134</v>
      </c>
      <c r="G5" s="277">
        <v>0</v>
      </c>
      <c r="H5" s="277">
        <v>0</v>
      </c>
      <c r="I5" s="277">
        <v>0</v>
      </c>
      <c r="J5" s="277">
        <v>19031</v>
      </c>
      <c r="K5" s="277">
        <v>10201</v>
      </c>
      <c r="L5" s="277">
        <v>29232</v>
      </c>
    </row>
    <row r="6" spans="1:12" ht="16.5" customHeight="1">
      <c r="A6" s="737">
        <v>2</v>
      </c>
      <c r="B6" s="1044"/>
      <c r="C6" s="276" t="s">
        <v>516</v>
      </c>
      <c r="D6" s="277">
        <v>156</v>
      </c>
      <c r="E6" s="277">
        <v>137</v>
      </c>
      <c r="F6" s="277">
        <v>293</v>
      </c>
      <c r="G6" s="277">
        <v>0</v>
      </c>
      <c r="H6" s="277"/>
      <c r="I6" s="277"/>
      <c r="J6" s="277">
        <v>490</v>
      </c>
      <c r="K6" s="277">
        <v>395</v>
      </c>
      <c r="L6" s="277">
        <v>885</v>
      </c>
    </row>
    <row r="7" spans="1:12" ht="16.5" customHeight="1">
      <c r="A7" s="737">
        <v>3</v>
      </c>
      <c r="B7" s="1044"/>
      <c r="C7" s="276" t="s">
        <v>515</v>
      </c>
      <c r="D7" s="277">
        <v>331</v>
      </c>
      <c r="E7" s="277">
        <v>379</v>
      </c>
      <c r="F7" s="277">
        <v>710</v>
      </c>
      <c r="G7" s="277">
        <v>0</v>
      </c>
      <c r="H7" s="277"/>
      <c r="I7" s="277"/>
      <c r="J7" s="277">
        <v>3492</v>
      </c>
      <c r="K7" s="277">
        <v>2075</v>
      </c>
      <c r="L7" s="277">
        <v>5567</v>
      </c>
    </row>
    <row r="8" spans="1:12" ht="16.5" customHeight="1">
      <c r="A8" s="737">
        <v>4</v>
      </c>
      <c r="B8" s="1045"/>
      <c r="C8" s="276" t="s">
        <v>517</v>
      </c>
      <c r="D8" s="277">
        <v>5</v>
      </c>
      <c r="E8" s="277">
        <v>11</v>
      </c>
      <c r="F8" s="277">
        <v>16</v>
      </c>
      <c r="G8" s="277">
        <v>0</v>
      </c>
      <c r="H8" s="277"/>
      <c r="I8" s="277"/>
      <c r="J8" s="277">
        <v>41</v>
      </c>
      <c r="K8" s="277">
        <v>58</v>
      </c>
      <c r="L8" s="277">
        <v>99</v>
      </c>
    </row>
    <row r="9" spans="1:12" ht="16.5" customHeight="1">
      <c r="A9" s="737">
        <v>5</v>
      </c>
      <c r="B9" s="753" t="s">
        <v>518</v>
      </c>
      <c r="C9" s="275"/>
      <c r="D9" s="278">
        <v>3873</v>
      </c>
      <c r="E9" s="278">
        <v>3280</v>
      </c>
      <c r="F9" s="278">
        <v>7153</v>
      </c>
      <c r="G9" s="278">
        <v>0</v>
      </c>
      <c r="H9" s="278">
        <v>0</v>
      </c>
      <c r="I9" s="278">
        <v>0</v>
      </c>
      <c r="J9" s="278">
        <v>23054</v>
      </c>
      <c r="K9" s="278">
        <v>12729</v>
      </c>
      <c r="L9" s="278">
        <v>35783</v>
      </c>
    </row>
    <row r="10" spans="1:12" ht="16.5" customHeight="1">
      <c r="A10" s="737">
        <v>6</v>
      </c>
      <c r="B10" s="1043" t="s">
        <v>497</v>
      </c>
      <c r="C10" s="275" t="s">
        <v>497</v>
      </c>
      <c r="D10" s="277">
        <v>2968</v>
      </c>
      <c r="E10" s="277">
        <v>3242</v>
      </c>
      <c r="F10" s="277">
        <v>6210</v>
      </c>
      <c r="G10" s="277">
        <v>262</v>
      </c>
      <c r="H10" s="277">
        <v>310</v>
      </c>
      <c r="I10" s="277">
        <v>572</v>
      </c>
      <c r="J10" s="277">
        <v>51462</v>
      </c>
      <c r="K10" s="277">
        <v>71903</v>
      </c>
      <c r="L10" s="277">
        <v>123365</v>
      </c>
    </row>
    <row r="11" spans="1:12" ht="16.5" customHeight="1">
      <c r="A11" s="737">
        <v>7</v>
      </c>
      <c r="B11" s="1045"/>
      <c r="C11" s="279" t="s">
        <v>190</v>
      </c>
      <c r="D11" s="277">
        <v>0</v>
      </c>
      <c r="E11" s="277"/>
      <c r="F11" s="277"/>
      <c r="G11" s="277">
        <v>0</v>
      </c>
      <c r="H11" s="277"/>
      <c r="I11" s="277"/>
      <c r="J11" s="277">
        <v>9</v>
      </c>
      <c r="K11" s="277">
        <v>14</v>
      </c>
      <c r="L11" s="277">
        <v>23</v>
      </c>
    </row>
    <row r="12" spans="1:12" ht="16.5" customHeight="1">
      <c r="A12" s="737">
        <v>8</v>
      </c>
      <c r="B12" s="753" t="s">
        <v>1012</v>
      </c>
      <c r="C12" s="275"/>
      <c r="D12" s="277">
        <v>2968</v>
      </c>
      <c r="E12" s="277">
        <v>3242</v>
      </c>
      <c r="F12" s="277">
        <v>6210</v>
      </c>
      <c r="G12" s="277">
        <v>262</v>
      </c>
      <c r="H12" s="277">
        <v>310</v>
      </c>
      <c r="I12" s="277">
        <v>572</v>
      </c>
      <c r="J12" s="277">
        <v>51471</v>
      </c>
      <c r="K12" s="277">
        <v>71917</v>
      </c>
      <c r="L12" s="277">
        <v>123388</v>
      </c>
    </row>
    <row r="13" spans="1:12" ht="16.5" customHeight="1">
      <c r="A13" s="737">
        <v>9</v>
      </c>
      <c r="B13" s="1043" t="s">
        <v>188</v>
      </c>
      <c r="C13" s="275" t="s">
        <v>188</v>
      </c>
      <c r="D13" s="277">
        <v>0</v>
      </c>
      <c r="E13" s="277"/>
      <c r="F13" s="277"/>
      <c r="G13" s="277">
        <v>0</v>
      </c>
      <c r="H13" s="277"/>
      <c r="I13" s="277"/>
      <c r="J13" s="277">
        <v>33</v>
      </c>
      <c r="K13" s="277">
        <v>43</v>
      </c>
      <c r="L13" s="277">
        <v>76</v>
      </c>
    </row>
    <row r="14" spans="1:12" ht="16.5" customHeight="1">
      <c r="A14" s="737">
        <v>10</v>
      </c>
      <c r="B14" s="1045"/>
      <c r="C14" s="280" t="s">
        <v>606</v>
      </c>
      <c r="D14" s="281">
        <v>0</v>
      </c>
      <c r="E14" s="281"/>
      <c r="F14" s="281"/>
      <c r="G14" s="281">
        <v>0</v>
      </c>
      <c r="H14" s="281"/>
      <c r="I14" s="281"/>
      <c r="J14" s="281">
        <v>59</v>
      </c>
      <c r="K14" s="281">
        <v>52</v>
      </c>
      <c r="L14" s="281">
        <v>111</v>
      </c>
    </row>
    <row r="15" spans="1:12" ht="16.5" customHeight="1">
      <c r="A15" s="737">
        <v>11</v>
      </c>
      <c r="B15" s="753" t="s">
        <v>1013</v>
      </c>
      <c r="C15" s="279"/>
      <c r="D15" s="277">
        <v>0</v>
      </c>
      <c r="E15" s="277"/>
      <c r="F15" s="277"/>
      <c r="G15" s="277">
        <v>0</v>
      </c>
      <c r="H15" s="277"/>
      <c r="I15" s="277"/>
      <c r="J15" s="277">
        <v>92</v>
      </c>
      <c r="K15" s="277">
        <v>95</v>
      </c>
      <c r="L15" s="277">
        <v>187</v>
      </c>
    </row>
    <row r="16" spans="1:12" ht="16.5" customHeight="1">
      <c r="A16" s="737">
        <v>12</v>
      </c>
      <c r="B16" s="1043" t="s">
        <v>189</v>
      </c>
      <c r="C16" s="275" t="s">
        <v>189</v>
      </c>
      <c r="D16" s="281">
        <v>2985</v>
      </c>
      <c r="E16" s="281">
        <v>4110</v>
      </c>
      <c r="F16" s="281">
        <v>7095</v>
      </c>
      <c r="G16" s="281">
        <v>214</v>
      </c>
      <c r="H16" s="281">
        <v>386</v>
      </c>
      <c r="I16" s="281">
        <v>600</v>
      </c>
      <c r="J16" s="281">
        <v>199057</v>
      </c>
      <c r="K16" s="281">
        <v>319211</v>
      </c>
      <c r="L16" s="281">
        <v>518268</v>
      </c>
    </row>
    <row r="17" spans="1:12" ht="16.5" customHeight="1">
      <c r="A17" s="737">
        <v>13</v>
      </c>
      <c r="B17" s="1045"/>
      <c r="C17" s="275" t="s">
        <v>519</v>
      </c>
      <c r="D17" s="277">
        <v>13</v>
      </c>
      <c r="E17" s="277">
        <v>4</v>
      </c>
      <c r="F17" s="277">
        <v>17</v>
      </c>
      <c r="G17" s="277">
        <v>0</v>
      </c>
      <c r="H17" s="277">
        <v>0</v>
      </c>
      <c r="I17" s="277">
        <v>0</v>
      </c>
      <c r="J17" s="277">
        <v>15</v>
      </c>
      <c r="K17" s="277">
        <v>348</v>
      </c>
      <c r="L17" s="277">
        <v>363</v>
      </c>
    </row>
    <row r="18" spans="1:12" ht="16.5" customHeight="1">
      <c r="A18" s="737">
        <v>14</v>
      </c>
      <c r="B18" s="753" t="s">
        <v>520</v>
      </c>
      <c r="C18" s="276"/>
      <c r="D18" s="277">
        <v>2998</v>
      </c>
      <c r="E18" s="277">
        <v>4114</v>
      </c>
      <c r="F18" s="277">
        <v>7112</v>
      </c>
      <c r="G18" s="277">
        <v>214</v>
      </c>
      <c r="H18" s="277">
        <v>386</v>
      </c>
      <c r="I18" s="277">
        <v>600</v>
      </c>
      <c r="J18" s="277">
        <v>199072</v>
      </c>
      <c r="K18" s="277">
        <v>319559</v>
      </c>
      <c r="L18" s="277">
        <v>518631</v>
      </c>
    </row>
    <row r="19" spans="1:12" ht="16.5" customHeight="1">
      <c r="A19" s="737">
        <v>15</v>
      </c>
      <c r="B19" s="753" t="s">
        <v>990</v>
      </c>
      <c r="C19" s="276" t="s">
        <v>1014</v>
      </c>
      <c r="D19" s="277">
        <v>0</v>
      </c>
      <c r="E19" s="277"/>
      <c r="F19" s="277"/>
      <c r="G19" s="277">
        <v>0</v>
      </c>
      <c r="H19" s="277"/>
      <c r="I19" s="277"/>
      <c r="J19" s="277">
        <v>30</v>
      </c>
      <c r="K19" s="277">
        <v>46</v>
      </c>
      <c r="L19" s="277">
        <v>76</v>
      </c>
    </row>
    <row r="20" spans="1:12" ht="16.5" customHeight="1">
      <c r="A20" s="737">
        <v>16</v>
      </c>
      <c r="B20" s="753" t="s">
        <v>1015</v>
      </c>
      <c r="C20" s="276"/>
      <c r="D20" s="277">
        <v>0</v>
      </c>
      <c r="E20" s="277"/>
      <c r="F20" s="277"/>
      <c r="G20" s="277">
        <v>0</v>
      </c>
      <c r="H20" s="277"/>
      <c r="I20" s="277"/>
      <c r="J20" s="277">
        <v>30</v>
      </c>
      <c r="K20" s="277">
        <v>46</v>
      </c>
      <c r="L20" s="277">
        <v>76</v>
      </c>
    </row>
    <row r="21" spans="1:12" ht="16.5" customHeight="1">
      <c r="A21" s="737">
        <v>17</v>
      </c>
      <c r="B21" s="753" t="s">
        <v>510</v>
      </c>
      <c r="C21" s="276" t="s">
        <v>510</v>
      </c>
      <c r="D21" s="277">
        <v>20</v>
      </c>
      <c r="E21" s="277">
        <v>37</v>
      </c>
      <c r="F21" s="277">
        <v>57</v>
      </c>
      <c r="G21" s="277">
        <v>0</v>
      </c>
      <c r="H21" s="277"/>
      <c r="I21" s="277"/>
      <c r="J21" s="277">
        <v>577</v>
      </c>
      <c r="K21" s="277">
        <v>810</v>
      </c>
      <c r="L21" s="277">
        <v>1387</v>
      </c>
    </row>
    <row r="22" spans="1:12" ht="16.5" customHeight="1">
      <c r="A22" s="737">
        <v>18</v>
      </c>
      <c r="B22" s="753" t="s">
        <v>1016</v>
      </c>
      <c r="C22" s="276"/>
      <c r="D22" s="277">
        <v>20</v>
      </c>
      <c r="E22" s="277">
        <v>37</v>
      </c>
      <c r="F22" s="277">
        <v>57</v>
      </c>
      <c r="G22" s="277">
        <v>0</v>
      </c>
      <c r="H22" s="277"/>
      <c r="I22" s="277"/>
      <c r="J22" s="277">
        <v>577</v>
      </c>
      <c r="K22" s="277">
        <v>810</v>
      </c>
      <c r="L22" s="277">
        <v>1387</v>
      </c>
    </row>
    <row r="23" spans="1:12" ht="16.5" customHeight="1">
      <c r="A23" s="737">
        <v>19</v>
      </c>
      <c r="B23" s="753" t="s">
        <v>506</v>
      </c>
      <c r="C23" s="276" t="s">
        <v>506</v>
      </c>
      <c r="D23" s="281">
        <v>211</v>
      </c>
      <c r="E23" s="281">
        <v>368</v>
      </c>
      <c r="F23" s="281">
        <v>579</v>
      </c>
      <c r="G23" s="281">
        <v>30</v>
      </c>
      <c r="H23" s="281">
        <v>35</v>
      </c>
      <c r="I23" s="281">
        <v>65</v>
      </c>
      <c r="J23" s="281">
        <v>5677</v>
      </c>
      <c r="K23" s="281">
        <v>9009</v>
      </c>
      <c r="L23" s="281">
        <v>14686</v>
      </c>
    </row>
    <row r="24" spans="1:12" ht="16.5" customHeight="1">
      <c r="A24" s="737">
        <v>20</v>
      </c>
      <c r="B24" s="753" t="s">
        <v>1017</v>
      </c>
      <c r="C24" s="276"/>
      <c r="D24" s="277">
        <v>211</v>
      </c>
      <c r="E24" s="277">
        <v>368</v>
      </c>
      <c r="F24" s="277">
        <v>579</v>
      </c>
      <c r="G24" s="277">
        <v>30</v>
      </c>
      <c r="H24" s="277">
        <v>35</v>
      </c>
      <c r="I24" s="277">
        <v>65</v>
      </c>
      <c r="J24" s="277">
        <v>5677</v>
      </c>
      <c r="K24" s="277">
        <v>9009</v>
      </c>
      <c r="L24" s="277">
        <v>14686</v>
      </c>
    </row>
    <row r="25" spans="1:12" ht="16.5" customHeight="1">
      <c r="A25" s="737">
        <v>21</v>
      </c>
      <c r="B25" s="1043" t="s">
        <v>1018</v>
      </c>
      <c r="C25" s="276" t="s">
        <v>1018</v>
      </c>
      <c r="D25" s="277">
        <v>0</v>
      </c>
      <c r="E25" s="277"/>
      <c r="F25" s="277"/>
      <c r="G25" s="277">
        <v>0</v>
      </c>
      <c r="H25" s="277"/>
      <c r="I25" s="277"/>
      <c r="J25" s="277">
        <v>284</v>
      </c>
      <c r="K25" s="277">
        <v>84</v>
      </c>
      <c r="L25" s="277">
        <v>368</v>
      </c>
    </row>
    <row r="26" spans="1:12" ht="16.5" customHeight="1">
      <c r="A26" s="737">
        <v>22</v>
      </c>
      <c r="B26" s="1045"/>
      <c r="C26" s="276" t="s">
        <v>1019</v>
      </c>
      <c r="D26" s="277">
        <v>0</v>
      </c>
      <c r="E26" s="277"/>
      <c r="F26" s="277"/>
      <c r="G26" s="277">
        <v>0</v>
      </c>
      <c r="H26" s="277"/>
      <c r="I26" s="277"/>
      <c r="J26" s="277">
        <v>1096</v>
      </c>
      <c r="K26" s="277">
        <v>431</v>
      </c>
      <c r="L26" s="277">
        <v>1527</v>
      </c>
    </row>
    <row r="27" spans="1:12" ht="16.5" customHeight="1">
      <c r="A27" s="737">
        <v>23</v>
      </c>
      <c r="B27" s="753" t="s">
        <v>1020</v>
      </c>
      <c r="C27" s="279"/>
      <c r="D27" s="282">
        <v>0</v>
      </c>
      <c r="E27" s="282"/>
      <c r="F27" s="282"/>
      <c r="G27" s="282">
        <v>0</v>
      </c>
      <c r="H27" s="282"/>
      <c r="I27" s="282"/>
      <c r="J27" s="282">
        <v>1380</v>
      </c>
      <c r="K27" s="282">
        <v>515</v>
      </c>
      <c r="L27" s="282">
        <v>1895</v>
      </c>
    </row>
    <row r="28" spans="1:12" ht="16.5" customHeight="1">
      <c r="A28" s="737">
        <v>24</v>
      </c>
      <c r="B28" s="1043" t="s">
        <v>511</v>
      </c>
      <c r="C28" s="279" t="s">
        <v>511</v>
      </c>
      <c r="D28" s="277">
        <v>88</v>
      </c>
      <c r="E28" s="277">
        <v>11</v>
      </c>
      <c r="F28" s="277">
        <v>99</v>
      </c>
      <c r="G28" s="277">
        <v>5</v>
      </c>
      <c r="H28" s="277">
        <v>0</v>
      </c>
      <c r="I28" s="277">
        <v>5</v>
      </c>
      <c r="J28" s="277">
        <v>1373</v>
      </c>
      <c r="K28" s="277">
        <v>743</v>
      </c>
      <c r="L28" s="277">
        <v>2116</v>
      </c>
    </row>
    <row r="29" spans="1:12" ht="16.5" customHeight="1">
      <c r="A29" s="737">
        <v>25</v>
      </c>
      <c r="B29" s="1045"/>
      <c r="C29" s="283" t="s">
        <v>1021</v>
      </c>
      <c r="D29" s="277">
        <v>0</v>
      </c>
      <c r="E29" s="277"/>
      <c r="F29" s="277"/>
      <c r="G29" s="277">
        <v>0</v>
      </c>
      <c r="H29" s="277"/>
      <c r="I29" s="277"/>
      <c r="J29" s="277">
        <v>16</v>
      </c>
      <c r="K29" s="277">
        <v>5</v>
      </c>
      <c r="L29" s="277">
        <v>21</v>
      </c>
    </row>
    <row r="30" spans="1:12" ht="16.5" customHeight="1">
      <c r="A30" s="737">
        <v>26</v>
      </c>
      <c r="B30" s="753" t="s">
        <v>1022</v>
      </c>
      <c r="C30" s="283"/>
      <c r="D30" s="277">
        <v>88</v>
      </c>
      <c r="E30" s="277">
        <v>11</v>
      </c>
      <c r="F30" s="277">
        <v>99</v>
      </c>
      <c r="G30" s="277">
        <v>5</v>
      </c>
      <c r="H30" s="277">
        <v>0</v>
      </c>
      <c r="I30" s="277">
        <v>5</v>
      </c>
      <c r="J30" s="277">
        <v>1389</v>
      </c>
      <c r="K30" s="277">
        <v>748</v>
      </c>
      <c r="L30" s="277">
        <v>2137</v>
      </c>
    </row>
    <row r="31" spans="1:12" ht="16.5" customHeight="1">
      <c r="A31" s="737">
        <v>27</v>
      </c>
      <c r="B31" s="1043" t="s">
        <v>500</v>
      </c>
      <c r="C31" s="279" t="s">
        <v>818</v>
      </c>
      <c r="D31" s="277">
        <v>3</v>
      </c>
      <c r="E31" s="277">
        <v>3</v>
      </c>
      <c r="F31" s="277">
        <v>6</v>
      </c>
      <c r="G31" s="277">
        <v>0</v>
      </c>
      <c r="H31" s="277"/>
      <c r="I31" s="277"/>
      <c r="J31" s="277">
        <v>0</v>
      </c>
      <c r="K31" s="277"/>
      <c r="L31" s="277"/>
    </row>
    <row r="32" spans="1:12" ht="16.5" customHeight="1">
      <c r="A32" s="737">
        <v>28</v>
      </c>
      <c r="B32" s="1044"/>
      <c r="C32" s="279" t="s">
        <v>500</v>
      </c>
      <c r="D32" s="277">
        <v>269</v>
      </c>
      <c r="E32" s="277">
        <v>246</v>
      </c>
      <c r="F32" s="277">
        <v>515</v>
      </c>
      <c r="G32" s="277">
        <v>2</v>
      </c>
      <c r="H32" s="277">
        <v>0</v>
      </c>
      <c r="I32" s="277">
        <v>2</v>
      </c>
      <c r="J32" s="277">
        <v>1760</v>
      </c>
      <c r="K32" s="277">
        <v>2365</v>
      </c>
      <c r="L32" s="277">
        <v>4125</v>
      </c>
    </row>
    <row r="33" spans="1:12" ht="16.5" customHeight="1">
      <c r="A33" s="737">
        <v>29</v>
      </c>
      <c r="B33" s="1044"/>
      <c r="C33" s="279" t="s">
        <v>800</v>
      </c>
      <c r="D33" s="277">
        <v>0</v>
      </c>
      <c r="E33" s="277">
        <v>1</v>
      </c>
      <c r="F33" s="277">
        <v>1</v>
      </c>
      <c r="G33" s="277">
        <v>0</v>
      </c>
      <c r="H33" s="277"/>
      <c r="I33" s="277"/>
      <c r="J33" s="277">
        <v>5</v>
      </c>
      <c r="K33" s="277">
        <v>61</v>
      </c>
      <c r="L33" s="277">
        <v>66</v>
      </c>
    </row>
    <row r="34" spans="1:12" ht="16.5" customHeight="1">
      <c r="A34" s="737">
        <v>30</v>
      </c>
      <c r="B34" s="1045"/>
      <c r="C34" s="283" t="s">
        <v>521</v>
      </c>
      <c r="D34" s="277">
        <v>0</v>
      </c>
      <c r="E34" s="277"/>
      <c r="F34" s="277"/>
      <c r="G34" s="277">
        <v>0</v>
      </c>
      <c r="H34" s="277"/>
      <c r="I34" s="277"/>
      <c r="J34" s="277">
        <v>129</v>
      </c>
      <c r="K34" s="277">
        <v>556</v>
      </c>
      <c r="L34" s="281">
        <v>685</v>
      </c>
    </row>
    <row r="35" spans="1:12" ht="16.5" customHeight="1">
      <c r="A35" s="737">
        <v>31</v>
      </c>
      <c r="B35" s="753" t="s">
        <v>522</v>
      </c>
      <c r="C35" s="283"/>
      <c r="D35" s="277">
        <v>272</v>
      </c>
      <c r="E35" s="277">
        <v>250</v>
      </c>
      <c r="F35" s="277">
        <v>522</v>
      </c>
      <c r="G35" s="277">
        <v>2</v>
      </c>
      <c r="H35" s="277">
        <v>0</v>
      </c>
      <c r="I35" s="277">
        <v>2</v>
      </c>
      <c r="J35" s="277">
        <v>1894</v>
      </c>
      <c r="K35" s="277">
        <v>2982</v>
      </c>
      <c r="L35" s="277">
        <v>4876</v>
      </c>
    </row>
    <row r="36" spans="1:12" ht="16.5" customHeight="1">
      <c r="A36" s="737">
        <v>32</v>
      </c>
      <c r="B36" s="753" t="s">
        <v>819</v>
      </c>
      <c r="C36" s="279" t="s">
        <v>1023</v>
      </c>
      <c r="D36" s="282">
        <v>0</v>
      </c>
      <c r="E36" s="282">
        <v>3</v>
      </c>
      <c r="F36" s="282">
        <v>3</v>
      </c>
      <c r="G36" s="282">
        <v>5</v>
      </c>
      <c r="H36" s="282">
        <v>31</v>
      </c>
      <c r="I36" s="282">
        <v>36</v>
      </c>
      <c r="J36" s="282">
        <v>65</v>
      </c>
      <c r="K36" s="282">
        <v>107</v>
      </c>
      <c r="L36" s="282">
        <v>172</v>
      </c>
    </row>
    <row r="37" spans="1:12" ht="16.5" customHeight="1">
      <c r="A37" s="737">
        <v>33</v>
      </c>
      <c r="B37" s="753" t="s">
        <v>1024</v>
      </c>
      <c r="C37" s="279"/>
      <c r="D37" s="277">
        <v>0</v>
      </c>
      <c r="E37" s="277">
        <v>3</v>
      </c>
      <c r="F37" s="277">
        <v>3</v>
      </c>
      <c r="G37" s="277">
        <v>5</v>
      </c>
      <c r="H37" s="277">
        <v>31</v>
      </c>
      <c r="I37" s="277">
        <v>36</v>
      </c>
      <c r="J37" s="277">
        <v>65</v>
      </c>
      <c r="K37" s="277">
        <v>107</v>
      </c>
      <c r="L37" s="277">
        <v>172</v>
      </c>
    </row>
    <row r="38" spans="1:12" ht="16.5" customHeight="1">
      <c r="A38" s="737">
        <v>34</v>
      </c>
      <c r="B38" s="1043" t="s">
        <v>177</v>
      </c>
      <c r="C38" s="283" t="s">
        <v>188</v>
      </c>
      <c r="D38" s="277">
        <v>0</v>
      </c>
      <c r="E38" s="277"/>
      <c r="F38" s="277"/>
      <c r="G38" s="277">
        <v>0</v>
      </c>
      <c r="H38" s="277"/>
      <c r="I38" s="277"/>
      <c r="J38" s="277">
        <v>16</v>
      </c>
      <c r="K38" s="277">
        <v>131</v>
      </c>
      <c r="L38" s="277">
        <v>147</v>
      </c>
    </row>
    <row r="39" spans="1:12" ht="16.5" customHeight="1">
      <c r="A39" s="737">
        <v>35</v>
      </c>
      <c r="B39" s="1044"/>
      <c r="C39" s="279" t="s">
        <v>177</v>
      </c>
      <c r="D39" s="277">
        <v>2778</v>
      </c>
      <c r="E39" s="277">
        <v>3891</v>
      </c>
      <c r="F39" s="277">
        <v>6669</v>
      </c>
      <c r="G39" s="277">
        <v>157</v>
      </c>
      <c r="H39" s="277">
        <v>228</v>
      </c>
      <c r="I39" s="277">
        <v>385</v>
      </c>
      <c r="J39" s="277">
        <v>102851</v>
      </c>
      <c r="K39" s="277">
        <v>169055</v>
      </c>
      <c r="L39" s="277">
        <v>271906</v>
      </c>
    </row>
    <row r="40" spans="1:12" ht="16.5" customHeight="1">
      <c r="A40" s="737">
        <v>36</v>
      </c>
      <c r="B40" s="1045"/>
      <c r="C40" s="283" t="s">
        <v>624</v>
      </c>
      <c r="D40" s="282">
        <v>0</v>
      </c>
      <c r="E40" s="282"/>
      <c r="F40" s="282"/>
      <c r="G40" s="282">
        <v>0</v>
      </c>
      <c r="H40" s="282"/>
      <c r="I40" s="282"/>
      <c r="J40" s="282">
        <v>32</v>
      </c>
      <c r="K40" s="282">
        <v>35</v>
      </c>
      <c r="L40" s="278">
        <v>67</v>
      </c>
    </row>
    <row r="41" spans="1:12" ht="16.5" customHeight="1">
      <c r="A41" s="737">
        <v>37</v>
      </c>
      <c r="B41" s="753" t="s">
        <v>1025</v>
      </c>
      <c r="C41" s="283"/>
      <c r="D41" s="277">
        <v>2778</v>
      </c>
      <c r="E41" s="277">
        <v>3891</v>
      </c>
      <c r="F41" s="277">
        <v>6669</v>
      </c>
      <c r="G41" s="277">
        <v>157</v>
      </c>
      <c r="H41" s="277">
        <v>228</v>
      </c>
      <c r="I41" s="277">
        <v>385</v>
      </c>
      <c r="J41" s="277">
        <v>102899</v>
      </c>
      <c r="K41" s="277">
        <v>169221</v>
      </c>
      <c r="L41" s="277">
        <v>272120</v>
      </c>
    </row>
    <row r="42" spans="1:12" ht="16.5" customHeight="1">
      <c r="A42" s="737">
        <v>38</v>
      </c>
      <c r="B42" s="1043" t="s">
        <v>192</v>
      </c>
      <c r="C42" s="276" t="s">
        <v>471</v>
      </c>
      <c r="D42" s="277">
        <v>509</v>
      </c>
      <c r="E42" s="277">
        <v>72</v>
      </c>
      <c r="F42" s="277">
        <v>581</v>
      </c>
      <c r="G42" s="277">
        <v>0</v>
      </c>
      <c r="H42" s="277"/>
      <c r="I42" s="277"/>
      <c r="J42" s="277">
        <v>782</v>
      </c>
      <c r="K42" s="277">
        <v>156</v>
      </c>
      <c r="L42" s="277">
        <v>938</v>
      </c>
    </row>
    <row r="43" spans="1:12" ht="16.5" customHeight="1">
      <c r="A43" s="737">
        <v>39</v>
      </c>
      <c r="B43" s="1044"/>
      <c r="C43" s="279" t="s">
        <v>470</v>
      </c>
      <c r="D43" s="277">
        <v>222</v>
      </c>
      <c r="E43" s="277">
        <v>105</v>
      </c>
      <c r="F43" s="277">
        <v>327</v>
      </c>
      <c r="G43" s="277">
        <v>0</v>
      </c>
      <c r="H43" s="277"/>
      <c r="I43" s="277"/>
      <c r="J43" s="277">
        <v>952</v>
      </c>
      <c r="K43" s="277">
        <v>526</v>
      </c>
      <c r="L43" s="277">
        <v>1478</v>
      </c>
    </row>
    <row r="44" spans="1:12" ht="16.5" customHeight="1">
      <c r="A44" s="737">
        <v>40</v>
      </c>
      <c r="B44" s="1044"/>
      <c r="C44" s="279" t="s">
        <v>187</v>
      </c>
      <c r="D44" s="277">
        <v>249</v>
      </c>
      <c r="E44" s="277">
        <v>253</v>
      </c>
      <c r="F44" s="277">
        <v>502</v>
      </c>
      <c r="G44" s="277">
        <v>0</v>
      </c>
      <c r="H44" s="277"/>
      <c r="I44" s="277"/>
      <c r="J44" s="277">
        <v>1617</v>
      </c>
      <c r="K44" s="277">
        <v>2120</v>
      </c>
      <c r="L44" s="277">
        <v>3737</v>
      </c>
    </row>
    <row r="45" spans="1:12" ht="16.5" customHeight="1">
      <c r="A45" s="737">
        <v>41</v>
      </c>
      <c r="B45" s="1044"/>
      <c r="C45" s="276" t="s">
        <v>993</v>
      </c>
      <c r="D45" s="277">
        <v>0</v>
      </c>
      <c r="E45" s="277"/>
      <c r="F45" s="277"/>
      <c r="G45" s="277">
        <v>0</v>
      </c>
      <c r="H45" s="277"/>
      <c r="I45" s="277"/>
      <c r="J45" s="277">
        <v>4</v>
      </c>
      <c r="K45" s="277">
        <v>4</v>
      </c>
      <c r="L45" s="277">
        <v>8</v>
      </c>
    </row>
    <row r="46" spans="1:12" ht="16.5" customHeight="1">
      <c r="A46" s="737">
        <v>42</v>
      </c>
      <c r="B46" s="1044"/>
      <c r="C46" s="283" t="s">
        <v>817</v>
      </c>
      <c r="D46" s="277">
        <v>0</v>
      </c>
      <c r="E46" s="277"/>
      <c r="F46" s="277"/>
      <c r="G46" s="277">
        <v>0</v>
      </c>
      <c r="H46" s="277"/>
      <c r="I46" s="277"/>
      <c r="J46" s="277">
        <v>20</v>
      </c>
      <c r="K46" s="277">
        <v>1</v>
      </c>
      <c r="L46" s="277">
        <v>21</v>
      </c>
    </row>
    <row r="47" spans="1:12" s="743" customFormat="1" ht="16.5" customHeight="1">
      <c r="A47" s="737">
        <v>43</v>
      </c>
      <c r="B47" s="1044"/>
      <c r="C47" s="283" t="s">
        <v>469</v>
      </c>
      <c r="D47" s="281">
        <v>1154</v>
      </c>
      <c r="E47" s="281">
        <v>653</v>
      </c>
      <c r="F47" s="281">
        <v>1807</v>
      </c>
      <c r="G47" s="281">
        <v>0</v>
      </c>
      <c r="H47" s="281"/>
      <c r="I47" s="281"/>
      <c r="J47" s="281">
        <v>2600</v>
      </c>
      <c r="K47" s="281">
        <v>1192</v>
      </c>
      <c r="L47" s="281">
        <v>3792</v>
      </c>
    </row>
    <row r="48" spans="1:12" ht="16.5" customHeight="1">
      <c r="A48" s="737">
        <v>44</v>
      </c>
      <c r="B48" s="1044"/>
      <c r="C48" s="283" t="s">
        <v>997</v>
      </c>
      <c r="D48" s="277">
        <v>1</v>
      </c>
      <c r="E48" s="277">
        <v>0</v>
      </c>
      <c r="F48" s="277">
        <v>1</v>
      </c>
      <c r="G48" s="277">
        <v>0</v>
      </c>
      <c r="H48" s="277"/>
      <c r="I48" s="277"/>
      <c r="J48" s="277">
        <v>0</v>
      </c>
      <c r="K48" s="277"/>
      <c r="L48" s="277"/>
    </row>
    <row r="49" spans="1:12" ht="16.5" customHeight="1">
      <c r="A49" s="737">
        <v>45</v>
      </c>
      <c r="B49" s="1044"/>
      <c r="C49" s="283" t="s">
        <v>465</v>
      </c>
      <c r="D49" s="277">
        <v>3644</v>
      </c>
      <c r="E49" s="277">
        <v>1396</v>
      </c>
      <c r="F49" s="277">
        <v>5040</v>
      </c>
      <c r="G49" s="277">
        <v>0</v>
      </c>
      <c r="H49" s="277"/>
      <c r="I49" s="277"/>
      <c r="J49" s="277">
        <v>27250</v>
      </c>
      <c r="K49" s="277">
        <v>9954</v>
      </c>
      <c r="L49" s="277">
        <v>37204</v>
      </c>
    </row>
    <row r="50" spans="1:12" ht="16.5" customHeight="1">
      <c r="A50" s="737">
        <v>46</v>
      </c>
      <c r="B50" s="1044"/>
      <c r="C50" s="283" t="s">
        <v>462</v>
      </c>
      <c r="D50" s="277">
        <v>4229</v>
      </c>
      <c r="E50" s="277">
        <v>3379</v>
      </c>
      <c r="F50" s="277">
        <v>7608</v>
      </c>
      <c r="G50" s="277">
        <v>0</v>
      </c>
      <c r="H50" s="277"/>
      <c r="I50" s="277"/>
      <c r="J50" s="277">
        <v>16579</v>
      </c>
      <c r="K50" s="277">
        <v>13168</v>
      </c>
      <c r="L50" s="277">
        <v>29747</v>
      </c>
    </row>
    <row r="51" spans="1:12" ht="16.5" customHeight="1">
      <c r="A51" s="737">
        <v>47</v>
      </c>
      <c r="B51" s="1044"/>
      <c r="C51" s="283" t="s">
        <v>476</v>
      </c>
      <c r="D51" s="282">
        <v>8</v>
      </c>
      <c r="E51" s="282">
        <v>17</v>
      </c>
      <c r="F51" s="282">
        <v>25</v>
      </c>
      <c r="G51" s="282">
        <v>0</v>
      </c>
      <c r="H51" s="282"/>
      <c r="I51" s="282"/>
      <c r="J51" s="282">
        <v>108</v>
      </c>
      <c r="K51" s="282">
        <v>71</v>
      </c>
      <c r="L51" s="282">
        <v>179</v>
      </c>
    </row>
    <row r="52" spans="1:12" ht="16.5" customHeight="1">
      <c r="A52" s="737">
        <v>48</v>
      </c>
      <c r="B52" s="1044"/>
      <c r="C52" s="283" t="s">
        <v>1000</v>
      </c>
      <c r="D52" s="277">
        <v>16</v>
      </c>
      <c r="E52" s="277">
        <v>9</v>
      </c>
      <c r="F52" s="277">
        <v>25</v>
      </c>
      <c r="G52" s="277">
        <v>0</v>
      </c>
      <c r="H52" s="277"/>
      <c r="I52" s="277"/>
      <c r="J52" s="277">
        <v>0</v>
      </c>
      <c r="K52" s="277"/>
      <c r="L52" s="277"/>
    </row>
    <row r="53" spans="1:12" ht="16.5" customHeight="1">
      <c r="A53" s="737">
        <v>49</v>
      </c>
      <c r="B53" s="1044"/>
      <c r="C53" s="283" t="s">
        <v>1001</v>
      </c>
      <c r="D53" s="277">
        <v>3</v>
      </c>
      <c r="E53" s="277">
        <v>2</v>
      </c>
      <c r="F53" s="277">
        <v>5</v>
      </c>
      <c r="G53" s="277">
        <v>0</v>
      </c>
      <c r="H53" s="277"/>
      <c r="I53" s="277"/>
      <c r="J53" s="277">
        <v>16</v>
      </c>
      <c r="K53" s="277">
        <v>10</v>
      </c>
      <c r="L53" s="277">
        <v>26</v>
      </c>
    </row>
    <row r="54" spans="1:12" s="743" customFormat="1" ht="16.5" customHeight="1">
      <c r="A54" s="737">
        <v>50</v>
      </c>
      <c r="B54" s="1044"/>
      <c r="C54" s="283" t="s">
        <v>466</v>
      </c>
      <c r="D54" s="277">
        <v>3888</v>
      </c>
      <c r="E54" s="277">
        <v>1547</v>
      </c>
      <c r="F54" s="277">
        <v>5435</v>
      </c>
      <c r="G54" s="277">
        <v>0</v>
      </c>
      <c r="H54" s="277"/>
      <c r="I54" s="277"/>
      <c r="J54" s="277">
        <v>12401</v>
      </c>
      <c r="K54" s="277">
        <v>5745</v>
      </c>
      <c r="L54" s="277">
        <v>18146</v>
      </c>
    </row>
    <row r="55" spans="1:12" s="743" customFormat="1">
      <c r="A55" s="737">
        <v>51</v>
      </c>
      <c r="B55" s="1044"/>
      <c r="C55" s="283" t="s">
        <v>1002</v>
      </c>
      <c r="D55" s="281">
        <v>11</v>
      </c>
      <c r="E55" s="281">
        <v>5</v>
      </c>
      <c r="F55" s="281">
        <v>16</v>
      </c>
      <c r="G55" s="281">
        <v>0</v>
      </c>
      <c r="H55" s="281"/>
      <c r="I55" s="281"/>
      <c r="J55" s="281">
        <v>0</v>
      </c>
      <c r="K55" s="281"/>
      <c r="L55" s="281"/>
    </row>
    <row r="56" spans="1:12" ht="16.5" customHeight="1">
      <c r="A56" s="737">
        <v>52</v>
      </c>
      <c r="B56" s="1044"/>
      <c r="C56" s="283" t="s">
        <v>464</v>
      </c>
      <c r="D56" s="281">
        <v>3141</v>
      </c>
      <c r="E56" s="281">
        <v>2309</v>
      </c>
      <c r="F56" s="281">
        <v>5450</v>
      </c>
      <c r="G56" s="281">
        <v>0</v>
      </c>
      <c r="H56" s="281"/>
      <c r="I56" s="281"/>
      <c r="J56" s="281">
        <v>11031</v>
      </c>
      <c r="K56" s="281">
        <v>9098</v>
      </c>
      <c r="L56" s="281">
        <v>20129</v>
      </c>
    </row>
    <row r="57" spans="1:12" ht="16.5" customHeight="1">
      <c r="A57" s="737">
        <v>53</v>
      </c>
      <c r="B57" s="1044"/>
      <c r="C57" s="283" t="s">
        <v>192</v>
      </c>
      <c r="D57" s="277">
        <v>364</v>
      </c>
      <c r="E57" s="277">
        <v>411</v>
      </c>
      <c r="F57" s="277">
        <v>775</v>
      </c>
      <c r="G57" s="277">
        <v>0</v>
      </c>
      <c r="H57" s="277"/>
      <c r="I57" s="277"/>
      <c r="J57" s="277">
        <v>3124</v>
      </c>
      <c r="K57" s="277">
        <v>1550</v>
      </c>
      <c r="L57" s="277">
        <v>4674</v>
      </c>
    </row>
    <row r="58" spans="1:12" ht="16.5" customHeight="1">
      <c r="A58" s="737">
        <v>54</v>
      </c>
      <c r="B58" s="1044"/>
      <c r="C58" s="283" t="s">
        <v>472</v>
      </c>
      <c r="D58" s="277">
        <v>115</v>
      </c>
      <c r="E58" s="277">
        <v>168</v>
      </c>
      <c r="F58" s="277">
        <v>283</v>
      </c>
      <c r="G58" s="277">
        <v>0</v>
      </c>
      <c r="H58" s="277"/>
      <c r="I58" s="277"/>
      <c r="J58" s="277">
        <v>666</v>
      </c>
      <c r="K58" s="277">
        <v>1044</v>
      </c>
      <c r="L58" s="277">
        <v>1710</v>
      </c>
    </row>
    <row r="59" spans="1:12" ht="16.5" customHeight="1">
      <c r="A59" s="737">
        <v>55</v>
      </c>
      <c r="B59" s="1044"/>
      <c r="C59" s="283" t="s">
        <v>468</v>
      </c>
      <c r="D59" s="281">
        <v>39</v>
      </c>
      <c r="E59" s="281">
        <v>51</v>
      </c>
      <c r="F59" s="281">
        <v>90</v>
      </c>
      <c r="G59" s="281">
        <v>0</v>
      </c>
      <c r="H59" s="281"/>
      <c r="I59" s="281"/>
      <c r="J59" s="281">
        <v>285</v>
      </c>
      <c r="K59" s="281">
        <v>302</v>
      </c>
      <c r="L59" s="281">
        <v>587</v>
      </c>
    </row>
    <row r="60" spans="1:12" ht="16.5" customHeight="1">
      <c r="A60" s="737">
        <v>56</v>
      </c>
      <c r="B60" s="1044"/>
      <c r="C60" s="283" t="s">
        <v>816</v>
      </c>
      <c r="D60" s="277">
        <v>33</v>
      </c>
      <c r="E60" s="277">
        <v>24</v>
      </c>
      <c r="F60" s="277">
        <v>57</v>
      </c>
      <c r="G60" s="277">
        <v>0</v>
      </c>
      <c r="H60" s="277"/>
      <c r="I60" s="277"/>
      <c r="J60" s="277">
        <v>33</v>
      </c>
      <c r="K60" s="277">
        <v>16</v>
      </c>
      <c r="L60" s="277">
        <v>49</v>
      </c>
    </row>
    <row r="61" spans="1:12" ht="16.5" customHeight="1">
      <c r="A61" s="737">
        <v>57</v>
      </c>
      <c r="B61" s="1044"/>
      <c r="C61" s="283" t="s">
        <v>475</v>
      </c>
      <c r="D61" s="277">
        <v>137</v>
      </c>
      <c r="E61" s="277">
        <v>46</v>
      </c>
      <c r="F61" s="277">
        <v>183</v>
      </c>
      <c r="G61" s="277">
        <v>0</v>
      </c>
      <c r="H61" s="277"/>
      <c r="I61" s="277"/>
      <c r="J61" s="277">
        <v>202</v>
      </c>
      <c r="K61" s="277">
        <v>30</v>
      </c>
      <c r="L61" s="277">
        <v>232</v>
      </c>
    </row>
    <row r="62" spans="1:12" ht="16.5" customHeight="1">
      <c r="A62" s="737">
        <v>58</v>
      </c>
      <c r="B62" s="1044"/>
      <c r="C62" s="283" t="s">
        <v>463</v>
      </c>
      <c r="D62" s="277">
        <v>6258</v>
      </c>
      <c r="E62" s="277">
        <v>660</v>
      </c>
      <c r="F62" s="277">
        <v>6918</v>
      </c>
      <c r="G62" s="277">
        <v>0</v>
      </c>
      <c r="H62" s="277"/>
      <c r="I62" s="277"/>
      <c r="J62" s="277">
        <v>21819</v>
      </c>
      <c r="K62" s="277">
        <v>2562</v>
      </c>
      <c r="L62" s="277">
        <v>24381</v>
      </c>
    </row>
    <row r="63" spans="1:12" ht="16.5" customHeight="1">
      <c r="A63" s="737">
        <v>59</v>
      </c>
      <c r="B63" s="1044"/>
      <c r="C63" s="283" t="s">
        <v>473</v>
      </c>
      <c r="D63" s="277">
        <v>957</v>
      </c>
      <c r="E63" s="277">
        <v>260</v>
      </c>
      <c r="F63" s="277">
        <v>1217</v>
      </c>
      <c r="G63" s="277">
        <v>0</v>
      </c>
      <c r="H63" s="277"/>
      <c r="I63" s="277"/>
      <c r="J63" s="277">
        <v>1388</v>
      </c>
      <c r="K63" s="277">
        <v>252</v>
      </c>
      <c r="L63" s="277">
        <v>1640</v>
      </c>
    </row>
    <row r="64" spans="1:12" ht="16.5" customHeight="1">
      <c r="A64" s="737">
        <v>60</v>
      </c>
      <c r="B64" s="1044"/>
      <c r="C64" s="283" t="s">
        <v>474</v>
      </c>
      <c r="D64" s="277">
        <v>361</v>
      </c>
      <c r="E64" s="277">
        <v>29</v>
      </c>
      <c r="F64" s="277">
        <v>390</v>
      </c>
      <c r="G64" s="277">
        <v>0</v>
      </c>
      <c r="H64" s="277"/>
      <c r="I64" s="277"/>
      <c r="J64" s="277">
        <v>531</v>
      </c>
      <c r="K64" s="277">
        <v>65</v>
      </c>
      <c r="L64" s="277">
        <v>596</v>
      </c>
    </row>
    <row r="65" spans="1:13" ht="16.5" customHeight="1">
      <c r="A65" s="737">
        <v>61</v>
      </c>
      <c r="B65" s="1044"/>
      <c r="C65" s="283" t="s">
        <v>467</v>
      </c>
      <c r="D65" s="281">
        <v>9466</v>
      </c>
      <c r="E65" s="281">
        <v>6532</v>
      </c>
      <c r="F65" s="281">
        <v>15998</v>
      </c>
      <c r="G65" s="281">
        <v>0</v>
      </c>
      <c r="H65" s="281">
        <v>6</v>
      </c>
      <c r="I65" s="281">
        <v>6</v>
      </c>
      <c r="J65" s="281">
        <v>15356</v>
      </c>
      <c r="K65" s="281">
        <v>6987</v>
      </c>
      <c r="L65" s="281">
        <v>22343</v>
      </c>
    </row>
    <row r="66" spans="1:13" ht="16.5" customHeight="1">
      <c r="A66" s="737">
        <v>62</v>
      </c>
      <c r="B66" s="1044"/>
      <c r="C66" s="283" t="s">
        <v>477</v>
      </c>
      <c r="D66" s="277">
        <v>12</v>
      </c>
      <c r="E66" s="277">
        <v>3</v>
      </c>
      <c r="F66" s="277">
        <v>15</v>
      </c>
      <c r="G66" s="277">
        <v>0</v>
      </c>
      <c r="H66" s="277"/>
      <c r="I66" s="277"/>
      <c r="J66" s="277">
        <v>950</v>
      </c>
      <c r="K66" s="277">
        <v>943</v>
      </c>
      <c r="L66" s="277">
        <v>1893</v>
      </c>
    </row>
    <row r="67" spans="1:13" ht="16.5" customHeight="1">
      <c r="A67" s="737">
        <v>63</v>
      </c>
      <c r="B67" s="1044"/>
      <c r="C67" s="283" t="s">
        <v>1026</v>
      </c>
      <c r="D67" s="277">
        <v>0</v>
      </c>
      <c r="E67" s="277"/>
      <c r="F67" s="277"/>
      <c r="G67" s="277">
        <v>0</v>
      </c>
      <c r="H67" s="277"/>
      <c r="I67" s="277"/>
      <c r="J67" s="277">
        <v>26</v>
      </c>
      <c r="K67" s="277">
        <v>5</v>
      </c>
      <c r="L67" s="277">
        <v>31</v>
      </c>
    </row>
    <row r="68" spans="1:13" ht="16.5" customHeight="1">
      <c r="A68" s="737">
        <v>64</v>
      </c>
      <c r="B68" s="1044"/>
      <c r="C68" s="283" t="s">
        <v>524</v>
      </c>
      <c r="D68" s="277">
        <v>0</v>
      </c>
      <c r="E68" s="277"/>
      <c r="F68" s="277"/>
      <c r="G68" s="277">
        <v>0</v>
      </c>
      <c r="H68" s="277"/>
      <c r="I68" s="277"/>
      <c r="J68" s="277">
        <v>48</v>
      </c>
      <c r="K68" s="277">
        <v>14</v>
      </c>
      <c r="L68" s="277">
        <v>62</v>
      </c>
    </row>
    <row r="69" spans="1:13" ht="16.5" customHeight="1">
      <c r="A69" s="737">
        <v>65</v>
      </c>
      <c r="B69" s="1045"/>
      <c r="C69" s="283" t="s">
        <v>523</v>
      </c>
      <c r="D69" s="281">
        <v>0</v>
      </c>
      <c r="E69" s="281"/>
      <c r="F69" s="281"/>
      <c r="G69" s="281">
        <v>0</v>
      </c>
      <c r="H69" s="281"/>
      <c r="I69" s="281"/>
      <c r="J69" s="281">
        <v>194</v>
      </c>
      <c r="K69" s="281">
        <v>153</v>
      </c>
      <c r="L69" s="281">
        <v>347</v>
      </c>
    </row>
    <row r="70" spans="1:13" ht="16.5" customHeight="1">
      <c r="A70" s="737">
        <v>66</v>
      </c>
      <c r="B70" s="753" t="s">
        <v>478</v>
      </c>
      <c r="C70" s="284"/>
      <c r="D70" s="281">
        <v>34817</v>
      </c>
      <c r="E70" s="281">
        <v>17931</v>
      </c>
      <c r="F70" s="281">
        <v>52748</v>
      </c>
      <c r="G70" s="281">
        <v>0</v>
      </c>
      <c r="H70" s="281">
        <v>6</v>
      </c>
      <c r="I70" s="281">
        <v>6</v>
      </c>
      <c r="J70" s="281">
        <v>117982</v>
      </c>
      <c r="K70" s="281">
        <v>55968</v>
      </c>
      <c r="L70" s="281">
        <v>173950</v>
      </c>
      <c r="M70" s="756"/>
    </row>
    <row r="71" spans="1:13" ht="16.5" customHeight="1">
      <c r="A71" s="737">
        <v>67</v>
      </c>
      <c r="B71" s="1043" t="s">
        <v>1027</v>
      </c>
      <c r="C71" s="279" t="s">
        <v>469</v>
      </c>
      <c r="D71" s="277">
        <v>27</v>
      </c>
      <c r="E71" s="277">
        <v>19</v>
      </c>
      <c r="F71" s="277">
        <v>46</v>
      </c>
      <c r="G71" s="277">
        <v>0</v>
      </c>
      <c r="H71" s="277"/>
      <c r="I71" s="277"/>
      <c r="J71" s="277">
        <v>0</v>
      </c>
      <c r="K71" s="277"/>
      <c r="L71" s="277"/>
    </row>
    <row r="72" spans="1:13" ht="16.5" customHeight="1">
      <c r="A72" s="737">
        <v>68</v>
      </c>
      <c r="B72" s="1045"/>
      <c r="C72" s="279" t="s">
        <v>1009</v>
      </c>
      <c r="D72" s="277">
        <v>26</v>
      </c>
      <c r="E72" s="277">
        <v>11</v>
      </c>
      <c r="F72" s="277">
        <v>37</v>
      </c>
      <c r="G72" s="277">
        <v>0</v>
      </c>
      <c r="H72" s="277"/>
      <c r="I72" s="277"/>
      <c r="J72" s="277">
        <v>0</v>
      </c>
      <c r="K72" s="277"/>
      <c r="L72" s="277"/>
    </row>
    <row r="73" spans="1:13" ht="16.5" customHeight="1">
      <c r="A73" s="737">
        <v>69</v>
      </c>
      <c r="B73" s="753" t="s">
        <v>1028</v>
      </c>
      <c r="C73" s="275"/>
      <c r="D73" s="281">
        <v>53</v>
      </c>
      <c r="E73" s="281">
        <v>30</v>
      </c>
      <c r="F73" s="281">
        <v>83</v>
      </c>
      <c r="G73" s="281">
        <v>0</v>
      </c>
      <c r="H73" s="281"/>
      <c r="I73" s="281"/>
      <c r="J73" s="281">
        <v>0</v>
      </c>
      <c r="K73" s="281"/>
      <c r="L73" s="281"/>
    </row>
    <row r="74" spans="1:13" ht="16.5" customHeight="1">
      <c r="A74" s="737">
        <v>70</v>
      </c>
      <c r="B74" s="753" t="s">
        <v>502</v>
      </c>
      <c r="C74" s="283" t="s">
        <v>502</v>
      </c>
      <c r="D74" s="277">
        <v>10</v>
      </c>
      <c r="E74" s="277">
        <v>45</v>
      </c>
      <c r="F74" s="277">
        <v>55</v>
      </c>
      <c r="G74" s="277">
        <v>0</v>
      </c>
      <c r="H74" s="277">
        <v>2</v>
      </c>
      <c r="I74" s="277">
        <v>2</v>
      </c>
      <c r="J74" s="277">
        <v>473</v>
      </c>
      <c r="K74" s="277">
        <v>2139</v>
      </c>
      <c r="L74" s="277">
        <v>2612</v>
      </c>
    </row>
    <row r="75" spans="1:13" ht="16.5" customHeight="1">
      <c r="A75" s="737">
        <v>71</v>
      </c>
      <c r="B75" s="753" t="s">
        <v>1029</v>
      </c>
      <c r="C75" s="285"/>
      <c r="D75" s="281">
        <v>10</v>
      </c>
      <c r="E75" s="281">
        <v>45</v>
      </c>
      <c r="F75" s="281">
        <v>55</v>
      </c>
      <c r="G75" s="281">
        <v>0</v>
      </c>
      <c r="H75" s="281">
        <v>2</v>
      </c>
      <c r="I75" s="281">
        <v>2</v>
      </c>
      <c r="J75" s="281">
        <v>473</v>
      </c>
      <c r="K75" s="281">
        <v>2139</v>
      </c>
      <c r="L75" s="281">
        <v>2612</v>
      </c>
    </row>
    <row r="76" spans="1:13" ht="16.5" customHeight="1">
      <c r="A76" s="737">
        <v>72</v>
      </c>
      <c r="B76" s="1043" t="s">
        <v>178</v>
      </c>
      <c r="C76" s="283" t="s">
        <v>178</v>
      </c>
      <c r="D76" s="277">
        <v>152</v>
      </c>
      <c r="E76" s="277">
        <v>192</v>
      </c>
      <c r="F76" s="277">
        <v>344</v>
      </c>
      <c r="G76" s="277">
        <v>19</v>
      </c>
      <c r="H76" s="277">
        <v>22</v>
      </c>
      <c r="I76" s="277">
        <v>41</v>
      </c>
      <c r="J76" s="277">
        <v>1442</v>
      </c>
      <c r="K76" s="277">
        <v>1987</v>
      </c>
      <c r="L76" s="277">
        <v>3429</v>
      </c>
    </row>
    <row r="77" spans="1:13" ht="16.5" customHeight="1">
      <c r="A77" s="737">
        <v>73</v>
      </c>
      <c r="B77" s="1044"/>
      <c r="C77" s="276" t="s">
        <v>527</v>
      </c>
      <c r="D77" s="277">
        <v>80</v>
      </c>
      <c r="E77" s="277">
        <v>91</v>
      </c>
      <c r="F77" s="277">
        <v>171</v>
      </c>
      <c r="G77" s="277">
        <v>5</v>
      </c>
      <c r="H77" s="277">
        <v>0</v>
      </c>
      <c r="I77" s="277">
        <v>5</v>
      </c>
      <c r="J77" s="277">
        <v>1247</v>
      </c>
      <c r="K77" s="277">
        <v>1464</v>
      </c>
      <c r="L77" s="277">
        <v>2711</v>
      </c>
    </row>
    <row r="78" spans="1:13" ht="16.5" customHeight="1">
      <c r="A78" s="737">
        <v>74</v>
      </c>
      <c r="B78" s="1044"/>
      <c r="C78" s="276" t="s">
        <v>526</v>
      </c>
      <c r="D78" s="277">
        <v>69</v>
      </c>
      <c r="E78" s="277">
        <v>131</v>
      </c>
      <c r="F78" s="277">
        <v>200</v>
      </c>
      <c r="G78" s="277">
        <v>5</v>
      </c>
      <c r="H78" s="277">
        <v>5</v>
      </c>
      <c r="I78" s="277">
        <v>10</v>
      </c>
      <c r="J78" s="277">
        <v>1272</v>
      </c>
      <c r="K78" s="277">
        <v>1526</v>
      </c>
      <c r="L78" s="277">
        <v>2798</v>
      </c>
    </row>
    <row r="79" spans="1:13" ht="16.5" customHeight="1">
      <c r="A79" s="737">
        <v>75</v>
      </c>
      <c r="B79" s="1045"/>
      <c r="C79" s="276" t="s">
        <v>525</v>
      </c>
      <c r="D79" s="277">
        <v>16</v>
      </c>
      <c r="E79" s="277">
        <v>40</v>
      </c>
      <c r="F79" s="277">
        <v>56</v>
      </c>
      <c r="G79" s="277">
        <v>0</v>
      </c>
      <c r="H79" s="277">
        <v>0</v>
      </c>
      <c r="I79" s="277">
        <v>0</v>
      </c>
      <c r="J79" s="277">
        <v>789</v>
      </c>
      <c r="K79" s="277">
        <v>815</v>
      </c>
      <c r="L79" s="277">
        <v>1604</v>
      </c>
    </row>
    <row r="80" spans="1:13" ht="16.5" customHeight="1">
      <c r="A80" s="737">
        <v>76</v>
      </c>
      <c r="B80" s="753" t="s">
        <v>528</v>
      </c>
      <c r="C80" s="275"/>
      <c r="D80" s="281">
        <v>317</v>
      </c>
      <c r="E80" s="281">
        <v>454</v>
      </c>
      <c r="F80" s="281">
        <v>771</v>
      </c>
      <c r="G80" s="281">
        <v>29</v>
      </c>
      <c r="H80" s="281">
        <v>27</v>
      </c>
      <c r="I80" s="281">
        <v>56</v>
      </c>
      <c r="J80" s="281">
        <v>4750</v>
      </c>
      <c r="K80" s="281">
        <v>5792</v>
      </c>
      <c r="L80" s="281">
        <v>10542</v>
      </c>
    </row>
    <row r="81" spans="1:12" ht="16.5" customHeight="1">
      <c r="A81" s="737">
        <v>77</v>
      </c>
      <c r="B81" s="753" t="s">
        <v>507</v>
      </c>
      <c r="C81" s="283" t="s">
        <v>507</v>
      </c>
      <c r="D81" s="277">
        <v>130</v>
      </c>
      <c r="E81" s="277">
        <v>113</v>
      </c>
      <c r="F81" s="277">
        <v>243</v>
      </c>
      <c r="G81" s="277">
        <v>0</v>
      </c>
      <c r="H81" s="277"/>
      <c r="I81" s="277"/>
      <c r="J81" s="277">
        <v>930</v>
      </c>
      <c r="K81" s="277">
        <v>800</v>
      </c>
      <c r="L81" s="277">
        <v>1730</v>
      </c>
    </row>
    <row r="82" spans="1:12" ht="16.5" customHeight="1">
      <c r="A82" s="737">
        <v>78</v>
      </c>
      <c r="B82" s="753" t="s">
        <v>1030</v>
      </c>
      <c r="C82" s="275"/>
      <c r="D82" s="281">
        <v>130</v>
      </c>
      <c r="E82" s="281">
        <v>113</v>
      </c>
      <c r="F82" s="281">
        <v>243</v>
      </c>
      <c r="G82" s="281">
        <v>0</v>
      </c>
      <c r="H82" s="281"/>
      <c r="I82" s="281"/>
      <c r="J82" s="281">
        <v>930</v>
      </c>
      <c r="K82" s="281">
        <v>800</v>
      </c>
      <c r="L82" s="281">
        <v>1730</v>
      </c>
    </row>
    <row r="83" spans="1:12" ht="16.5" customHeight="1">
      <c r="A83" s="737">
        <v>79</v>
      </c>
      <c r="B83" s="1043" t="s">
        <v>513</v>
      </c>
      <c r="C83" s="276" t="s">
        <v>529</v>
      </c>
      <c r="D83" s="277">
        <v>0</v>
      </c>
      <c r="E83" s="277"/>
      <c r="F83" s="277"/>
      <c r="G83" s="277">
        <v>0</v>
      </c>
      <c r="H83" s="277"/>
      <c r="I83" s="277"/>
      <c r="J83" s="277">
        <v>19</v>
      </c>
      <c r="K83" s="277">
        <v>19</v>
      </c>
      <c r="L83" s="277">
        <v>38</v>
      </c>
    </row>
    <row r="84" spans="1:12" ht="16.5" customHeight="1">
      <c r="A84" s="737">
        <v>80</v>
      </c>
      <c r="B84" s="1045"/>
      <c r="C84" s="276" t="s">
        <v>530</v>
      </c>
      <c r="D84" s="277">
        <v>0</v>
      </c>
      <c r="E84" s="277"/>
      <c r="F84" s="277"/>
      <c r="G84" s="277">
        <v>0</v>
      </c>
      <c r="H84" s="277"/>
      <c r="I84" s="277"/>
      <c r="J84" s="277">
        <v>5</v>
      </c>
      <c r="K84" s="277">
        <v>5</v>
      </c>
      <c r="L84" s="277">
        <v>10</v>
      </c>
    </row>
    <row r="85" spans="1:12" ht="16.5" customHeight="1">
      <c r="A85" s="737">
        <v>81</v>
      </c>
      <c r="B85" s="753" t="s">
        <v>779</v>
      </c>
      <c r="C85" s="285"/>
      <c r="D85" s="281">
        <v>0</v>
      </c>
      <c r="E85" s="281"/>
      <c r="F85" s="281"/>
      <c r="G85" s="281">
        <v>0</v>
      </c>
      <c r="H85" s="281"/>
      <c r="I85" s="281"/>
      <c r="J85" s="281">
        <v>24</v>
      </c>
      <c r="K85" s="281">
        <v>24</v>
      </c>
      <c r="L85" s="281">
        <v>48</v>
      </c>
    </row>
    <row r="86" spans="1:12" ht="16.5" customHeight="1">
      <c r="A86" s="737">
        <v>82</v>
      </c>
      <c r="B86" s="1043" t="s">
        <v>496</v>
      </c>
      <c r="C86" s="276" t="s">
        <v>531</v>
      </c>
      <c r="D86" s="277">
        <v>1715</v>
      </c>
      <c r="E86" s="277">
        <v>3036</v>
      </c>
      <c r="F86" s="277">
        <v>4751</v>
      </c>
      <c r="G86" s="277">
        <v>215</v>
      </c>
      <c r="H86" s="277">
        <v>859</v>
      </c>
      <c r="I86" s="277">
        <v>1074</v>
      </c>
      <c r="J86" s="277">
        <v>88689</v>
      </c>
      <c r="K86" s="277">
        <v>164583</v>
      </c>
      <c r="L86" s="277">
        <v>253272</v>
      </c>
    </row>
    <row r="87" spans="1:12" ht="16.5" customHeight="1">
      <c r="A87" s="737">
        <v>83</v>
      </c>
      <c r="B87" s="1044"/>
      <c r="C87" s="279" t="s">
        <v>533</v>
      </c>
      <c r="D87" s="277">
        <v>12</v>
      </c>
      <c r="E87" s="277">
        <v>17</v>
      </c>
      <c r="F87" s="277">
        <v>29</v>
      </c>
      <c r="G87" s="277">
        <v>0</v>
      </c>
      <c r="H87" s="277">
        <v>0</v>
      </c>
      <c r="I87" s="277">
        <v>0</v>
      </c>
      <c r="J87" s="277">
        <v>230</v>
      </c>
      <c r="K87" s="277">
        <v>426</v>
      </c>
      <c r="L87" s="277">
        <v>656</v>
      </c>
    </row>
    <row r="88" spans="1:12" ht="16.5" customHeight="1">
      <c r="A88" s="737">
        <v>84</v>
      </c>
      <c r="B88" s="1044"/>
      <c r="C88" s="279" t="s">
        <v>534</v>
      </c>
      <c r="D88" s="281">
        <v>0</v>
      </c>
      <c r="E88" s="281">
        <v>3</v>
      </c>
      <c r="F88" s="281">
        <v>3</v>
      </c>
      <c r="G88" s="281">
        <v>3</v>
      </c>
      <c r="H88" s="281">
        <v>4</v>
      </c>
      <c r="I88" s="281">
        <v>7</v>
      </c>
      <c r="J88" s="281">
        <v>131</v>
      </c>
      <c r="K88" s="281">
        <v>138</v>
      </c>
      <c r="L88" s="281">
        <v>269</v>
      </c>
    </row>
    <row r="89" spans="1:12" ht="16.5" customHeight="1">
      <c r="A89" s="737">
        <v>85</v>
      </c>
      <c r="B89" s="1044"/>
      <c r="C89" s="276" t="s">
        <v>532</v>
      </c>
      <c r="D89" s="277">
        <v>385</v>
      </c>
      <c r="E89" s="277">
        <v>145</v>
      </c>
      <c r="F89" s="277">
        <v>530</v>
      </c>
      <c r="G89" s="277">
        <v>51</v>
      </c>
      <c r="H89" s="277">
        <v>12</v>
      </c>
      <c r="I89" s="277">
        <v>63</v>
      </c>
      <c r="J89" s="277">
        <v>4051</v>
      </c>
      <c r="K89" s="277">
        <v>2509</v>
      </c>
      <c r="L89" s="277">
        <v>6560</v>
      </c>
    </row>
    <row r="90" spans="1:12" ht="16.5" customHeight="1">
      <c r="A90" s="737">
        <v>86</v>
      </c>
      <c r="B90" s="1044"/>
      <c r="C90" s="283" t="s">
        <v>540</v>
      </c>
      <c r="D90" s="277">
        <v>0</v>
      </c>
      <c r="E90" s="277"/>
      <c r="F90" s="277"/>
      <c r="G90" s="277">
        <v>0</v>
      </c>
      <c r="H90" s="277"/>
      <c r="I90" s="277"/>
      <c r="J90" s="277">
        <v>0</v>
      </c>
      <c r="K90" s="277">
        <v>33</v>
      </c>
      <c r="L90" s="277">
        <v>33</v>
      </c>
    </row>
    <row r="91" spans="1:12" ht="16.5" customHeight="1">
      <c r="A91" s="737">
        <v>87</v>
      </c>
      <c r="B91" s="1045"/>
      <c r="C91" s="283" t="s">
        <v>535</v>
      </c>
      <c r="D91" s="277">
        <v>7</v>
      </c>
      <c r="E91" s="277">
        <v>10</v>
      </c>
      <c r="F91" s="277">
        <v>17</v>
      </c>
      <c r="G91" s="277">
        <v>0</v>
      </c>
      <c r="H91" s="277"/>
      <c r="I91" s="277"/>
      <c r="J91" s="277">
        <v>45</v>
      </c>
      <c r="K91" s="277">
        <v>59</v>
      </c>
      <c r="L91" s="277">
        <v>104</v>
      </c>
    </row>
    <row r="92" spans="1:12" ht="16.5" customHeight="1">
      <c r="A92" s="737">
        <v>88</v>
      </c>
      <c r="B92" s="753" t="s">
        <v>536</v>
      </c>
      <c r="C92" s="285"/>
      <c r="D92" s="281">
        <v>2119</v>
      </c>
      <c r="E92" s="281">
        <v>3211</v>
      </c>
      <c r="F92" s="281">
        <v>5330</v>
      </c>
      <c r="G92" s="281">
        <v>269</v>
      </c>
      <c r="H92" s="281">
        <v>875</v>
      </c>
      <c r="I92" s="281">
        <v>1144</v>
      </c>
      <c r="J92" s="281">
        <v>93146</v>
      </c>
      <c r="K92" s="281">
        <v>167748</v>
      </c>
      <c r="L92" s="281">
        <v>260894</v>
      </c>
    </row>
    <row r="93" spans="1:12" ht="16.5" customHeight="1">
      <c r="A93" s="737">
        <v>89</v>
      </c>
      <c r="B93" s="1043" t="s">
        <v>1031</v>
      </c>
      <c r="C93" s="276" t="s">
        <v>1032</v>
      </c>
      <c r="D93" s="277">
        <v>0</v>
      </c>
      <c r="E93" s="277"/>
      <c r="F93" s="277"/>
      <c r="G93" s="277">
        <v>0</v>
      </c>
      <c r="H93" s="277"/>
      <c r="I93" s="277"/>
      <c r="J93" s="277">
        <v>363</v>
      </c>
      <c r="K93" s="277">
        <v>845</v>
      </c>
      <c r="L93" s="277">
        <v>1208</v>
      </c>
    </row>
    <row r="94" spans="1:12" ht="16.5" customHeight="1">
      <c r="A94" s="737">
        <v>90</v>
      </c>
      <c r="B94" s="1045"/>
      <c r="C94" s="276" t="s">
        <v>1031</v>
      </c>
      <c r="D94" s="277">
        <v>0</v>
      </c>
      <c r="E94" s="277"/>
      <c r="F94" s="277"/>
      <c r="G94" s="277">
        <v>0</v>
      </c>
      <c r="H94" s="277"/>
      <c r="I94" s="277"/>
      <c r="J94" s="277">
        <v>1</v>
      </c>
      <c r="K94" s="277">
        <v>1</v>
      </c>
      <c r="L94" s="277">
        <v>2</v>
      </c>
    </row>
    <row r="95" spans="1:12" ht="16.5" customHeight="1">
      <c r="A95" s="737">
        <v>91</v>
      </c>
      <c r="B95" s="753" t="s">
        <v>1033</v>
      </c>
      <c r="C95" s="285"/>
      <c r="D95" s="281">
        <v>0</v>
      </c>
      <c r="E95" s="281"/>
      <c r="F95" s="281"/>
      <c r="G95" s="281">
        <v>0</v>
      </c>
      <c r="H95" s="281"/>
      <c r="I95" s="281"/>
      <c r="J95" s="281">
        <v>364</v>
      </c>
      <c r="K95" s="281">
        <v>846</v>
      </c>
      <c r="L95" s="281">
        <v>1210</v>
      </c>
    </row>
    <row r="96" spans="1:12" ht="16.5" customHeight="1">
      <c r="A96" s="737">
        <v>92</v>
      </c>
      <c r="B96" s="753" t="s">
        <v>514</v>
      </c>
      <c r="C96" s="275" t="s">
        <v>514</v>
      </c>
      <c r="D96" s="281">
        <v>33</v>
      </c>
      <c r="E96" s="281">
        <v>10</v>
      </c>
      <c r="F96" s="281">
        <v>43</v>
      </c>
      <c r="G96" s="281">
        <v>1</v>
      </c>
      <c r="H96" s="281">
        <v>1</v>
      </c>
      <c r="I96" s="281">
        <v>2</v>
      </c>
      <c r="J96" s="281">
        <v>760</v>
      </c>
      <c r="K96" s="281">
        <v>608</v>
      </c>
      <c r="L96" s="281">
        <v>1368</v>
      </c>
    </row>
    <row r="97" spans="1:12" ht="16.5" customHeight="1">
      <c r="A97" s="737">
        <v>93</v>
      </c>
      <c r="B97" s="753" t="s">
        <v>1034</v>
      </c>
      <c r="C97" s="284"/>
      <c r="D97" s="281">
        <v>33</v>
      </c>
      <c r="E97" s="281">
        <v>10</v>
      </c>
      <c r="F97" s="281">
        <v>43</v>
      </c>
      <c r="G97" s="281">
        <v>1</v>
      </c>
      <c r="H97" s="281">
        <v>1</v>
      </c>
      <c r="I97" s="281">
        <v>2</v>
      </c>
      <c r="J97" s="281">
        <v>760</v>
      </c>
      <c r="K97" s="281">
        <v>608</v>
      </c>
      <c r="L97" s="281">
        <v>1368</v>
      </c>
    </row>
    <row r="98" spans="1:12" ht="16.5" customHeight="1">
      <c r="A98" s="737">
        <v>94</v>
      </c>
      <c r="B98" s="1043" t="s">
        <v>210</v>
      </c>
      <c r="C98" s="276" t="s">
        <v>1035</v>
      </c>
      <c r="D98" s="277">
        <v>0</v>
      </c>
      <c r="E98" s="277"/>
      <c r="F98" s="277"/>
      <c r="G98" s="277">
        <v>0</v>
      </c>
      <c r="H98" s="277"/>
      <c r="I98" s="277"/>
      <c r="J98" s="277">
        <v>100</v>
      </c>
      <c r="K98" s="277">
        <v>92</v>
      </c>
      <c r="L98" s="277">
        <v>192</v>
      </c>
    </row>
    <row r="99" spans="1:12" ht="16.5" customHeight="1">
      <c r="A99" s="737">
        <v>95</v>
      </c>
      <c r="B99" s="1044"/>
      <c r="C99" s="285" t="s">
        <v>472</v>
      </c>
      <c r="D99" s="281">
        <v>0</v>
      </c>
      <c r="E99" s="281"/>
      <c r="F99" s="281"/>
      <c r="G99" s="281">
        <v>0</v>
      </c>
      <c r="H99" s="281"/>
      <c r="I99" s="281"/>
      <c r="J99" s="281">
        <v>61</v>
      </c>
      <c r="K99" s="281">
        <v>281</v>
      </c>
      <c r="L99" s="281">
        <v>342</v>
      </c>
    </row>
    <row r="100" spans="1:12" ht="16.5" customHeight="1">
      <c r="A100" s="737">
        <v>96</v>
      </c>
      <c r="B100" s="1044"/>
      <c r="C100" s="276" t="s">
        <v>210</v>
      </c>
      <c r="D100" s="277">
        <v>120</v>
      </c>
      <c r="E100" s="277">
        <v>724</v>
      </c>
      <c r="F100" s="277">
        <v>844</v>
      </c>
      <c r="G100" s="277">
        <v>18</v>
      </c>
      <c r="H100" s="277">
        <v>9</v>
      </c>
      <c r="I100" s="277">
        <v>27</v>
      </c>
      <c r="J100" s="277">
        <v>607</v>
      </c>
      <c r="K100" s="277">
        <v>10953</v>
      </c>
      <c r="L100" s="277">
        <v>11560</v>
      </c>
    </row>
    <row r="101" spans="1:12" ht="16.5" customHeight="1">
      <c r="A101" s="737">
        <v>97</v>
      </c>
      <c r="B101" s="1045"/>
      <c r="C101" s="276" t="s">
        <v>537</v>
      </c>
      <c r="D101" s="277">
        <v>5</v>
      </c>
      <c r="E101" s="277">
        <v>76</v>
      </c>
      <c r="F101" s="277">
        <v>81</v>
      </c>
      <c r="G101" s="277">
        <v>0</v>
      </c>
      <c r="H101" s="277">
        <v>1</v>
      </c>
      <c r="I101" s="277">
        <v>1</v>
      </c>
      <c r="J101" s="277">
        <v>292</v>
      </c>
      <c r="K101" s="277">
        <v>3371</v>
      </c>
      <c r="L101" s="277">
        <v>3663</v>
      </c>
    </row>
    <row r="102" spans="1:12" ht="16.5" customHeight="1">
      <c r="A102" s="737">
        <v>98</v>
      </c>
      <c r="B102" s="753" t="s">
        <v>538</v>
      </c>
      <c r="C102" s="285"/>
      <c r="D102" s="281">
        <v>125</v>
      </c>
      <c r="E102" s="281">
        <v>800</v>
      </c>
      <c r="F102" s="281">
        <v>925</v>
      </c>
      <c r="G102" s="281">
        <v>18</v>
      </c>
      <c r="H102" s="281">
        <v>10</v>
      </c>
      <c r="I102" s="281">
        <v>28</v>
      </c>
      <c r="J102" s="281">
        <v>1060</v>
      </c>
      <c r="K102" s="281">
        <v>14697</v>
      </c>
      <c r="L102" s="281">
        <v>15757</v>
      </c>
    </row>
    <row r="103" spans="1:12" ht="16.5" customHeight="1">
      <c r="A103" s="737">
        <v>99</v>
      </c>
      <c r="B103" s="1043" t="s">
        <v>505</v>
      </c>
      <c r="C103" s="279" t="s">
        <v>823</v>
      </c>
      <c r="D103" s="282">
        <v>0</v>
      </c>
      <c r="E103" s="282"/>
      <c r="F103" s="282"/>
      <c r="G103" s="282">
        <v>0</v>
      </c>
      <c r="H103" s="282"/>
      <c r="I103" s="282"/>
      <c r="J103" s="282">
        <v>13</v>
      </c>
      <c r="K103" s="282">
        <v>11</v>
      </c>
      <c r="L103" s="282">
        <v>24</v>
      </c>
    </row>
    <row r="104" spans="1:12" ht="16.5" customHeight="1">
      <c r="A104" s="737">
        <v>100</v>
      </c>
      <c r="B104" s="1044"/>
      <c r="C104" s="279" t="s">
        <v>824</v>
      </c>
      <c r="D104" s="277">
        <v>0</v>
      </c>
      <c r="E104" s="277"/>
      <c r="F104" s="277"/>
      <c r="G104" s="277">
        <v>0</v>
      </c>
      <c r="H104" s="277"/>
      <c r="I104" s="277"/>
      <c r="J104" s="277">
        <v>4</v>
      </c>
      <c r="K104" s="277">
        <v>2</v>
      </c>
      <c r="L104" s="277">
        <v>6</v>
      </c>
    </row>
    <row r="105" spans="1:12" ht="16.5" customHeight="1">
      <c r="A105" s="737">
        <v>101</v>
      </c>
      <c r="B105" s="1044"/>
      <c r="C105" s="286" t="s">
        <v>822</v>
      </c>
      <c r="D105" s="281">
        <v>0</v>
      </c>
      <c r="E105" s="281"/>
      <c r="F105" s="281"/>
      <c r="G105" s="281">
        <v>0</v>
      </c>
      <c r="H105" s="281"/>
      <c r="I105" s="281"/>
      <c r="J105" s="281">
        <v>49</v>
      </c>
      <c r="K105" s="281">
        <v>50</v>
      </c>
      <c r="L105" s="281">
        <v>99</v>
      </c>
    </row>
    <row r="106" spans="1:12" ht="16.5" customHeight="1">
      <c r="A106" s="737">
        <v>102</v>
      </c>
      <c r="B106" s="1044"/>
      <c r="C106" s="279" t="s">
        <v>820</v>
      </c>
      <c r="D106" s="277">
        <v>0</v>
      </c>
      <c r="E106" s="277"/>
      <c r="F106" s="277"/>
      <c r="G106" s="277">
        <v>0</v>
      </c>
      <c r="H106" s="277"/>
      <c r="I106" s="277"/>
      <c r="J106" s="277">
        <v>195</v>
      </c>
      <c r="K106" s="277">
        <v>124</v>
      </c>
      <c r="L106" s="277">
        <v>319</v>
      </c>
    </row>
    <row r="107" spans="1:12" ht="16.5" customHeight="1">
      <c r="A107" s="737">
        <v>103</v>
      </c>
      <c r="B107" s="1045"/>
      <c r="C107" s="283" t="s">
        <v>821</v>
      </c>
      <c r="D107" s="277">
        <v>0</v>
      </c>
      <c r="E107" s="277"/>
      <c r="F107" s="277"/>
      <c r="G107" s="277">
        <v>0</v>
      </c>
      <c r="H107" s="277"/>
      <c r="I107" s="277"/>
      <c r="J107" s="277">
        <v>128</v>
      </c>
      <c r="K107" s="277">
        <v>89</v>
      </c>
      <c r="L107" s="277">
        <v>217</v>
      </c>
    </row>
    <row r="108" spans="1:12" ht="16.5" customHeight="1">
      <c r="A108" s="737">
        <v>104</v>
      </c>
      <c r="B108" s="753" t="s">
        <v>862</v>
      </c>
      <c r="C108" s="284"/>
      <c r="D108" s="281">
        <v>0</v>
      </c>
      <c r="E108" s="281"/>
      <c r="F108" s="281"/>
      <c r="G108" s="281">
        <v>0</v>
      </c>
      <c r="H108" s="281"/>
      <c r="I108" s="281"/>
      <c r="J108" s="281">
        <v>389</v>
      </c>
      <c r="K108" s="281">
        <v>276</v>
      </c>
      <c r="L108" s="281">
        <v>665</v>
      </c>
    </row>
    <row r="109" spans="1:12" ht="16.5" customHeight="1">
      <c r="A109" s="737">
        <v>105</v>
      </c>
      <c r="B109" s="1043" t="s">
        <v>495</v>
      </c>
      <c r="C109" s="283" t="s">
        <v>541</v>
      </c>
      <c r="D109" s="277">
        <v>340</v>
      </c>
      <c r="E109" s="277">
        <v>236</v>
      </c>
      <c r="F109" s="277">
        <v>576</v>
      </c>
      <c r="G109" s="277">
        <v>115</v>
      </c>
      <c r="H109" s="277">
        <v>103</v>
      </c>
      <c r="I109" s="277">
        <v>218</v>
      </c>
      <c r="J109" s="277">
        <v>19348</v>
      </c>
      <c r="K109" s="277">
        <v>44710</v>
      </c>
      <c r="L109" s="277">
        <v>64058</v>
      </c>
    </row>
    <row r="110" spans="1:12" ht="16.5" customHeight="1">
      <c r="A110" s="737">
        <v>106</v>
      </c>
      <c r="B110" s="1044"/>
      <c r="C110" s="279" t="s">
        <v>539</v>
      </c>
      <c r="D110" s="277">
        <v>1262</v>
      </c>
      <c r="E110" s="277">
        <v>1566</v>
      </c>
      <c r="F110" s="277">
        <v>2828</v>
      </c>
      <c r="G110" s="277">
        <v>54</v>
      </c>
      <c r="H110" s="277">
        <v>87</v>
      </c>
      <c r="I110" s="277">
        <v>141</v>
      </c>
      <c r="J110" s="277">
        <v>64004</v>
      </c>
      <c r="K110" s="277">
        <v>114334</v>
      </c>
      <c r="L110" s="277">
        <v>178338</v>
      </c>
    </row>
    <row r="111" spans="1:12" ht="16.5" customHeight="1">
      <c r="A111" s="737">
        <v>107</v>
      </c>
      <c r="B111" s="1044"/>
      <c r="C111" s="279" t="s">
        <v>546</v>
      </c>
      <c r="D111" s="277">
        <v>178</v>
      </c>
      <c r="E111" s="277">
        <v>108</v>
      </c>
      <c r="F111" s="277">
        <v>286</v>
      </c>
      <c r="G111" s="277">
        <v>1</v>
      </c>
      <c r="H111" s="277">
        <v>3</v>
      </c>
      <c r="I111" s="277">
        <v>4</v>
      </c>
      <c r="J111" s="277">
        <v>3542</v>
      </c>
      <c r="K111" s="277">
        <v>3437</v>
      </c>
      <c r="L111" s="277">
        <v>6979</v>
      </c>
    </row>
    <row r="112" spans="1:12" ht="16.5" customHeight="1">
      <c r="A112" s="737">
        <v>108</v>
      </c>
      <c r="B112" s="1044"/>
      <c r="C112" s="279" t="s">
        <v>548</v>
      </c>
      <c r="D112" s="277">
        <v>91</v>
      </c>
      <c r="E112" s="277">
        <v>296</v>
      </c>
      <c r="F112" s="277">
        <v>387</v>
      </c>
      <c r="G112" s="277">
        <v>9</v>
      </c>
      <c r="H112" s="277">
        <v>14</v>
      </c>
      <c r="I112" s="277">
        <v>23</v>
      </c>
      <c r="J112" s="277">
        <v>1045</v>
      </c>
      <c r="K112" s="277">
        <v>2928</v>
      </c>
      <c r="L112" s="277">
        <v>3973</v>
      </c>
    </row>
    <row r="113" spans="1:12" ht="16.5" customHeight="1">
      <c r="A113" s="737">
        <v>109</v>
      </c>
      <c r="B113" s="1044"/>
      <c r="C113" s="276" t="s">
        <v>545</v>
      </c>
      <c r="D113" s="277">
        <v>44</v>
      </c>
      <c r="E113" s="277">
        <v>36</v>
      </c>
      <c r="F113" s="277">
        <v>80</v>
      </c>
      <c r="G113" s="277">
        <v>14</v>
      </c>
      <c r="H113" s="277">
        <v>19</v>
      </c>
      <c r="I113" s="277">
        <v>33</v>
      </c>
      <c r="J113" s="277">
        <v>7615</v>
      </c>
      <c r="K113" s="277">
        <v>6944</v>
      </c>
      <c r="L113" s="277">
        <v>14559</v>
      </c>
    </row>
    <row r="114" spans="1:12" ht="16.5" customHeight="1">
      <c r="A114" s="737">
        <v>110</v>
      </c>
      <c r="B114" s="1044"/>
      <c r="C114" s="276" t="s">
        <v>540</v>
      </c>
      <c r="D114" s="277">
        <v>627</v>
      </c>
      <c r="E114" s="277">
        <v>535</v>
      </c>
      <c r="F114" s="277">
        <v>1162</v>
      </c>
      <c r="G114" s="277">
        <v>83</v>
      </c>
      <c r="H114" s="277">
        <v>106</v>
      </c>
      <c r="I114" s="277">
        <v>189</v>
      </c>
      <c r="J114" s="277">
        <v>21579</v>
      </c>
      <c r="K114" s="277">
        <v>33016</v>
      </c>
      <c r="L114" s="277">
        <v>54595</v>
      </c>
    </row>
    <row r="115" spans="1:12" ht="16.5" customHeight="1">
      <c r="A115" s="737">
        <v>111</v>
      </c>
      <c r="B115" s="1044"/>
      <c r="C115" s="276" t="s">
        <v>627</v>
      </c>
      <c r="D115" s="277">
        <v>0</v>
      </c>
      <c r="E115" s="277"/>
      <c r="F115" s="277"/>
      <c r="G115" s="277">
        <v>0</v>
      </c>
      <c r="H115" s="277"/>
      <c r="I115" s="277"/>
      <c r="J115" s="277">
        <v>25</v>
      </c>
      <c r="K115" s="277">
        <v>29</v>
      </c>
      <c r="L115" s="277">
        <v>54</v>
      </c>
    </row>
    <row r="116" spans="1:12" ht="16.5" customHeight="1">
      <c r="A116" s="737">
        <v>112</v>
      </c>
      <c r="B116" s="1044"/>
      <c r="C116" s="276" t="s">
        <v>825</v>
      </c>
      <c r="D116" s="277">
        <v>0</v>
      </c>
      <c r="E116" s="277">
        <v>0</v>
      </c>
      <c r="F116" s="277">
        <v>0</v>
      </c>
      <c r="G116" s="277">
        <v>0</v>
      </c>
      <c r="H116" s="277"/>
      <c r="I116" s="277"/>
      <c r="J116" s="277">
        <v>23</v>
      </c>
      <c r="K116" s="277">
        <v>19</v>
      </c>
      <c r="L116" s="277">
        <v>42</v>
      </c>
    </row>
    <row r="117" spans="1:12" ht="16.5" customHeight="1">
      <c r="A117" s="737">
        <v>113</v>
      </c>
      <c r="B117" s="1044"/>
      <c r="C117" s="276" t="s">
        <v>547</v>
      </c>
      <c r="D117" s="277">
        <v>202</v>
      </c>
      <c r="E117" s="277">
        <v>245</v>
      </c>
      <c r="F117" s="277">
        <v>447</v>
      </c>
      <c r="G117" s="277">
        <v>26</v>
      </c>
      <c r="H117" s="277">
        <v>36</v>
      </c>
      <c r="I117" s="277">
        <v>62</v>
      </c>
      <c r="J117" s="277">
        <v>2206</v>
      </c>
      <c r="K117" s="277">
        <v>5413</v>
      </c>
      <c r="L117" s="277">
        <v>7619</v>
      </c>
    </row>
    <row r="118" spans="1:12" ht="16.5" customHeight="1">
      <c r="A118" s="737">
        <v>114</v>
      </c>
      <c r="B118" s="1044"/>
      <c r="C118" s="276" t="s">
        <v>185</v>
      </c>
      <c r="D118" s="277">
        <v>700</v>
      </c>
      <c r="E118" s="277">
        <v>551</v>
      </c>
      <c r="F118" s="277">
        <v>1251</v>
      </c>
      <c r="G118" s="277">
        <v>110</v>
      </c>
      <c r="H118" s="277">
        <v>84</v>
      </c>
      <c r="I118" s="277">
        <v>194</v>
      </c>
      <c r="J118" s="277">
        <v>11031</v>
      </c>
      <c r="K118" s="277">
        <v>21399</v>
      </c>
      <c r="L118" s="277">
        <v>32430</v>
      </c>
    </row>
    <row r="119" spans="1:12" ht="16.5" customHeight="1">
      <c r="A119" s="737">
        <v>115</v>
      </c>
      <c r="B119" s="1044"/>
      <c r="C119" s="276" t="s">
        <v>186</v>
      </c>
      <c r="D119" s="277">
        <v>0</v>
      </c>
      <c r="E119" s="277"/>
      <c r="F119" s="277"/>
      <c r="G119" s="277">
        <v>0</v>
      </c>
      <c r="H119" s="277"/>
      <c r="I119" s="277"/>
      <c r="J119" s="277">
        <v>0</v>
      </c>
      <c r="K119" s="277">
        <v>0</v>
      </c>
      <c r="L119" s="277">
        <v>0</v>
      </c>
    </row>
    <row r="120" spans="1:12" ht="16.5" customHeight="1">
      <c r="A120" s="737">
        <v>116</v>
      </c>
      <c r="B120" s="1044"/>
      <c r="C120" s="276" t="s">
        <v>543</v>
      </c>
      <c r="D120" s="277">
        <v>400</v>
      </c>
      <c r="E120" s="277">
        <v>653</v>
      </c>
      <c r="F120" s="277">
        <v>1053</v>
      </c>
      <c r="G120" s="277">
        <v>107</v>
      </c>
      <c r="H120" s="277">
        <v>325</v>
      </c>
      <c r="I120" s="277">
        <v>432</v>
      </c>
      <c r="J120" s="277">
        <v>4475</v>
      </c>
      <c r="K120" s="277">
        <v>9403</v>
      </c>
      <c r="L120" s="277">
        <v>13878</v>
      </c>
    </row>
    <row r="121" spans="1:12" ht="16.5" customHeight="1">
      <c r="A121" s="737">
        <v>117</v>
      </c>
      <c r="B121" s="1044"/>
      <c r="C121" s="276" t="s">
        <v>544</v>
      </c>
      <c r="D121" s="277">
        <v>204</v>
      </c>
      <c r="E121" s="277">
        <v>92</v>
      </c>
      <c r="F121" s="277">
        <v>296</v>
      </c>
      <c r="G121" s="277">
        <v>8</v>
      </c>
      <c r="H121" s="277">
        <v>8</v>
      </c>
      <c r="I121" s="277">
        <v>16</v>
      </c>
      <c r="J121" s="277">
        <v>4333</v>
      </c>
      <c r="K121" s="277">
        <v>7381</v>
      </c>
      <c r="L121" s="277">
        <v>11714</v>
      </c>
    </row>
    <row r="122" spans="1:12" ht="16.5" customHeight="1">
      <c r="A122" s="737">
        <v>118</v>
      </c>
      <c r="B122" s="1045"/>
      <c r="C122" s="279" t="s">
        <v>542</v>
      </c>
      <c r="D122" s="282">
        <v>400</v>
      </c>
      <c r="E122" s="282">
        <v>222</v>
      </c>
      <c r="F122" s="282">
        <v>622</v>
      </c>
      <c r="G122" s="282">
        <v>39</v>
      </c>
      <c r="H122" s="282">
        <v>33</v>
      </c>
      <c r="I122" s="282">
        <v>72</v>
      </c>
      <c r="J122" s="282">
        <v>11510</v>
      </c>
      <c r="K122" s="282">
        <v>15988</v>
      </c>
      <c r="L122" s="282">
        <v>27498</v>
      </c>
    </row>
    <row r="123" spans="1:12" ht="16.5" customHeight="1">
      <c r="A123" s="737">
        <v>119</v>
      </c>
      <c r="B123" s="753" t="s">
        <v>549</v>
      </c>
      <c r="C123" s="285"/>
      <c r="D123" s="281">
        <v>4448</v>
      </c>
      <c r="E123" s="281">
        <v>4540</v>
      </c>
      <c r="F123" s="281">
        <v>8988</v>
      </c>
      <c r="G123" s="281">
        <v>566</v>
      </c>
      <c r="H123" s="281">
        <v>818</v>
      </c>
      <c r="I123" s="281">
        <v>1384</v>
      </c>
      <c r="J123" s="281">
        <v>150736</v>
      </c>
      <c r="K123" s="281">
        <v>265001</v>
      </c>
      <c r="L123" s="281">
        <v>415737</v>
      </c>
    </row>
    <row r="124" spans="1:12" ht="16.5" customHeight="1">
      <c r="A124" s="737">
        <v>120</v>
      </c>
      <c r="B124" s="1043" t="s">
        <v>494</v>
      </c>
      <c r="C124" s="276" t="s">
        <v>551</v>
      </c>
      <c r="D124" s="277">
        <v>0</v>
      </c>
      <c r="E124" s="277"/>
      <c r="F124" s="277"/>
      <c r="G124" s="277">
        <v>0</v>
      </c>
      <c r="H124" s="277"/>
      <c r="I124" s="277"/>
      <c r="J124" s="277">
        <v>131</v>
      </c>
      <c r="K124" s="277">
        <v>71</v>
      </c>
      <c r="L124" s="277">
        <v>202</v>
      </c>
    </row>
    <row r="125" spans="1:12" ht="16.5" customHeight="1">
      <c r="A125" s="737">
        <v>121</v>
      </c>
      <c r="B125" s="1044"/>
      <c r="C125" s="276" t="s">
        <v>190</v>
      </c>
      <c r="D125" s="277">
        <v>560</v>
      </c>
      <c r="E125" s="277">
        <v>541</v>
      </c>
      <c r="F125" s="277">
        <v>1101</v>
      </c>
      <c r="G125" s="277">
        <v>7</v>
      </c>
      <c r="H125" s="277">
        <v>12</v>
      </c>
      <c r="I125" s="277">
        <v>19</v>
      </c>
      <c r="J125" s="277">
        <v>100142</v>
      </c>
      <c r="K125" s="277">
        <v>69221</v>
      </c>
      <c r="L125" s="277">
        <v>169363</v>
      </c>
    </row>
    <row r="126" spans="1:12" ht="16.5" customHeight="1">
      <c r="A126" s="737">
        <v>122</v>
      </c>
      <c r="B126" s="1044"/>
      <c r="C126" s="276" t="s">
        <v>550</v>
      </c>
      <c r="D126" s="277">
        <v>1153</v>
      </c>
      <c r="E126" s="277">
        <v>1508</v>
      </c>
      <c r="F126" s="277">
        <v>2661</v>
      </c>
      <c r="G126" s="277">
        <v>21</v>
      </c>
      <c r="H126" s="277">
        <v>125</v>
      </c>
      <c r="I126" s="277">
        <v>146</v>
      </c>
      <c r="J126" s="277">
        <v>20875</v>
      </c>
      <c r="K126" s="277">
        <v>24492</v>
      </c>
      <c r="L126" s="277">
        <v>45367</v>
      </c>
    </row>
    <row r="127" spans="1:12" ht="16.5" customHeight="1">
      <c r="A127" s="737">
        <v>123</v>
      </c>
      <c r="B127" s="1044"/>
      <c r="C127" s="276" t="s">
        <v>468</v>
      </c>
      <c r="D127" s="277">
        <v>258</v>
      </c>
      <c r="E127" s="277">
        <v>151</v>
      </c>
      <c r="F127" s="277">
        <v>409</v>
      </c>
      <c r="G127" s="277">
        <v>0</v>
      </c>
      <c r="H127" s="277">
        <v>0</v>
      </c>
      <c r="I127" s="277">
        <v>0</v>
      </c>
      <c r="J127" s="277">
        <v>7097</v>
      </c>
      <c r="K127" s="277">
        <v>5544</v>
      </c>
      <c r="L127" s="277">
        <v>12641</v>
      </c>
    </row>
    <row r="128" spans="1:12" ht="16.5" customHeight="1">
      <c r="A128" s="737">
        <v>124</v>
      </c>
      <c r="B128" s="1044"/>
      <c r="C128" s="279" t="s">
        <v>826</v>
      </c>
      <c r="D128" s="281">
        <v>6</v>
      </c>
      <c r="E128" s="281">
        <v>3</v>
      </c>
      <c r="F128" s="281">
        <v>9</v>
      </c>
      <c r="G128" s="281">
        <v>0</v>
      </c>
      <c r="H128" s="281"/>
      <c r="I128" s="281"/>
      <c r="J128" s="281">
        <v>984</v>
      </c>
      <c r="K128" s="281">
        <v>816</v>
      </c>
      <c r="L128" s="281">
        <v>1800</v>
      </c>
    </row>
    <row r="129" spans="1:12" ht="16.5" customHeight="1">
      <c r="A129" s="737">
        <v>125</v>
      </c>
      <c r="B129" s="1044"/>
      <c r="C129" s="279" t="s">
        <v>552</v>
      </c>
      <c r="D129" s="277">
        <v>0</v>
      </c>
      <c r="E129" s="277"/>
      <c r="F129" s="277"/>
      <c r="G129" s="277">
        <v>0</v>
      </c>
      <c r="H129" s="277"/>
      <c r="I129" s="277"/>
      <c r="J129" s="277">
        <v>44</v>
      </c>
      <c r="K129" s="277">
        <v>39</v>
      </c>
      <c r="L129" s="277">
        <v>83</v>
      </c>
    </row>
    <row r="130" spans="1:12" ht="16.5" customHeight="1">
      <c r="A130" s="737">
        <v>126</v>
      </c>
      <c r="B130" s="1045"/>
      <c r="C130" s="279" t="s">
        <v>610</v>
      </c>
      <c r="D130" s="277">
        <v>3</v>
      </c>
      <c r="E130" s="277">
        <v>4</v>
      </c>
      <c r="F130" s="277">
        <v>7</v>
      </c>
      <c r="G130" s="277">
        <v>0</v>
      </c>
      <c r="H130" s="277"/>
      <c r="I130" s="277"/>
      <c r="J130" s="277">
        <v>0</v>
      </c>
      <c r="K130" s="277"/>
      <c r="L130" s="277"/>
    </row>
    <row r="131" spans="1:12" ht="16.5" customHeight="1">
      <c r="A131" s="737">
        <v>127</v>
      </c>
      <c r="B131" s="753" t="s">
        <v>553</v>
      </c>
      <c r="C131" s="284"/>
      <c r="D131" s="281">
        <v>1980</v>
      </c>
      <c r="E131" s="281">
        <v>2207</v>
      </c>
      <c r="F131" s="281">
        <v>4187</v>
      </c>
      <c r="G131" s="281">
        <v>28</v>
      </c>
      <c r="H131" s="281">
        <v>137</v>
      </c>
      <c r="I131" s="281">
        <v>165</v>
      </c>
      <c r="J131" s="281">
        <v>129273</v>
      </c>
      <c r="K131" s="281">
        <v>100183</v>
      </c>
      <c r="L131" s="281">
        <v>229456</v>
      </c>
    </row>
    <row r="132" spans="1:12" ht="16.5" customHeight="1">
      <c r="A132" s="737">
        <v>128</v>
      </c>
      <c r="B132" s="1043" t="s">
        <v>180</v>
      </c>
      <c r="C132" s="276" t="s">
        <v>180</v>
      </c>
      <c r="D132" s="277">
        <v>711</v>
      </c>
      <c r="E132" s="277">
        <v>544</v>
      </c>
      <c r="F132" s="277">
        <v>1255</v>
      </c>
      <c r="G132" s="277">
        <v>5</v>
      </c>
      <c r="H132" s="277">
        <v>6</v>
      </c>
      <c r="I132" s="277">
        <v>11</v>
      </c>
      <c r="J132" s="277">
        <v>12352</v>
      </c>
      <c r="K132" s="277">
        <v>11559</v>
      </c>
      <c r="L132" s="277">
        <v>23911</v>
      </c>
    </row>
    <row r="133" spans="1:12" ht="16.5" customHeight="1">
      <c r="A133" s="737">
        <v>129</v>
      </c>
      <c r="B133" s="1045"/>
      <c r="C133" s="276" t="s">
        <v>827</v>
      </c>
      <c r="D133" s="277">
        <v>4</v>
      </c>
      <c r="E133" s="277">
        <v>6</v>
      </c>
      <c r="F133" s="277">
        <v>10</v>
      </c>
      <c r="G133" s="277">
        <v>0</v>
      </c>
      <c r="H133" s="277"/>
      <c r="I133" s="277"/>
      <c r="J133" s="277">
        <v>263</v>
      </c>
      <c r="K133" s="277">
        <v>278</v>
      </c>
      <c r="L133" s="277">
        <v>541</v>
      </c>
    </row>
    <row r="134" spans="1:12" ht="16.5" customHeight="1">
      <c r="A134" s="737">
        <v>130</v>
      </c>
      <c r="B134" s="753" t="s">
        <v>863</v>
      </c>
      <c r="C134" s="285"/>
      <c r="D134" s="281">
        <v>715</v>
      </c>
      <c r="E134" s="281">
        <v>550</v>
      </c>
      <c r="F134" s="281">
        <v>1265</v>
      </c>
      <c r="G134" s="281">
        <v>5</v>
      </c>
      <c r="H134" s="281">
        <v>6</v>
      </c>
      <c r="I134" s="281">
        <v>11</v>
      </c>
      <c r="J134" s="281">
        <v>12615</v>
      </c>
      <c r="K134" s="281">
        <v>11837</v>
      </c>
      <c r="L134" s="281">
        <v>24452</v>
      </c>
    </row>
    <row r="135" spans="1:12" ht="16.5" customHeight="1">
      <c r="A135" s="737">
        <v>131</v>
      </c>
      <c r="B135" s="1043" t="s">
        <v>8</v>
      </c>
      <c r="C135" s="279" t="s">
        <v>557</v>
      </c>
      <c r="D135" s="282">
        <v>0</v>
      </c>
      <c r="E135" s="282"/>
      <c r="F135" s="282"/>
      <c r="G135" s="282">
        <v>0</v>
      </c>
      <c r="H135" s="282"/>
      <c r="I135" s="282"/>
      <c r="J135" s="282">
        <v>156</v>
      </c>
      <c r="K135" s="282">
        <v>92</v>
      </c>
      <c r="L135" s="282">
        <v>248</v>
      </c>
    </row>
    <row r="136" spans="1:12" ht="16.5" customHeight="1">
      <c r="A136" s="737">
        <v>132</v>
      </c>
      <c r="B136" s="1044"/>
      <c r="C136" s="279" t="s">
        <v>554</v>
      </c>
      <c r="D136" s="277">
        <v>0</v>
      </c>
      <c r="E136" s="277">
        <v>0</v>
      </c>
      <c r="F136" s="277">
        <v>0</v>
      </c>
      <c r="G136" s="277">
        <v>0</v>
      </c>
      <c r="H136" s="277"/>
      <c r="I136" s="277"/>
      <c r="J136" s="277">
        <v>1159</v>
      </c>
      <c r="K136" s="277">
        <v>819</v>
      </c>
      <c r="L136" s="277">
        <v>1978</v>
      </c>
    </row>
    <row r="137" spans="1:12" ht="16.5" customHeight="1">
      <c r="A137" s="737">
        <v>133</v>
      </c>
      <c r="B137" s="1044"/>
      <c r="C137" s="279" t="s">
        <v>556</v>
      </c>
      <c r="D137" s="277">
        <v>0</v>
      </c>
      <c r="E137" s="277"/>
      <c r="F137" s="277"/>
      <c r="G137" s="277">
        <v>0</v>
      </c>
      <c r="H137" s="277"/>
      <c r="I137" s="277"/>
      <c r="J137" s="277">
        <v>73</v>
      </c>
      <c r="K137" s="277">
        <v>67</v>
      </c>
      <c r="L137" s="277">
        <v>140</v>
      </c>
    </row>
    <row r="138" spans="1:12" ht="16.5" customHeight="1">
      <c r="A138" s="737">
        <v>134</v>
      </c>
      <c r="B138" s="1044"/>
      <c r="C138" s="279" t="s">
        <v>555</v>
      </c>
      <c r="D138" s="277">
        <v>0</v>
      </c>
      <c r="E138" s="277"/>
      <c r="F138" s="277"/>
      <c r="G138" s="277">
        <v>0</v>
      </c>
      <c r="H138" s="277"/>
      <c r="I138" s="277"/>
      <c r="J138" s="277">
        <v>125</v>
      </c>
      <c r="K138" s="277">
        <v>124</v>
      </c>
      <c r="L138" s="277">
        <v>249</v>
      </c>
    </row>
    <row r="139" spans="1:12" ht="16.5" customHeight="1">
      <c r="A139" s="737">
        <v>135</v>
      </c>
      <c r="B139" s="1045"/>
      <c r="C139" s="283" t="s">
        <v>8</v>
      </c>
      <c r="D139" s="287">
        <v>1746</v>
      </c>
      <c r="E139" s="287">
        <v>1805</v>
      </c>
      <c r="F139" s="287">
        <v>3551</v>
      </c>
      <c r="G139" s="287">
        <v>4</v>
      </c>
      <c r="H139" s="287">
        <v>2</v>
      </c>
      <c r="I139" s="287">
        <v>6</v>
      </c>
      <c r="J139" s="287">
        <v>25350</v>
      </c>
      <c r="K139" s="287">
        <v>19704</v>
      </c>
      <c r="L139" s="287">
        <v>45054</v>
      </c>
    </row>
    <row r="140" spans="1:12" ht="16.5" customHeight="1">
      <c r="A140" s="737">
        <v>136</v>
      </c>
      <c r="B140" s="753" t="s">
        <v>558</v>
      </c>
      <c r="C140" s="748"/>
      <c r="D140" s="750">
        <v>1746</v>
      </c>
      <c r="E140" s="750">
        <v>1805</v>
      </c>
      <c r="F140" s="750">
        <v>3551</v>
      </c>
      <c r="G140" s="750">
        <v>4</v>
      </c>
      <c r="H140" s="750">
        <v>2</v>
      </c>
      <c r="I140" s="750">
        <v>6</v>
      </c>
      <c r="J140" s="750">
        <v>26863</v>
      </c>
      <c r="K140" s="750">
        <v>20806</v>
      </c>
      <c r="L140" s="750">
        <v>47669</v>
      </c>
    </row>
    <row r="141" spans="1:12" ht="16.5" customHeight="1">
      <c r="A141" s="737">
        <v>137</v>
      </c>
      <c r="B141" s="753" t="s">
        <v>499</v>
      </c>
      <c r="C141" s="738" t="s">
        <v>499</v>
      </c>
      <c r="D141" s="754">
        <v>444</v>
      </c>
      <c r="E141" s="754">
        <v>341</v>
      </c>
      <c r="F141" s="754">
        <v>785</v>
      </c>
      <c r="G141" s="754">
        <v>41</v>
      </c>
      <c r="H141" s="754">
        <v>51</v>
      </c>
      <c r="I141" s="754">
        <v>92</v>
      </c>
      <c r="J141" s="754">
        <v>6479</v>
      </c>
      <c r="K141" s="754">
        <v>6718</v>
      </c>
      <c r="L141" s="754">
        <v>13197</v>
      </c>
    </row>
    <row r="142" spans="1:12" ht="16.5" customHeight="1">
      <c r="A142" s="737">
        <v>138</v>
      </c>
      <c r="B142" s="753" t="s">
        <v>1036</v>
      </c>
      <c r="C142" s="275"/>
      <c r="D142" s="755">
        <v>444</v>
      </c>
      <c r="E142" s="755">
        <v>341</v>
      </c>
      <c r="F142" s="755">
        <v>785</v>
      </c>
      <c r="G142" s="755">
        <v>41</v>
      </c>
      <c r="H142" s="755">
        <v>51</v>
      </c>
      <c r="I142" s="755">
        <v>92</v>
      </c>
      <c r="J142" s="755">
        <v>6479</v>
      </c>
      <c r="K142" s="755">
        <v>6718</v>
      </c>
      <c r="L142" s="755">
        <v>13197</v>
      </c>
    </row>
    <row r="143" spans="1:12" ht="16.5" customHeight="1">
      <c r="A143" s="737">
        <v>139</v>
      </c>
      <c r="B143" s="753" t="s">
        <v>501</v>
      </c>
      <c r="C143" s="283" t="s">
        <v>501</v>
      </c>
      <c r="D143" s="754">
        <v>711</v>
      </c>
      <c r="E143" s="754">
        <v>584</v>
      </c>
      <c r="F143" s="754">
        <v>1295</v>
      </c>
      <c r="G143" s="754">
        <v>21</v>
      </c>
      <c r="H143" s="754">
        <v>56</v>
      </c>
      <c r="I143" s="754">
        <v>77</v>
      </c>
      <c r="J143" s="754">
        <v>90</v>
      </c>
      <c r="K143" s="754">
        <v>281</v>
      </c>
      <c r="L143" s="754">
        <v>371</v>
      </c>
    </row>
    <row r="144" spans="1:12" ht="16.5" customHeight="1">
      <c r="A144" s="737">
        <v>140</v>
      </c>
      <c r="B144" s="753" t="s">
        <v>1037</v>
      </c>
      <c r="C144" s="284"/>
      <c r="D144" s="755">
        <v>711</v>
      </c>
      <c r="E144" s="755">
        <v>584</v>
      </c>
      <c r="F144" s="755">
        <v>1295</v>
      </c>
      <c r="G144" s="755">
        <v>21</v>
      </c>
      <c r="H144" s="755">
        <v>56</v>
      </c>
      <c r="I144" s="755">
        <v>77</v>
      </c>
      <c r="J144" s="755">
        <v>90</v>
      </c>
      <c r="K144" s="755">
        <v>281</v>
      </c>
      <c r="L144" s="755">
        <v>371</v>
      </c>
    </row>
    <row r="145" spans="1:12" s="743" customFormat="1" ht="16.5" customHeight="1">
      <c r="A145" s="737">
        <v>141</v>
      </c>
      <c r="B145" s="1043" t="s">
        <v>182</v>
      </c>
      <c r="C145" s="283" t="s">
        <v>567</v>
      </c>
      <c r="D145" s="754">
        <v>9</v>
      </c>
      <c r="E145" s="754">
        <v>7</v>
      </c>
      <c r="F145" s="754">
        <v>16</v>
      </c>
      <c r="G145" s="754">
        <v>0</v>
      </c>
      <c r="H145" s="754"/>
      <c r="I145" s="754"/>
      <c r="J145" s="754">
        <v>1220</v>
      </c>
      <c r="K145" s="754">
        <v>579</v>
      </c>
      <c r="L145" s="754">
        <v>1799</v>
      </c>
    </row>
    <row r="146" spans="1:12" ht="16.5" customHeight="1">
      <c r="A146" s="737">
        <v>142</v>
      </c>
      <c r="B146" s="1044"/>
      <c r="C146" s="283" t="s">
        <v>831</v>
      </c>
      <c r="D146" s="752">
        <v>0</v>
      </c>
      <c r="E146" s="752"/>
      <c r="F146" s="752"/>
      <c r="G146" s="754">
        <v>0</v>
      </c>
      <c r="H146" s="754"/>
      <c r="I146" s="754"/>
      <c r="J146" s="752">
        <v>131</v>
      </c>
      <c r="K146" s="752">
        <v>123</v>
      </c>
      <c r="L146" s="752">
        <v>254</v>
      </c>
    </row>
    <row r="147" spans="1:12" ht="16.5" customHeight="1">
      <c r="A147" s="737">
        <v>143</v>
      </c>
      <c r="B147" s="1044"/>
      <c r="C147" s="751" t="s">
        <v>559</v>
      </c>
      <c r="D147" s="752">
        <v>2148</v>
      </c>
      <c r="E147" s="752">
        <v>1860</v>
      </c>
      <c r="F147" s="752">
        <v>4008</v>
      </c>
      <c r="G147" s="752">
        <v>34</v>
      </c>
      <c r="H147" s="752">
        <v>24</v>
      </c>
      <c r="I147" s="752">
        <v>58</v>
      </c>
      <c r="J147" s="752">
        <v>358895</v>
      </c>
      <c r="K147" s="752">
        <v>261908</v>
      </c>
      <c r="L147" s="752">
        <v>620803</v>
      </c>
    </row>
    <row r="148" spans="1:12" ht="16.5" customHeight="1">
      <c r="A148" s="737">
        <v>144</v>
      </c>
      <c r="B148" s="1044"/>
      <c r="C148" s="751" t="s">
        <v>560</v>
      </c>
      <c r="D148" s="752">
        <v>2627</v>
      </c>
      <c r="E148" s="752">
        <v>2327</v>
      </c>
      <c r="F148" s="752">
        <v>4954</v>
      </c>
      <c r="G148" s="752">
        <v>31</v>
      </c>
      <c r="H148" s="752">
        <v>27</v>
      </c>
      <c r="I148" s="752">
        <v>58</v>
      </c>
      <c r="J148" s="752">
        <v>17511</v>
      </c>
      <c r="K148" s="752">
        <v>11161</v>
      </c>
      <c r="L148" s="752">
        <v>28672</v>
      </c>
    </row>
    <row r="149" spans="1:12" ht="16.5" customHeight="1">
      <c r="A149" s="737">
        <v>145</v>
      </c>
      <c r="B149" s="1044"/>
      <c r="C149" s="283" t="s">
        <v>829</v>
      </c>
      <c r="D149" s="752">
        <v>0</v>
      </c>
      <c r="E149" s="752"/>
      <c r="F149" s="752"/>
      <c r="G149" s="752">
        <v>0</v>
      </c>
      <c r="H149" s="752">
        <v>0</v>
      </c>
      <c r="I149" s="752">
        <v>0</v>
      </c>
      <c r="J149" s="752">
        <v>721</v>
      </c>
      <c r="K149" s="752">
        <v>477</v>
      </c>
      <c r="L149" s="752">
        <v>1198</v>
      </c>
    </row>
    <row r="150" spans="1:12" ht="16.5" customHeight="1">
      <c r="A150" s="737">
        <v>146</v>
      </c>
      <c r="B150" s="1044"/>
      <c r="C150" s="283" t="s">
        <v>832</v>
      </c>
      <c r="D150" s="752">
        <v>0</v>
      </c>
      <c r="E150" s="752"/>
      <c r="F150" s="752"/>
      <c r="G150" s="752">
        <v>0</v>
      </c>
      <c r="H150" s="752"/>
      <c r="I150" s="752"/>
      <c r="J150" s="752">
        <v>296</v>
      </c>
      <c r="K150" s="752">
        <v>392</v>
      </c>
      <c r="L150" s="752">
        <v>688</v>
      </c>
    </row>
    <row r="151" spans="1:12" ht="16.5" customHeight="1">
      <c r="A151" s="737">
        <v>147</v>
      </c>
      <c r="B151" s="1044"/>
      <c r="C151" s="738" t="s">
        <v>563</v>
      </c>
      <c r="D151" s="752">
        <v>45</v>
      </c>
      <c r="E151" s="752">
        <v>61</v>
      </c>
      <c r="F151" s="752">
        <v>106</v>
      </c>
      <c r="G151" s="752">
        <v>0</v>
      </c>
      <c r="H151" s="752">
        <v>1</v>
      </c>
      <c r="I151" s="752">
        <v>1</v>
      </c>
      <c r="J151" s="752">
        <v>3039</v>
      </c>
      <c r="K151" s="752">
        <v>2419</v>
      </c>
      <c r="L151" s="752">
        <v>5458</v>
      </c>
    </row>
    <row r="152" spans="1:12" ht="16.5" customHeight="1">
      <c r="A152" s="737">
        <v>148</v>
      </c>
      <c r="B152" s="1044"/>
      <c r="C152" s="738" t="s">
        <v>1038</v>
      </c>
      <c r="D152" s="752">
        <v>0</v>
      </c>
      <c r="E152" s="752"/>
      <c r="F152" s="752"/>
      <c r="G152" s="752">
        <v>0</v>
      </c>
      <c r="H152" s="752"/>
      <c r="I152" s="752"/>
      <c r="J152" s="752">
        <v>69</v>
      </c>
      <c r="K152" s="752">
        <v>40</v>
      </c>
      <c r="L152" s="752">
        <v>109</v>
      </c>
    </row>
    <row r="153" spans="1:12" ht="16.5" customHeight="1">
      <c r="A153" s="737">
        <v>149</v>
      </c>
      <c r="B153" s="1044"/>
      <c r="C153" s="283" t="s">
        <v>488</v>
      </c>
      <c r="D153" s="752">
        <v>12</v>
      </c>
      <c r="E153" s="752">
        <v>15</v>
      </c>
      <c r="F153" s="752">
        <v>27</v>
      </c>
      <c r="G153" s="752">
        <v>0</v>
      </c>
      <c r="H153" s="752">
        <v>1</v>
      </c>
      <c r="I153" s="752">
        <v>1</v>
      </c>
      <c r="J153" s="752">
        <v>2990</v>
      </c>
      <c r="K153" s="752">
        <v>3603</v>
      </c>
      <c r="L153" s="752">
        <v>6593</v>
      </c>
    </row>
    <row r="154" spans="1:12" ht="16.5" customHeight="1">
      <c r="A154" s="737">
        <v>150</v>
      </c>
      <c r="B154" s="1044"/>
      <c r="C154" s="283" t="s">
        <v>570</v>
      </c>
      <c r="D154" s="752">
        <v>131</v>
      </c>
      <c r="E154" s="752">
        <v>61</v>
      </c>
      <c r="F154" s="752">
        <v>192</v>
      </c>
      <c r="G154" s="752">
        <v>0</v>
      </c>
      <c r="H154" s="752">
        <v>0</v>
      </c>
      <c r="I154" s="752">
        <v>0</v>
      </c>
      <c r="J154" s="752">
        <v>698</v>
      </c>
      <c r="K154" s="752">
        <v>306</v>
      </c>
      <c r="L154" s="752">
        <v>1004</v>
      </c>
    </row>
    <row r="155" spans="1:12" ht="16.5" customHeight="1">
      <c r="A155" s="737">
        <v>151</v>
      </c>
      <c r="B155" s="1044"/>
      <c r="C155" s="738" t="s">
        <v>564</v>
      </c>
      <c r="D155" s="752">
        <v>26</v>
      </c>
      <c r="E155" s="752">
        <v>48</v>
      </c>
      <c r="F155" s="752">
        <v>74</v>
      </c>
      <c r="G155" s="752">
        <v>1</v>
      </c>
      <c r="H155" s="752">
        <v>2</v>
      </c>
      <c r="I155" s="752">
        <v>3</v>
      </c>
      <c r="J155" s="752">
        <v>3641</v>
      </c>
      <c r="K155" s="752">
        <v>3703</v>
      </c>
      <c r="L155" s="752">
        <v>7344</v>
      </c>
    </row>
    <row r="156" spans="1:12" ht="16.5" customHeight="1">
      <c r="A156" s="737">
        <v>152</v>
      </c>
      <c r="B156" s="1044"/>
      <c r="C156" s="738" t="s">
        <v>566</v>
      </c>
      <c r="D156" s="752">
        <v>24</v>
      </c>
      <c r="E156" s="752">
        <v>9</v>
      </c>
      <c r="F156" s="752">
        <v>33</v>
      </c>
      <c r="G156" s="752">
        <v>0</v>
      </c>
      <c r="H156" s="752"/>
      <c r="I156" s="752"/>
      <c r="J156" s="752">
        <v>1957</v>
      </c>
      <c r="K156" s="752">
        <v>1405</v>
      </c>
      <c r="L156" s="752">
        <v>3362</v>
      </c>
    </row>
    <row r="157" spans="1:12" ht="16.5" customHeight="1">
      <c r="A157" s="737">
        <v>153</v>
      </c>
      <c r="B157" s="1044"/>
      <c r="C157" s="738" t="s">
        <v>182</v>
      </c>
      <c r="D157" s="752">
        <v>27</v>
      </c>
      <c r="E157" s="752">
        <v>65</v>
      </c>
      <c r="F157" s="752">
        <v>92</v>
      </c>
      <c r="G157" s="752">
        <v>0</v>
      </c>
      <c r="H157" s="752"/>
      <c r="I157" s="752"/>
      <c r="J157" s="752">
        <v>838</v>
      </c>
      <c r="K157" s="752">
        <v>558</v>
      </c>
      <c r="L157" s="752">
        <v>1396</v>
      </c>
    </row>
    <row r="158" spans="1:12" ht="16.5" customHeight="1">
      <c r="A158" s="737">
        <v>154</v>
      </c>
      <c r="B158" s="1044"/>
      <c r="C158" s="738" t="s">
        <v>828</v>
      </c>
      <c r="D158" s="752">
        <v>135</v>
      </c>
      <c r="E158" s="752">
        <v>99</v>
      </c>
      <c r="F158" s="752">
        <v>234</v>
      </c>
      <c r="G158" s="752">
        <v>21</v>
      </c>
      <c r="H158" s="752">
        <v>1</v>
      </c>
      <c r="I158" s="752">
        <v>22</v>
      </c>
      <c r="J158" s="752">
        <v>2001</v>
      </c>
      <c r="K158" s="752">
        <v>1373</v>
      </c>
      <c r="L158" s="752">
        <v>3374</v>
      </c>
    </row>
    <row r="159" spans="1:12" ht="16.5" customHeight="1">
      <c r="A159" s="737">
        <v>155</v>
      </c>
      <c r="B159" s="1044"/>
      <c r="C159" s="738" t="s">
        <v>565</v>
      </c>
      <c r="D159" s="752">
        <v>60</v>
      </c>
      <c r="E159" s="752">
        <v>90</v>
      </c>
      <c r="F159" s="752">
        <v>150</v>
      </c>
      <c r="G159" s="752">
        <v>9</v>
      </c>
      <c r="H159" s="752">
        <v>3</v>
      </c>
      <c r="I159" s="752">
        <v>12</v>
      </c>
      <c r="J159" s="752">
        <v>2077</v>
      </c>
      <c r="K159" s="752">
        <v>1256</v>
      </c>
      <c r="L159" s="752">
        <v>3333</v>
      </c>
    </row>
    <row r="160" spans="1:12" ht="16.5" customHeight="1">
      <c r="A160" s="737">
        <v>156</v>
      </c>
      <c r="B160" s="1044"/>
      <c r="C160" s="738" t="s">
        <v>561</v>
      </c>
      <c r="D160" s="752">
        <v>1329</v>
      </c>
      <c r="E160" s="752">
        <v>1212</v>
      </c>
      <c r="F160" s="752">
        <v>2541</v>
      </c>
      <c r="G160" s="752">
        <v>3</v>
      </c>
      <c r="H160" s="752">
        <v>7</v>
      </c>
      <c r="I160" s="752">
        <v>10</v>
      </c>
      <c r="J160" s="752">
        <v>20445</v>
      </c>
      <c r="K160" s="752">
        <v>11909</v>
      </c>
      <c r="L160" s="752">
        <v>32354</v>
      </c>
    </row>
    <row r="161" spans="1:12" ht="16.5" customHeight="1">
      <c r="A161" s="737">
        <v>157</v>
      </c>
      <c r="B161" s="1044"/>
      <c r="C161" s="738" t="s">
        <v>568</v>
      </c>
      <c r="D161" s="752">
        <v>0</v>
      </c>
      <c r="E161" s="752"/>
      <c r="F161" s="752"/>
      <c r="G161" s="752">
        <v>0</v>
      </c>
      <c r="H161" s="752"/>
      <c r="I161" s="752"/>
      <c r="J161" s="752">
        <v>128</v>
      </c>
      <c r="K161" s="752">
        <v>108</v>
      </c>
      <c r="L161" s="752">
        <v>236</v>
      </c>
    </row>
    <row r="162" spans="1:12" ht="16.5" customHeight="1">
      <c r="A162" s="737">
        <v>158</v>
      </c>
      <c r="B162" s="1044"/>
      <c r="C162" s="738" t="s">
        <v>1039</v>
      </c>
      <c r="D162" s="752">
        <v>0</v>
      </c>
      <c r="E162" s="752"/>
      <c r="F162" s="752"/>
      <c r="G162" s="752">
        <v>0</v>
      </c>
      <c r="H162" s="752"/>
      <c r="I162" s="752"/>
      <c r="J162" s="752">
        <v>7</v>
      </c>
      <c r="K162" s="752">
        <v>4</v>
      </c>
      <c r="L162" s="752">
        <v>11</v>
      </c>
    </row>
    <row r="163" spans="1:12" ht="16.5" customHeight="1">
      <c r="A163" s="737">
        <v>159</v>
      </c>
      <c r="B163" s="1044"/>
      <c r="C163" s="738" t="s">
        <v>830</v>
      </c>
      <c r="D163" s="752">
        <v>0</v>
      </c>
      <c r="E163" s="752"/>
      <c r="F163" s="752"/>
      <c r="G163" s="752">
        <v>0</v>
      </c>
      <c r="H163" s="752"/>
      <c r="I163" s="752"/>
      <c r="J163" s="752">
        <v>216</v>
      </c>
      <c r="K163" s="752">
        <v>222</v>
      </c>
      <c r="L163" s="752">
        <v>438</v>
      </c>
    </row>
    <row r="164" spans="1:12" ht="16.5" customHeight="1">
      <c r="A164" s="737">
        <v>160</v>
      </c>
      <c r="B164" s="1044"/>
      <c r="C164" s="738" t="s">
        <v>562</v>
      </c>
      <c r="D164" s="752">
        <v>5</v>
      </c>
      <c r="E164" s="752">
        <v>3</v>
      </c>
      <c r="F164" s="752">
        <v>8</v>
      </c>
      <c r="G164" s="752">
        <v>0</v>
      </c>
      <c r="H164" s="752"/>
      <c r="I164" s="752"/>
      <c r="J164" s="752">
        <v>2331</v>
      </c>
      <c r="K164" s="752">
        <v>1416</v>
      </c>
      <c r="L164" s="752">
        <v>3747</v>
      </c>
    </row>
    <row r="165" spans="1:12" ht="16.5" customHeight="1">
      <c r="A165" s="737">
        <v>161</v>
      </c>
      <c r="B165" s="1045"/>
      <c r="C165" s="751" t="s">
        <v>569</v>
      </c>
      <c r="D165" s="752">
        <v>90</v>
      </c>
      <c r="E165" s="752">
        <v>52</v>
      </c>
      <c r="F165" s="752">
        <v>142</v>
      </c>
      <c r="G165" s="752">
        <v>0</v>
      </c>
      <c r="H165" s="752"/>
      <c r="I165" s="752"/>
      <c r="J165" s="752">
        <v>3656</v>
      </c>
      <c r="K165" s="752">
        <v>2445</v>
      </c>
      <c r="L165" s="752">
        <v>6101</v>
      </c>
    </row>
    <row r="166" spans="1:12" ht="16.5" customHeight="1">
      <c r="A166" s="737">
        <v>162</v>
      </c>
      <c r="B166" s="753" t="s">
        <v>571</v>
      </c>
      <c r="C166" s="748"/>
      <c r="D166" s="750">
        <v>6668</v>
      </c>
      <c r="E166" s="750">
        <v>5909</v>
      </c>
      <c r="F166" s="750">
        <v>12577</v>
      </c>
      <c r="G166" s="750">
        <v>99</v>
      </c>
      <c r="H166" s="750">
        <v>66</v>
      </c>
      <c r="I166" s="750">
        <v>165</v>
      </c>
      <c r="J166" s="750">
        <v>422867</v>
      </c>
      <c r="K166" s="750">
        <v>305407</v>
      </c>
      <c r="L166" s="750">
        <v>728274</v>
      </c>
    </row>
    <row r="167" spans="1:12" ht="16.5" customHeight="1">
      <c r="A167" s="737">
        <v>163</v>
      </c>
      <c r="B167" s="753" t="s">
        <v>512</v>
      </c>
      <c r="C167" s="738" t="s">
        <v>512</v>
      </c>
      <c r="D167" s="752">
        <v>81</v>
      </c>
      <c r="E167" s="752">
        <v>155</v>
      </c>
      <c r="F167" s="752">
        <v>236</v>
      </c>
      <c r="G167" s="752">
        <v>3</v>
      </c>
      <c r="H167" s="752">
        <v>1</v>
      </c>
      <c r="I167" s="752">
        <v>4</v>
      </c>
      <c r="J167" s="752">
        <v>341</v>
      </c>
      <c r="K167" s="752">
        <v>588</v>
      </c>
      <c r="L167" s="752">
        <v>929</v>
      </c>
    </row>
    <row r="168" spans="1:12" ht="16.5" customHeight="1">
      <c r="A168" s="737">
        <v>164</v>
      </c>
      <c r="B168" s="753" t="s">
        <v>1040</v>
      </c>
      <c r="C168" s="748"/>
      <c r="D168" s="750">
        <v>81</v>
      </c>
      <c r="E168" s="750">
        <v>155</v>
      </c>
      <c r="F168" s="750">
        <v>236</v>
      </c>
      <c r="G168" s="750">
        <v>3</v>
      </c>
      <c r="H168" s="750">
        <v>1</v>
      </c>
      <c r="I168" s="750">
        <v>4</v>
      </c>
      <c r="J168" s="750">
        <v>341</v>
      </c>
      <c r="K168" s="750">
        <v>588</v>
      </c>
      <c r="L168" s="750">
        <v>929</v>
      </c>
    </row>
    <row r="169" spans="1:12" ht="16.5" customHeight="1">
      <c r="A169" s="737">
        <v>165</v>
      </c>
      <c r="B169" s="1043" t="s">
        <v>479</v>
      </c>
      <c r="C169" s="738" t="s">
        <v>584</v>
      </c>
      <c r="D169" s="752">
        <v>44</v>
      </c>
      <c r="E169" s="752">
        <v>57</v>
      </c>
      <c r="F169" s="752">
        <v>101</v>
      </c>
      <c r="G169" s="752">
        <v>0</v>
      </c>
      <c r="H169" s="752"/>
      <c r="I169" s="752"/>
      <c r="J169" s="752">
        <v>443</v>
      </c>
      <c r="K169" s="752">
        <v>525</v>
      </c>
      <c r="L169" s="752">
        <v>968</v>
      </c>
    </row>
    <row r="170" spans="1:12" ht="16.5" customHeight="1">
      <c r="A170" s="737">
        <v>166</v>
      </c>
      <c r="B170" s="1044"/>
      <c r="C170" s="738" t="s">
        <v>572</v>
      </c>
      <c r="D170" s="752">
        <v>32</v>
      </c>
      <c r="E170" s="752">
        <v>22</v>
      </c>
      <c r="F170" s="752">
        <v>54</v>
      </c>
      <c r="G170" s="752">
        <v>0</v>
      </c>
      <c r="H170" s="752"/>
      <c r="I170" s="752"/>
      <c r="J170" s="752">
        <v>3246</v>
      </c>
      <c r="K170" s="752">
        <v>4197</v>
      </c>
      <c r="L170" s="752">
        <v>7443</v>
      </c>
    </row>
    <row r="171" spans="1:12" ht="16.5" customHeight="1">
      <c r="A171" s="737">
        <v>167</v>
      </c>
      <c r="B171" s="1044"/>
      <c r="C171" s="738" t="s">
        <v>482</v>
      </c>
      <c r="D171" s="752">
        <v>464</v>
      </c>
      <c r="E171" s="752">
        <v>429</v>
      </c>
      <c r="F171" s="752">
        <v>893</v>
      </c>
      <c r="G171" s="752">
        <v>1</v>
      </c>
      <c r="H171" s="752">
        <v>5</v>
      </c>
      <c r="I171" s="752">
        <v>6</v>
      </c>
      <c r="J171" s="752">
        <v>3273</v>
      </c>
      <c r="K171" s="752">
        <v>6232</v>
      </c>
      <c r="L171" s="752">
        <v>9505</v>
      </c>
    </row>
    <row r="172" spans="1:12" ht="16.5" customHeight="1">
      <c r="A172" s="737">
        <v>168</v>
      </c>
      <c r="B172" s="1044"/>
      <c r="C172" s="738" t="s">
        <v>578</v>
      </c>
      <c r="D172" s="752">
        <v>168</v>
      </c>
      <c r="E172" s="752">
        <v>256</v>
      </c>
      <c r="F172" s="752">
        <v>424</v>
      </c>
      <c r="G172" s="752">
        <v>0</v>
      </c>
      <c r="H172" s="752">
        <v>1</v>
      </c>
      <c r="I172" s="752">
        <v>1</v>
      </c>
      <c r="J172" s="752">
        <v>1361</v>
      </c>
      <c r="K172" s="752">
        <v>2082</v>
      </c>
      <c r="L172" s="752">
        <v>3443</v>
      </c>
    </row>
    <row r="173" spans="1:12" ht="16.5" customHeight="1">
      <c r="A173" s="737">
        <v>169</v>
      </c>
      <c r="B173" s="1044"/>
      <c r="C173" s="283" t="s">
        <v>600</v>
      </c>
      <c r="D173" s="752">
        <v>23</v>
      </c>
      <c r="E173" s="752">
        <v>31</v>
      </c>
      <c r="F173" s="752">
        <v>54</v>
      </c>
      <c r="G173" s="752">
        <v>2</v>
      </c>
      <c r="H173" s="752">
        <v>0</v>
      </c>
      <c r="I173" s="752">
        <v>2</v>
      </c>
      <c r="J173" s="752">
        <v>25</v>
      </c>
      <c r="K173" s="752">
        <v>7</v>
      </c>
      <c r="L173" s="752">
        <v>32</v>
      </c>
    </row>
    <row r="174" spans="1:12" ht="16.5" customHeight="1">
      <c r="A174" s="737">
        <v>170</v>
      </c>
      <c r="B174" s="1044"/>
      <c r="C174" s="738" t="s">
        <v>596</v>
      </c>
      <c r="D174" s="752">
        <v>2</v>
      </c>
      <c r="E174" s="752">
        <v>0</v>
      </c>
      <c r="F174" s="752">
        <v>2</v>
      </c>
      <c r="G174" s="752">
        <v>0</v>
      </c>
      <c r="H174" s="752"/>
      <c r="I174" s="752"/>
      <c r="J174" s="752">
        <v>61</v>
      </c>
      <c r="K174" s="752">
        <v>97</v>
      </c>
      <c r="L174" s="752">
        <v>158</v>
      </c>
    </row>
    <row r="175" spans="1:12" ht="16.5" customHeight="1">
      <c r="A175" s="737">
        <v>171</v>
      </c>
      <c r="B175" s="1044"/>
      <c r="C175" s="738" t="s">
        <v>587</v>
      </c>
      <c r="D175" s="752">
        <v>427</v>
      </c>
      <c r="E175" s="752">
        <v>696</v>
      </c>
      <c r="F175" s="752">
        <v>1123</v>
      </c>
      <c r="G175" s="752">
        <v>2</v>
      </c>
      <c r="H175" s="752">
        <v>8</v>
      </c>
      <c r="I175" s="752">
        <v>10</v>
      </c>
      <c r="J175" s="752">
        <v>2065</v>
      </c>
      <c r="K175" s="752">
        <v>4355</v>
      </c>
      <c r="L175" s="752">
        <v>6420</v>
      </c>
    </row>
    <row r="176" spans="1:12" ht="16.5" customHeight="1">
      <c r="A176" s="737">
        <v>172</v>
      </c>
      <c r="B176" s="1044"/>
      <c r="C176" s="738" t="s">
        <v>590</v>
      </c>
      <c r="D176" s="752">
        <v>183</v>
      </c>
      <c r="E176" s="752">
        <v>40</v>
      </c>
      <c r="F176" s="752">
        <v>223</v>
      </c>
      <c r="G176" s="752">
        <v>0</v>
      </c>
      <c r="H176" s="752"/>
      <c r="I176" s="752"/>
      <c r="J176" s="752">
        <v>220</v>
      </c>
      <c r="K176" s="752">
        <v>78</v>
      </c>
      <c r="L176" s="752">
        <v>298</v>
      </c>
    </row>
    <row r="177" spans="1:12" ht="16.5" customHeight="1">
      <c r="A177" s="737">
        <v>173</v>
      </c>
      <c r="B177" s="1044"/>
      <c r="C177" s="738" t="s">
        <v>481</v>
      </c>
      <c r="D177" s="752">
        <v>338</v>
      </c>
      <c r="E177" s="752">
        <v>365</v>
      </c>
      <c r="F177" s="752">
        <v>703</v>
      </c>
      <c r="G177" s="752">
        <v>0</v>
      </c>
      <c r="H177" s="752"/>
      <c r="I177" s="752"/>
      <c r="J177" s="752">
        <v>5430</v>
      </c>
      <c r="K177" s="752">
        <v>11852</v>
      </c>
      <c r="L177" s="752">
        <v>17282</v>
      </c>
    </row>
    <row r="178" spans="1:12" ht="16.5" customHeight="1">
      <c r="A178" s="737">
        <v>174</v>
      </c>
      <c r="B178" s="1044"/>
      <c r="C178" s="738" t="s">
        <v>582</v>
      </c>
      <c r="D178" s="750">
        <v>0</v>
      </c>
      <c r="E178" s="750">
        <v>3</v>
      </c>
      <c r="F178" s="750">
        <v>3</v>
      </c>
      <c r="G178" s="750">
        <v>0</v>
      </c>
      <c r="H178" s="750"/>
      <c r="I178" s="750"/>
      <c r="J178" s="750">
        <v>708</v>
      </c>
      <c r="K178" s="750">
        <v>1496</v>
      </c>
      <c r="L178" s="750">
        <v>2204</v>
      </c>
    </row>
    <row r="179" spans="1:12" ht="16.5" customHeight="1">
      <c r="A179" s="737">
        <v>175</v>
      </c>
      <c r="B179" s="1044"/>
      <c r="C179" s="751" t="s">
        <v>599</v>
      </c>
      <c r="D179" s="752">
        <v>45</v>
      </c>
      <c r="E179" s="752">
        <v>38</v>
      </c>
      <c r="F179" s="752">
        <v>83</v>
      </c>
      <c r="G179" s="752">
        <v>0</v>
      </c>
      <c r="H179" s="752"/>
      <c r="I179" s="752"/>
      <c r="J179" s="752">
        <v>51</v>
      </c>
      <c r="K179" s="752">
        <v>29</v>
      </c>
      <c r="L179" s="752">
        <v>80</v>
      </c>
    </row>
    <row r="180" spans="1:12" ht="16.5" customHeight="1">
      <c r="A180" s="737">
        <v>176</v>
      </c>
      <c r="B180" s="1044"/>
      <c r="C180" s="751" t="s">
        <v>579</v>
      </c>
      <c r="D180" s="752">
        <v>7</v>
      </c>
      <c r="E180" s="752">
        <v>5</v>
      </c>
      <c r="F180" s="752">
        <v>12</v>
      </c>
      <c r="G180" s="752">
        <v>0</v>
      </c>
      <c r="H180" s="752"/>
      <c r="I180" s="752"/>
      <c r="J180" s="752">
        <v>968</v>
      </c>
      <c r="K180" s="752">
        <v>1370</v>
      </c>
      <c r="L180" s="752">
        <v>2338</v>
      </c>
    </row>
    <row r="181" spans="1:12" ht="16.5" customHeight="1">
      <c r="A181" s="737">
        <v>177</v>
      </c>
      <c r="B181" s="1044"/>
      <c r="C181" s="738" t="s">
        <v>586</v>
      </c>
      <c r="D181" s="752">
        <v>16</v>
      </c>
      <c r="E181" s="752">
        <v>21</v>
      </c>
      <c r="F181" s="752">
        <v>37</v>
      </c>
      <c r="G181" s="752">
        <v>0</v>
      </c>
      <c r="H181" s="752"/>
      <c r="I181" s="752"/>
      <c r="J181" s="752">
        <v>320</v>
      </c>
      <c r="K181" s="752">
        <v>149</v>
      </c>
      <c r="L181" s="752">
        <v>469</v>
      </c>
    </row>
    <row r="182" spans="1:12" ht="16.5" customHeight="1">
      <c r="A182" s="737">
        <v>178</v>
      </c>
      <c r="B182" s="1044"/>
      <c r="C182" s="738" t="s">
        <v>597</v>
      </c>
      <c r="D182" s="752">
        <v>161</v>
      </c>
      <c r="E182" s="752">
        <v>27</v>
      </c>
      <c r="F182" s="752">
        <v>188</v>
      </c>
      <c r="G182" s="752">
        <v>0</v>
      </c>
      <c r="H182" s="752"/>
      <c r="I182" s="752"/>
      <c r="J182" s="752">
        <v>135</v>
      </c>
      <c r="K182" s="752">
        <v>33</v>
      </c>
      <c r="L182" s="752">
        <v>168</v>
      </c>
    </row>
    <row r="183" spans="1:12" ht="16.5" customHeight="1">
      <c r="A183" s="737">
        <v>179</v>
      </c>
      <c r="B183" s="1044"/>
      <c r="C183" s="751" t="s">
        <v>480</v>
      </c>
      <c r="D183" s="752">
        <v>432</v>
      </c>
      <c r="E183" s="752">
        <v>476</v>
      </c>
      <c r="F183" s="752">
        <v>908</v>
      </c>
      <c r="G183" s="752">
        <v>0</v>
      </c>
      <c r="H183" s="752">
        <v>10</v>
      </c>
      <c r="I183" s="752">
        <v>10</v>
      </c>
      <c r="J183" s="752">
        <v>8379</v>
      </c>
      <c r="K183" s="752">
        <v>5323</v>
      </c>
      <c r="L183" s="752">
        <v>13702</v>
      </c>
    </row>
    <row r="184" spans="1:12" ht="16.5" customHeight="1">
      <c r="A184" s="737">
        <v>180</v>
      </c>
      <c r="B184" s="1044"/>
      <c r="C184" s="751" t="s">
        <v>491</v>
      </c>
      <c r="D184" s="752">
        <v>31</v>
      </c>
      <c r="E184" s="752">
        <v>7</v>
      </c>
      <c r="F184" s="752">
        <v>38</v>
      </c>
      <c r="G184" s="752">
        <v>0</v>
      </c>
      <c r="H184" s="752"/>
      <c r="I184" s="752"/>
      <c r="J184" s="752">
        <v>5565</v>
      </c>
      <c r="K184" s="752">
        <v>2934</v>
      </c>
      <c r="L184" s="752">
        <v>8499</v>
      </c>
    </row>
    <row r="185" spans="1:12" ht="16.5" customHeight="1">
      <c r="A185" s="737">
        <v>181</v>
      </c>
      <c r="B185" s="1044"/>
      <c r="C185" s="751" t="s">
        <v>573</v>
      </c>
      <c r="D185" s="737">
        <v>3</v>
      </c>
      <c r="E185" s="737">
        <v>6</v>
      </c>
      <c r="F185" s="737">
        <v>9</v>
      </c>
      <c r="G185" s="737">
        <v>0</v>
      </c>
      <c r="H185" s="737"/>
      <c r="I185" s="737"/>
      <c r="J185" s="737">
        <v>706</v>
      </c>
      <c r="K185" s="737">
        <v>5027</v>
      </c>
      <c r="L185" s="737">
        <v>5733</v>
      </c>
    </row>
    <row r="186" spans="1:12" ht="16.5" customHeight="1">
      <c r="A186" s="737">
        <v>182</v>
      </c>
      <c r="B186" s="1044"/>
      <c r="C186" s="738" t="s">
        <v>595</v>
      </c>
      <c r="D186" s="741">
        <v>18</v>
      </c>
      <c r="E186" s="741">
        <v>10</v>
      </c>
      <c r="F186" s="741">
        <v>28</v>
      </c>
      <c r="G186" s="741">
        <v>0</v>
      </c>
      <c r="H186" s="741"/>
      <c r="I186" s="741"/>
      <c r="J186" s="741">
        <v>77</v>
      </c>
      <c r="K186" s="741">
        <v>79</v>
      </c>
      <c r="L186" s="741">
        <v>156</v>
      </c>
    </row>
    <row r="187" spans="1:12" ht="16.5" customHeight="1">
      <c r="A187" s="737">
        <v>183</v>
      </c>
      <c r="B187" s="1044"/>
      <c r="C187" s="283" t="s">
        <v>602</v>
      </c>
      <c r="D187" s="737">
        <v>14</v>
      </c>
      <c r="E187" s="737">
        <v>2</v>
      </c>
      <c r="F187" s="737">
        <v>16</v>
      </c>
      <c r="G187" s="737">
        <v>0</v>
      </c>
      <c r="H187" s="737"/>
      <c r="I187" s="737"/>
      <c r="J187" s="737">
        <v>19</v>
      </c>
      <c r="K187" s="737">
        <v>6</v>
      </c>
      <c r="L187" s="737">
        <v>25</v>
      </c>
    </row>
    <row r="188" spans="1:12" ht="16.5" customHeight="1">
      <c r="A188" s="737">
        <v>184</v>
      </c>
      <c r="B188" s="1044"/>
      <c r="C188" s="283" t="s">
        <v>483</v>
      </c>
      <c r="D188" s="741">
        <v>140</v>
      </c>
      <c r="E188" s="741">
        <v>113</v>
      </c>
      <c r="F188" s="741">
        <v>253</v>
      </c>
      <c r="G188" s="741">
        <v>0</v>
      </c>
      <c r="H188" s="741"/>
      <c r="I188" s="741"/>
      <c r="J188" s="741">
        <v>1025</v>
      </c>
      <c r="K188" s="741">
        <v>2145</v>
      </c>
      <c r="L188" s="741">
        <v>3170</v>
      </c>
    </row>
    <row r="189" spans="1:12" ht="16.5" customHeight="1">
      <c r="A189" s="737">
        <v>185</v>
      </c>
      <c r="B189" s="1044"/>
      <c r="C189" s="738" t="s">
        <v>488</v>
      </c>
      <c r="D189" s="741">
        <v>0</v>
      </c>
      <c r="E189" s="741"/>
      <c r="F189" s="741"/>
      <c r="G189" s="741">
        <v>0</v>
      </c>
      <c r="H189" s="741"/>
      <c r="I189" s="741"/>
      <c r="J189" s="741">
        <v>20</v>
      </c>
      <c r="K189" s="741">
        <v>8</v>
      </c>
      <c r="L189" s="741">
        <v>28</v>
      </c>
    </row>
    <row r="190" spans="1:12" ht="16.5" customHeight="1">
      <c r="A190" s="737">
        <v>186</v>
      </c>
      <c r="B190" s="1044"/>
      <c r="C190" s="738" t="s">
        <v>492</v>
      </c>
      <c r="D190" s="741">
        <v>4</v>
      </c>
      <c r="E190" s="741">
        <v>5</v>
      </c>
      <c r="F190" s="741">
        <v>9</v>
      </c>
      <c r="G190" s="741">
        <v>0</v>
      </c>
      <c r="H190" s="741"/>
      <c r="I190" s="741"/>
      <c r="J190" s="741">
        <v>312</v>
      </c>
      <c r="K190" s="741">
        <v>721</v>
      </c>
      <c r="L190" s="741">
        <v>1033</v>
      </c>
    </row>
    <row r="191" spans="1:12" ht="16.5" customHeight="1">
      <c r="A191" s="737">
        <v>187</v>
      </c>
      <c r="B191" s="1044"/>
      <c r="C191" s="283" t="s">
        <v>588</v>
      </c>
      <c r="D191" s="741">
        <v>3</v>
      </c>
      <c r="E191" s="741">
        <v>8</v>
      </c>
      <c r="F191" s="741">
        <v>11</v>
      </c>
      <c r="G191" s="741">
        <v>0</v>
      </c>
      <c r="H191" s="741"/>
      <c r="I191" s="741"/>
      <c r="J191" s="741">
        <v>70</v>
      </c>
      <c r="K191" s="741">
        <v>144</v>
      </c>
      <c r="L191" s="741">
        <v>214</v>
      </c>
    </row>
    <row r="192" spans="1:12" ht="16.5" customHeight="1">
      <c r="A192" s="737">
        <v>188</v>
      </c>
      <c r="B192" s="1044"/>
      <c r="C192" s="283" t="s">
        <v>489</v>
      </c>
      <c r="D192" s="741">
        <v>0</v>
      </c>
      <c r="E192" s="741"/>
      <c r="F192" s="741"/>
      <c r="G192" s="741">
        <v>0</v>
      </c>
      <c r="H192" s="741"/>
      <c r="I192" s="741"/>
      <c r="J192" s="741">
        <v>85</v>
      </c>
      <c r="K192" s="741">
        <v>127</v>
      </c>
      <c r="L192" s="741">
        <v>212</v>
      </c>
    </row>
    <row r="193" spans="1:12" ht="16.5" customHeight="1">
      <c r="A193" s="737">
        <v>189</v>
      </c>
      <c r="B193" s="1044"/>
      <c r="C193" s="283" t="s">
        <v>593</v>
      </c>
      <c r="D193" s="741">
        <v>11</v>
      </c>
      <c r="E193" s="741">
        <v>9</v>
      </c>
      <c r="F193" s="741">
        <v>20</v>
      </c>
      <c r="G193" s="741">
        <v>0</v>
      </c>
      <c r="H193" s="741"/>
      <c r="I193" s="741"/>
      <c r="J193" s="741">
        <v>187</v>
      </c>
      <c r="K193" s="741">
        <v>117</v>
      </c>
      <c r="L193" s="741">
        <v>304</v>
      </c>
    </row>
    <row r="194" spans="1:12" ht="16.5" customHeight="1">
      <c r="A194" s="737">
        <v>190</v>
      </c>
      <c r="B194" s="1044"/>
      <c r="C194" s="738" t="s">
        <v>479</v>
      </c>
      <c r="D194" s="741">
        <v>307</v>
      </c>
      <c r="E194" s="741">
        <v>425</v>
      </c>
      <c r="F194" s="741">
        <v>732</v>
      </c>
      <c r="G194" s="741">
        <v>6</v>
      </c>
      <c r="H194" s="741">
        <v>10</v>
      </c>
      <c r="I194" s="741">
        <v>16</v>
      </c>
      <c r="J194" s="741">
        <v>2564</v>
      </c>
      <c r="K194" s="741">
        <v>3913</v>
      </c>
      <c r="L194" s="741">
        <v>6477</v>
      </c>
    </row>
    <row r="195" spans="1:12" ht="16.5" customHeight="1">
      <c r="A195" s="737">
        <v>191</v>
      </c>
      <c r="B195" s="1044"/>
      <c r="C195" s="738" t="s">
        <v>583</v>
      </c>
      <c r="D195" s="741">
        <v>170</v>
      </c>
      <c r="E195" s="741">
        <v>321</v>
      </c>
      <c r="F195" s="741">
        <v>491</v>
      </c>
      <c r="G195" s="741">
        <v>0</v>
      </c>
      <c r="H195" s="741">
        <v>0</v>
      </c>
      <c r="I195" s="741">
        <v>0</v>
      </c>
      <c r="J195" s="741">
        <v>2487</v>
      </c>
      <c r="K195" s="741">
        <v>5781</v>
      </c>
      <c r="L195" s="741">
        <v>8268</v>
      </c>
    </row>
    <row r="196" spans="1:12" ht="16.5" customHeight="1">
      <c r="A196" s="737">
        <v>192</v>
      </c>
      <c r="B196" s="1044"/>
      <c r="C196" s="738" t="s">
        <v>598</v>
      </c>
      <c r="D196" s="741">
        <v>73</v>
      </c>
      <c r="E196" s="741">
        <v>34</v>
      </c>
      <c r="F196" s="741">
        <v>107</v>
      </c>
      <c r="G196" s="741">
        <v>0</v>
      </c>
      <c r="H196" s="741"/>
      <c r="I196" s="741"/>
      <c r="J196" s="741">
        <v>86</v>
      </c>
      <c r="K196" s="741">
        <v>37</v>
      </c>
      <c r="L196" s="741">
        <v>123</v>
      </c>
    </row>
    <row r="197" spans="1:12" ht="16.5" customHeight="1">
      <c r="A197" s="737">
        <v>193</v>
      </c>
      <c r="B197" s="1044"/>
      <c r="C197" s="738" t="s">
        <v>592</v>
      </c>
      <c r="D197" s="741">
        <v>281</v>
      </c>
      <c r="E197" s="741">
        <v>95</v>
      </c>
      <c r="F197" s="741">
        <v>376</v>
      </c>
      <c r="G197" s="741">
        <v>0</v>
      </c>
      <c r="H197" s="741"/>
      <c r="I197" s="741"/>
      <c r="J197" s="741">
        <v>173</v>
      </c>
      <c r="K197" s="741">
        <v>78</v>
      </c>
      <c r="L197" s="741">
        <v>251</v>
      </c>
    </row>
    <row r="198" spans="1:12" ht="16.5" customHeight="1">
      <c r="A198" s="737">
        <v>194</v>
      </c>
      <c r="B198" s="1044"/>
      <c r="C198" s="738" t="s">
        <v>589</v>
      </c>
      <c r="D198" s="741">
        <v>6</v>
      </c>
      <c r="E198" s="741">
        <v>1</v>
      </c>
      <c r="F198" s="741">
        <v>7</v>
      </c>
      <c r="G198" s="741">
        <v>0</v>
      </c>
      <c r="H198" s="741"/>
      <c r="I198" s="741"/>
      <c r="J198" s="741">
        <v>108</v>
      </c>
      <c r="K198" s="741">
        <v>76</v>
      </c>
      <c r="L198" s="741">
        <v>184</v>
      </c>
    </row>
    <row r="199" spans="1:12" ht="16.5" customHeight="1">
      <c r="A199" s="737">
        <v>195</v>
      </c>
      <c r="B199" s="1044"/>
      <c r="C199" s="738" t="s">
        <v>76</v>
      </c>
      <c r="D199" s="741">
        <v>174</v>
      </c>
      <c r="E199" s="741">
        <v>642</v>
      </c>
      <c r="F199" s="741">
        <v>816</v>
      </c>
      <c r="G199" s="741">
        <v>3</v>
      </c>
      <c r="H199" s="741">
        <v>14</v>
      </c>
      <c r="I199" s="741">
        <v>17</v>
      </c>
      <c r="J199" s="741">
        <v>3585</v>
      </c>
      <c r="K199" s="741">
        <v>13463</v>
      </c>
      <c r="L199" s="741">
        <v>17048</v>
      </c>
    </row>
    <row r="200" spans="1:12" ht="16.5" customHeight="1">
      <c r="A200" s="737">
        <v>196</v>
      </c>
      <c r="B200" s="1044"/>
      <c r="C200" s="738" t="s">
        <v>487</v>
      </c>
      <c r="D200" s="741">
        <v>9</v>
      </c>
      <c r="E200" s="741">
        <v>15</v>
      </c>
      <c r="F200" s="741">
        <v>24</v>
      </c>
      <c r="G200" s="741">
        <v>0</v>
      </c>
      <c r="H200" s="741"/>
      <c r="I200" s="741"/>
      <c r="J200" s="741">
        <v>174</v>
      </c>
      <c r="K200" s="741">
        <v>433</v>
      </c>
      <c r="L200" s="741">
        <v>607</v>
      </c>
    </row>
    <row r="201" spans="1:12" ht="16.5" customHeight="1">
      <c r="A201" s="737">
        <v>197</v>
      </c>
      <c r="B201" s="1044"/>
      <c r="C201" s="738" t="s">
        <v>591</v>
      </c>
      <c r="D201" s="741">
        <v>97</v>
      </c>
      <c r="E201" s="741">
        <v>95</v>
      </c>
      <c r="F201" s="741">
        <v>192</v>
      </c>
      <c r="G201" s="741">
        <v>0</v>
      </c>
      <c r="H201" s="741"/>
      <c r="I201" s="741"/>
      <c r="J201" s="741">
        <v>123</v>
      </c>
      <c r="K201" s="741">
        <v>116</v>
      </c>
      <c r="L201" s="741">
        <v>239</v>
      </c>
    </row>
    <row r="202" spans="1:12" ht="16.5" customHeight="1">
      <c r="A202" s="737">
        <v>198</v>
      </c>
      <c r="B202" s="1044"/>
      <c r="C202" s="738" t="s">
        <v>485</v>
      </c>
      <c r="D202" s="741">
        <v>21</v>
      </c>
      <c r="E202" s="741">
        <v>13</v>
      </c>
      <c r="F202" s="741">
        <v>34</v>
      </c>
      <c r="G202" s="741">
        <v>0</v>
      </c>
      <c r="H202" s="741"/>
      <c r="I202" s="741"/>
      <c r="J202" s="741">
        <v>1253</v>
      </c>
      <c r="K202" s="741">
        <v>2729</v>
      </c>
      <c r="L202" s="741">
        <v>3982</v>
      </c>
    </row>
    <row r="203" spans="1:12" ht="16.5" customHeight="1">
      <c r="A203" s="737">
        <v>199</v>
      </c>
      <c r="B203" s="1044"/>
      <c r="C203" s="738" t="s">
        <v>575</v>
      </c>
      <c r="D203" s="741">
        <v>4</v>
      </c>
      <c r="E203" s="741">
        <v>0</v>
      </c>
      <c r="F203" s="741">
        <v>4</v>
      </c>
      <c r="G203" s="741">
        <v>0</v>
      </c>
      <c r="H203" s="741"/>
      <c r="I203" s="741"/>
      <c r="J203" s="741">
        <v>4023</v>
      </c>
      <c r="K203" s="741">
        <v>283</v>
      </c>
      <c r="L203" s="741">
        <v>4306</v>
      </c>
    </row>
    <row r="204" spans="1:12" ht="16.5" customHeight="1">
      <c r="A204" s="737">
        <v>200</v>
      </c>
      <c r="B204" s="1044"/>
      <c r="C204" s="738" t="s">
        <v>486</v>
      </c>
      <c r="D204" s="741">
        <v>881</v>
      </c>
      <c r="E204" s="741">
        <v>1150</v>
      </c>
      <c r="F204" s="741">
        <v>2031</v>
      </c>
      <c r="G204" s="741">
        <v>3</v>
      </c>
      <c r="H204" s="741">
        <v>41</v>
      </c>
      <c r="I204" s="741">
        <v>44</v>
      </c>
      <c r="J204" s="741">
        <v>5625</v>
      </c>
      <c r="K204" s="741">
        <v>6578</v>
      </c>
      <c r="L204" s="741">
        <v>12203</v>
      </c>
    </row>
    <row r="205" spans="1:12" ht="16.5" customHeight="1">
      <c r="A205" s="737">
        <v>201</v>
      </c>
      <c r="B205" s="1044"/>
      <c r="C205" s="738" t="s">
        <v>490</v>
      </c>
      <c r="D205" s="741">
        <v>7</v>
      </c>
      <c r="E205" s="741">
        <v>22</v>
      </c>
      <c r="F205" s="741">
        <v>29</v>
      </c>
      <c r="G205" s="741">
        <v>0</v>
      </c>
      <c r="H205" s="741"/>
      <c r="I205" s="741"/>
      <c r="J205" s="741">
        <v>1082</v>
      </c>
      <c r="K205" s="741">
        <v>3054</v>
      </c>
      <c r="L205" s="741">
        <v>4136</v>
      </c>
    </row>
    <row r="206" spans="1:12" ht="16.5" customHeight="1">
      <c r="A206" s="737">
        <v>202</v>
      </c>
      <c r="B206" s="1044"/>
      <c r="C206" s="738" t="s">
        <v>574</v>
      </c>
      <c r="D206" s="741">
        <v>61</v>
      </c>
      <c r="E206" s="741">
        <v>41</v>
      </c>
      <c r="F206" s="741">
        <v>102</v>
      </c>
      <c r="G206" s="741">
        <v>0</v>
      </c>
      <c r="H206" s="741"/>
      <c r="I206" s="741"/>
      <c r="J206" s="741">
        <v>2474</v>
      </c>
      <c r="K206" s="741">
        <v>3045</v>
      </c>
      <c r="L206" s="741">
        <v>5519</v>
      </c>
    </row>
    <row r="207" spans="1:12" ht="16.5" customHeight="1">
      <c r="A207" s="737">
        <v>203</v>
      </c>
      <c r="B207" s="1044"/>
      <c r="C207" s="738" t="s">
        <v>200</v>
      </c>
      <c r="D207" s="741">
        <v>2028</v>
      </c>
      <c r="E207" s="741">
        <v>1908</v>
      </c>
      <c r="F207" s="741">
        <v>3936</v>
      </c>
      <c r="G207" s="741">
        <v>0</v>
      </c>
      <c r="H207" s="741"/>
      <c r="I207" s="741"/>
      <c r="J207" s="741">
        <v>34265</v>
      </c>
      <c r="K207" s="741">
        <v>45036</v>
      </c>
      <c r="L207" s="741">
        <v>79301</v>
      </c>
    </row>
    <row r="208" spans="1:12" ht="16.5" customHeight="1">
      <c r="A208" s="737">
        <v>204</v>
      </c>
      <c r="B208" s="1044"/>
      <c r="C208" s="738" t="s">
        <v>581</v>
      </c>
      <c r="D208" s="741">
        <v>34</v>
      </c>
      <c r="E208" s="741">
        <v>70</v>
      </c>
      <c r="F208" s="741">
        <v>104</v>
      </c>
      <c r="G208" s="741">
        <v>0</v>
      </c>
      <c r="H208" s="741">
        <v>16</v>
      </c>
      <c r="I208" s="741">
        <v>16</v>
      </c>
      <c r="J208" s="741">
        <v>301</v>
      </c>
      <c r="K208" s="741">
        <v>402</v>
      </c>
      <c r="L208" s="741">
        <v>703</v>
      </c>
    </row>
    <row r="209" spans="1:12" ht="16.5" customHeight="1">
      <c r="A209" s="737">
        <v>205</v>
      </c>
      <c r="B209" s="1044"/>
      <c r="C209" s="738" t="s">
        <v>201</v>
      </c>
      <c r="D209" s="741">
        <v>167</v>
      </c>
      <c r="E209" s="741">
        <v>237</v>
      </c>
      <c r="F209" s="741">
        <v>404</v>
      </c>
      <c r="G209" s="741">
        <v>0</v>
      </c>
      <c r="H209" s="741"/>
      <c r="I209" s="741"/>
      <c r="J209" s="741">
        <v>3077</v>
      </c>
      <c r="K209" s="741">
        <v>6490</v>
      </c>
      <c r="L209" s="741">
        <v>9567</v>
      </c>
    </row>
    <row r="210" spans="1:12" ht="16.5" customHeight="1">
      <c r="A210" s="737">
        <v>206</v>
      </c>
      <c r="B210" s="1044"/>
      <c r="C210" s="738" t="s">
        <v>601</v>
      </c>
      <c r="D210" s="741">
        <v>57</v>
      </c>
      <c r="E210" s="741">
        <v>40</v>
      </c>
      <c r="F210" s="741">
        <v>97</v>
      </c>
      <c r="G210" s="741">
        <v>0</v>
      </c>
      <c r="H210" s="741"/>
      <c r="I210" s="741"/>
      <c r="J210" s="741">
        <v>52</v>
      </c>
      <c r="K210" s="741">
        <v>29</v>
      </c>
      <c r="L210" s="741">
        <v>81</v>
      </c>
    </row>
    <row r="211" spans="1:12" ht="16.5" customHeight="1">
      <c r="A211" s="737">
        <v>207</v>
      </c>
      <c r="B211" s="1044"/>
      <c r="C211" s="738" t="s">
        <v>1010</v>
      </c>
      <c r="D211" s="741">
        <v>0</v>
      </c>
      <c r="E211" s="741"/>
      <c r="F211" s="741"/>
      <c r="G211" s="741">
        <v>0</v>
      </c>
      <c r="H211" s="741"/>
      <c r="I211" s="741"/>
      <c r="J211" s="741">
        <v>11</v>
      </c>
      <c r="K211" s="741">
        <v>8</v>
      </c>
      <c r="L211" s="741">
        <v>19</v>
      </c>
    </row>
    <row r="212" spans="1:12" ht="16.5" customHeight="1">
      <c r="A212" s="737">
        <v>208</v>
      </c>
      <c r="B212" s="1044"/>
      <c r="C212" s="738" t="s">
        <v>580</v>
      </c>
      <c r="D212" s="737">
        <v>37</v>
      </c>
      <c r="E212" s="737">
        <v>67</v>
      </c>
      <c r="F212" s="737">
        <v>104</v>
      </c>
      <c r="G212" s="737">
        <v>6</v>
      </c>
      <c r="H212" s="737">
        <v>80</v>
      </c>
      <c r="I212" s="737">
        <v>86</v>
      </c>
      <c r="J212" s="737">
        <v>990</v>
      </c>
      <c r="K212" s="737">
        <v>1382</v>
      </c>
      <c r="L212" s="737">
        <v>2372</v>
      </c>
    </row>
    <row r="213" spans="1:12" ht="16.5" customHeight="1">
      <c r="A213" s="737">
        <v>209</v>
      </c>
      <c r="B213" s="1044"/>
      <c r="C213" s="738" t="s">
        <v>577</v>
      </c>
      <c r="D213" s="741">
        <v>57</v>
      </c>
      <c r="E213" s="741">
        <v>58</v>
      </c>
      <c r="F213" s="741">
        <v>115</v>
      </c>
      <c r="G213" s="741">
        <v>0</v>
      </c>
      <c r="H213" s="741"/>
      <c r="I213" s="741"/>
      <c r="J213" s="741">
        <v>1553</v>
      </c>
      <c r="K213" s="741">
        <v>2385</v>
      </c>
      <c r="L213" s="741">
        <v>3938</v>
      </c>
    </row>
    <row r="214" spans="1:12" ht="16.5" customHeight="1">
      <c r="A214" s="737">
        <v>210</v>
      </c>
      <c r="B214" s="1044"/>
      <c r="C214" s="738" t="s">
        <v>576</v>
      </c>
      <c r="D214" s="741">
        <v>18</v>
      </c>
      <c r="E214" s="741">
        <v>10</v>
      </c>
      <c r="F214" s="741">
        <v>28</v>
      </c>
      <c r="G214" s="741">
        <v>0</v>
      </c>
      <c r="H214" s="741"/>
      <c r="I214" s="741"/>
      <c r="J214" s="741">
        <v>2113</v>
      </c>
      <c r="K214" s="741">
        <v>1749</v>
      </c>
      <c r="L214" s="741">
        <v>3862</v>
      </c>
    </row>
    <row r="215" spans="1:12" ht="16.5" customHeight="1">
      <c r="A215" s="737">
        <v>211</v>
      </c>
      <c r="B215" s="1044"/>
      <c r="C215" s="738" t="s">
        <v>585</v>
      </c>
      <c r="D215" s="737">
        <v>1</v>
      </c>
      <c r="E215" s="737">
        <v>1</v>
      </c>
      <c r="F215" s="737">
        <v>2</v>
      </c>
      <c r="G215" s="737">
        <v>0</v>
      </c>
      <c r="H215" s="737"/>
      <c r="I215" s="737"/>
      <c r="J215" s="737">
        <v>262</v>
      </c>
      <c r="K215" s="737">
        <v>262</v>
      </c>
      <c r="L215" s="737">
        <v>524</v>
      </c>
    </row>
    <row r="216" spans="1:12" ht="16.5" customHeight="1">
      <c r="A216" s="737">
        <v>212</v>
      </c>
      <c r="B216" s="1044"/>
      <c r="C216" s="738" t="s">
        <v>484</v>
      </c>
      <c r="D216" s="741">
        <v>0</v>
      </c>
      <c r="E216" s="741"/>
      <c r="F216" s="741"/>
      <c r="G216" s="741">
        <v>0</v>
      </c>
      <c r="H216" s="741"/>
      <c r="I216" s="741"/>
      <c r="J216" s="741">
        <v>207</v>
      </c>
      <c r="K216" s="741">
        <v>255</v>
      </c>
      <c r="L216" s="741">
        <v>462</v>
      </c>
    </row>
    <row r="217" spans="1:12" ht="16.5" customHeight="1">
      <c r="A217" s="737">
        <v>213</v>
      </c>
      <c r="B217" s="1045"/>
      <c r="C217" s="738" t="s">
        <v>594</v>
      </c>
      <c r="D217" s="741">
        <v>146</v>
      </c>
      <c r="E217" s="741">
        <v>8</v>
      </c>
      <c r="F217" s="741">
        <v>154</v>
      </c>
      <c r="G217" s="741">
        <v>0</v>
      </c>
      <c r="H217" s="741"/>
      <c r="I217" s="741"/>
      <c r="J217" s="741">
        <v>85</v>
      </c>
      <c r="K217" s="741">
        <v>30</v>
      </c>
      <c r="L217" s="741">
        <v>115</v>
      </c>
    </row>
    <row r="218" spans="1:12" ht="16.5" customHeight="1">
      <c r="A218" s="737">
        <v>214</v>
      </c>
      <c r="B218" s="749" t="s">
        <v>493</v>
      </c>
      <c r="C218" s="748"/>
      <c r="D218" s="737">
        <v>7202</v>
      </c>
      <c r="E218" s="737">
        <v>7879</v>
      </c>
      <c r="F218" s="737">
        <v>15081</v>
      </c>
      <c r="G218" s="737">
        <v>23</v>
      </c>
      <c r="H218" s="737">
        <v>185</v>
      </c>
      <c r="I218" s="737">
        <v>208</v>
      </c>
      <c r="J218" s="737">
        <v>101424</v>
      </c>
      <c r="K218" s="737">
        <v>146747</v>
      </c>
      <c r="L218" s="737">
        <v>248171</v>
      </c>
    </row>
    <row r="219" spans="1:12" ht="16.5" customHeight="1">
      <c r="A219" s="737">
        <v>215</v>
      </c>
      <c r="B219" s="1050" t="s">
        <v>183</v>
      </c>
      <c r="C219" s="738" t="s">
        <v>604</v>
      </c>
      <c r="D219" s="741">
        <v>44</v>
      </c>
      <c r="E219" s="741">
        <v>11</v>
      </c>
      <c r="F219" s="741">
        <v>55</v>
      </c>
      <c r="G219" s="741">
        <v>3</v>
      </c>
      <c r="H219" s="741">
        <v>1</v>
      </c>
      <c r="I219" s="741">
        <v>4</v>
      </c>
      <c r="J219" s="741">
        <v>311</v>
      </c>
      <c r="K219" s="741">
        <v>57</v>
      </c>
      <c r="L219" s="741">
        <v>368</v>
      </c>
    </row>
    <row r="220" spans="1:12" ht="16.5" customHeight="1">
      <c r="A220" s="737">
        <v>216</v>
      </c>
      <c r="B220" s="1051"/>
      <c r="C220" s="738" t="s">
        <v>833</v>
      </c>
      <c r="D220" s="741">
        <v>31</v>
      </c>
      <c r="E220" s="741">
        <v>4</v>
      </c>
      <c r="F220" s="741">
        <v>35</v>
      </c>
      <c r="G220" s="741">
        <v>2</v>
      </c>
      <c r="H220" s="741">
        <v>11</v>
      </c>
      <c r="I220" s="741">
        <v>13</v>
      </c>
      <c r="J220" s="741">
        <v>311</v>
      </c>
      <c r="K220" s="741">
        <v>319</v>
      </c>
      <c r="L220" s="741">
        <v>630</v>
      </c>
    </row>
    <row r="221" spans="1:12" ht="16.5" customHeight="1">
      <c r="A221" s="737">
        <v>217</v>
      </c>
      <c r="B221" s="1051"/>
      <c r="C221" s="738" t="s">
        <v>1041</v>
      </c>
      <c r="D221" s="741">
        <v>373</v>
      </c>
      <c r="E221" s="741">
        <v>201</v>
      </c>
      <c r="F221" s="741">
        <v>574</v>
      </c>
      <c r="G221" s="741">
        <v>13</v>
      </c>
      <c r="H221" s="741">
        <v>44</v>
      </c>
      <c r="I221" s="741">
        <v>57</v>
      </c>
      <c r="J221" s="741">
        <v>13510</v>
      </c>
      <c r="K221" s="741">
        <v>8817</v>
      </c>
      <c r="L221" s="741">
        <v>22327</v>
      </c>
    </row>
    <row r="222" spans="1:12" ht="16.5" customHeight="1">
      <c r="A222" s="737">
        <v>218</v>
      </c>
      <c r="B222" s="1051"/>
      <c r="C222" s="738" t="s">
        <v>1042</v>
      </c>
      <c r="D222" s="737">
        <v>16</v>
      </c>
      <c r="E222" s="737">
        <v>1</v>
      </c>
      <c r="F222" s="737">
        <v>17</v>
      </c>
      <c r="G222" s="737">
        <v>0</v>
      </c>
      <c r="H222" s="737"/>
      <c r="I222" s="737"/>
      <c r="J222" s="737">
        <v>70</v>
      </c>
      <c r="K222" s="737">
        <v>103</v>
      </c>
      <c r="L222" s="737">
        <v>173</v>
      </c>
    </row>
    <row r="223" spans="1:12" ht="16.5" customHeight="1">
      <c r="A223" s="737">
        <v>219</v>
      </c>
      <c r="B223" s="1051"/>
      <c r="C223" s="738" t="s">
        <v>508</v>
      </c>
      <c r="D223" s="741">
        <v>0</v>
      </c>
      <c r="E223" s="741"/>
      <c r="F223" s="741"/>
      <c r="G223" s="741">
        <v>0</v>
      </c>
      <c r="H223" s="741"/>
      <c r="I223" s="741"/>
      <c r="J223" s="741">
        <v>59</v>
      </c>
      <c r="K223" s="741">
        <v>33</v>
      </c>
      <c r="L223" s="741">
        <v>92</v>
      </c>
    </row>
    <row r="224" spans="1:12" ht="16.5" customHeight="1">
      <c r="A224" s="737">
        <v>220</v>
      </c>
      <c r="B224" s="1052"/>
      <c r="C224" s="738" t="s">
        <v>603</v>
      </c>
      <c r="D224" s="741">
        <v>49</v>
      </c>
      <c r="E224" s="741">
        <v>11</v>
      </c>
      <c r="F224" s="741">
        <v>60</v>
      </c>
      <c r="G224" s="741">
        <v>0</v>
      </c>
      <c r="H224" s="741">
        <v>1</v>
      </c>
      <c r="I224" s="741">
        <v>1</v>
      </c>
      <c r="J224" s="741">
        <v>325</v>
      </c>
      <c r="K224" s="741">
        <v>81</v>
      </c>
      <c r="L224" s="741">
        <v>406</v>
      </c>
    </row>
    <row r="225" spans="1:12" ht="16.5" customHeight="1">
      <c r="A225" s="737">
        <v>221</v>
      </c>
      <c r="B225" s="749" t="s">
        <v>605</v>
      </c>
      <c r="C225" s="748"/>
      <c r="D225" s="737">
        <v>513</v>
      </c>
      <c r="E225" s="737">
        <v>228</v>
      </c>
      <c r="F225" s="737">
        <v>741</v>
      </c>
      <c r="G225" s="737">
        <v>18</v>
      </c>
      <c r="H225" s="737">
        <v>57</v>
      </c>
      <c r="I225" s="737">
        <v>75</v>
      </c>
      <c r="J225" s="737">
        <v>14586</v>
      </c>
      <c r="K225" s="737">
        <v>9410</v>
      </c>
      <c r="L225" s="737">
        <v>23996</v>
      </c>
    </row>
    <row r="226" spans="1:12" ht="16.5" customHeight="1">
      <c r="A226" s="737">
        <v>222</v>
      </c>
      <c r="B226" s="1050" t="s">
        <v>504</v>
      </c>
      <c r="C226" s="738" t="s">
        <v>842</v>
      </c>
      <c r="D226" s="741">
        <v>0</v>
      </c>
      <c r="E226" s="741"/>
      <c r="F226" s="741"/>
      <c r="G226" s="741">
        <v>0</v>
      </c>
      <c r="H226" s="741"/>
      <c r="I226" s="741"/>
      <c r="J226" s="741">
        <v>42</v>
      </c>
      <c r="K226" s="741">
        <v>17</v>
      </c>
      <c r="L226" s="741">
        <v>59</v>
      </c>
    </row>
    <row r="227" spans="1:12" ht="16.5" customHeight="1">
      <c r="A227" s="737">
        <v>223</v>
      </c>
      <c r="B227" s="1051"/>
      <c r="C227" s="738" t="s">
        <v>848</v>
      </c>
      <c r="D227" s="741">
        <v>0</v>
      </c>
      <c r="E227" s="741"/>
      <c r="F227" s="741"/>
      <c r="G227" s="741">
        <v>0</v>
      </c>
      <c r="H227" s="741"/>
      <c r="I227" s="741"/>
      <c r="J227" s="741">
        <v>10</v>
      </c>
      <c r="K227" s="741">
        <v>3</v>
      </c>
      <c r="L227" s="741">
        <v>13</v>
      </c>
    </row>
    <row r="228" spans="1:12" ht="16.5" customHeight="1">
      <c r="A228" s="737">
        <v>224</v>
      </c>
      <c r="B228" s="1051"/>
      <c r="C228" s="738" t="s">
        <v>850</v>
      </c>
      <c r="D228" s="741">
        <v>0</v>
      </c>
      <c r="E228" s="741"/>
      <c r="F228" s="741"/>
      <c r="G228" s="741">
        <v>0</v>
      </c>
      <c r="H228" s="741"/>
      <c r="I228" s="741"/>
      <c r="J228" s="741">
        <v>0</v>
      </c>
      <c r="K228" s="741">
        <v>0</v>
      </c>
      <c r="L228" s="741">
        <v>0</v>
      </c>
    </row>
    <row r="229" spans="1:12" ht="16.5" customHeight="1">
      <c r="A229" s="737">
        <v>225</v>
      </c>
      <c r="B229" s="1051"/>
      <c r="C229" s="738" t="s">
        <v>844</v>
      </c>
      <c r="D229" s="741">
        <v>0</v>
      </c>
      <c r="E229" s="741"/>
      <c r="F229" s="741"/>
      <c r="G229" s="741">
        <v>0</v>
      </c>
      <c r="H229" s="741"/>
      <c r="I229" s="741"/>
      <c r="J229" s="741">
        <v>13</v>
      </c>
      <c r="K229" s="741">
        <v>15</v>
      </c>
      <c r="L229" s="741">
        <v>28</v>
      </c>
    </row>
    <row r="230" spans="1:12" ht="16.5" customHeight="1">
      <c r="A230" s="737">
        <v>226</v>
      </c>
      <c r="B230" s="1051"/>
      <c r="C230" s="738" t="s">
        <v>841</v>
      </c>
      <c r="D230" s="741">
        <v>0</v>
      </c>
      <c r="E230" s="741"/>
      <c r="F230" s="741"/>
      <c r="G230" s="741">
        <v>0</v>
      </c>
      <c r="H230" s="741"/>
      <c r="I230" s="741"/>
      <c r="J230" s="741">
        <v>0</v>
      </c>
      <c r="K230" s="741">
        <v>10</v>
      </c>
      <c r="L230" s="741">
        <v>10</v>
      </c>
    </row>
    <row r="231" spans="1:12" ht="16.5" customHeight="1">
      <c r="A231" s="737">
        <v>227</v>
      </c>
      <c r="B231" s="1051"/>
      <c r="C231" s="738" t="s">
        <v>843</v>
      </c>
      <c r="D231" s="741">
        <v>0</v>
      </c>
      <c r="E231" s="741"/>
      <c r="F231" s="741"/>
      <c r="G231" s="741">
        <v>0</v>
      </c>
      <c r="H231" s="741"/>
      <c r="I231" s="741"/>
      <c r="J231" s="741">
        <v>19</v>
      </c>
      <c r="K231" s="741">
        <v>2</v>
      </c>
      <c r="L231" s="741">
        <v>21</v>
      </c>
    </row>
    <row r="232" spans="1:12" ht="16.5" customHeight="1">
      <c r="A232" s="737">
        <v>228</v>
      </c>
      <c r="B232" s="1051"/>
      <c r="C232" s="738" t="s">
        <v>1043</v>
      </c>
      <c r="D232" s="741">
        <v>0</v>
      </c>
      <c r="E232" s="741"/>
      <c r="F232" s="741"/>
      <c r="G232" s="741">
        <v>0</v>
      </c>
      <c r="H232" s="741"/>
      <c r="I232" s="741"/>
      <c r="J232" s="741">
        <v>24</v>
      </c>
      <c r="K232" s="741">
        <v>25</v>
      </c>
      <c r="L232" s="741">
        <v>49</v>
      </c>
    </row>
    <row r="233" spans="1:12" ht="16.5" customHeight="1">
      <c r="A233" s="737">
        <v>229</v>
      </c>
      <c r="B233" s="1051"/>
      <c r="C233" s="738" t="s">
        <v>1031</v>
      </c>
      <c r="D233" s="741">
        <v>0</v>
      </c>
      <c r="E233" s="741"/>
      <c r="F233" s="741"/>
      <c r="G233" s="741">
        <v>0</v>
      </c>
      <c r="H233" s="741"/>
      <c r="I233" s="741"/>
      <c r="J233" s="741">
        <v>204</v>
      </c>
      <c r="K233" s="741">
        <v>383</v>
      </c>
      <c r="L233" s="741">
        <v>587</v>
      </c>
    </row>
    <row r="234" spans="1:12" ht="16.5" customHeight="1">
      <c r="A234" s="737">
        <v>230</v>
      </c>
      <c r="B234" s="1051"/>
      <c r="C234" s="738" t="s">
        <v>835</v>
      </c>
      <c r="D234" s="741">
        <v>0</v>
      </c>
      <c r="E234" s="741"/>
      <c r="F234" s="741"/>
      <c r="G234" s="741">
        <v>0</v>
      </c>
      <c r="H234" s="741"/>
      <c r="I234" s="741"/>
      <c r="J234" s="741">
        <v>741</v>
      </c>
      <c r="K234" s="741">
        <v>699</v>
      </c>
      <c r="L234" s="741">
        <v>1440</v>
      </c>
    </row>
    <row r="235" spans="1:12" ht="16.5" customHeight="1">
      <c r="A235" s="737">
        <v>231</v>
      </c>
      <c r="B235" s="1051"/>
      <c r="C235" s="738" t="s">
        <v>839</v>
      </c>
      <c r="D235" s="741">
        <v>0</v>
      </c>
      <c r="E235" s="741"/>
      <c r="F235" s="741"/>
      <c r="G235" s="741">
        <v>0</v>
      </c>
      <c r="H235" s="741"/>
      <c r="I235" s="741"/>
      <c r="J235" s="741">
        <v>17</v>
      </c>
      <c r="K235" s="741">
        <v>19</v>
      </c>
      <c r="L235" s="741">
        <v>36</v>
      </c>
    </row>
    <row r="236" spans="1:12" ht="16.5" customHeight="1">
      <c r="A236" s="737">
        <v>232</v>
      </c>
      <c r="B236" s="1051"/>
      <c r="C236" s="738" t="s">
        <v>846</v>
      </c>
      <c r="D236" s="741">
        <v>0</v>
      </c>
      <c r="E236" s="741"/>
      <c r="F236" s="741"/>
      <c r="G236" s="741">
        <v>0</v>
      </c>
      <c r="H236" s="741"/>
      <c r="I236" s="741"/>
      <c r="J236" s="741">
        <v>12</v>
      </c>
      <c r="K236" s="741">
        <v>5</v>
      </c>
      <c r="L236" s="741">
        <v>17</v>
      </c>
    </row>
    <row r="237" spans="1:12" ht="16.5" customHeight="1">
      <c r="A237" s="737">
        <v>233</v>
      </c>
      <c r="B237" s="1051"/>
      <c r="C237" s="738" t="s">
        <v>851</v>
      </c>
      <c r="D237" s="741">
        <v>0</v>
      </c>
      <c r="E237" s="741"/>
      <c r="F237" s="741"/>
      <c r="G237" s="741">
        <v>0</v>
      </c>
      <c r="H237" s="741"/>
      <c r="I237" s="741"/>
      <c r="J237" s="741">
        <v>5</v>
      </c>
      <c r="K237" s="741">
        <v>14</v>
      </c>
      <c r="L237" s="741">
        <v>19</v>
      </c>
    </row>
    <row r="238" spans="1:12" ht="16.5" customHeight="1">
      <c r="A238" s="737">
        <v>234</v>
      </c>
      <c r="B238" s="1051"/>
      <c r="C238" s="738" t="s">
        <v>845</v>
      </c>
      <c r="D238" s="741">
        <v>0</v>
      </c>
      <c r="E238" s="741"/>
      <c r="F238" s="741"/>
      <c r="G238" s="741">
        <v>0</v>
      </c>
      <c r="H238" s="741"/>
      <c r="I238" s="741"/>
      <c r="J238" s="741">
        <v>13</v>
      </c>
      <c r="K238" s="741">
        <v>8</v>
      </c>
      <c r="L238" s="741">
        <v>21</v>
      </c>
    </row>
    <row r="239" spans="1:12" ht="16.5" customHeight="1">
      <c r="A239" s="737">
        <v>235</v>
      </c>
      <c r="B239" s="1051"/>
      <c r="C239" s="738" t="s">
        <v>853</v>
      </c>
      <c r="D239" s="741">
        <v>0</v>
      </c>
      <c r="E239" s="741"/>
      <c r="F239" s="741"/>
      <c r="G239" s="741">
        <v>0</v>
      </c>
      <c r="H239" s="741"/>
      <c r="I239" s="741"/>
      <c r="J239" s="741">
        <v>5</v>
      </c>
      <c r="K239" s="741">
        <v>1</v>
      </c>
      <c r="L239" s="741">
        <v>6</v>
      </c>
    </row>
    <row r="240" spans="1:12" ht="16.5" customHeight="1">
      <c r="A240" s="737">
        <v>236</v>
      </c>
      <c r="B240" s="1051"/>
      <c r="C240" s="748" t="s">
        <v>840</v>
      </c>
      <c r="D240" s="737">
        <v>0</v>
      </c>
      <c r="E240" s="737"/>
      <c r="F240" s="737"/>
      <c r="G240" s="737">
        <v>0</v>
      </c>
      <c r="H240" s="737"/>
      <c r="I240" s="737"/>
      <c r="J240" s="737">
        <v>59</v>
      </c>
      <c r="K240" s="737">
        <v>42</v>
      </c>
      <c r="L240" s="737">
        <v>101</v>
      </c>
    </row>
    <row r="241" spans="1:12" ht="16.5" customHeight="1">
      <c r="A241" s="737">
        <v>237</v>
      </c>
      <c r="B241" s="1051"/>
      <c r="C241" s="738" t="s">
        <v>837</v>
      </c>
      <c r="D241" s="741">
        <v>0</v>
      </c>
      <c r="E241" s="741"/>
      <c r="F241" s="741"/>
      <c r="G241" s="741">
        <v>0</v>
      </c>
      <c r="H241" s="741"/>
      <c r="I241" s="741"/>
      <c r="J241" s="741">
        <v>2</v>
      </c>
      <c r="K241" s="741">
        <v>55</v>
      </c>
      <c r="L241" s="741">
        <v>57</v>
      </c>
    </row>
    <row r="242" spans="1:12" ht="16.5" customHeight="1">
      <c r="A242" s="737">
        <v>238</v>
      </c>
      <c r="B242" s="1051"/>
      <c r="C242" s="738" t="s">
        <v>852</v>
      </c>
      <c r="D242" s="741">
        <v>0</v>
      </c>
      <c r="E242" s="741"/>
      <c r="F242" s="741"/>
      <c r="G242" s="741">
        <v>0</v>
      </c>
      <c r="H242" s="741"/>
      <c r="I242" s="741"/>
      <c r="J242" s="741">
        <v>0</v>
      </c>
      <c r="K242" s="741">
        <v>2</v>
      </c>
      <c r="L242" s="741">
        <v>2</v>
      </c>
    </row>
    <row r="243" spans="1:12" ht="16.5" customHeight="1">
      <c r="A243" s="737">
        <v>239</v>
      </c>
      <c r="B243" s="1051"/>
      <c r="C243" s="738" t="s">
        <v>849</v>
      </c>
      <c r="D243" s="741">
        <v>0</v>
      </c>
      <c r="E243" s="741"/>
      <c r="F243" s="741"/>
      <c r="G243" s="741">
        <v>0</v>
      </c>
      <c r="H243" s="741"/>
      <c r="I243" s="741"/>
      <c r="J243" s="741">
        <v>11</v>
      </c>
      <c r="K243" s="741">
        <v>7</v>
      </c>
      <c r="L243" s="741">
        <v>18</v>
      </c>
    </row>
    <row r="244" spans="1:12" ht="16.5" customHeight="1">
      <c r="A244" s="737">
        <v>240</v>
      </c>
      <c r="B244" s="1051"/>
      <c r="C244" s="738" t="s">
        <v>838</v>
      </c>
      <c r="D244" s="741">
        <v>0</v>
      </c>
      <c r="E244" s="741"/>
      <c r="F244" s="741"/>
      <c r="G244" s="741">
        <v>0</v>
      </c>
      <c r="H244" s="741"/>
      <c r="I244" s="741"/>
      <c r="J244" s="741">
        <v>9</v>
      </c>
      <c r="K244" s="741">
        <v>6</v>
      </c>
      <c r="L244" s="741">
        <v>15</v>
      </c>
    </row>
    <row r="245" spans="1:12" ht="16.5" customHeight="1">
      <c r="A245" s="737">
        <v>241</v>
      </c>
      <c r="B245" s="1051"/>
      <c r="C245" s="738" t="s">
        <v>847</v>
      </c>
      <c r="D245" s="741">
        <v>0</v>
      </c>
      <c r="E245" s="741"/>
      <c r="F245" s="741"/>
      <c r="G245" s="741">
        <v>0</v>
      </c>
      <c r="H245" s="741"/>
      <c r="I245" s="741"/>
      <c r="J245" s="741">
        <v>20</v>
      </c>
      <c r="K245" s="741">
        <v>28</v>
      </c>
      <c r="L245" s="741">
        <v>48</v>
      </c>
    </row>
    <row r="246" spans="1:12" ht="16.5" customHeight="1">
      <c r="A246" s="737">
        <v>242</v>
      </c>
      <c r="B246" s="1051"/>
      <c r="C246" s="738" t="s">
        <v>836</v>
      </c>
      <c r="D246" s="741">
        <v>0</v>
      </c>
      <c r="E246" s="741"/>
      <c r="F246" s="741"/>
      <c r="G246" s="741">
        <v>0</v>
      </c>
      <c r="H246" s="741"/>
      <c r="I246" s="741"/>
      <c r="J246" s="741">
        <v>99</v>
      </c>
      <c r="K246" s="741">
        <v>72</v>
      </c>
      <c r="L246" s="741">
        <v>171</v>
      </c>
    </row>
    <row r="247" spans="1:12" ht="16.5" customHeight="1">
      <c r="A247" s="737">
        <v>243</v>
      </c>
      <c r="B247" s="1052"/>
      <c r="C247" s="738" t="s">
        <v>834</v>
      </c>
      <c r="D247" s="741">
        <v>0</v>
      </c>
      <c r="E247" s="741"/>
      <c r="F247" s="741"/>
      <c r="G247" s="741">
        <v>0</v>
      </c>
      <c r="H247" s="741"/>
      <c r="I247" s="741"/>
      <c r="J247" s="741">
        <v>1</v>
      </c>
      <c r="K247" s="741">
        <v>4</v>
      </c>
      <c r="L247" s="741">
        <v>5</v>
      </c>
    </row>
    <row r="248" spans="1:12" ht="16.5" customHeight="1">
      <c r="A248" s="737">
        <v>244</v>
      </c>
      <c r="B248" s="749" t="s">
        <v>864</v>
      </c>
      <c r="C248" s="748"/>
      <c r="D248" s="737">
        <v>0</v>
      </c>
      <c r="E248" s="737"/>
      <c r="F248" s="737"/>
      <c r="G248" s="737">
        <v>0</v>
      </c>
      <c r="H248" s="737"/>
      <c r="I248" s="737"/>
      <c r="J248" s="737">
        <v>1306</v>
      </c>
      <c r="K248" s="737">
        <v>1417</v>
      </c>
      <c r="L248" s="737">
        <v>2723</v>
      </c>
    </row>
    <row r="249" spans="1:12" ht="16.5" customHeight="1">
      <c r="A249" s="737">
        <v>245</v>
      </c>
      <c r="B249" s="1050" t="s">
        <v>498</v>
      </c>
      <c r="C249" s="738" t="s">
        <v>498</v>
      </c>
      <c r="D249" s="741">
        <v>799</v>
      </c>
      <c r="E249" s="741">
        <v>259</v>
      </c>
      <c r="F249" s="741">
        <v>1058</v>
      </c>
      <c r="G249" s="741">
        <v>24</v>
      </c>
      <c r="H249" s="741">
        <v>5</v>
      </c>
      <c r="I249" s="741">
        <v>29</v>
      </c>
      <c r="J249" s="741">
        <v>8417</v>
      </c>
      <c r="K249" s="741">
        <v>3928</v>
      </c>
      <c r="L249" s="741">
        <v>12345</v>
      </c>
    </row>
    <row r="250" spans="1:12" ht="16.5" customHeight="1">
      <c r="A250" s="737">
        <v>246</v>
      </c>
      <c r="B250" s="1052"/>
      <c r="C250" s="738" t="s">
        <v>606</v>
      </c>
      <c r="D250" s="741">
        <v>78</v>
      </c>
      <c r="E250" s="741">
        <v>63</v>
      </c>
      <c r="F250" s="741">
        <v>141</v>
      </c>
      <c r="G250" s="741">
        <v>0</v>
      </c>
      <c r="H250" s="741">
        <v>0</v>
      </c>
      <c r="I250" s="741">
        <v>0</v>
      </c>
      <c r="J250" s="741">
        <v>210</v>
      </c>
      <c r="K250" s="741">
        <v>237</v>
      </c>
      <c r="L250" s="741">
        <v>447</v>
      </c>
    </row>
    <row r="251" spans="1:12" ht="16.5" customHeight="1">
      <c r="A251" s="737">
        <v>247</v>
      </c>
      <c r="B251" s="749" t="s">
        <v>607</v>
      </c>
      <c r="C251" s="748"/>
      <c r="D251" s="737">
        <v>877</v>
      </c>
      <c r="E251" s="737">
        <v>322</v>
      </c>
      <c r="F251" s="737">
        <v>1199</v>
      </c>
      <c r="G251" s="737">
        <v>24</v>
      </c>
      <c r="H251" s="737">
        <v>5</v>
      </c>
      <c r="I251" s="737">
        <v>29</v>
      </c>
      <c r="J251" s="737">
        <v>8627</v>
      </c>
      <c r="K251" s="737">
        <v>4165</v>
      </c>
      <c r="L251" s="737">
        <v>12792</v>
      </c>
    </row>
    <row r="252" spans="1:12" ht="16.5" customHeight="1">
      <c r="A252" s="737">
        <v>248</v>
      </c>
      <c r="B252" s="749" t="s">
        <v>629</v>
      </c>
      <c r="C252" s="738" t="s">
        <v>1032</v>
      </c>
      <c r="D252" s="741">
        <v>0</v>
      </c>
      <c r="E252" s="741"/>
      <c r="F252" s="741"/>
      <c r="G252" s="741">
        <v>0</v>
      </c>
      <c r="H252" s="741"/>
      <c r="I252" s="741"/>
      <c r="J252" s="741">
        <v>27</v>
      </c>
      <c r="K252" s="741">
        <v>107</v>
      </c>
      <c r="L252" s="741">
        <v>134</v>
      </c>
    </row>
    <row r="253" spans="1:12" ht="16.5" customHeight="1">
      <c r="A253" s="737">
        <v>249</v>
      </c>
      <c r="B253" s="749" t="s">
        <v>1044</v>
      </c>
      <c r="C253" s="748"/>
      <c r="D253" s="737">
        <v>0</v>
      </c>
      <c r="E253" s="737"/>
      <c r="F253" s="737"/>
      <c r="G253" s="737">
        <v>0</v>
      </c>
      <c r="H253" s="737"/>
      <c r="I253" s="737"/>
      <c r="J253" s="737">
        <v>27</v>
      </c>
      <c r="K253" s="737">
        <v>107</v>
      </c>
      <c r="L253" s="737">
        <v>134</v>
      </c>
    </row>
    <row r="254" spans="1:12" ht="16.5" customHeight="1">
      <c r="A254" s="737">
        <v>250</v>
      </c>
      <c r="B254" s="1050" t="s">
        <v>508</v>
      </c>
      <c r="C254" s="738" t="s">
        <v>497</v>
      </c>
      <c r="D254" s="741">
        <v>0</v>
      </c>
      <c r="E254" s="741"/>
      <c r="F254" s="741"/>
      <c r="G254" s="741">
        <v>0</v>
      </c>
      <c r="H254" s="741"/>
      <c r="I254" s="741"/>
      <c r="J254" s="741">
        <v>19</v>
      </c>
      <c r="K254" s="741">
        <v>47</v>
      </c>
      <c r="L254" s="741">
        <v>66</v>
      </c>
    </row>
    <row r="255" spans="1:12" ht="16.5" customHeight="1">
      <c r="A255" s="737">
        <v>251</v>
      </c>
      <c r="B255" s="1051"/>
      <c r="C255" s="738" t="s">
        <v>782</v>
      </c>
      <c r="D255" s="741">
        <v>67</v>
      </c>
      <c r="E255" s="741">
        <v>19</v>
      </c>
      <c r="F255" s="741">
        <v>86</v>
      </c>
      <c r="G255" s="741">
        <v>7</v>
      </c>
      <c r="H255" s="741">
        <v>4</v>
      </c>
      <c r="I255" s="741">
        <v>11</v>
      </c>
      <c r="J255" s="741">
        <v>437</v>
      </c>
      <c r="K255" s="741">
        <v>234</v>
      </c>
      <c r="L255" s="741">
        <v>671</v>
      </c>
    </row>
    <row r="256" spans="1:12" ht="16.5" customHeight="1">
      <c r="A256" s="737">
        <v>252</v>
      </c>
      <c r="B256" s="1051"/>
      <c r="C256" s="738" t="s">
        <v>783</v>
      </c>
      <c r="D256" s="741">
        <v>0</v>
      </c>
      <c r="E256" s="741">
        <v>0</v>
      </c>
      <c r="F256" s="741">
        <v>0</v>
      </c>
      <c r="G256" s="741">
        <v>0</v>
      </c>
      <c r="H256" s="741"/>
      <c r="I256" s="741"/>
      <c r="J256" s="741">
        <v>73</v>
      </c>
      <c r="K256" s="741">
        <v>11</v>
      </c>
      <c r="L256" s="741">
        <v>84</v>
      </c>
    </row>
    <row r="257" spans="1:12" ht="16.5" customHeight="1">
      <c r="A257" s="737">
        <v>253</v>
      </c>
      <c r="B257" s="1051"/>
      <c r="C257" s="738" t="s">
        <v>780</v>
      </c>
      <c r="D257" s="741">
        <v>85</v>
      </c>
      <c r="E257" s="741">
        <v>44</v>
      </c>
      <c r="F257" s="741">
        <v>129</v>
      </c>
      <c r="G257" s="741">
        <v>1</v>
      </c>
      <c r="H257" s="741">
        <v>0</v>
      </c>
      <c r="I257" s="741">
        <v>1</v>
      </c>
      <c r="J257" s="741">
        <v>1092</v>
      </c>
      <c r="K257" s="741">
        <v>795</v>
      </c>
      <c r="L257" s="741">
        <v>1887</v>
      </c>
    </row>
    <row r="258" spans="1:12" ht="16.5" customHeight="1">
      <c r="A258" s="737">
        <v>254</v>
      </c>
      <c r="B258" s="1051"/>
      <c r="C258" s="738" t="s">
        <v>784</v>
      </c>
      <c r="D258" s="741">
        <v>15</v>
      </c>
      <c r="E258" s="741">
        <v>2</v>
      </c>
      <c r="F258" s="741">
        <v>17</v>
      </c>
      <c r="G258" s="741">
        <v>0</v>
      </c>
      <c r="H258" s="741"/>
      <c r="I258" s="741"/>
      <c r="J258" s="741">
        <v>21</v>
      </c>
      <c r="K258" s="741">
        <v>16</v>
      </c>
      <c r="L258" s="741">
        <v>37</v>
      </c>
    </row>
    <row r="259" spans="1:12" ht="16.5" customHeight="1">
      <c r="A259" s="737">
        <v>255</v>
      </c>
      <c r="B259" s="1051"/>
      <c r="C259" s="738" t="s">
        <v>1045</v>
      </c>
      <c r="D259" s="741">
        <v>158</v>
      </c>
      <c r="E259" s="741">
        <v>105</v>
      </c>
      <c r="F259" s="741">
        <v>263</v>
      </c>
      <c r="G259" s="741">
        <v>9</v>
      </c>
      <c r="H259" s="741">
        <v>4</v>
      </c>
      <c r="I259" s="741">
        <v>13</v>
      </c>
      <c r="J259" s="741">
        <v>3196</v>
      </c>
      <c r="K259" s="741">
        <v>2452</v>
      </c>
      <c r="L259" s="741">
        <v>5648</v>
      </c>
    </row>
    <row r="260" spans="1:12" ht="16.5" customHeight="1">
      <c r="A260" s="737">
        <v>256</v>
      </c>
      <c r="B260" s="1052"/>
      <c r="C260" s="738" t="s">
        <v>781</v>
      </c>
      <c r="D260" s="737">
        <v>32</v>
      </c>
      <c r="E260" s="737">
        <v>19</v>
      </c>
      <c r="F260" s="737">
        <v>51</v>
      </c>
      <c r="G260" s="737">
        <v>0</v>
      </c>
      <c r="H260" s="737"/>
      <c r="I260" s="737"/>
      <c r="J260" s="737">
        <v>373</v>
      </c>
      <c r="K260" s="737">
        <v>228</v>
      </c>
      <c r="L260" s="737">
        <v>601</v>
      </c>
    </row>
    <row r="261" spans="1:12" ht="16.5" customHeight="1">
      <c r="A261" s="737">
        <v>257</v>
      </c>
      <c r="B261" s="749" t="s">
        <v>785</v>
      </c>
      <c r="C261" s="748"/>
      <c r="D261" s="737">
        <v>357</v>
      </c>
      <c r="E261" s="737">
        <v>189</v>
      </c>
      <c r="F261" s="737">
        <v>546</v>
      </c>
      <c r="G261" s="737">
        <v>17</v>
      </c>
      <c r="H261" s="737">
        <v>8</v>
      </c>
      <c r="I261" s="737">
        <v>25</v>
      </c>
      <c r="J261" s="737">
        <v>5211</v>
      </c>
      <c r="K261" s="737">
        <v>3783</v>
      </c>
      <c r="L261" s="737">
        <v>8994</v>
      </c>
    </row>
    <row r="262" spans="1:12" ht="16.5" customHeight="1">
      <c r="A262" s="737">
        <v>258</v>
      </c>
      <c r="B262" s="1050" t="s">
        <v>186</v>
      </c>
      <c r="C262" s="738" t="s">
        <v>854</v>
      </c>
      <c r="D262" s="741">
        <v>22</v>
      </c>
      <c r="E262" s="741">
        <v>10</v>
      </c>
      <c r="F262" s="741">
        <v>32</v>
      </c>
      <c r="G262" s="741">
        <v>0</v>
      </c>
      <c r="H262" s="741"/>
      <c r="I262" s="741"/>
      <c r="J262" s="741">
        <v>267</v>
      </c>
      <c r="K262" s="741">
        <v>300</v>
      </c>
      <c r="L262" s="741">
        <v>567</v>
      </c>
    </row>
    <row r="263" spans="1:12" ht="16.5" customHeight="1">
      <c r="A263" s="737">
        <v>259</v>
      </c>
      <c r="B263" s="1051"/>
      <c r="C263" s="738" t="s">
        <v>578</v>
      </c>
      <c r="D263" s="741">
        <v>5</v>
      </c>
      <c r="E263" s="741">
        <v>17</v>
      </c>
      <c r="F263" s="741">
        <v>22</v>
      </c>
      <c r="G263" s="741">
        <v>1</v>
      </c>
      <c r="H263" s="741">
        <v>5</v>
      </c>
      <c r="I263" s="741">
        <v>6</v>
      </c>
      <c r="J263" s="741">
        <v>601</v>
      </c>
      <c r="K263" s="741">
        <v>1653</v>
      </c>
      <c r="L263" s="741">
        <v>2254</v>
      </c>
    </row>
    <row r="264" spans="1:12" ht="16.5" customHeight="1">
      <c r="A264" s="737">
        <v>260</v>
      </c>
      <c r="B264" s="1051"/>
      <c r="C264" s="738" t="s">
        <v>618</v>
      </c>
      <c r="D264" s="737">
        <v>912</v>
      </c>
      <c r="E264" s="737">
        <v>1638</v>
      </c>
      <c r="F264" s="737">
        <v>2550</v>
      </c>
      <c r="G264" s="737">
        <v>7</v>
      </c>
      <c r="H264" s="737">
        <v>21</v>
      </c>
      <c r="I264" s="737">
        <v>28</v>
      </c>
      <c r="J264" s="737">
        <v>6703</v>
      </c>
      <c r="K264" s="737">
        <v>14910</v>
      </c>
      <c r="L264" s="737">
        <v>21613</v>
      </c>
    </row>
    <row r="265" spans="1:12" ht="16.5" customHeight="1">
      <c r="A265" s="737">
        <v>261</v>
      </c>
      <c r="B265" s="1051"/>
      <c r="C265" s="738" t="s">
        <v>587</v>
      </c>
      <c r="D265" s="750">
        <v>48</v>
      </c>
      <c r="E265" s="750">
        <v>99</v>
      </c>
      <c r="F265" s="750">
        <v>147</v>
      </c>
      <c r="G265" s="750">
        <v>2</v>
      </c>
      <c r="H265" s="750">
        <v>5</v>
      </c>
      <c r="I265" s="750">
        <v>7</v>
      </c>
      <c r="J265" s="750">
        <v>1740</v>
      </c>
      <c r="K265" s="750">
        <v>4665</v>
      </c>
      <c r="L265" s="750">
        <v>6405</v>
      </c>
    </row>
    <row r="266" spans="1:12" ht="16.5" customHeight="1">
      <c r="A266" s="737">
        <v>262</v>
      </c>
      <c r="B266" s="1051"/>
      <c r="C266" s="738" t="s">
        <v>613</v>
      </c>
      <c r="D266" s="741">
        <v>1157</v>
      </c>
      <c r="E266" s="741">
        <v>1687</v>
      </c>
      <c r="F266" s="741">
        <v>2844</v>
      </c>
      <c r="G266" s="741">
        <v>34</v>
      </c>
      <c r="H266" s="741">
        <v>52</v>
      </c>
      <c r="I266" s="741">
        <v>86</v>
      </c>
      <c r="J266" s="741">
        <v>16650</v>
      </c>
      <c r="K266" s="741">
        <v>46283</v>
      </c>
      <c r="L266" s="741">
        <v>62933</v>
      </c>
    </row>
    <row r="267" spans="1:12" ht="16.5" customHeight="1">
      <c r="A267" s="737">
        <v>263</v>
      </c>
      <c r="B267" s="1051"/>
      <c r="C267" s="738" t="s">
        <v>855</v>
      </c>
      <c r="D267" s="741">
        <v>0</v>
      </c>
      <c r="E267" s="741"/>
      <c r="F267" s="741"/>
      <c r="G267" s="741">
        <v>0</v>
      </c>
      <c r="H267" s="741"/>
      <c r="I267" s="741"/>
      <c r="J267" s="741">
        <v>8</v>
      </c>
      <c r="K267" s="741">
        <v>2</v>
      </c>
      <c r="L267" s="741">
        <v>10</v>
      </c>
    </row>
    <row r="268" spans="1:12" ht="16.5" customHeight="1">
      <c r="A268" s="737">
        <v>264</v>
      </c>
      <c r="B268" s="1051"/>
      <c r="C268" s="738" t="s">
        <v>609</v>
      </c>
      <c r="D268" s="741">
        <v>5261</v>
      </c>
      <c r="E268" s="741">
        <v>4463</v>
      </c>
      <c r="F268" s="741">
        <v>9724</v>
      </c>
      <c r="G268" s="741">
        <v>63</v>
      </c>
      <c r="H268" s="741">
        <v>144</v>
      </c>
      <c r="I268" s="741">
        <v>207</v>
      </c>
      <c r="J268" s="741">
        <v>77410</v>
      </c>
      <c r="K268" s="741">
        <v>91301</v>
      </c>
      <c r="L268" s="741">
        <v>168711</v>
      </c>
    </row>
    <row r="269" spans="1:12" ht="16.5" customHeight="1">
      <c r="A269" s="737">
        <v>265</v>
      </c>
      <c r="B269" s="1051"/>
      <c r="C269" s="738" t="s">
        <v>1046</v>
      </c>
      <c r="D269" s="741">
        <v>8</v>
      </c>
      <c r="E269" s="741">
        <v>7</v>
      </c>
      <c r="F269" s="741">
        <v>15</v>
      </c>
      <c r="G269" s="741">
        <v>0</v>
      </c>
      <c r="H269" s="741"/>
      <c r="I269" s="741"/>
      <c r="J269" s="741">
        <v>0</v>
      </c>
      <c r="K269" s="741"/>
      <c r="L269" s="741"/>
    </row>
    <row r="270" spans="1:12" ht="16.5" customHeight="1">
      <c r="A270" s="737">
        <v>266</v>
      </c>
      <c r="B270" s="1051"/>
      <c r="C270" s="738" t="s">
        <v>619</v>
      </c>
      <c r="D270" s="741">
        <v>143</v>
      </c>
      <c r="E270" s="741">
        <v>119</v>
      </c>
      <c r="F270" s="741">
        <v>262</v>
      </c>
      <c r="G270" s="741">
        <v>2</v>
      </c>
      <c r="H270" s="741">
        <v>3</v>
      </c>
      <c r="I270" s="741">
        <v>5</v>
      </c>
      <c r="J270" s="741">
        <v>2037</v>
      </c>
      <c r="K270" s="741">
        <v>1554</v>
      </c>
      <c r="L270" s="741">
        <v>3591</v>
      </c>
    </row>
    <row r="271" spans="1:12" ht="16.5" customHeight="1">
      <c r="A271" s="737">
        <v>267</v>
      </c>
      <c r="B271" s="1051"/>
      <c r="C271" s="738" t="s">
        <v>616</v>
      </c>
      <c r="D271" s="741">
        <v>647</v>
      </c>
      <c r="E271" s="741">
        <v>642</v>
      </c>
      <c r="F271" s="741">
        <v>1289</v>
      </c>
      <c r="G271" s="741">
        <v>13</v>
      </c>
      <c r="H271" s="741">
        <v>30</v>
      </c>
      <c r="I271" s="741">
        <v>43</v>
      </c>
      <c r="J271" s="741">
        <v>7558</v>
      </c>
      <c r="K271" s="741">
        <v>8286</v>
      </c>
      <c r="L271" s="741">
        <v>15844</v>
      </c>
    </row>
    <row r="272" spans="1:12" ht="16.5" customHeight="1">
      <c r="A272" s="737">
        <v>268</v>
      </c>
      <c r="B272" s="1051"/>
      <c r="C272" s="738" t="s">
        <v>620</v>
      </c>
      <c r="D272" s="741">
        <v>25</v>
      </c>
      <c r="E272" s="741">
        <v>38</v>
      </c>
      <c r="F272" s="741">
        <v>63</v>
      </c>
      <c r="G272" s="741">
        <v>0</v>
      </c>
      <c r="H272" s="741">
        <v>2</v>
      </c>
      <c r="I272" s="741">
        <v>2</v>
      </c>
      <c r="J272" s="741">
        <v>393</v>
      </c>
      <c r="K272" s="741">
        <v>933</v>
      </c>
      <c r="L272" s="741">
        <v>1326</v>
      </c>
    </row>
    <row r="273" spans="1:12" ht="16.5" customHeight="1">
      <c r="A273" s="737">
        <v>269</v>
      </c>
      <c r="B273" s="1051"/>
      <c r="C273" s="738" t="s">
        <v>617</v>
      </c>
      <c r="D273" s="741">
        <v>645</v>
      </c>
      <c r="E273" s="741">
        <v>363</v>
      </c>
      <c r="F273" s="741">
        <v>1008</v>
      </c>
      <c r="G273" s="741">
        <v>22</v>
      </c>
      <c r="H273" s="741">
        <v>12</v>
      </c>
      <c r="I273" s="741">
        <v>34</v>
      </c>
      <c r="J273" s="741">
        <v>4679</v>
      </c>
      <c r="K273" s="741">
        <v>4411</v>
      </c>
      <c r="L273" s="741">
        <v>9090</v>
      </c>
    </row>
    <row r="274" spans="1:12" ht="16.5" customHeight="1">
      <c r="A274" s="737">
        <v>270</v>
      </c>
      <c r="B274" s="1051"/>
      <c r="C274" s="738" t="s">
        <v>621</v>
      </c>
      <c r="D274" s="741">
        <v>147</v>
      </c>
      <c r="E274" s="741">
        <v>48</v>
      </c>
      <c r="F274" s="741">
        <v>195</v>
      </c>
      <c r="G274" s="741">
        <v>0</v>
      </c>
      <c r="H274" s="741"/>
      <c r="I274" s="741"/>
      <c r="J274" s="741">
        <v>493</v>
      </c>
      <c r="K274" s="741">
        <v>315</v>
      </c>
      <c r="L274" s="741">
        <v>808</v>
      </c>
    </row>
    <row r="275" spans="1:12" ht="16.5" customHeight="1">
      <c r="A275" s="737">
        <v>271</v>
      </c>
      <c r="B275" s="1051"/>
      <c r="C275" s="738" t="s">
        <v>615</v>
      </c>
      <c r="D275" s="741">
        <v>801</v>
      </c>
      <c r="E275" s="741">
        <v>1363</v>
      </c>
      <c r="F275" s="741">
        <v>2164</v>
      </c>
      <c r="G275" s="741">
        <v>9</v>
      </c>
      <c r="H275" s="741">
        <v>19</v>
      </c>
      <c r="I275" s="741">
        <v>28</v>
      </c>
      <c r="J275" s="741">
        <v>5769</v>
      </c>
      <c r="K275" s="741">
        <v>12975</v>
      </c>
      <c r="L275" s="741">
        <v>18744</v>
      </c>
    </row>
    <row r="276" spans="1:12" ht="16.5" customHeight="1">
      <c r="A276" s="737">
        <v>272</v>
      </c>
      <c r="B276" s="1051"/>
      <c r="C276" s="738" t="s">
        <v>608</v>
      </c>
      <c r="D276" s="741">
        <v>206</v>
      </c>
      <c r="E276" s="741">
        <v>333</v>
      </c>
      <c r="F276" s="741">
        <v>539</v>
      </c>
      <c r="G276" s="741">
        <v>24</v>
      </c>
      <c r="H276" s="741">
        <v>75</v>
      </c>
      <c r="I276" s="741">
        <v>99</v>
      </c>
      <c r="J276" s="741">
        <v>14828</v>
      </c>
      <c r="K276" s="741">
        <v>29455</v>
      </c>
      <c r="L276" s="741">
        <v>44283</v>
      </c>
    </row>
    <row r="277" spans="1:12" ht="16.5" customHeight="1">
      <c r="A277" s="737">
        <v>273</v>
      </c>
      <c r="B277" s="1051"/>
      <c r="C277" s="738" t="s">
        <v>1047</v>
      </c>
      <c r="D277" s="741">
        <v>1002</v>
      </c>
      <c r="E277" s="741">
        <v>941</v>
      </c>
      <c r="F277" s="741">
        <v>1943</v>
      </c>
      <c r="G277" s="741">
        <v>50</v>
      </c>
      <c r="H277" s="741">
        <v>338</v>
      </c>
      <c r="I277" s="741">
        <v>388</v>
      </c>
      <c r="J277" s="741">
        <v>29370</v>
      </c>
      <c r="K277" s="741">
        <v>41473</v>
      </c>
      <c r="L277" s="741">
        <v>70843</v>
      </c>
    </row>
    <row r="278" spans="1:12" ht="16.5" customHeight="1">
      <c r="A278" s="737">
        <v>274</v>
      </c>
      <c r="B278" s="1051"/>
      <c r="C278" s="738" t="s">
        <v>583</v>
      </c>
      <c r="D278" s="741">
        <v>22</v>
      </c>
      <c r="E278" s="741">
        <v>49</v>
      </c>
      <c r="F278" s="741">
        <v>71</v>
      </c>
      <c r="G278" s="741">
        <v>1</v>
      </c>
      <c r="H278" s="741">
        <v>11</v>
      </c>
      <c r="I278" s="741">
        <v>12</v>
      </c>
      <c r="J278" s="741">
        <v>2307</v>
      </c>
      <c r="K278" s="741">
        <v>6475</v>
      </c>
      <c r="L278" s="741">
        <v>8782</v>
      </c>
    </row>
    <row r="279" spans="1:12" ht="16.5" customHeight="1">
      <c r="A279" s="737">
        <v>275</v>
      </c>
      <c r="B279" s="1051"/>
      <c r="C279" s="738" t="s">
        <v>856</v>
      </c>
      <c r="D279" s="741">
        <v>0</v>
      </c>
      <c r="E279" s="741"/>
      <c r="F279" s="741"/>
      <c r="G279" s="741">
        <v>0</v>
      </c>
      <c r="H279" s="741"/>
      <c r="I279" s="741"/>
      <c r="J279" s="741">
        <v>33</v>
      </c>
      <c r="K279" s="741">
        <v>29</v>
      </c>
      <c r="L279" s="741">
        <v>62</v>
      </c>
    </row>
    <row r="280" spans="1:12" ht="16.5" customHeight="1">
      <c r="A280" s="737">
        <v>276</v>
      </c>
      <c r="B280" s="1051"/>
      <c r="C280" s="738" t="s">
        <v>610</v>
      </c>
      <c r="D280" s="741">
        <v>3997</v>
      </c>
      <c r="E280" s="741">
        <v>4299</v>
      </c>
      <c r="F280" s="741">
        <v>8296</v>
      </c>
      <c r="G280" s="741">
        <v>47</v>
      </c>
      <c r="H280" s="741">
        <v>74</v>
      </c>
      <c r="I280" s="741">
        <v>121</v>
      </c>
      <c r="J280" s="741">
        <v>31526</v>
      </c>
      <c r="K280" s="741">
        <v>46336</v>
      </c>
      <c r="L280" s="741">
        <v>77862</v>
      </c>
    </row>
    <row r="281" spans="1:12" ht="16.5" customHeight="1">
      <c r="A281" s="737">
        <v>277</v>
      </c>
      <c r="B281" s="1051"/>
      <c r="C281" s="738" t="s">
        <v>611</v>
      </c>
      <c r="D281" s="741">
        <v>4905</v>
      </c>
      <c r="E281" s="741">
        <v>3292</v>
      </c>
      <c r="F281" s="741">
        <v>8197</v>
      </c>
      <c r="G281" s="741">
        <v>77</v>
      </c>
      <c r="H281" s="741">
        <v>231</v>
      </c>
      <c r="I281" s="741">
        <v>308</v>
      </c>
      <c r="J281" s="741">
        <v>41693</v>
      </c>
      <c r="K281" s="741">
        <v>49954</v>
      </c>
      <c r="L281" s="741">
        <v>91647</v>
      </c>
    </row>
    <row r="282" spans="1:12" ht="16.5" customHeight="1">
      <c r="A282" s="737">
        <v>278</v>
      </c>
      <c r="B282" s="1051"/>
      <c r="C282" s="738" t="s">
        <v>186</v>
      </c>
      <c r="D282" s="741">
        <v>1513</v>
      </c>
      <c r="E282" s="741">
        <v>1524</v>
      </c>
      <c r="F282" s="741">
        <v>3037</v>
      </c>
      <c r="G282" s="741">
        <v>15</v>
      </c>
      <c r="H282" s="741">
        <v>99</v>
      </c>
      <c r="I282" s="741">
        <v>114</v>
      </c>
      <c r="J282" s="741">
        <v>25167</v>
      </c>
      <c r="K282" s="741">
        <v>42878</v>
      </c>
      <c r="L282" s="741">
        <v>68045</v>
      </c>
    </row>
    <row r="283" spans="1:12" ht="16.5" customHeight="1">
      <c r="A283" s="737">
        <v>279</v>
      </c>
      <c r="B283" s="1051"/>
      <c r="C283" s="738" t="s">
        <v>614</v>
      </c>
      <c r="D283" s="741">
        <v>49</v>
      </c>
      <c r="E283" s="741">
        <v>52</v>
      </c>
      <c r="F283" s="741">
        <v>101</v>
      </c>
      <c r="G283" s="741">
        <v>2</v>
      </c>
      <c r="H283" s="741">
        <v>6</v>
      </c>
      <c r="I283" s="741">
        <v>8</v>
      </c>
      <c r="J283" s="741">
        <v>1427</v>
      </c>
      <c r="K283" s="741">
        <v>2496</v>
      </c>
      <c r="L283" s="741">
        <v>3923</v>
      </c>
    </row>
    <row r="284" spans="1:12" ht="16.5" customHeight="1">
      <c r="A284" s="737">
        <v>280</v>
      </c>
      <c r="B284" s="1052"/>
      <c r="C284" s="738" t="s">
        <v>612</v>
      </c>
      <c r="D284" s="741">
        <v>1107</v>
      </c>
      <c r="E284" s="741">
        <v>1718</v>
      </c>
      <c r="F284" s="741">
        <v>2825</v>
      </c>
      <c r="G284" s="741">
        <v>37</v>
      </c>
      <c r="H284" s="741">
        <v>96</v>
      </c>
      <c r="I284" s="741">
        <v>133</v>
      </c>
      <c r="J284" s="741">
        <v>21203</v>
      </c>
      <c r="K284" s="741">
        <v>54261</v>
      </c>
      <c r="L284" s="741">
        <v>75464</v>
      </c>
    </row>
    <row r="285" spans="1:12" ht="16.5" customHeight="1">
      <c r="A285" s="737">
        <v>281</v>
      </c>
      <c r="B285" s="749" t="s">
        <v>622</v>
      </c>
      <c r="C285" s="748"/>
      <c r="D285" s="737">
        <v>22622</v>
      </c>
      <c r="E285" s="737">
        <v>22702</v>
      </c>
      <c r="F285" s="737">
        <v>45324</v>
      </c>
      <c r="G285" s="737">
        <v>406</v>
      </c>
      <c r="H285" s="737">
        <v>1223</v>
      </c>
      <c r="I285" s="737">
        <v>1629</v>
      </c>
      <c r="J285" s="737">
        <v>291862</v>
      </c>
      <c r="K285" s="737">
        <v>460945</v>
      </c>
      <c r="L285" s="737">
        <v>752807</v>
      </c>
    </row>
    <row r="286" spans="1:12" ht="16.5" customHeight="1">
      <c r="A286" s="737">
        <v>282</v>
      </c>
      <c r="B286" s="1050" t="s">
        <v>208</v>
      </c>
      <c r="C286" s="738" t="s">
        <v>632</v>
      </c>
      <c r="D286" s="741">
        <v>82</v>
      </c>
      <c r="E286" s="741">
        <v>97</v>
      </c>
      <c r="F286" s="741">
        <v>179</v>
      </c>
      <c r="G286" s="741">
        <v>1</v>
      </c>
      <c r="H286" s="741">
        <v>10</v>
      </c>
      <c r="I286" s="741">
        <v>11</v>
      </c>
      <c r="J286" s="741">
        <v>2113</v>
      </c>
      <c r="K286" s="741">
        <v>2534</v>
      </c>
      <c r="L286" s="741">
        <v>4647</v>
      </c>
    </row>
    <row r="287" spans="1:12" ht="16.5" customHeight="1">
      <c r="A287" s="737">
        <v>283</v>
      </c>
      <c r="B287" s="1051"/>
      <c r="C287" s="738" t="s">
        <v>858</v>
      </c>
      <c r="D287" s="741">
        <v>7</v>
      </c>
      <c r="E287" s="741">
        <v>3</v>
      </c>
      <c r="F287" s="741">
        <v>10</v>
      </c>
      <c r="G287" s="741">
        <v>3</v>
      </c>
      <c r="H287" s="741">
        <v>2</v>
      </c>
      <c r="I287" s="741">
        <v>5</v>
      </c>
      <c r="J287" s="741">
        <v>422</v>
      </c>
      <c r="K287" s="741">
        <v>340</v>
      </c>
      <c r="L287" s="741">
        <v>762</v>
      </c>
    </row>
    <row r="288" spans="1:12" ht="16.5" customHeight="1">
      <c r="A288" s="737">
        <v>284</v>
      </c>
      <c r="B288" s="1051"/>
      <c r="C288" s="738" t="s">
        <v>626</v>
      </c>
      <c r="D288" s="741">
        <v>1584</v>
      </c>
      <c r="E288" s="741">
        <v>1573</v>
      </c>
      <c r="F288" s="741">
        <v>3157</v>
      </c>
      <c r="G288" s="741">
        <v>109</v>
      </c>
      <c r="H288" s="741">
        <v>166</v>
      </c>
      <c r="I288" s="741">
        <v>275</v>
      </c>
      <c r="J288" s="741">
        <v>52813</v>
      </c>
      <c r="K288" s="741">
        <v>70071</v>
      </c>
      <c r="L288" s="741">
        <v>122884</v>
      </c>
    </row>
    <row r="289" spans="1:12" ht="16.5" customHeight="1">
      <c r="A289" s="737">
        <v>285</v>
      </c>
      <c r="B289" s="1051"/>
      <c r="C289" s="738" t="s">
        <v>531</v>
      </c>
      <c r="D289" s="741">
        <v>0</v>
      </c>
      <c r="E289" s="741"/>
      <c r="F289" s="741"/>
      <c r="G289" s="741">
        <v>0</v>
      </c>
      <c r="H289" s="741"/>
      <c r="I289" s="741"/>
      <c r="J289" s="741">
        <v>0</v>
      </c>
      <c r="K289" s="741">
        <v>34</v>
      </c>
      <c r="L289" s="741">
        <v>34</v>
      </c>
    </row>
    <row r="290" spans="1:12" ht="16.5" customHeight="1">
      <c r="A290" s="737">
        <v>286</v>
      </c>
      <c r="B290" s="1051"/>
      <c r="C290" s="738" t="s">
        <v>628</v>
      </c>
      <c r="D290" s="741">
        <v>705</v>
      </c>
      <c r="E290" s="741">
        <v>500</v>
      </c>
      <c r="F290" s="741">
        <v>1205</v>
      </c>
      <c r="G290" s="741">
        <v>40</v>
      </c>
      <c r="H290" s="741">
        <v>68</v>
      </c>
      <c r="I290" s="741">
        <v>108</v>
      </c>
      <c r="J290" s="741">
        <v>32442</v>
      </c>
      <c r="K290" s="741">
        <v>39096</v>
      </c>
      <c r="L290" s="741">
        <v>71538</v>
      </c>
    </row>
    <row r="291" spans="1:12" ht="16.5" customHeight="1">
      <c r="A291" s="737">
        <v>287</v>
      </c>
      <c r="B291" s="1051"/>
      <c r="C291" s="738" t="s">
        <v>624</v>
      </c>
      <c r="D291" s="741">
        <v>1521</v>
      </c>
      <c r="E291" s="741">
        <v>1206</v>
      </c>
      <c r="F291" s="741">
        <v>2727</v>
      </c>
      <c r="G291" s="741">
        <v>210</v>
      </c>
      <c r="H291" s="741">
        <v>380</v>
      </c>
      <c r="I291" s="741">
        <v>590</v>
      </c>
      <c r="J291" s="741">
        <v>97672</v>
      </c>
      <c r="K291" s="741">
        <v>110539</v>
      </c>
      <c r="L291" s="741">
        <v>208211</v>
      </c>
    </row>
    <row r="292" spans="1:12" ht="16.5" customHeight="1">
      <c r="A292" s="737">
        <v>288</v>
      </c>
      <c r="B292" s="1051"/>
      <c r="C292" s="738" t="s">
        <v>859</v>
      </c>
      <c r="D292" s="741">
        <v>0</v>
      </c>
      <c r="E292" s="741"/>
      <c r="F292" s="741"/>
      <c r="G292" s="741">
        <v>0</v>
      </c>
      <c r="H292" s="741"/>
      <c r="I292" s="741"/>
      <c r="J292" s="741">
        <v>147</v>
      </c>
      <c r="K292" s="741">
        <v>157</v>
      </c>
      <c r="L292" s="741">
        <v>304</v>
      </c>
    </row>
    <row r="293" spans="1:12" ht="16.5" customHeight="1">
      <c r="A293" s="737">
        <v>289</v>
      </c>
      <c r="B293" s="1051"/>
      <c r="C293" s="738" t="s">
        <v>857</v>
      </c>
      <c r="D293" s="741">
        <v>711</v>
      </c>
      <c r="E293" s="741">
        <v>728</v>
      </c>
      <c r="F293" s="741">
        <v>1439</v>
      </c>
      <c r="G293" s="741">
        <v>1</v>
      </c>
      <c r="H293" s="741">
        <v>6</v>
      </c>
      <c r="I293" s="741">
        <v>7</v>
      </c>
      <c r="J293" s="741">
        <v>3047</v>
      </c>
      <c r="K293" s="741">
        <v>4646</v>
      </c>
      <c r="L293" s="741">
        <v>7693</v>
      </c>
    </row>
    <row r="294" spans="1:12" ht="16.5" customHeight="1">
      <c r="A294" s="737">
        <v>290</v>
      </c>
      <c r="B294" s="1051"/>
      <c r="C294" s="738" t="s">
        <v>860</v>
      </c>
      <c r="D294" s="741">
        <v>2</v>
      </c>
      <c r="E294" s="741">
        <v>9</v>
      </c>
      <c r="F294" s="741">
        <v>11</v>
      </c>
      <c r="G294" s="741">
        <v>0</v>
      </c>
      <c r="H294" s="741"/>
      <c r="I294" s="741"/>
      <c r="J294" s="741">
        <v>59</v>
      </c>
      <c r="K294" s="741">
        <v>342</v>
      </c>
      <c r="L294" s="741">
        <v>401</v>
      </c>
    </row>
    <row r="295" spans="1:12" ht="16.5" customHeight="1">
      <c r="A295" s="737">
        <v>291</v>
      </c>
      <c r="B295" s="1051"/>
      <c r="C295" s="738" t="s">
        <v>608</v>
      </c>
      <c r="D295" s="741">
        <v>1737</v>
      </c>
      <c r="E295" s="741">
        <v>1279</v>
      </c>
      <c r="F295" s="741">
        <v>3016</v>
      </c>
      <c r="G295" s="741">
        <v>56</v>
      </c>
      <c r="H295" s="741">
        <v>45</v>
      </c>
      <c r="I295" s="741">
        <v>101</v>
      </c>
      <c r="J295" s="741">
        <v>23660</v>
      </c>
      <c r="K295" s="741">
        <v>23396</v>
      </c>
      <c r="L295" s="741">
        <v>47056</v>
      </c>
    </row>
    <row r="296" spans="1:12" ht="16.5" customHeight="1">
      <c r="A296" s="737">
        <v>292</v>
      </c>
      <c r="B296" s="1051"/>
      <c r="C296" s="738" t="s">
        <v>627</v>
      </c>
      <c r="D296" s="741">
        <v>2758</v>
      </c>
      <c r="E296" s="741">
        <v>2823</v>
      </c>
      <c r="F296" s="741">
        <v>5581</v>
      </c>
      <c r="G296" s="741">
        <v>182</v>
      </c>
      <c r="H296" s="741">
        <v>145</v>
      </c>
      <c r="I296" s="741">
        <v>327</v>
      </c>
      <c r="J296" s="741">
        <v>24521</v>
      </c>
      <c r="K296" s="741">
        <v>40451</v>
      </c>
      <c r="L296" s="741">
        <v>64972</v>
      </c>
    </row>
    <row r="297" spans="1:12" ht="16.5" customHeight="1">
      <c r="A297" s="737">
        <v>293</v>
      </c>
      <c r="B297" s="1051"/>
      <c r="C297" s="738" t="s">
        <v>631</v>
      </c>
      <c r="D297" s="741">
        <v>817</v>
      </c>
      <c r="E297" s="741">
        <v>535</v>
      </c>
      <c r="F297" s="741">
        <v>1352</v>
      </c>
      <c r="G297" s="741">
        <v>90</v>
      </c>
      <c r="H297" s="741">
        <v>114</v>
      </c>
      <c r="I297" s="741">
        <v>204</v>
      </c>
      <c r="J297" s="741">
        <v>6010</v>
      </c>
      <c r="K297" s="741">
        <v>6480</v>
      </c>
      <c r="L297" s="741">
        <v>12490</v>
      </c>
    </row>
    <row r="298" spans="1:12" ht="16.5" customHeight="1">
      <c r="A298" s="737">
        <v>294</v>
      </c>
      <c r="B298" s="1051"/>
      <c r="C298" s="738" t="s">
        <v>623</v>
      </c>
      <c r="D298" s="741">
        <v>1529</v>
      </c>
      <c r="E298" s="741">
        <v>942</v>
      </c>
      <c r="F298" s="741">
        <v>2471</v>
      </c>
      <c r="G298" s="741">
        <v>170</v>
      </c>
      <c r="H298" s="741">
        <v>142</v>
      </c>
      <c r="I298" s="741">
        <v>312</v>
      </c>
      <c r="J298" s="741">
        <v>81212</v>
      </c>
      <c r="K298" s="741">
        <v>93170</v>
      </c>
      <c r="L298" s="741">
        <v>174382</v>
      </c>
    </row>
    <row r="299" spans="1:12" ht="16.5" customHeight="1">
      <c r="A299" s="737">
        <v>295</v>
      </c>
      <c r="B299" s="1051"/>
      <c r="C299" s="738" t="s">
        <v>633</v>
      </c>
      <c r="D299" s="741">
        <v>126</v>
      </c>
      <c r="E299" s="741">
        <v>83</v>
      </c>
      <c r="F299" s="741">
        <v>209</v>
      </c>
      <c r="G299" s="741">
        <v>2</v>
      </c>
      <c r="H299" s="741">
        <v>0</v>
      </c>
      <c r="I299" s="741">
        <v>2</v>
      </c>
      <c r="J299" s="741">
        <v>77</v>
      </c>
      <c r="K299" s="741">
        <v>70</v>
      </c>
      <c r="L299" s="741">
        <v>147</v>
      </c>
    </row>
    <row r="300" spans="1:12" ht="16.5" customHeight="1">
      <c r="A300" s="737">
        <v>296</v>
      </c>
      <c r="B300" s="1051"/>
      <c r="C300" s="738" t="s">
        <v>629</v>
      </c>
      <c r="D300" s="741">
        <v>401</v>
      </c>
      <c r="E300" s="741">
        <v>972</v>
      </c>
      <c r="F300" s="741">
        <v>1373</v>
      </c>
      <c r="G300" s="741">
        <v>56</v>
      </c>
      <c r="H300" s="741">
        <v>257</v>
      </c>
      <c r="I300" s="741">
        <v>313</v>
      </c>
      <c r="J300" s="741">
        <v>15180</v>
      </c>
      <c r="K300" s="741">
        <v>36681</v>
      </c>
      <c r="L300" s="741">
        <v>51861</v>
      </c>
    </row>
    <row r="301" spans="1:12" ht="16.5" customHeight="1">
      <c r="A301" s="737">
        <v>297</v>
      </c>
      <c r="B301" s="1051"/>
      <c r="C301" s="738" t="s">
        <v>861</v>
      </c>
      <c r="D301" s="741">
        <v>0</v>
      </c>
      <c r="E301" s="741"/>
      <c r="F301" s="741"/>
      <c r="G301" s="741">
        <v>0</v>
      </c>
      <c r="H301" s="741"/>
      <c r="I301" s="741"/>
      <c r="J301" s="741">
        <v>2</v>
      </c>
      <c r="K301" s="741">
        <v>34</v>
      </c>
      <c r="L301" s="741">
        <v>36</v>
      </c>
    </row>
    <row r="302" spans="1:12" ht="16.5" customHeight="1">
      <c r="A302" s="737">
        <v>298</v>
      </c>
      <c r="B302" s="1051"/>
      <c r="C302" s="738" t="s">
        <v>630</v>
      </c>
      <c r="D302" s="741">
        <v>253</v>
      </c>
      <c r="E302" s="741">
        <v>134</v>
      </c>
      <c r="F302" s="741">
        <v>387</v>
      </c>
      <c r="G302" s="741">
        <v>10</v>
      </c>
      <c r="H302" s="741">
        <v>9</v>
      </c>
      <c r="I302" s="741">
        <v>19</v>
      </c>
      <c r="J302" s="741">
        <v>17426</v>
      </c>
      <c r="K302" s="741">
        <v>12304</v>
      </c>
      <c r="L302" s="741">
        <v>29730</v>
      </c>
    </row>
    <row r="303" spans="1:12" ht="16.5" customHeight="1">
      <c r="A303" s="737">
        <v>299</v>
      </c>
      <c r="B303" s="1051"/>
      <c r="C303" s="738" t="s">
        <v>208</v>
      </c>
      <c r="D303" s="741">
        <v>535</v>
      </c>
      <c r="E303" s="741">
        <v>398</v>
      </c>
      <c r="F303" s="741">
        <v>933</v>
      </c>
      <c r="G303" s="741">
        <v>55</v>
      </c>
      <c r="H303" s="741">
        <v>68</v>
      </c>
      <c r="I303" s="741">
        <v>123</v>
      </c>
      <c r="J303" s="741">
        <v>43317</v>
      </c>
      <c r="K303" s="741">
        <v>54431</v>
      </c>
      <c r="L303" s="741">
        <v>97748</v>
      </c>
    </row>
    <row r="304" spans="1:12" ht="16.5" customHeight="1">
      <c r="A304" s="737">
        <v>300</v>
      </c>
      <c r="B304" s="1051"/>
      <c r="C304" s="738" t="s">
        <v>625</v>
      </c>
      <c r="D304" s="741">
        <v>826</v>
      </c>
      <c r="E304" s="741">
        <v>979</v>
      </c>
      <c r="F304" s="741">
        <v>1805</v>
      </c>
      <c r="G304" s="741">
        <v>62</v>
      </c>
      <c r="H304" s="741">
        <v>79</v>
      </c>
      <c r="I304" s="741">
        <v>141</v>
      </c>
      <c r="J304" s="741">
        <v>66884</v>
      </c>
      <c r="K304" s="741">
        <v>113676</v>
      </c>
      <c r="L304" s="741">
        <v>180560</v>
      </c>
    </row>
    <row r="305" spans="1:12" ht="16.5" customHeight="1">
      <c r="A305" s="737">
        <v>301</v>
      </c>
      <c r="B305" s="1052"/>
      <c r="C305" s="738" t="s">
        <v>614</v>
      </c>
      <c r="D305" s="741">
        <v>99</v>
      </c>
      <c r="E305" s="741">
        <v>103</v>
      </c>
      <c r="F305" s="741">
        <v>202</v>
      </c>
      <c r="G305" s="741">
        <v>5</v>
      </c>
      <c r="H305" s="741">
        <v>4</v>
      </c>
      <c r="I305" s="741">
        <v>9</v>
      </c>
      <c r="J305" s="741">
        <v>2182</v>
      </c>
      <c r="K305" s="741">
        <v>2564</v>
      </c>
      <c r="L305" s="741">
        <v>4746</v>
      </c>
    </row>
    <row r="306" spans="1:12" ht="16.5" customHeight="1">
      <c r="A306" s="737">
        <v>302</v>
      </c>
      <c r="B306" s="749" t="s">
        <v>634</v>
      </c>
      <c r="C306" s="748"/>
      <c r="D306" s="737">
        <v>13693</v>
      </c>
      <c r="E306" s="737">
        <v>12364</v>
      </c>
      <c r="F306" s="737">
        <v>26057</v>
      </c>
      <c r="G306" s="737">
        <v>1052</v>
      </c>
      <c r="H306" s="737">
        <v>1495</v>
      </c>
      <c r="I306" s="737">
        <v>2547</v>
      </c>
      <c r="J306" s="737">
        <v>469186</v>
      </c>
      <c r="K306" s="737">
        <v>611016</v>
      </c>
      <c r="L306" s="737">
        <v>1080202</v>
      </c>
    </row>
    <row r="307" spans="1:12" ht="16.5" customHeight="1">
      <c r="A307" s="737">
        <v>303</v>
      </c>
      <c r="B307" s="749" t="s">
        <v>202</v>
      </c>
      <c r="C307" s="738" t="s">
        <v>202</v>
      </c>
      <c r="D307" s="741">
        <v>501</v>
      </c>
      <c r="E307" s="741">
        <v>486</v>
      </c>
      <c r="F307" s="741">
        <v>987</v>
      </c>
      <c r="G307" s="741">
        <v>93</v>
      </c>
      <c r="H307" s="741">
        <v>102</v>
      </c>
      <c r="I307" s="741">
        <v>195</v>
      </c>
      <c r="J307" s="741">
        <v>31018</v>
      </c>
      <c r="K307" s="741">
        <v>39224</v>
      </c>
      <c r="L307" s="741">
        <v>70242</v>
      </c>
    </row>
    <row r="308" spans="1:12" ht="16.5" customHeight="1">
      <c r="A308" s="737">
        <v>304</v>
      </c>
      <c r="B308" s="749" t="s">
        <v>1048</v>
      </c>
      <c r="C308" s="748"/>
      <c r="D308" s="737">
        <v>501</v>
      </c>
      <c r="E308" s="737">
        <v>486</v>
      </c>
      <c r="F308" s="737">
        <v>987</v>
      </c>
      <c r="G308" s="737">
        <v>93</v>
      </c>
      <c r="H308" s="737">
        <v>102</v>
      </c>
      <c r="I308" s="737">
        <v>195</v>
      </c>
      <c r="J308" s="737">
        <v>31018</v>
      </c>
      <c r="K308" s="737">
        <v>39224</v>
      </c>
      <c r="L308" s="737">
        <v>70242</v>
      </c>
    </row>
    <row r="309" spans="1:12" ht="16.5" customHeight="1">
      <c r="A309" s="737">
        <v>305</v>
      </c>
      <c r="B309" s="1050" t="s">
        <v>503</v>
      </c>
      <c r="C309" s="738" t="s">
        <v>635</v>
      </c>
      <c r="D309" s="741">
        <v>1</v>
      </c>
      <c r="E309" s="741">
        <v>0</v>
      </c>
      <c r="F309" s="741">
        <v>1</v>
      </c>
      <c r="G309" s="741">
        <v>0</v>
      </c>
      <c r="H309" s="741"/>
      <c r="I309" s="741"/>
      <c r="J309" s="741">
        <v>44</v>
      </c>
      <c r="K309" s="741">
        <v>4</v>
      </c>
      <c r="L309" s="741">
        <v>48</v>
      </c>
    </row>
    <row r="310" spans="1:12" ht="16.5" customHeight="1">
      <c r="A310" s="737">
        <v>306</v>
      </c>
      <c r="B310" s="1052"/>
      <c r="C310" s="738" t="s">
        <v>503</v>
      </c>
      <c r="D310" s="741">
        <v>453</v>
      </c>
      <c r="E310" s="741">
        <v>463</v>
      </c>
      <c r="F310" s="741">
        <v>916</v>
      </c>
      <c r="G310" s="741">
        <v>0</v>
      </c>
      <c r="H310" s="741"/>
      <c r="I310" s="741"/>
      <c r="J310" s="741">
        <v>2224</v>
      </c>
      <c r="K310" s="741">
        <v>1922</v>
      </c>
      <c r="L310" s="741">
        <v>4146</v>
      </c>
    </row>
    <row r="311" spans="1:12" ht="16.5" customHeight="1">
      <c r="A311" s="737">
        <v>307</v>
      </c>
      <c r="B311" s="749" t="s">
        <v>636</v>
      </c>
      <c r="C311" s="748"/>
      <c r="D311" s="737">
        <v>454</v>
      </c>
      <c r="E311" s="737">
        <v>463</v>
      </c>
      <c r="F311" s="737">
        <v>917</v>
      </c>
      <c r="G311" s="737">
        <v>0</v>
      </c>
      <c r="H311" s="737"/>
      <c r="I311" s="737"/>
      <c r="J311" s="737">
        <v>2268</v>
      </c>
      <c r="K311" s="737">
        <v>1926</v>
      </c>
      <c r="L311" s="737">
        <v>4194</v>
      </c>
    </row>
    <row r="312" spans="1:12" ht="16.5" customHeight="1">
      <c r="A312" s="737">
        <v>308</v>
      </c>
      <c r="B312" s="1050" t="s">
        <v>509</v>
      </c>
      <c r="C312" s="738" t="s">
        <v>539</v>
      </c>
      <c r="D312" s="741">
        <v>0</v>
      </c>
      <c r="E312" s="741"/>
      <c r="F312" s="741"/>
      <c r="G312" s="741">
        <v>0</v>
      </c>
      <c r="H312" s="741"/>
      <c r="I312" s="741"/>
      <c r="J312" s="741">
        <v>0</v>
      </c>
      <c r="K312" s="741">
        <v>21</v>
      </c>
      <c r="L312" s="741">
        <v>21</v>
      </c>
    </row>
    <row r="313" spans="1:12" ht="16.5" customHeight="1">
      <c r="A313" s="737">
        <v>309</v>
      </c>
      <c r="B313" s="1052"/>
      <c r="C313" s="738" t="s">
        <v>509</v>
      </c>
      <c r="D313" s="741">
        <v>39</v>
      </c>
      <c r="E313" s="741">
        <v>97</v>
      </c>
      <c r="F313" s="741">
        <v>136</v>
      </c>
      <c r="G313" s="741">
        <v>0</v>
      </c>
      <c r="H313" s="741">
        <v>2</v>
      </c>
      <c r="I313" s="741">
        <v>2</v>
      </c>
      <c r="J313" s="741">
        <v>1011</v>
      </c>
      <c r="K313" s="741">
        <v>10379</v>
      </c>
      <c r="L313" s="741">
        <v>11390</v>
      </c>
    </row>
    <row r="314" spans="1:12" ht="16.5" customHeight="1">
      <c r="A314" s="737">
        <v>310</v>
      </c>
      <c r="B314" s="749" t="s">
        <v>1049</v>
      </c>
      <c r="C314" s="748"/>
      <c r="D314" s="737">
        <v>39</v>
      </c>
      <c r="E314" s="737">
        <v>97</v>
      </c>
      <c r="F314" s="737">
        <v>136</v>
      </c>
      <c r="G314" s="737">
        <v>0</v>
      </c>
      <c r="H314" s="737">
        <v>2</v>
      </c>
      <c r="I314" s="737">
        <v>2</v>
      </c>
      <c r="J314" s="737">
        <v>1011</v>
      </c>
      <c r="K314" s="737">
        <v>10400</v>
      </c>
      <c r="L314" s="737">
        <v>11411</v>
      </c>
    </row>
    <row r="315" spans="1:12" s="743" customFormat="1" ht="16.5" customHeight="1">
      <c r="A315" s="1046" t="s">
        <v>60</v>
      </c>
      <c r="B315" s="1047"/>
      <c r="C315" s="1048"/>
      <c r="D315" s="737">
        <v>113863</v>
      </c>
      <c r="E315" s="737">
        <v>98611</v>
      </c>
      <c r="F315" s="737">
        <v>212474</v>
      </c>
      <c r="G315" s="737">
        <v>3392</v>
      </c>
      <c r="H315" s="737">
        <v>6125</v>
      </c>
      <c r="I315" s="737">
        <v>9517</v>
      </c>
      <c r="J315" s="737">
        <v>2283268</v>
      </c>
      <c r="K315" s="737">
        <v>2836597</v>
      </c>
      <c r="L315" s="737">
        <v>5119865</v>
      </c>
    </row>
  </sheetData>
  <mergeCells count="37">
    <mergeCell ref="B169:B217"/>
    <mergeCell ref="B219:B224"/>
    <mergeCell ref="B226:B247"/>
    <mergeCell ref="B312:B313"/>
    <mergeCell ref="B249:B250"/>
    <mergeCell ref="B254:B260"/>
    <mergeCell ref="B262:B284"/>
    <mergeCell ref="B286:B305"/>
    <mergeCell ref="B309:B310"/>
    <mergeCell ref="B145:B165"/>
    <mergeCell ref="B71:B72"/>
    <mergeCell ref="B76:B79"/>
    <mergeCell ref="B83:B84"/>
    <mergeCell ref="B86:B91"/>
    <mergeCell ref="B93:B94"/>
    <mergeCell ref="B98:B101"/>
    <mergeCell ref="B103:B107"/>
    <mergeCell ref="B109:B122"/>
    <mergeCell ref="B124:B130"/>
    <mergeCell ref="B132:B133"/>
    <mergeCell ref="B135:B139"/>
    <mergeCell ref="B42:B69"/>
    <mergeCell ref="A315:C315"/>
    <mergeCell ref="A2:A3"/>
    <mergeCell ref="B2:C3"/>
    <mergeCell ref="B1:L1"/>
    <mergeCell ref="D2:F2"/>
    <mergeCell ref="G2:I2"/>
    <mergeCell ref="J2:L2"/>
    <mergeCell ref="B5:B8"/>
    <mergeCell ref="B10:B11"/>
    <mergeCell ref="B13:B14"/>
    <mergeCell ref="B16:B17"/>
    <mergeCell ref="B25:B26"/>
    <mergeCell ref="B28:B29"/>
    <mergeCell ref="B31:B34"/>
    <mergeCell ref="B38:B40"/>
  </mergeCells>
  <pageMargins left="0.45" right="0.19" top="0.51181102362204722" bottom="0.51181102362204722" header="0.31496062992125984" footer="0.19685039370078741"/>
  <pageSetup paperSize="9" scale="57" firstPageNumber="46" orientation="portrait" useFirstPageNumber="1" r:id="rId1"/>
  <headerFooter>
    <oddFooter>&amp;LAISHE 2021-22&amp;CT-13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3C56-2F9F-49A2-AF7F-A33FD24F4E72}">
  <sheetPr>
    <tabColor rgb="FF00B050"/>
  </sheetPr>
  <dimension ref="A1:AF47"/>
  <sheetViews>
    <sheetView view="pageBreakPreview" zoomScaleSheetLayoutView="100" workbookViewId="0">
      <pane xSplit="2" ySplit="4" topLeftCell="C23" activePane="bottomRight" state="frozen"/>
      <selection activeCell="F15" sqref="F15"/>
      <selection pane="topRight" activeCell="F15" sqref="F15"/>
      <selection pane="bottomLeft" activeCell="F15" sqref="F15"/>
      <selection pane="bottomRight" activeCell="A5" sqref="A5:XFD5"/>
    </sheetView>
  </sheetViews>
  <sheetFormatPr defaultColWidth="9.28515625" defaultRowHeight="15"/>
  <cols>
    <col min="1" max="1" width="5.28515625" style="438" bestFit="1" customWidth="1"/>
    <col min="2" max="2" width="19.42578125" style="197" bestFit="1" customWidth="1"/>
    <col min="3" max="26" width="10" style="197" customWidth="1"/>
    <col min="27" max="16384" width="9.28515625" style="197"/>
  </cols>
  <sheetData>
    <row r="1" spans="1:26" s="129" customFormat="1" ht="27" customHeight="1">
      <c r="A1" s="436"/>
      <c r="B1" s="80" t="s">
        <v>132</v>
      </c>
      <c r="C1" s="977" t="s">
        <v>1077</v>
      </c>
      <c r="D1" s="977"/>
      <c r="E1" s="977"/>
      <c r="F1" s="977"/>
      <c r="G1" s="977"/>
      <c r="H1" s="977"/>
      <c r="I1" s="977"/>
      <c r="J1" s="977"/>
      <c r="K1" s="977"/>
      <c r="L1" s="977"/>
      <c r="M1" s="977"/>
      <c r="N1" s="977"/>
      <c r="O1" s="1055" t="s">
        <v>1088</v>
      </c>
      <c r="P1" s="1055"/>
      <c r="Q1" s="1055"/>
      <c r="R1" s="1055"/>
      <c r="S1" s="1055"/>
      <c r="T1" s="1055"/>
      <c r="U1" s="1055"/>
      <c r="V1" s="1055"/>
      <c r="W1" s="1055"/>
      <c r="X1" s="1055"/>
      <c r="Y1" s="1055"/>
      <c r="Z1" s="1055"/>
    </row>
    <row r="2" spans="1:26" s="192" customFormat="1" ht="30" customHeight="1">
      <c r="A2" s="1056" t="s">
        <v>1066</v>
      </c>
      <c r="B2" s="1058" t="s">
        <v>168</v>
      </c>
      <c r="C2" s="1060" t="s">
        <v>136</v>
      </c>
      <c r="D2" s="1061"/>
      <c r="E2" s="1062"/>
      <c r="F2" s="1060" t="s">
        <v>460</v>
      </c>
      <c r="G2" s="1061"/>
      <c r="H2" s="1062"/>
      <c r="I2" s="1060" t="s">
        <v>242</v>
      </c>
      <c r="J2" s="1061"/>
      <c r="K2" s="1062"/>
      <c r="L2" s="1060" t="s">
        <v>243</v>
      </c>
      <c r="M2" s="1061"/>
      <c r="N2" s="1062"/>
      <c r="O2" s="1063" t="s">
        <v>105</v>
      </c>
      <c r="P2" s="1064"/>
      <c r="Q2" s="1065"/>
      <c r="R2" s="1063" t="s">
        <v>106</v>
      </c>
      <c r="S2" s="1064"/>
      <c r="T2" s="1065"/>
      <c r="U2" s="1053" t="s">
        <v>107</v>
      </c>
      <c r="V2" s="1053"/>
      <c r="W2" s="1053"/>
      <c r="X2" s="1053" t="s">
        <v>225</v>
      </c>
      <c r="Y2" s="1053"/>
      <c r="Z2" s="1053"/>
    </row>
    <row r="3" spans="1:26" s="193" customFormat="1" ht="24.75" customHeight="1">
      <c r="A3" s="1057"/>
      <c r="B3" s="1059"/>
      <c r="C3" s="191" t="s">
        <v>87</v>
      </c>
      <c r="D3" s="191" t="s">
        <v>88</v>
      </c>
      <c r="E3" s="191" t="s">
        <v>12</v>
      </c>
      <c r="F3" s="191" t="s">
        <v>87</v>
      </c>
      <c r="G3" s="191" t="s">
        <v>88</v>
      </c>
      <c r="H3" s="191" t="s">
        <v>12</v>
      </c>
      <c r="I3" s="191" t="s">
        <v>87</v>
      </c>
      <c r="J3" s="191" t="s">
        <v>88</v>
      </c>
      <c r="K3" s="191" t="s">
        <v>12</v>
      </c>
      <c r="L3" s="191" t="s">
        <v>87</v>
      </c>
      <c r="M3" s="191" t="s">
        <v>88</v>
      </c>
      <c r="N3" s="191" t="s">
        <v>12</v>
      </c>
      <c r="O3" s="191" t="s">
        <v>87</v>
      </c>
      <c r="P3" s="191" t="s">
        <v>88</v>
      </c>
      <c r="Q3" s="191" t="s">
        <v>12</v>
      </c>
      <c r="R3" s="191" t="s">
        <v>87</v>
      </c>
      <c r="S3" s="191" t="s">
        <v>88</v>
      </c>
      <c r="T3" s="191" t="s">
        <v>12</v>
      </c>
      <c r="U3" s="191" t="s">
        <v>87</v>
      </c>
      <c r="V3" s="191" t="s">
        <v>88</v>
      </c>
      <c r="W3" s="191" t="s">
        <v>12</v>
      </c>
      <c r="X3" s="191" t="s">
        <v>87</v>
      </c>
      <c r="Y3" s="191" t="s">
        <v>88</v>
      </c>
      <c r="Z3" s="191" t="s">
        <v>12</v>
      </c>
    </row>
    <row r="4" spans="1:26" s="196" customFormat="1" ht="13.5" customHeight="1">
      <c r="A4" s="437">
        <v>1</v>
      </c>
      <c r="B4" s="437">
        <v>2</v>
      </c>
      <c r="C4" s="437">
        <v>3</v>
      </c>
      <c r="D4" s="437">
        <v>4</v>
      </c>
      <c r="E4" s="437">
        <v>5</v>
      </c>
      <c r="F4" s="437">
        <v>6</v>
      </c>
      <c r="G4" s="437">
        <v>7</v>
      </c>
      <c r="H4" s="437">
        <v>8</v>
      </c>
      <c r="I4" s="437">
        <v>9</v>
      </c>
      <c r="J4" s="437">
        <v>10</v>
      </c>
      <c r="K4" s="437">
        <v>11</v>
      </c>
      <c r="L4" s="437">
        <v>12</v>
      </c>
      <c r="M4" s="437">
        <v>13</v>
      </c>
      <c r="N4" s="437">
        <v>14</v>
      </c>
      <c r="O4" s="437">
        <v>15</v>
      </c>
      <c r="P4" s="437">
        <v>16</v>
      </c>
      <c r="Q4" s="437">
        <v>17</v>
      </c>
      <c r="R4" s="437">
        <v>18</v>
      </c>
      <c r="S4" s="437">
        <v>19</v>
      </c>
      <c r="T4" s="437">
        <v>20</v>
      </c>
      <c r="U4" s="437">
        <v>21</v>
      </c>
      <c r="V4" s="437">
        <v>22</v>
      </c>
      <c r="W4" s="437">
        <v>23</v>
      </c>
      <c r="X4" s="437">
        <v>24</v>
      </c>
      <c r="Y4" s="437">
        <v>25</v>
      </c>
      <c r="Z4" s="437">
        <v>26</v>
      </c>
    </row>
    <row r="5" spans="1:26" s="193" customFormat="1" ht="31.5" customHeight="1">
      <c r="A5" s="427">
        <v>1</v>
      </c>
      <c r="B5" s="194" t="s">
        <v>1061</v>
      </c>
      <c r="C5" s="146">
        <v>5200</v>
      </c>
      <c r="D5" s="146">
        <v>6227</v>
      </c>
      <c r="E5" s="146">
        <v>11427</v>
      </c>
      <c r="F5" s="146">
        <v>42</v>
      </c>
      <c r="G5" s="146">
        <v>11</v>
      </c>
      <c r="H5" s="146">
        <v>53</v>
      </c>
      <c r="I5" s="146">
        <v>192</v>
      </c>
      <c r="J5" s="146">
        <v>283</v>
      </c>
      <c r="K5" s="146">
        <v>475</v>
      </c>
      <c r="L5" s="146">
        <v>1437</v>
      </c>
      <c r="M5" s="146">
        <v>1806</v>
      </c>
      <c r="N5" s="146">
        <v>3243</v>
      </c>
      <c r="O5" s="147">
        <v>27</v>
      </c>
      <c r="P5" s="147">
        <v>39</v>
      </c>
      <c r="Q5" s="147">
        <v>66</v>
      </c>
      <c r="R5" s="147">
        <v>239</v>
      </c>
      <c r="S5" s="147">
        <v>370</v>
      </c>
      <c r="T5" s="147">
        <v>609</v>
      </c>
      <c r="U5" s="147">
        <v>402</v>
      </c>
      <c r="V5" s="147">
        <v>743</v>
      </c>
      <c r="W5" s="147">
        <v>1145</v>
      </c>
      <c r="X5" s="147">
        <v>49</v>
      </c>
      <c r="Y5" s="147">
        <v>63</v>
      </c>
      <c r="Z5" s="147">
        <v>112</v>
      </c>
    </row>
    <row r="6" spans="1:26" s="193" customFormat="1" ht="30.75" customHeight="1">
      <c r="A6" s="427">
        <v>2</v>
      </c>
      <c r="B6" s="195" t="s">
        <v>15</v>
      </c>
      <c r="C6" s="146">
        <v>1028739</v>
      </c>
      <c r="D6" s="146">
        <v>900420</v>
      </c>
      <c r="E6" s="146">
        <v>1929159</v>
      </c>
      <c r="F6" s="146">
        <v>174877</v>
      </c>
      <c r="G6" s="146">
        <v>162015</v>
      </c>
      <c r="H6" s="146">
        <v>336892</v>
      </c>
      <c r="I6" s="146">
        <v>50146</v>
      </c>
      <c r="J6" s="146">
        <v>46729</v>
      </c>
      <c r="K6" s="146">
        <v>96875</v>
      </c>
      <c r="L6" s="146">
        <v>481074</v>
      </c>
      <c r="M6" s="146">
        <v>394159</v>
      </c>
      <c r="N6" s="146">
        <v>875233</v>
      </c>
      <c r="O6" s="147">
        <v>1361</v>
      </c>
      <c r="P6" s="147">
        <v>1167</v>
      </c>
      <c r="Q6" s="147">
        <v>2528</v>
      </c>
      <c r="R6" s="147">
        <v>32718</v>
      </c>
      <c r="S6" s="147">
        <v>23726</v>
      </c>
      <c r="T6" s="147">
        <v>56444</v>
      </c>
      <c r="U6" s="147">
        <v>4241</v>
      </c>
      <c r="V6" s="147">
        <v>4420</v>
      </c>
      <c r="W6" s="147">
        <v>8661</v>
      </c>
      <c r="X6" s="147">
        <v>20391</v>
      </c>
      <c r="Y6" s="147">
        <v>19050</v>
      </c>
      <c r="Z6" s="147">
        <v>39441</v>
      </c>
    </row>
    <row r="7" spans="1:26" s="193" customFormat="1" ht="30.75" customHeight="1">
      <c r="A7" s="427">
        <v>3</v>
      </c>
      <c r="B7" s="195" t="s">
        <v>16</v>
      </c>
      <c r="C7" s="146">
        <v>34995</v>
      </c>
      <c r="D7" s="146">
        <v>29895</v>
      </c>
      <c r="E7" s="146">
        <v>64890</v>
      </c>
      <c r="F7" s="146">
        <v>609</v>
      </c>
      <c r="G7" s="146">
        <v>338</v>
      </c>
      <c r="H7" s="146">
        <v>947</v>
      </c>
      <c r="I7" s="146">
        <v>24790</v>
      </c>
      <c r="J7" s="146">
        <v>23529</v>
      </c>
      <c r="K7" s="146">
        <v>48319</v>
      </c>
      <c r="L7" s="146">
        <v>1291</v>
      </c>
      <c r="M7" s="146">
        <v>822</v>
      </c>
      <c r="N7" s="146">
        <v>2113</v>
      </c>
      <c r="O7" s="147">
        <v>24</v>
      </c>
      <c r="P7" s="147">
        <v>28</v>
      </c>
      <c r="Q7" s="147">
        <v>52</v>
      </c>
      <c r="R7" s="147">
        <v>65</v>
      </c>
      <c r="S7" s="147">
        <v>42</v>
      </c>
      <c r="T7" s="147">
        <v>107</v>
      </c>
      <c r="U7" s="147">
        <v>2470</v>
      </c>
      <c r="V7" s="147">
        <v>1673</v>
      </c>
      <c r="W7" s="147">
        <v>4143</v>
      </c>
      <c r="X7" s="147">
        <v>221</v>
      </c>
      <c r="Y7" s="147">
        <v>124</v>
      </c>
      <c r="Z7" s="147">
        <v>345</v>
      </c>
    </row>
    <row r="8" spans="1:26" s="193" customFormat="1" ht="30.75" customHeight="1">
      <c r="A8" s="427">
        <v>4</v>
      </c>
      <c r="B8" s="195" t="s">
        <v>17</v>
      </c>
      <c r="C8" s="146">
        <v>333926</v>
      </c>
      <c r="D8" s="146">
        <v>344086</v>
      </c>
      <c r="E8" s="146">
        <v>678012</v>
      </c>
      <c r="F8" s="146">
        <v>29419</v>
      </c>
      <c r="G8" s="146">
        <v>27820</v>
      </c>
      <c r="H8" s="146">
        <v>57239</v>
      </c>
      <c r="I8" s="146">
        <v>63952</v>
      </c>
      <c r="J8" s="146">
        <v>66267</v>
      </c>
      <c r="K8" s="146">
        <v>130219</v>
      </c>
      <c r="L8" s="146">
        <v>85446</v>
      </c>
      <c r="M8" s="146">
        <v>92054</v>
      </c>
      <c r="N8" s="146">
        <v>177500</v>
      </c>
      <c r="O8" s="147">
        <v>429</v>
      </c>
      <c r="P8" s="147">
        <v>232</v>
      </c>
      <c r="Q8" s="147">
        <v>661</v>
      </c>
      <c r="R8" s="147">
        <v>44047</v>
      </c>
      <c r="S8" s="147">
        <v>40761</v>
      </c>
      <c r="T8" s="147">
        <v>84808</v>
      </c>
      <c r="U8" s="147">
        <v>5841</v>
      </c>
      <c r="V8" s="147">
        <v>5894</v>
      </c>
      <c r="W8" s="147">
        <v>11735</v>
      </c>
      <c r="X8" s="147">
        <v>12932</v>
      </c>
      <c r="Y8" s="147">
        <v>14272</v>
      </c>
      <c r="Z8" s="147">
        <v>27204</v>
      </c>
    </row>
    <row r="9" spans="1:26" s="193" customFormat="1" ht="30.75" customHeight="1">
      <c r="A9" s="427">
        <v>5</v>
      </c>
      <c r="B9" s="195" t="s">
        <v>18</v>
      </c>
      <c r="C9" s="146">
        <v>1447460</v>
      </c>
      <c r="D9" s="146">
        <v>1175486</v>
      </c>
      <c r="E9" s="146">
        <v>2622946</v>
      </c>
      <c r="F9" s="146">
        <v>224269</v>
      </c>
      <c r="G9" s="146">
        <v>153799</v>
      </c>
      <c r="H9" s="146">
        <v>378068</v>
      </c>
      <c r="I9" s="146">
        <v>36612</v>
      </c>
      <c r="J9" s="146">
        <v>28622</v>
      </c>
      <c r="K9" s="146">
        <v>65234</v>
      </c>
      <c r="L9" s="146">
        <v>707676</v>
      </c>
      <c r="M9" s="146">
        <v>575245</v>
      </c>
      <c r="N9" s="146">
        <v>1282921</v>
      </c>
      <c r="O9" s="147">
        <v>2732</v>
      </c>
      <c r="P9" s="147">
        <v>1289</v>
      </c>
      <c r="Q9" s="147">
        <v>4021</v>
      </c>
      <c r="R9" s="147">
        <v>93896</v>
      </c>
      <c r="S9" s="147">
        <v>78785</v>
      </c>
      <c r="T9" s="147">
        <v>172681</v>
      </c>
      <c r="U9" s="147">
        <v>3879</v>
      </c>
      <c r="V9" s="147">
        <v>4058</v>
      </c>
      <c r="W9" s="147">
        <v>7937</v>
      </c>
      <c r="X9" s="147">
        <v>24859</v>
      </c>
      <c r="Y9" s="147">
        <v>18422</v>
      </c>
      <c r="Z9" s="147">
        <v>43281</v>
      </c>
    </row>
    <row r="10" spans="1:26" s="193" customFormat="1" ht="30.75" customHeight="1">
      <c r="A10" s="427">
        <v>6</v>
      </c>
      <c r="B10" s="195" t="s">
        <v>19</v>
      </c>
      <c r="C10" s="146">
        <v>55291</v>
      </c>
      <c r="D10" s="146">
        <v>55712</v>
      </c>
      <c r="E10" s="146">
        <v>111003</v>
      </c>
      <c r="F10" s="146">
        <v>9631</v>
      </c>
      <c r="G10" s="146">
        <v>8082</v>
      </c>
      <c r="H10" s="146">
        <v>17713</v>
      </c>
      <c r="I10" s="146">
        <v>1243</v>
      </c>
      <c r="J10" s="146">
        <v>1129</v>
      </c>
      <c r="K10" s="146">
        <v>2372</v>
      </c>
      <c r="L10" s="146">
        <v>5504</v>
      </c>
      <c r="M10" s="146">
        <v>3655</v>
      </c>
      <c r="N10" s="146">
        <v>9159</v>
      </c>
      <c r="O10" s="147">
        <v>287</v>
      </c>
      <c r="P10" s="147">
        <v>151</v>
      </c>
      <c r="Q10" s="147">
        <v>438</v>
      </c>
      <c r="R10" s="147">
        <v>321</v>
      </c>
      <c r="S10" s="147">
        <v>371</v>
      </c>
      <c r="T10" s="147">
        <v>692</v>
      </c>
      <c r="U10" s="147">
        <v>1726</v>
      </c>
      <c r="V10" s="147">
        <v>2842</v>
      </c>
      <c r="W10" s="147">
        <v>4568</v>
      </c>
      <c r="X10" s="147">
        <v>1178</v>
      </c>
      <c r="Y10" s="147">
        <v>1737</v>
      </c>
      <c r="Z10" s="147">
        <v>2915</v>
      </c>
    </row>
    <row r="11" spans="1:26" s="193" customFormat="1" ht="30.75" customHeight="1">
      <c r="A11" s="427">
        <v>7</v>
      </c>
      <c r="B11" s="195" t="s">
        <v>20</v>
      </c>
      <c r="C11" s="406">
        <v>298601</v>
      </c>
      <c r="D11" s="406">
        <v>357740</v>
      </c>
      <c r="E11" s="406">
        <v>656341</v>
      </c>
      <c r="F11" s="146">
        <v>43431</v>
      </c>
      <c r="G11" s="146">
        <v>47514</v>
      </c>
      <c r="H11" s="146">
        <v>90945</v>
      </c>
      <c r="I11" s="146">
        <v>52777</v>
      </c>
      <c r="J11" s="146">
        <v>77518</v>
      </c>
      <c r="K11" s="146">
        <v>130295</v>
      </c>
      <c r="L11" s="146">
        <v>133393</v>
      </c>
      <c r="M11" s="146">
        <v>154494</v>
      </c>
      <c r="N11" s="146">
        <v>287887</v>
      </c>
      <c r="O11" s="147">
        <v>799</v>
      </c>
      <c r="P11" s="147">
        <v>411</v>
      </c>
      <c r="Q11" s="147">
        <v>1210</v>
      </c>
      <c r="R11" s="147">
        <v>2348</v>
      </c>
      <c r="S11" s="147">
        <v>2765</v>
      </c>
      <c r="T11" s="147">
        <v>5113</v>
      </c>
      <c r="U11" s="147">
        <v>2911</v>
      </c>
      <c r="V11" s="147">
        <v>4418</v>
      </c>
      <c r="W11" s="147">
        <v>7329</v>
      </c>
      <c r="X11" s="147">
        <v>2144</v>
      </c>
      <c r="Y11" s="147">
        <v>2520</v>
      </c>
      <c r="Z11" s="147">
        <v>4664</v>
      </c>
    </row>
    <row r="12" spans="1:26" s="193" customFormat="1" ht="30.75" customHeight="1">
      <c r="A12" s="427">
        <v>8</v>
      </c>
      <c r="B12" s="195" t="s">
        <v>23</v>
      </c>
      <c r="C12" s="146">
        <v>585353</v>
      </c>
      <c r="D12" s="146">
        <v>560037</v>
      </c>
      <c r="E12" s="146">
        <v>1145390</v>
      </c>
      <c r="F12" s="146">
        <v>81427</v>
      </c>
      <c r="G12" s="146">
        <v>77126</v>
      </c>
      <c r="H12" s="146">
        <v>158553</v>
      </c>
      <c r="I12" s="146">
        <v>11197</v>
      </c>
      <c r="J12" s="146">
        <v>9976</v>
      </c>
      <c r="K12" s="146">
        <v>21173</v>
      </c>
      <c r="L12" s="146">
        <v>100008</v>
      </c>
      <c r="M12" s="146">
        <v>75996</v>
      </c>
      <c r="N12" s="146">
        <v>176004</v>
      </c>
      <c r="O12" s="147">
        <v>4073</v>
      </c>
      <c r="P12" s="147">
        <v>2328</v>
      </c>
      <c r="Q12" s="147">
        <v>6401</v>
      </c>
      <c r="R12" s="147">
        <v>15489</v>
      </c>
      <c r="S12" s="147">
        <v>12793</v>
      </c>
      <c r="T12" s="147">
        <v>28282</v>
      </c>
      <c r="U12" s="147">
        <v>5033</v>
      </c>
      <c r="V12" s="147">
        <v>5155</v>
      </c>
      <c r="W12" s="147">
        <v>10188</v>
      </c>
      <c r="X12" s="147">
        <v>19811</v>
      </c>
      <c r="Y12" s="147">
        <v>13540</v>
      </c>
      <c r="Z12" s="147">
        <v>33351</v>
      </c>
    </row>
    <row r="13" spans="1:26" s="193" customFormat="1" ht="30.75" customHeight="1">
      <c r="A13" s="427">
        <v>9</v>
      </c>
      <c r="B13" s="195" t="s">
        <v>24</v>
      </c>
      <c r="C13" s="146">
        <v>35398</v>
      </c>
      <c r="D13" s="146">
        <v>30017</v>
      </c>
      <c r="E13" s="146">
        <v>65415</v>
      </c>
      <c r="F13" s="146">
        <v>822</v>
      </c>
      <c r="G13" s="146">
        <v>592</v>
      </c>
      <c r="H13" s="146">
        <v>1414</v>
      </c>
      <c r="I13" s="146">
        <v>2106</v>
      </c>
      <c r="J13" s="146">
        <v>2783</v>
      </c>
      <c r="K13" s="146">
        <v>4889</v>
      </c>
      <c r="L13" s="146">
        <v>5182</v>
      </c>
      <c r="M13" s="146">
        <v>5690</v>
      </c>
      <c r="N13" s="146">
        <v>10872</v>
      </c>
      <c r="O13" s="147">
        <v>460</v>
      </c>
      <c r="P13" s="147">
        <v>144</v>
      </c>
      <c r="Q13" s="147">
        <v>604</v>
      </c>
      <c r="R13" s="147">
        <v>1531</v>
      </c>
      <c r="S13" s="147">
        <v>1553</v>
      </c>
      <c r="T13" s="147">
        <v>3084</v>
      </c>
      <c r="U13" s="147">
        <v>4446</v>
      </c>
      <c r="V13" s="147">
        <v>5734</v>
      </c>
      <c r="W13" s="147">
        <v>10180</v>
      </c>
      <c r="X13" s="147">
        <v>475</v>
      </c>
      <c r="Y13" s="147">
        <v>405</v>
      </c>
      <c r="Z13" s="147">
        <v>880</v>
      </c>
    </row>
    <row r="14" spans="1:26" s="193" customFormat="1" ht="30.75" customHeight="1">
      <c r="A14" s="427">
        <v>10</v>
      </c>
      <c r="B14" s="195" t="s">
        <v>25</v>
      </c>
      <c r="C14" s="146">
        <v>1009666</v>
      </c>
      <c r="D14" s="146">
        <v>787996</v>
      </c>
      <c r="E14" s="146">
        <v>1797662</v>
      </c>
      <c r="F14" s="146">
        <v>95144</v>
      </c>
      <c r="G14" s="146">
        <v>76178</v>
      </c>
      <c r="H14" s="146">
        <v>171322</v>
      </c>
      <c r="I14" s="146">
        <v>101665</v>
      </c>
      <c r="J14" s="146">
        <v>102861</v>
      </c>
      <c r="K14" s="146">
        <v>204526</v>
      </c>
      <c r="L14" s="146">
        <v>340381</v>
      </c>
      <c r="M14" s="146">
        <v>244776</v>
      </c>
      <c r="N14" s="146">
        <v>585157</v>
      </c>
      <c r="O14" s="147">
        <v>2885</v>
      </c>
      <c r="P14" s="147">
        <v>2156</v>
      </c>
      <c r="Q14" s="147">
        <v>5041</v>
      </c>
      <c r="R14" s="147">
        <v>19387</v>
      </c>
      <c r="S14" s="147">
        <v>16606</v>
      </c>
      <c r="T14" s="147">
        <v>35993</v>
      </c>
      <c r="U14" s="147">
        <v>6945</v>
      </c>
      <c r="V14" s="147">
        <v>7190</v>
      </c>
      <c r="W14" s="147">
        <v>14135</v>
      </c>
      <c r="X14" s="147">
        <v>35817</v>
      </c>
      <c r="Y14" s="147">
        <v>24763</v>
      </c>
      <c r="Z14" s="147">
        <v>60580</v>
      </c>
    </row>
    <row r="15" spans="1:26" s="193" customFormat="1" ht="30.75" customHeight="1">
      <c r="A15" s="427">
        <v>11</v>
      </c>
      <c r="B15" s="195" t="s">
        <v>26</v>
      </c>
      <c r="C15" s="146">
        <v>542146</v>
      </c>
      <c r="D15" s="146">
        <v>562386</v>
      </c>
      <c r="E15" s="146">
        <v>1104532</v>
      </c>
      <c r="F15" s="146">
        <v>92355</v>
      </c>
      <c r="G15" s="146">
        <v>93635</v>
      </c>
      <c r="H15" s="146">
        <v>185990</v>
      </c>
      <c r="I15" s="146">
        <v>3153</v>
      </c>
      <c r="J15" s="146">
        <v>2027</v>
      </c>
      <c r="K15" s="146">
        <v>5180</v>
      </c>
      <c r="L15" s="146">
        <v>126050</v>
      </c>
      <c r="M15" s="146">
        <v>127165</v>
      </c>
      <c r="N15" s="146">
        <v>253215</v>
      </c>
      <c r="O15" s="147">
        <v>798</v>
      </c>
      <c r="P15" s="147">
        <v>483</v>
      </c>
      <c r="Q15" s="147">
        <v>1281</v>
      </c>
      <c r="R15" s="147">
        <v>7869</v>
      </c>
      <c r="S15" s="147">
        <v>3092</v>
      </c>
      <c r="T15" s="147">
        <v>10961</v>
      </c>
      <c r="U15" s="147">
        <v>5629</v>
      </c>
      <c r="V15" s="147">
        <v>6447</v>
      </c>
      <c r="W15" s="147">
        <v>12076</v>
      </c>
      <c r="X15" s="147">
        <v>9445</v>
      </c>
      <c r="Y15" s="147">
        <v>6252</v>
      </c>
      <c r="Z15" s="147">
        <v>15697</v>
      </c>
    </row>
    <row r="16" spans="1:26" s="193" customFormat="1" ht="30.75" customHeight="1">
      <c r="A16" s="427">
        <v>12</v>
      </c>
      <c r="B16" s="195" t="s">
        <v>27</v>
      </c>
      <c r="C16" s="146">
        <v>147143</v>
      </c>
      <c r="D16" s="146">
        <v>172508</v>
      </c>
      <c r="E16" s="146">
        <v>319651</v>
      </c>
      <c r="F16" s="146">
        <v>30001</v>
      </c>
      <c r="G16" s="146">
        <v>36535</v>
      </c>
      <c r="H16" s="146">
        <v>66536</v>
      </c>
      <c r="I16" s="146">
        <v>8689</v>
      </c>
      <c r="J16" s="146">
        <v>10609</v>
      </c>
      <c r="K16" s="146">
        <v>19298</v>
      </c>
      <c r="L16" s="146">
        <v>18959</v>
      </c>
      <c r="M16" s="146">
        <v>25173</v>
      </c>
      <c r="N16" s="146">
        <v>44132</v>
      </c>
      <c r="O16" s="147">
        <v>335</v>
      </c>
      <c r="P16" s="147">
        <v>170</v>
      </c>
      <c r="Q16" s="147">
        <v>505</v>
      </c>
      <c r="R16" s="147">
        <v>746</v>
      </c>
      <c r="S16" s="147">
        <v>568</v>
      </c>
      <c r="T16" s="147">
        <v>1314</v>
      </c>
      <c r="U16" s="147">
        <v>1028</v>
      </c>
      <c r="V16" s="147">
        <v>1104</v>
      </c>
      <c r="W16" s="147">
        <v>2132</v>
      </c>
      <c r="X16" s="147">
        <v>2551</v>
      </c>
      <c r="Y16" s="147">
        <v>2085</v>
      </c>
      <c r="Z16" s="147">
        <v>4636</v>
      </c>
    </row>
    <row r="17" spans="1:26" s="193" customFormat="1" ht="30.75" customHeight="1">
      <c r="A17" s="427">
        <v>13</v>
      </c>
      <c r="B17" s="194" t="s">
        <v>57</v>
      </c>
      <c r="C17" s="146">
        <v>192954</v>
      </c>
      <c r="D17" s="146">
        <v>207469</v>
      </c>
      <c r="E17" s="146">
        <v>400423</v>
      </c>
      <c r="F17" s="146">
        <v>12952</v>
      </c>
      <c r="G17" s="146">
        <v>13915</v>
      </c>
      <c r="H17" s="146">
        <v>26867</v>
      </c>
      <c r="I17" s="146">
        <v>16001</v>
      </c>
      <c r="J17" s="146">
        <v>12770</v>
      </c>
      <c r="K17" s="146">
        <v>28771</v>
      </c>
      <c r="L17" s="146">
        <v>15593</v>
      </c>
      <c r="M17" s="146">
        <v>13361</v>
      </c>
      <c r="N17" s="146">
        <v>28954</v>
      </c>
      <c r="O17" s="147">
        <v>514</v>
      </c>
      <c r="P17" s="147">
        <v>221</v>
      </c>
      <c r="Q17" s="147">
        <v>735</v>
      </c>
      <c r="R17" s="147">
        <v>63796</v>
      </c>
      <c r="S17" s="147">
        <v>74346</v>
      </c>
      <c r="T17" s="147">
        <v>138142</v>
      </c>
      <c r="U17" s="147">
        <v>2323</v>
      </c>
      <c r="V17" s="147">
        <v>2997</v>
      </c>
      <c r="W17" s="147">
        <v>5320</v>
      </c>
      <c r="X17" s="147">
        <v>3604</v>
      </c>
      <c r="Y17" s="147">
        <v>3970</v>
      </c>
      <c r="Z17" s="147">
        <v>7574</v>
      </c>
    </row>
    <row r="18" spans="1:26" s="193" customFormat="1" ht="30.75" customHeight="1">
      <c r="A18" s="427">
        <v>14</v>
      </c>
      <c r="B18" s="195" t="s">
        <v>29</v>
      </c>
      <c r="C18" s="146">
        <v>450106</v>
      </c>
      <c r="D18" s="146">
        <v>429859</v>
      </c>
      <c r="E18" s="146">
        <v>879965</v>
      </c>
      <c r="F18" s="146">
        <v>45691</v>
      </c>
      <c r="G18" s="146">
        <v>37065</v>
      </c>
      <c r="H18" s="146">
        <v>82756</v>
      </c>
      <c r="I18" s="146">
        <v>76826</v>
      </c>
      <c r="J18" s="146">
        <v>91503</v>
      </c>
      <c r="K18" s="146">
        <v>168329</v>
      </c>
      <c r="L18" s="146">
        <v>187445</v>
      </c>
      <c r="M18" s="146">
        <v>172605</v>
      </c>
      <c r="N18" s="146">
        <v>360050</v>
      </c>
      <c r="O18" s="147">
        <v>881</v>
      </c>
      <c r="P18" s="147">
        <v>294</v>
      </c>
      <c r="Q18" s="147">
        <v>1175</v>
      </c>
      <c r="R18" s="147">
        <v>19532</v>
      </c>
      <c r="S18" s="147">
        <v>18668</v>
      </c>
      <c r="T18" s="147">
        <v>38200</v>
      </c>
      <c r="U18" s="147">
        <v>4976</v>
      </c>
      <c r="V18" s="147">
        <v>7421</v>
      </c>
      <c r="W18" s="147">
        <v>12397</v>
      </c>
      <c r="X18" s="147">
        <v>5837</v>
      </c>
      <c r="Y18" s="147">
        <v>3365</v>
      </c>
      <c r="Z18" s="147">
        <v>9202</v>
      </c>
    </row>
    <row r="19" spans="1:26" s="193" customFormat="1" ht="30.75" customHeight="1">
      <c r="A19" s="427">
        <v>15</v>
      </c>
      <c r="B19" s="195" t="s">
        <v>30</v>
      </c>
      <c r="C19" s="146">
        <v>1258004</v>
      </c>
      <c r="D19" s="146">
        <v>1178536</v>
      </c>
      <c r="E19" s="146">
        <v>2436540</v>
      </c>
      <c r="F19" s="146">
        <v>177617</v>
      </c>
      <c r="G19" s="146">
        <v>158281</v>
      </c>
      <c r="H19" s="146">
        <v>335898</v>
      </c>
      <c r="I19" s="146">
        <v>66315</v>
      </c>
      <c r="J19" s="146">
        <v>59233</v>
      </c>
      <c r="K19" s="146">
        <v>125548</v>
      </c>
      <c r="L19" s="146">
        <v>620133</v>
      </c>
      <c r="M19" s="146">
        <v>587035</v>
      </c>
      <c r="N19" s="146">
        <v>1207168</v>
      </c>
      <c r="O19" s="147">
        <v>3397</v>
      </c>
      <c r="P19" s="147">
        <v>2660</v>
      </c>
      <c r="Q19" s="147">
        <v>6057</v>
      </c>
      <c r="R19" s="147">
        <v>78638</v>
      </c>
      <c r="S19" s="147">
        <v>68611</v>
      </c>
      <c r="T19" s="147">
        <v>147249</v>
      </c>
      <c r="U19" s="147">
        <v>42716</v>
      </c>
      <c r="V19" s="147">
        <v>51895</v>
      </c>
      <c r="W19" s="147">
        <v>94611</v>
      </c>
      <c r="X19" s="147">
        <v>26058</v>
      </c>
      <c r="Y19" s="147">
        <v>26549</v>
      </c>
      <c r="Z19" s="147">
        <v>52607</v>
      </c>
    </row>
    <row r="20" spans="1:26" s="193" customFormat="1" ht="30.75" customHeight="1">
      <c r="A20" s="427">
        <v>16</v>
      </c>
      <c r="B20" s="195" t="s">
        <v>31</v>
      </c>
      <c r="C20" s="406">
        <v>554572</v>
      </c>
      <c r="D20" s="406">
        <v>749873</v>
      </c>
      <c r="E20" s="406">
        <v>1304445</v>
      </c>
      <c r="F20" s="146">
        <v>29991</v>
      </c>
      <c r="G20" s="146">
        <v>50960</v>
      </c>
      <c r="H20" s="146">
        <v>80951</v>
      </c>
      <c r="I20" s="146">
        <v>5914</v>
      </c>
      <c r="J20" s="146">
        <v>8352</v>
      </c>
      <c r="K20" s="146">
        <v>14266</v>
      </c>
      <c r="L20" s="146">
        <v>218765</v>
      </c>
      <c r="M20" s="146">
        <v>318522</v>
      </c>
      <c r="N20" s="146">
        <v>537287</v>
      </c>
      <c r="O20" s="147">
        <v>2843</v>
      </c>
      <c r="P20" s="147">
        <v>2472</v>
      </c>
      <c r="Q20" s="147">
        <v>5315</v>
      </c>
      <c r="R20" s="147">
        <v>76375</v>
      </c>
      <c r="S20" s="147">
        <v>110983</v>
      </c>
      <c r="T20" s="147">
        <v>187358</v>
      </c>
      <c r="U20" s="147">
        <v>55951</v>
      </c>
      <c r="V20" s="147">
        <v>65238</v>
      </c>
      <c r="W20" s="147">
        <v>121189</v>
      </c>
      <c r="X20" s="147">
        <v>10383</v>
      </c>
      <c r="Y20" s="147">
        <v>16815</v>
      </c>
      <c r="Z20" s="147">
        <v>27198</v>
      </c>
    </row>
    <row r="21" spans="1:26" s="193" customFormat="1" ht="30.75" customHeight="1">
      <c r="A21" s="427">
        <v>17</v>
      </c>
      <c r="B21" s="140" t="s">
        <v>154</v>
      </c>
      <c r="C21" s="146">
        <v>1571</v>
      </c>
      <c r="D21" s="146">
        <v>2869</v>
      </c>
      <c r="E21" s="146">
        <v>4440</v>
      </c>
      <c r="F21" s="146">
        <v>20</v>
      </c>
      <c r="G21" s="146">
        <v>20</v>
      </c>
      <c r="H21" s="146">
        <v>40</v>
      </c>
      <c r="I21" s="146">
        <v>1525</v>
      </c>
      <c r="J21" s="146">
        <v>2722</v>
      </c>
      <c r="K21" s="146">
        <v>4247</v>
      </c>
      <c r="L21" s="146">
        <v>0</v>
      </c>
      <c r="M21" s="146">
        <v>5</v>
      </c>
      <c r="N21" s="146">
        <v>5</v>
      </c>
      <c r="O21" s="147">
        <v>1</v>
      </c>
      <c r="P21" s="147">
        <v>0</v>
      </c>
      <c r="Q21" s="147">
        <v>1</v>
      </c>
      <c r="R21" s="147">
        <v>421</v>
      </c>
      <c r="S21" s="147">
        <v>727</v>
      </c>
      <c r="T21" s="147">
        <v>1148</v>
      </c>
      <c r="U21" s="147">
        <v>451</v>
      </c>
      <c r="V21" s="147">
        <v>886</v>
      </c>
      <c r="W21" s="147">
        <v>1337</v>
      </c>
      <c r="X21" s="147">
        <v>0</v>
      </c>
      <c r="Y21" s="147">
        <v>0</v>
      </c>
      <c r="Z21" s="147">
        <v>0</v>
      </c>
    </row>
    <row r="22" spans="1:26" s="193" customFormat="1" ht="30.75" customHeight="1">
      <c r="A22" s="427">
        <v>18</v>
      </c>
      <c r="B22" s="195" t="s">
        <v>32</v>
      </c>
      <c r="C22" s="146">
        <v>14</v>
      </c>
      <c r="D22" s="146">
        <v>74</v>
      </c>
      <c r="E22" s="146">
        <v>88</v>
      </c>
      <c r="F22" s="146">
        <v>0</v>
      </c>
      <c r="G22" s="146">
        <v>0</v>
      </c>
      <c r="H22" s="146">
        <v>0</v>
      </c>
      <c r="I22" s="146">
        <v>14</v>
      </c>
      <c r="J22" s="146">
        <v>74</v>
      </c>
      <c r="K22" s="146">
        <v>88</v>
      </c>
      <c r="L22" s="146">
        <v>0</v>
      </c>
      <c r="M22" s="146">
        <v>0</v>
      </c>
      <c r="N22" s="146">
        <v>0</v>
      </c>
      <c r="O22" s="147">
        <v>0</v>
      </c>
      <c r="P22" s="147">
        <v>0</v>
      </c>
      <c r="Q22" s="147">
        <v>0</v>
      </c>
      <c r="R22" s="147">
        <v>14</v>
      </c>
      <c r="S22" s="147">
        <v>74</v>
      </c>
      <c r="T22" s="147">
        <v>88</v>
      </c>
      <c r="U22" s="147">
        <v>0</v>
      </c>
      <c r="V22" s="147">
        <v>0</v>
      </c>
      <c r="W22" s="147">
        <v>0</v>
      </c>
      <c r="X22" s="147">
        <v>0</v>
      </c>
      <c r="Y22" s="147">
        <v>0</v>
      </c>
      <c r="Z22" s="147">
        <v>0</v>
      </c>
    </row>
    <row r="23" spans="1:26" s="193" customFormat="1" ht="30.75" customHeight="1">
      <c r="A23" s="427">
        <v>19</v>
      </c>
      <c r="B23" s="195" t="s">
        <v>33</v>
      </c>
      <c r="C23" s="146">
        <v>1505908</v>
      </c>
      <c r="D23" s="146">
        <v>1294257</v>
      </c>
      <c r="E23" s="146">
        <v>2800165</v>
      </c>
      <c r="F23" s="146">
        <v>226394</v>
      </c>
      <c r="G23" s="146">
        <v>193880</v>
      </c>
      <c r="H23" s="146">
        <v>420274</v>
      </c>
      <c r="I23" s="146">
        <v>164651</v>
      </c>
      <c r="J23" s="146">
        <v>166351</v>
      </c>
      <c r="K23" s="146">
        <v>331002</v>
      </c>
      <c r="L23" s="146">
        <v>575079</v>
      </c>
      <c r="M23" s="146">
        <v>526841</v>
      </c>
      <c r="N23" s="146">
        <v>1101920</v>
      </c>
      <c r="O23" s="147">
        <v>2277</v>
      </c>
      <c r="P23" s="147">
        <v>1778</v>
      </c>
      <c r="Q23" s="147">
        <v>4055</v>
      </c>
      <c r="R23" s="147">
        <v>22617</v>
      </c>
      <c r="S23" s="147">
        <v>16588</v>
      </c>
      <c r="T23" s="147">
        <v>39205</v>
      </c>
      <c r="U23" s="147">
        <v>10826</v>
      </c>
      <c r="V23" s="147">
        <v>9856</v>
      </c>
      <c r="W23" s="147">
        <v>20682</v>
      </c>
      <c r="X23" s="147">
        <v>11964</v>
      </c>
      <c r="Y23" s="147">
        <v>6875</v>
      </c>
      <c r="Z23" s="147">
        <v>18839</v>
      </c>
    </row>
    <row r="24" spans="1:26" s="193" customFormat="1" ht="30.75" customHeight="1">
      <c r="A24" s="427">
        <v>20</v>
      </c>
      <c r="B24" s="195" t="s">
        <v>34</v>
      </c>
      <c r="C24" s="146">
        <v>2542831</v>
      </c>
      <c r="D24" s="146">
        <v>2035012</v>
      </c>
      <c r="E24" s="146">
        <v>4577843</v>
      </c>
      <c r="F24" s="146">
        <v>313255</v>
      </c>
      <c r="G24" s="146">
        <v>268938</v>
      </c>
      <c r="H24" s="146">
        <v>582193</v>
      </c>
      <c r="I24" s="146">
        <v>115731</v>
      </c>
      <c r="J24" s="146">
        <v>90990</v>
      </c>
      <c r="K24" s="146">
        <v>206721</v>
      </c>
      <c r="L24" s="146">
        <v>763737</v>
      </c>
      <c r="M24" s="146">
        <v>615985</v>
      </c>
      <c r="N24" s="146">
        <v>1379722</v>
      </c>
      <c r="O24" s="147">
        <v>4955</v>
      </c>
      <c r="P24" s="147">
        <v>3216</v>
      </c>
      <c r="Q24" s="147">
        <v>8171</v>
      </c>
      <c r="R24" s="147">
        <v>79193</v>
      </c>
      <c r="S24" s="147">
        <v>75322</v>
      </c>
      <c r="T24" s="147">
        <v>154515</v>
      </c>
      <c r="U24" s="147">
        <v>54185</v>
      </c>
      <c r="V24" s="147">
        <v>52601</v>
      </c>
      <c r="W24" s="147">
        <v>106786</v>
      </c>
      <c r="X24" s="147">
        <v>45510</v>
      </c>
      <c r="Y24" s="147">
        <v>32387</v>
      </c>
      <c r="Z24" s="147">
        <v>77897</v>
      </c>
    </row>
    <row r="25" spans="1:26" s="193" customFormat="1" ht="30.75" customHeight="1">
      <c r="A25" s="427">
        <v>21</v>
      </c>
      <c r="B25" s="195" t="s">
        <v>35</v>
      </c>
      <c r="C25" s="146">
        <v>66234</v>
      </c>
      <c r="D25" s="146">
        <v>64154</v>
      </c>
      <c r="E25" s="146">
        <v>130388</v>
      </c>
      <c r="F25" s="146">
        <v>3910</v>
      </c>
      <c r="G25" s="146">
        <v>3755</v>
      </c>
      <c r="H25" s="146">
        <v>7665</v>
      </c>
      <c r="I25" s="146">
        <v>22375</v>
      </c>
      <c r="J25" s="146">
        <v>22919</v>
      </c>
      <c r="K25" s="146">
        <v>45294</v>
      </c>
      <c r="L25" s="146">
        <v>20640</v>
      </c>
      <c r="M25" s="146">
        <v>21195</v>
      </c>
      <c r="N25" s="146">
        <v>41835</v>
      </c>
      <c r="O25" s="147">
        <v>85</v>
      </c>
      <c r="P25" s="147">
        <v>91</v>
      </c>
      <c r="Q25" s="147">
        <v>176</v>
      </c>
      <c r="R25" s="147">
        <v>964</v>
      </c>
      <c r="S25" s="147">
        <v>1000</v>
      </c>
      <c r="T25" s="147">
        <v>1964</v>
      </c>
      <c r="U25" s="147">
        <v>1080</v>
      </c>
      <c r="V25" s="147">
        <v>2702</v>
      </c>
      <c r="W25" s="147">
        <v>3782</v>
      </c>
      <c r="X25" s="147">
        <v>133</v>
      </c>
      <c r="Y25" s="147">
        <v>62</v>
      </c>
      <c r="Z25" s="147">
        <v>195</v>
      </c>
    </row>
    <row r="26" spans="1:26" s="193" customFormat="1" ht="30.75" customHeight="1">
      <c r="A26" s="427">
        <v>22</v>
      </c>
      <c r="B26" s="195" t="s">
        <v>36</v>
      </c>
      <c r="C26" s="146">
        <v>43588</v>
      </c>
      <c r="D26" s="146">
        <v>52865</v>
      </c>
      <c r="E26" s="146">
        <v>96453</v>
      </c>
      <c r="F26" s="146">
        <v>1317</v>
      </c>
      <c r="G26" s="146">
        <v>1311</v>
      </c>
      <c r="H26" s="146">
        <v>2628</v>
      </c>
      <c r="I26" s="146">
        <v>32765</v>
      </c>
      <c r="J26" s="146">
        <v>43390</v>
      </c>
      <c r="K26" s="146">
        <v>76155</v>
      </c>
      <c r="L26" s="146">
        <v>1403</v>
      </c>
      <c r="M26" s="146">
        <v>1362</v>
      </c>
      <c r="N26" s="146">
        <v>2765</v>
      </c>
      <c r="O26" s="147">
        <v>477</v>
      </c>
      <c r="P26" s="147">
        <v>588</v>
      </c>
      <c r="Q26" s="147">
        <v>1065</v>
      </c>
      <c r="R26" s="147">
        <v>1324</v>
      </c>
      <c r="S26" s="147">
        <v>795</v>
      </c>
      <c r="T26" s="147">
        <v>2119</v>
      </c>
      <c r="U26" s="147">
        <v>6253</v>
      </c>
      <c r="V26" s="147">
        <v>8492</v>
      </c>
      <c r="W26" s="147">
        <v>14745</v>
      </c>
      <c r="X26" s="147">
        <v>240</v>
      </c>
      <c r="Y26" s="147">
        <v>214</v>
      </c>
      <c r="Z26" s="147">
        <v>454</v>
      </c>
    </row>
    <row r="27" spans="1:26" s="193" customFormat="1" ht="30.75" customHeight="1">
      <c r="A27" s="427">
        <v>23</v>
      </c>
      <c r="B27" s="195" t="s">
        <v>37</v>
      </c>
      <c r="C27" s="146">
        <v>23191</v>
      </c>
      <c r="D27" s="146">
        <v>23580</v>
      </c>
      <c r="E27" s="146">
        <v>46771</v>
      </c>
      <c r="F27" s="146">
        <v>254</v>
      </c>
      <c r="G27" s="146">
        <v>203</v>
      </c>
      <c r="H27" s="146">
        <v>457</v>
      </c>
      <c r="I27" s="146">
        <v>21813</v>
      </c>
      <c r="J27" s="146">
        <v>22658</v>
      </c>
      <c r="K27" s="146">
        <v>44471</v>
      </c>
      <c r="L27" s="146">
        <v>392</v>
      </c>
      <c r="M27" s="146">
        <v>281</v>
      </c>
      <c r="N27" s="146">
        <v>673</v>
      </c>
      <c r="O27" s="147">
        <v>14</v>
      </c>
      <c r="P27" s="147">
        <v>17</v>
      </c>
      <c r="Q27" s="147">
        <v>31</v>
      </c>
      <c r="R27" s="147">
        <v>77</v>
      </c>
      <c r="S27" s="147">
        <v>53</v>
      </c>
      <c r="T27" s="147">
        <v>130</v>
      </c>
      <c r="U27" s="147">
        <v>9504</v>
      </c>
      <c r="V27" s="147">
        <v>9709</v>
      </c>
      <c r="W27" s="147">
        <v>19213</v>
      </c>
      <c r="X27" s="147">
        <v>62</v>
      </c>
      <c r="Y27" s="147">
        <v>37</v>
      </c>
      <c r="Z27" s="147">
        <v>99</v>
      </c>
    </row>
    <row r="28" spans="1:26" s="193" customFormat="1" ht="30.75" customHeight="1">
      <c r="A28" s="427">
        <v>24</v>
      </c>
      <c r="B28" s="195" t="s">
        <v>38</v>
      </c>
      <c r="C28" s="146">
        <v>23557</v>
      </c>
      <c r="D28" s="146">
        <v>27666</v>
      </c>
      <c r="E28" s="146">
        <v>51223</v>
      </c>
      <c r="F28" s="146">
        <v>286</v>
      </c>
      <c r="G28" s="146">
        <v>312</v>
      </c>
      <c r="H28" s="146">
        <v>598</v>
      </c>
      <c r="I28" s="146">
        <v>20887</v>
      </c>
      <c r="J28" s="146">
        <v>24980</v>
      </c>
      <c r="K28" s="146">
        <v>45867</v>
      </c>
      <c r="L28" s="146">
        <v>603</v>
      </c>
      <c r="M28" s="146">
        <v>550</v>
      </c>
      <c r="N28" s="146">
        <v>1153</v>
      </c>
      <c r="O28" s="147">
        <v>14</v>
      </c>
      <c r="P28" s="147">
        <v>7</v>
      </c>
      <c r="Q28" s="147">
        <v>21</v>
      </c>
      <c r="R28" s="147">
        <v>112</v>
      </c>
      <c r="S28" s="147">
        <v>141</v>
      </c>
      <c r="T28" s="147">
        <v>253</v>
      </c>
      <c r="U28" s="147">
        <v>8303</v>
      </c>
      <c r="V28" s="147">
        <v>9698</v>
      </c>
      <c r="W28" s="147">
        <v>18001</v>
      </c>
      <c r="X28" s="147">
        <v>43</v>
      </c>
      <c r="Y28" s="147">
        <v>260</v>
      </c>
      <c r="Z28" s="147">
        <v>303</v>
      </c>
    </row>
    <row r="29" spans="1:26" s="193" customFormat="1" ht="30.75" customHeight="1">
      <c r="A29" s="427">
        <v>25</v>
      </c>
      <c r="B29" s="195" t="s">
        <v>39</v>
      </c>
      <c r="C29" s="146">
        <v>581167</v>
      </c>
      <c r="D29" s="146">
        <v>492712</v>
      </c>
      <c r="E29" s="146">
        <v>1073879</v>
      </c>
      <c r="F29" s="146">
        <v>109719</v>
      </c>
      <c r="G29" s="146">
        <v>83994</v>
      </c>
      <c r="H29" s="146">
        <v>193713</v>
      </c>
      <c r="I29" s="146">
        <v>85933</v>
      </c>
      <c r="J29" s="146">
        <v>77279</v>
      </c>
      <c r="K29" s="146">
        <v>163212</v>
      </c>
      <c r="L29" s="146">
        <v>124645</v>
      </c>
      <c r="M29" s="146">
        <v>114571</v>
      </c>
      <c r="N29" s="146">
        <v>239216</v>
      </c>
      <c r="O29" s="147">
        <v>1214</v>
      </c>
      <c r="P29" s="147">
        <v>806</v>
      </c>
      <c r="Q29" s="147">
        <v>2020</v>
      </c>
      <c r="R29" s="147">
        <v>4412</v>
      </c>
      <c r="S29" s="147">
        <v>4097</v>
      </c>
      <c r="T29" s="147">
        <v>8509</v>
      </c>
      <c r="U29" s="147">
        <v>2468</v>
      </c>
      <c r="V29" s="147">
        <v>2478</v>
      </c>
      <c r="W29" s="147">
        <v>4946</v>
      </c>
      <c r="X29" s="147">
        <v>13816</v>
      </c>
      <c r="Y29" s="147">
        <v>9796</v>
      </c>
      <c r="Z29" s="147">
        <v>23612</v>
      </c>
    </row>
    <row r="30" spans="1:26" s="193" customFormat="1" ht="30.75" customHeight="1">
      <c r="A30" s="427">
        <v>26</v>
      </c>
      <c r="B30" s="195" t="s">
        <v>40</v>
      </c>
      <c r="C30" s="146">
        <v>44821</v>
      </c>
      <c r="D30" s="146">
        <v>49822</v>
      </c>
      <c r="E30" s="146">
        <v>94643</v>
      </c>
      <c r="F30" s="146">
        <v>5507</v>
      </c>
      <c r="G30" s="146">
        <v>6131</v>
      </c>
      <c r="H30" s="146">
        <v>11638</v>
      </c>
      <c r="I30" s="146">
        <v>568</v>
      </c>
      <c r="J30" s="146">
        <v>466</v>
      </c>
      <c r="K30" s="146">
        <v>1034</v>
      </c>
      <c r="L30" s="146">
        <v>24233</v>
      </c>
      <c r="M30" s="146">
        <v>28241</v>
      </c>
      <c r="N30" s="146">
        <v>52474</v>
      </c>
      <c r="O30" s="147">
        <v>94</v>
      </c>
      <c r="P30" s="147">
        <v>193</v>
      </c>
      <c r="Q30" s="147">
        <v>287</v>
      </c>
      <c r="R30" s="147">
        <v>1565</v>
      </c>
      <c r="S30" s="147">
        <v>1705</v>
      </c>
      <c r="T30" s="147">
        <v>3270</v>
      </c>
      <c r="U30" s="147">
        <v>1035</v>
      </c>
      <c r="V30" s="147">
        <v>2012</v>
      </c>
      <c r="W30" s="147">
        <v>3047</v>
      </c>
      <c r="X30" s="147">
        <v>233</v>
      </c>
      <c r="Y30" s="147">
        <v>150</v>
      </c>
      <c r="Z30" s="147">
        <v>383</v>
      </c>
    </row>
    <row r="31" spans="1:26" s="193" customFormat="1" ht="30.75" customHeight="1">
      <c r="A31" s="427">
        <v>27</v>
      </c>
      <c r="B31" s="195" t="s">
        <v>41</v>
      </c>
      <c r="C31" s="146">
        <v>434616</v>
      </c>
      <c r="D31" s="146">
        <v>424128</v>
      </c>
      <c r="E31" s="146">
        <v>858744</v>
      </c>
      <c r="F31" s="146">
        <v>92970</v>
      </c>
      <c r="G31" s="146">
        <v>108745</v>
      </c>
      <c r="H31" s="146">
        <v>201715</v>
      </c>
      <c r="I31" s="146">
        <v>2479</v>
      </c>
      <c r="J31" s="146">
        <v>2015</v>
      </c>
      <c r="K31" s="146">
        <v>4494</v>
      </c>
      <c r="L31" s="146">
        <v>52400</v>
      </c>
      <c r="M31" s="146">
        <v>56125</v>
      </c>
      <c r="N31" s="146">
        <v>108525</v>
      </c>
      <c r="O31" s="147">
        <v>599</v>
      </c>
      <c r="P31" s="147">
        <v>468</v>
      </c>
      <c r="Q31" s="147">
        <v>1067</v>
      </c>
      <c r="R31" s="147">
        <v>14277</v>
      </c>
      <c r="S31" s="147">
        <v>5640</v>
      </c>
      <c r="T31" s="147">
        <v>19917</v>
      </c>
      <c r="U31" s="147">
        <v>60736</v>
      </c>
      <c r="V31" s="147">
        <v>69745</v>
      </c>
      <c r="W31" s="147">
        <v>130481</v>
      </c>
      <c r="X31" s="147">
        <v>6712</v>
      </c>
      <c r="Y31" s="147">
        <v>5732</v>
      </c>
      <c r="Z31" s="147">
        <v>12444</v>
      </c>
    </row>
    <row r="32" spans="1:26" s="193" customFormat="1" ht="30.75" customHeight="1">
      <c r="A32" s="427">
        <v>28</v>
      </c>
      <c r="B32" s="195" t="s">
        <v>42</v>
      </c>
      <c r="C32" s="146">
        <v>1430283</v>
      </c>
      <c r="D32" s="146">
        <v>1259057</v>
      </c>
      <c r="E32" s="146">
        <v>2689340</v>
      </c>
      <c r="F32" s="146">
        <v>250646</v>
      </c>
      <c r="G32" s="146">
        <v>210897</v>
      </c>
      <c r="H32" s="146">
        <v>461543</v>
      </c>
      <c r="I32" s="146">
        <v>176760</v>
      </c>
      <c r="J32" s="146">
        <v>163273</v>
      </c>
      <c r="K32" s="146">
        <v>340033</v>
      </c>
      <c r="L32" s="146">
        <v>610007</v>
      </c>
      <c r="M32" s="146">
        <v>539720</v>
      </c>
      <c r="N32" s="146">
        <v>1149727</v>
      </c>
      <c r="O32" s="147">
        <v>3563</v>
      </c>
      <c r="P32" s="147">
        <v>1661</v>
      </c>
      <c r="Q32" s="147">
        <v>5224</v>
      </c>
      <c r="R32" s="147">
        <v>26212</v>
      </c>
      <c r="S32" s="147">
        <v>20199</v>
      </c>
      <c r="T32" s="147">
        <v>46411</v>
      </c>
      <c r="U32" s="147">
        <v>9186</v>
      </c>
      <c r="V32" s="147">
        <v>10366</v>
      </c>
      <c r="W32" s="147">
        <v>19552</v>
      </c>
      <c r="X32" s="147">
        <v>24977</v>
      </c>
      <c r="Y32" s="147">
        <v>25717</v>
      </c>
      <c r="Z32" s="147">
        <v>50694</v>
      </c>
    </row>
    <row r="33" spans="1:32" s="193" customFormat="1" ht="30.75" customHeight="1">
      <c r="A33" s="427">
        <v>29</v>
      </c>
      <c r="B33" s="195" t="s">
        <v>43</v>
      </c>
      <c r="C33" s="146">
        <v>16274</v>
      </c>
      <c r="D33" s="146">
        <v>17487</v>
      </c>
      <c r="E33" s="146">
        <v>33761</v>
      </c>
      <c r="F33" s="146">
        <v>978</v>
      </c>
      <c r="G33" s="146">
        <v>829</v>
      </c>
      <c r="H33" s="146">
        <v>1807</v>
      </c>
      <c r="I33" s="146">
        <v>4360</v>
      </c>
      <c r="J33" s="146">
        <v>5988</v>
      </c>
      <c r="K33" s="146">
        <v>10348</v>
      </c>
      <c r="L33" s="146">
        <v>3930</v>
      </c>
      <c r="M33" s="146">
        <v>4782</v>
      </c>
      <c r="N33" s="146">
        <v>8712</v>
      </c>
      <c r="O33" s="147">
        <v>17</v>
      </c>
      <c r="P33" s="147">
        <v>3</v>
      </c>
      <c r="Q33" s="147">
        <v>20</v>
      </c>
      <c r="R33" s="147">
        <v>111</v>
      </c>
      <c r="S33" s="147">
        <v>51</v>
      </c>
      <c r="T33" s="147">
        <v>162</v>
      </c>
      <c r="U33" s="147">
        <v>889</v>
      </c>
      <c r="V33" s="147">
        <v>1368</v>
      </c>
      <c r="W33" s="147">
        <v>2257</v>
      </c>
      <c r="X33" s="147">
        <v>140</v>
      </c>
      <c r="Y33" s="147">
        <v>139</v>
      </c>
      <c r="Z33" s="147">
        <v>279</v>
      </c>
    </row>
    <row r="34" spans="1:32" s="193" customFormat="1" ht="30.75" customHeight="1">
      <c r="A34" s="427">
        <v>30</v>
      </c>
      <c r="B34" s="195" t="s">
        <v>44</v>
      </c>
      <c r="C34" s="146">
        <v>1698112</v>
      </c>
      <c r="D34" s="146">
        <v>1611215</v>
      </c>
      <c r="E34" s="146">
        <v>3309327</v>
      </c>
      <c r="F34" s="146">
        <v>302054</v>
      </c>
      <c r="G34" s="146">
        <v>305306</v>
      </c>
      <c r="H34" s="146">
        <v>607360</v>
      </c>
      <c r="I34" s="146">
        <v>20238</v>
      </c>
      <c r="J34" s="146">
        <v>14975</v>
      </c>
      <c r="K34" s="146">
        <v>35213</v>
      </c>
      <c r="L34" s="146">
        <v>1071450</v>
      </c>
      <c r="M34" s="146">
        <v>1033326</v>
      </c>
      <c r="N34" s="146">
        <v>2104776</v>
      </c>
      <c r="O34" s="147">
        <v>4141</v>
      </c>
      <c r="P34" s="147">
        <v>4670</v>
      </c>
      <c r="Q34" s="147">
        <v>8811</v>
      </c>
      <c r="R34" s="147">
        <v>64355</v>
      </c>
      <c r="S34" s="147">
        <v>51335</v>
      </c>
      <c r="T34" s="147">
        <v>115690</v>
      </c>
      <c r="U34" s="147">
        <v>82102</v>
      </c>
      <c r="V34" s="147">
        <v>86618</v>
      </c>
      <c r="W34" s="147">
        <v>168720</v>
      </c>
      <c r="X34" s="147">
        <v>15193</v>
      </c>
      <c r="Y34" s="147">
        <v>14612</v>
      </c>
      <c r="Z34" s="147">
        <v>29805</v>
      </c>
    </row>
    <row r="35" spans="1:32" s="193" customFormat="1" ht="30.75" customHeight="1">
      <c r="A35" s="427">
        <v>31</v>
      </c>
      <c r="B35" s="195" t="s">
        <v>131</v>
      </c>
      <c r="C35" s="146">
        <v>793353</v>
      </c>
      <c r="D35" s="146">
        <v>803327</v>
      </c>
      <c r="E35" s="146">
        <v>1596680</v>
      </c>
      <c r="F35" s="146">
        <v>119137</v>
      </c>
      <c r="G35" s="146">
        <v>134691</v>
      </c>
      <c r="H35" s="146">
        <v>253828</v>
      </c>
      <c r="I35" s="146">
        <v>72201</v>
      </c>
      <c r="J35" s="146">
        <v>65372</v>
      </c>
      <c r="K35" s="146">
        <v>137573</v>
      </c>
      <c r="L35" s="146">
        <v>370857</v>
      </c>
      <c r="M35" s="146">
        <v>368610</v>
      </c>
      <c r="N35" s="146">
        <v>739467</v>
      </c>
      <c r="O35" s="147">
        <v>2371</v>
      </c>
      <c r="P35" s="147">
        <v>1618</v>
      </c>
      <c r="Q35" s="147">
        <v>3989</v>
      </c>
      <c r="R35" s="147">
        <v>64775</v>
      </c>
      <c r="S35" s="147">
        <v>56543</v>
      </c>
      <c r="T35" s="147">
        <v>121318</v>
      </c>
      <c r="U35" s="147">
        <v>4036</v>
      </c>
      <c r="V35" s="147">
        <v>5531</v>
      </c>
      <c r="W35" s="147">
        <v>9567</v>
      </c>
      <c r="X35" s="147">
        <v>10800</v>
      </c>
      <c r="Y35" s="147">
        <v>10724</v>
      </c>
      <c r="Z35" s="147">
        <v>21524</v>
      </c>
    </row>
    <row r="36" spans="1:32" s="193" customFormat="1" ht="28.5">
      <c r="A36" s="427">
        <v>32</v>
      </c>
      <c r="B36" s="194" t="s">
        <v>1062</v>
      </c>
      <c r="C36" s="146">
        <v>6683</v>
      </c>
      <c r="D36" s="146">
        <v>6122</v>
      </c>
      <c r="E36" s="146">
        <v>12805</v>
      </c>
      <c r="F36" s="146">
        <v>260</v>
      </c>
      <c r="G36" s="146">
        <v>267</v>
      </c>
      <c r="H36" s="146">
        <v>527</v>
      </c>
      <c r="I36" s="146">
        <v>924</v>
      </c>
      <c r="J36" s="146">
        <v>1160</v>
      </c>
      <c r="K36" s="146">
        <v>2084</v>
      </c>
      <c r="L36" s="146">
        <v>1026</v>
      </c>
      <c r="M36" s="146">
        <v>1022</v>
      </c>
      <c r="N36" s="146">
        <v>2048</v>
      </c>
      <c r="O36" s="147">
        <v>12</v>
      </c>
      <c r="P36" s="147">
        <v>8</v>
      </c>
      <c r="Q36" s="147">
        <v>20</v>
      </c>
      <c r="R36" s="147">
        <v>108</v>
      </c>
      <c r="S36" s="147">
        <v>120</v>
      </c>
      <c r="T36" s="147">
        <v>228</v>
      </c>
      <c r="U36" s="147">
        <v>19</v>
      </c>
      <c r="V36" s="147">
        <v>333</v>
      </c>
      <c r="W36" s="147">
        <v>352</v>
      </c>
      <c r="X36" s="147">
        <v>74</v>
      </c>
      <c r="Y36" s="147">
        <v>79</v>
      </c>
      <c r="Z36" s="147">
        <v>153</v>
      </c>
    </row>
    <row r="37" spans="1:32" s="193" customFormat="1" ht="30.75" customHeight="1">
      <c r="A37" s="427">
        <v>33</v>
      </c>
      <c r="B37" s="195" t="s">
        <v>45</v>
      </c>
      <c r="C37" s="146">
        <v>53538</v>
      </c>
      <c r="D37" s="146">
        <v>47013</v>
      </c>
      <c r="E37" s="146">
        <v>100551</v>
      </c>
      <c r="F37" s="146">
        <v>10060</v>
      </c>
      <c r="G37" s="146">
        <v>8402</v>
      </c>
      <c r="H37" s="146">
        <v>18462</v>
      </c>
      <c r="I37" s="146">
        <v>13178</v>
      </c>
      <c r="J37" s="146">
        <v>11895</v>
      </c>
      <c r="K37" s="146">
        <v>25073</v>
      </c>
      <c r="L37" s="146">
        <v>9490</v>
      </c>
      <c r="M37" s="146">
        <v>8918</v>
      </c>
      <c r="N37" s="146">
        <v>18408</v>
      </c>
      <c r="O37" s="147">
        <v>157</v>
      </c>
      <c r="P37" s="147">
        <v>54</v>
      </c>
      <c r="Q37" s="147">
        <v>211</v>
      </c>
      <c r="R37" s="147">
        <v>1796</v>
      </c>
      <c r="S37" s="147">
        <v>1206</v>
      </c>
      <c r="T37" s="147">
        <v>3002</v>
      </c>
      <c r="U37" s="147">
        <v>219</v>
      </c>
      <c r="V37" s="147">
        <v>227</v>
      </c>
      <c r="W37" s="147">
        <v>446</v>
      </c>
      <c r="X37" s="147">
        <v>445</v>
      </c>
      <c r="Y37" s="147">
        <v>227</v>
      </c>
      <c r="Z37" s="147">
        <v>672</v>
      </c>
    </row>
    <row r="38" spans="1:32" s="193" customFormat="1" ht="30.75" customHeight="1">
      <c r="A38" s="427">
        <v>34</v>
      </c>
      <c r="B38" s="195" t="s">
        <v>47</v>
      </c>
      <c r="C38" s="146">
        <v>3669318</v>
      </c>
      <c r="D38" s="146">
        <v>3304106</v>
      </c>
      <c r="E38" s="146">
        <v>6973424</v>
      </c>
      <c r="F38" s="146">
        <v>658397</v>
      </c>
      <c r="G38" s="146">
        <v>606019</v>
      </c>
      <c r="H38" s="146">
        <v>1264416</v>
      </c>
      <c r="I38" s="146">
        <v>30690</v>
      </c>
      <c r="J38" s="146">
        <v>27493</v>
      </c>
      <c r="K38" s="146">
        <v>58183</v>
      </c>
      <c r="L38" s="146">
        <v>1533962</v>
      </c>
      <c r="M38" s="146">
        <v>1425215</v>
      </c>
      <c r="N38" s="146">
        <v>2959177</v>
      </c>
      <c r="O38" s="147">
        <v>6006</v>
      </c>
      <c r="P38" s="147">
        <v>5858</v>
      </c>
      <c r="Q38" s="147">
        <v>11864</v>
      </c>
      <c r="R38" s="147">
        <v>157372</v>
      </c>
      <c r="S38" s="147">
        <v>169447</v>
      </c>
      <c r="T38" s="147">
        <v>326819</v>
      </c>
      <c r="U38" s="147">
        <v>13717</v>
      </c>
      <c r="V38" s="147">
        <v>15277</v>
      </c>
      <c r="W38" s="147">
        <v>28994</v>
      </c>
      <c r="X38" s="147">
        <v>33485</v>
      </c>
      <c r="Y38" s="147">
        <v>24019</v>
      </c>
      <c r="Z38" s="147">
        <v>57504</v>
      </c>
    </row>
    <row r="39" spans="1:32" s="193" customFormat="1" ht="30.75" customHeight="1">
      <c r="A39" s="427">
        <v>35</v>
      </c>
      <c r="B39" s="195" t="s">
        <v>46</v>
      </c>
      <c r="C39" s="146">
        <v>286149</v>
      </c>
      <c r="D39" s="146">
        <v>281555</v>
      </c>
      <c r="E39" s="146">
        <v>567704</v>
      </c>
      <c r="F39" s="146">
        <v>39346</v>
      </c>
      <c r="G39" s="146">
        <v>43324</v>
      </c>
      <c r="H39" s="146">
        <v>82670</v>
      </c>
      <c r="I39" s="146">
        <v>9268</v>
      </c>
      <c r="J39" s="146">
        <v>8843</v>
      </c>
      <c r="K39" s="146">
        <v>18111</v>
      </c>
      <c r="L39" s="146">
        <v>53212</v>
      </c>
      <c r="M39" s="146">
        <v>51752</v>
      </c>
      <c r="N39" s="146">
        <v>104964</v>
      </c>
      <c r="O39" s="147">
        <v>934</v>
      </c>
      <c r="P39" s="147">
        <v>730</v>
      </c>
      <c r="Q39" s="147">
        <v>1664</v>
      </c>
      <c r="R39" s="147">
        <v>7998</v>
      </c>
      <c r="S39" s="147">
        <v>8838</v>
      </c>
      <c r="T39" s="147">
        <v>16836</v>
      </c>
      <c r="U39" s="147">
        <v>1998</v>
      </c>
      <c r="V39" s="147">
        <v>2169</v>
      </c>
      <c r="W39" s="147">
        <v>4167</v>
      </c>
      <c r="X39" s="147">
        <v>3750</v>
      </c>
      <c r="Y39" s="147">
        <v>2644</v>
      </c>
      <c r="Z39" s="147">
        <v>6394</v>
      </c>
    </row>
    <row r="40" spans="1:32" s="193" customFormat="1" ht="30.75" customHeight="1">
      <c r="A40" s="427">
        <v>36</v>
      </c>
      <c r="B40" s="195" t="s">
        <v>48</v>
      </c>
      <c r="C40" s="146">
        <v>1375627</v>
      </c>
      <c r="D40" s="146">
        <v>1346524</v>
      </c>
      <c r="E40" s="146">
        <v>2722151</v>
      </c>
      <c r="F40" s="146">
        <v>268861</v>
      </c>
      <c r="G40" s="146">
        <v>250384</v>
      </c>
      <c r="H40" s="146">
        <v>519245</v>
      </c>
      <c r="I40" s="146">
        <v>46586</v>
      </c>
      <c r="J40" s="146">
        <v>49120</v>
      </c>
      <c r="K40" s="146">
        <v>95706</v>
      </c>
      <c r="L40" s="146">
        <v>252444</v>
      </c>
      <c r="M40" s="146">
        <v>227554</v>
      </c>
      <c r="N40" s="146">
        <v>479998</v>
      </c>
      <c r="O40" s="147">
        <v>2597</v>
      </c>
      <c r="P40" s="147">
        <v>1364</v>
      </c>
      <c r="Q40" s="147">
        <v>3961</v>
      </c>
      <c r="R40" s="147">
        <v>164066</v>
      </c>
      <c r="S40" s="147">
        <v>171346</v>
      </c>
      <c r="T40" s="147">
        <v>335412</v>
      </c>
      <c r="U40" s="147">
        <v>9901</v>
      </c>
      <c r="V40" s="147">
        <v>10437</v>
      </c>
      <c r="W40" s="147">
        <v>20338</v>
      </c>
      <c r="X40" s="147">
        <v>11202</v>
      </c>
      <c r="Y40" s="147">
        <v>14421</v>
      </c>
      <c r="Z40" s="147">
        <v>25623</v>
      </c>
    </row>
    <row r="41" spans="1:32" s="196" customFormat="1" ht="26.25" customHeight="1">
      <c r="A41" s="1054" t="s">
        <v>49</v>
      </c>
      <c r="B41" s="1054"/>
      <c r="C41" s="405">
        <v>22576389</v>
      </c>
      <c r="D41" s="405">
        <v>20691792</v>
      </c>
      <c r="E41" s="405">
        <v>43268181</v>
      </c>
      <c r="F41" s="405">
        <v>3451649</v>
      </c>
      <c r="G41" s="405">
        <v>3171274</v>
      </c>
      <c r="H41" s="405">
        <v>6622923</v>
      </c>
      <c r="I41" s="405">
        <v>1364524</v>
      </c>
      <c r="J41" s="405">
        <v>1346154</v>
      </c>
      <c r="K41" s="405">
        <v>2710678</v>
      </c>
      <c r="L41" s="405">
        <v>8517847</v>
      </c>
      <c r="M41" s="405">
        <v>7818613</v>
      </c>
      <c r="N41" s="407">
        <v>16336460</v>
      </c>
      <c r="O41" s="405">
        <v>51373</v>
      </c>
      <c r="P41" s="405">
        <v>37375</v>
      </c>
      <c r="Q41" s="408">
        <v>88748</v>
      </c>
      <c r="R41" s="405">
        <v>1068766</v>
      </c>
      <c r="S41" s="405">
        <v>1039267</v>
      </c>
      <c r="T41" s="405">
        <v>2108033</v>
      </c>
      <c r="U41" s="405">
        <v>427425</v>
      </c>
      <c r="V41" s="405">
        <v>477734</v>
      </c>
      <c r="W41" s="405">
        <v>905159</v>
      </c>
      <c r="X41" s="405">
        <v>354534</v>
      </c>
      <c r="Y41" s="405">
        <v>302027</v>
      </c>
      <c r="Z41" s="405">
        <v>656561</v>
      </c>
      <c r="AD41" s="193"/>
      <c r="AE41" s="193"/>
      <c r="AF41" s="193"/>
    </row>
    <row r="42" spans="1:32">
      <c r="C42" s="527"/>
      <c r="D42" s="527"/>
      <c r="E42" s="527"/>
      <c r="F42" s="527"/>
      <c r="G42" s="730"/>
      <c r="H42" s="730"/>
      <c r="I42" s="527"/>
      <c r="J42" s="527"/>
      <c r="K42" s="527"/>
      <c r="L42" s="527"/>
      <c r="M42" s="527"/>
      <c r="N42" s="527"/>
      <c r="O42" s="527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</row>
    <row r="44" spans="1:32">
      <c r="F44" s="527"/>
      <c r="G44" s="527"/>
      <c r="H44" s="527"/>
      <c r="I44" s="527"/>
      <c r="J44" s="527"/>
      <c r="K44" s="730"/>
    </row>
    <row r="47" spans="1:32">
      <c r="Q47" s="197" t="s">
        <v>1089</v>
      </c>
    </row>
  </sheetData>
  <mergeCells count="13">
    <mergeCell ref="U2:W2"/>
    <mergeCell ref="X2:Z2"/>
    <mergeCell ref="A41:B41"/>
    <mergeCell ref="C1:N1"/>
    <mergeCell ref="O1:Z1"/>
    <mergeCell ref="A2:A3"/>
    <mergeCell ref="B2:B3"/>
    <mergeCell ref="F2:H2"/>
    <mergeCell ref="I2:K2"/>
    <mergeCell ref="L2:N2"/>
    <mergeCell ref="O2:Q2"/>
    <mergeCell ref="R2:T2"/>
    <mergeCell ref="C2:E2"/>
  </mergeCells>
  <printOptions horizontalCentered="1"/>
  <pageMargins left="0.15748031496062992" right="0.15748031496062992" top="0.33" bottom="0.3" header="0.19685039370078741" footer="0.15748031496062992"/>
  <pageSetup paperSize="9" scale="65" firstPageNumber="14" orientation="portrait" useFirstPageNumber="1" r:id="rId1"/>
  <headerFooter>
    <oddFooter>&amp;L&amp;"Arial,Italic"&amp;9AISHE 2021-22&amp;CT-&amp;P</oddFooter>
  </headerFooter>
  <colBreaks count="1" manualBreakCount="1">
    <brk id="14" max="41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AC175"/>
  <sheetViews>
    <sheetView showGridLines="0" showZeros="0" view="pageBreakPreview" zoomScaleNormal="100" zoomScaleSheetLayoutView="100" workbookViewId="0">
      <pane xSplit="2" ySplit="4" topLeftCell="C149" activePane="bottomRight" state="frozen"/>
      <selection activeCell="F15" sqref="F15"/>
      <selection pane="topRight" activeCell="F15" sqref="F15"/>
      <selection pane="bottomLeft" activeCell="F15" sqref="F15"/>
      <selection pane="bottomRight" activeCell="Z156" sqref="Z156"/>
    </sheetView>
  </sheetViews>
  <sheetFormatPr defaultColWidth="9.28515625" defaultRowHeight="15"/>
  <cols>
    <col min="1" max="1" width="6.85546875" style="189" bestFit="1" customWidth="1"/>
    <col min="2" max="2" width="62.28515625" style="190" customWidth="1"/>
    <col min="3" max="4" width="7.140625" style="187" customWidth="1"/>
    <col min="5" max="6" width="6.42578125" style="187" customWidth="1"/>
    <col min="7" max="7" width="7.140625" style="187" customWidth="1"/>
    <col min="8" max="8" width="6.42578125" style="187" customWidth="1"/>
    <col min="9" max="14" width="7.140625" style="187" customWidth="1"/>
    <col min="15" max="15" width="6.42578125" style="187" customWidth="1"/>
    <col min="16" max="16" width="7.140625" style="187" customWidth="1"/>
    <col min="17" max="18" width="6.42578125" style="187" customWidth="1"/>
    <col min="19" max="20" width="7.140625" style="187" customWidth="1"/>
    <col min="21" max="21" width="6.85546875" style="187" customWidth="1"/>
    <col min="22" max="22" width="7.140625" style="187" customWidth="1"/>
    <col min="23" max="24" width="6.85546875" style="187" customWidth="1"/>
    <col min="25" max="26" width="7.140625" style="187" customWidth="1"/>
    <col min="27" max="27" width="6.85546875" style="187" customWidth="1"/>
    <col min="28" max="29" width="7.140625" style="187" customWidth="1"/>
    <col min="30" max="16384" width="9.28515625" style="187"/>
  </cols>
  <sheetData>
    <row r="1" spans="1:29" s="181" customFormat="1" ht="33.75" customHeight="1">
      <c r="A1" s="481"/>
      <c r="B1" s="80" t="s">
        <v>637</v>
      </c>
      <c r="C1" s="1068" t="s">
        <v>898</v>
      </c>
      <c r="D1" s="1068"/>
      <c r="E1" s="1068"/>
      <c r="F1" s="1068"/>
      <c r="G1" s="1068"/>
      <c r="H1" s="1068"/>
      <c r="I1" s="1068"/>
      <c r="J1" s="1068"/>
      <c r="K1" s="1068"/>
      <c r="L1" s="1068" t="s">
        <v>898</v>
      </c>
      <c r="M1" s="1068"/>
      <c r="N1" s="1068"/>
      <c r="O1" s="1068"/>
      <c r="P1" s="1068"/>
      <c r="Q1" s="1068"/>
      <c r="R1" s="1068"/>
      <c r="S1" s="1068"/>
      <c r="T1" s="1068"/>
      <c r="U1" s="1068" t="s">
        <v>898</v>
      </c>
      <c r="V1" s="1068"/>
      <c r="W1" s="1068"/>
      <c r="X1" s="1068"/>
      <c r="Y1" s="1068"/>
      <c r="Z1" s="1068"/>
      <c r="AA1" s="1068"/>
      <c r="AB1" s="1068"/>
      <c r="AC1" s="1068"/>
    </row>
    <row r="2" spans="1:29" ht="16.899999999999999" customHeight="1">
      <c r="A2" s="1034" t="s">
        <v>988</v>
      </c>
      <c r="B2" s="1034" t="s">
        <v>638</v>
      </c>
      <c r="C2" s="1069" t="s">
        <v>89</v>
      </c>
      <c r="D2" s="1069"/>
      <c r="E2" s="1069"/>
      <c r="F2" s="1069" t="s">
        <v>90</v>
      </c>
      <c r="G2" s="1069"/>
      <c r="H2" s="1069"/>
      <c r="I2" s="1069" t="s">
        <v>85</v>
      </c>
      <c r="J2" s="1069"/>
      <c r="K2" s="1069"/>
      <c r="L2" s="1069" t="s">
        <v>86</v>
      </c>
      <c r="M2" s="1069"/>
      <c r="N2" s="1069"/>
      <c r="O2" s="1069" t="s">
        <v>91</v>
      </c>
      <c r="P2" s="1069"/>
      <c r="Q2" s="1069"/>
      <c r="R2" s="1069" t="s">
        <v>92</v>
      </c>
      <c r="S2" s="1069"/>
      <c r="T2" s="1069"/>
      <c r="U2" s="1069" t="s">
        <v>93</v>
      </c>
      <c r="V2" s="1069"/>
      <c r="W2" s="1069"/>
      <c r="X2" s="1069" t="s">
        <v>94</v>
      </c>
      <c r="Y2" s="1069"/>
      <c r="Z2" s="1069"/>
      <c r="AA2" s="1069" t="s">
        <v>60</v>
      </c>
      <c r="AB2" s="1069"/>
      <c r="AC2" s="1069"/>
    </row>
    <row r="3" spans="1:29" ht="16.899999999999999" customHeight="1">
      <c r="A3" s="1034"/>
      <c r="B3" s="1034"/>
      <c r="C3" s="182" t="s">
        <v>87</v>
      </c>
      <c r="D3" s="182" t="s">
        <v>88</v>
      </c>
      <c r="E3" s="182" t="s">
        <v>12</v>
      </c>
      <c r="F3" s="182" t="s">
        <v>87</v>
      </c>
      <c r="G3" s="182" t="s">
        <v>88</v>
      </c>
      <c r="H3" s="182" t="s">
        <v>12</v>
      </c>
      <c r="I3" s="182" t="s">
        <v>87</v>
      </c>
      <c r="J3" s="182" t="s">
        <v>88</v>
      </c>
      <c r="K3" s="182" t="s">
        <v>12</v>
      </c>
      <c r="L3" s="182" t="s">
        <v>87</v>
      </c>
      <c r="M3" s="182" t="s">
        <v>88</v>
      </c>
      <c r="N3" s="182" t="s">
        <v>12</v>
      </c>
      <c r="O3" s="182" t="s">
        <v>87</v>
      </c>
      <c r="P3" s="182" t="s">
        <v>88</v>
      </c>
      <c r="Q3" s="182" t="s">
        <v>12</v>
      </c>
      <c r="R3" s="182" t="s">
        <v>87</v>
      </c>
      <c r="S3" s="182" t="s">
        <v>88</v>
      </c>
      <c r="T3" s="182" t="s">
        <v>12</v>
      </c>
      <c r="U3" s="182" t="s">
        <v>87</v>
      </c>
      <c r="V3" s="182" t="s">
        <v>88</v>
      </c>
      <c r="W3" s="182" t="s">
        <v>12</v>
      </c>
      <c r="X3" s="182" t="s">
        <v>87</v>
      </c>
      <c r="Y3" s="182" t="s">
        <v>88</v>
      </c>
      <c r="Z3" s="182" t="s">
        <v>12</v>
      </c>
      <c r="AA3" s="182" t="s">
        <v>87</v>
      </c>
      <c r="AB3" s="182" t="s">
        <v>88</v>
      </c>
      <c r="AC3" s="182" t="s">
        <v>12</v>
      </c>
    </row>
    <row r="4" spans="1:29" s="484" customFormat="1" ht="10.9" customHeight="1">
      <c r="A4" s="477">
        <v>1</v>
      </c>
      <c r="B4" s="477">
        <v>2</v>
      </c>
      <c r="C4" s="477">
        <v>3</v>
      </c>
      <c r="D4" s="477">
        <v>4</v>
      </c>
      <c r="E4" s="477">
        <v>5</v>
      </c>
      <c r="F4" s="477">
        <v>6</v>
      </c>
      <c r="G4" s="477">
        <v>7</v>
      </c>
      <c r="H4" s="477">
        <v>8</v>
      </c>
      <c r="I4" s="477">
        <v>9</v>
      </c>
      <c r="J4" s="477">
        <v>10</v>
      </c>
      <c r="K4" s="477">
        <v>11</v>
      </c>
      <c r="L4" s="477">
        <v>12</v>
      </c>
      <c r="M4" s="477">
        <v>13</v>
      </c>
      <c r="N4" s="477">
        <v>14</v>
      </c>
      <c r="O4" s="477">
        <v>15</v>
      </c>
      <c r="P4" s="477">
        <v>16</v>
      </c>
      <c r="Q4" s="477">
        <v>17</v>
      </c>
      <c r="R4" s="477">
        <v>18</v>
      </c>
      <c r="S4" s="477">
        <v>19</v>
      </c>
      <c r="T4" s="477">
        <v>20</v>
      </c>
      <c r="U4" s="477">
        <v>21</v>
      </c>
      <c r="V4" s="477">
        <v>22</v>
      </c>
      <c r="W4" s="477">
        <v>23</v>
      </c>
      <c r="X4" s="477">
        <v>24</v>
      </c>
      <c r="Y4" s="477">
        <v>25</v>
      </c>
      <c r="Z4" s="477">
        <v>26</v>
      </c>
      <c r="AA4" s="477">
        <v>27</v>
      </c>
      <c r="AB4" s="477">
        <v>28</v>
      </c>
      <c r="AC4" s="477">
        <v>29</v>
      </c>
    </row>
    <row r="5" spans="1:29" ht="15.75" customHeight="1">
      <c r="A5" s="188">
        <v>1</v>
      </c>
      <c r="B5" s="178" t="s">
        <v>639</v>
      </c>
      <c r="C5" s="164">
        <v>94</v>
      </c>
      <c r="D5" s="164">
        <v>20</v>
      </c>
      <c r="E5" s="164">
        <v>114</v>
      </c>
      <c r="F5" s="164">
        <v>1</v>
      </c>
      <c r="G5" s="164">
        <v>0</v>
      </c>
      <c r="H5" s="164">
        <v>1</v>
      </c>
      <c r="I5" s="164">
        <v>997</v>
      </c>
      <c r="J5" s="164">
        <v>537</v>
      </c>
      <c r="K5" s="164">
        <v>1534</v>
      </c>
      <c r="L5" s="164">
        <v>7639</v>
      </c>
      <c r="M5" s="164">
        <v>3069</v>
      </c>
      <c r="N5" s="164">
        <v>10708</v>
      </c>
      <c r="O5" s="164">
        <v>7</v>
      </c>
      <c r="P5" s="164">
        <v>1</v>
      </c>
      <c r="Q5" s="164">
        <v>8</v>
      </c>
      <c r="R5" s="164">
        <v>564</v>
      </c>
      <c r="S5" s="164">
        <v>102</v>
      </c>
      <c r="T5" s="164">
        <v>666</v>
      </c>
      <c r="U5" s="164">
        <v>9</v>
      </c>
      <c r="V5" s="164">
        <v>1</v>
      </c>
      <c r="W5" s="164">
        <v>10</v>
      </c>
      <c r="X5" s="164">
        <v>39</v>
      </c>
      <c r="Y5" s="164">
        <v>46</v>
      </c>
      <c r="Z5" s="164">
        <v>85</v>
      </c>
      <c r="AA5" s="164">
        <v>9350</v>
      </c>
      <c r="AB5" s="164">
        <v>3776</v>
      </c>
      <c r="AC5" s="164">
        <v>13126</v>
      </c>
    </row>
    <row r="6" spans="1:29" ht="15.75" customHeight="1">
      <c r="A6" s="188">
        <v>2</v>
      </c>
      <c r="B6" s="178" t="s">
        <v>640</v>
      </c>
      <c r="C6" s="164">
        <v>310</v>
      </c>
      <c r="D6" s="164">
        <v>28</v>
      </c>
      <c r="E6" s="164">
        <v>338</v>
      </c>
      <c r="F6" s="164">
        <v>0</v>
      </c>
      <c r="G6" s="164">
        <v>1</v>
      </c>
      <c r="H6" s="164">
        <v>1</v>
      </c>
      <c r="I6" s="164">
        <v>1079</v>
      </c>
      <c r="J6" s="164">
        <v>229</v>
      </c>
      <c r="K6" s="164">
        <v>1308</v>
      </c>
      <c r="L6" s="164">
        <v>1264</v>
      </c>
      <c r="M6" s="164">
        <v>213</v>
      </c>
      <c r="N6" s="164">
        <v>1477</v>
      </c>
      <c r="O6" s="164">
        <v>4</v>
      </c>
      <c r="P6" s="164">
        <v>1</v>
      </c>
      <c r="Q6" s="164">
        <v>5</v>
      </c>
      <c r="R6" s="164">
        <v>2</v>
      </c>
      <c r="S6" s="164">
        <v>3</v>
      </c>
      <c r="T6" s="164">
        <v>5</v>
      </c>
      <c r="U6" s="164">
        <v>0</v>
      </c>
      <c r="V6" s="164">
        <v>0</v>
      </c>
      <c r="W6" s="164">
        <v>0</v>
      </c>
      <c r="X6" s="164">
        <v>15</v>
      </c>
      <c r="Y6" s="164">
        <v>2</v>
      </c>
      <c r="Z6" s="164">
        <v>17</v>
      </c>
      <c r="AA6" s="164">
        <v>2674</v>
      </c>
      <c r="AB6" s="164">
        <v>477</v>
      </c>
      <c r="AC6" s="164">
        <v>3151</v>
      </c>
    </row>
    <row r="7" spans="1:29" ht="15.75" customHeight="1">
      <c r="A7" s="188">
        <v>3</v>
      </c>
      <c r="B7" s="178" t="s">
        <v>927</v>
      </c>
      <c r="C7" s="164">
        <v>22</v>
      </c>
      <c r="D7" s="164">
        <v>18</v>
      </c>
      <c r="E7" s="164">
        <v>40</v>
      </c>
      <c r="F7" s="164">
        <v>0</v>
      </c>
      <c r="G7" s="164">
        <v>1</v>
      </c>
      <c r="H7" s="164">
        <v>1</v>
      </c>
      <c r="I7" s="164">
        <v>94</v>
      </c>
      <c r="J7" s="164">
        <v>120</v>
      </c>
      <c r="K7" s="164">
        <v>214</v>
      </c>
      <c r="L7" s="164">
        <v>1067</v>
      </c>
      <c r="M7" s="164">
        <v>1016</v>
      </c>
      <c r="N7" s="164">
        <v>2083</v>
      </c>
      <c r="O7" s="164">
        <v>10</v>
      </c>
      <c r="P7" s="164">
        <v>6</v>
      </c>
      <c r="Q7" s="164">
        <v>16</v>
      </c>
      <c r="R7" s="164">
        <v>1</v>
      </c>
      <c r="S7" s="164">
        <v>403</v>
      </c>
      <c r="T7" s="164">
        <v>404</v>
      </c>
      <c r="U7" s="164">
        <v>0</v>
      </c>
      <c r="V7" s="164">
        <v>0</v>
      </c>
      <c r="W7" s="164">
        <v>0</v>
      </c>
      <c r="X7" s="164">
        <v>66</v>
      </c>
      <c r="Y7" s="164">
        <v>69</v>
      </c>
      <c r="Z7" s="164">
        <v>135</v>
      </c>
      <c r="AA7" s="164">
        <v>1260</v>
      </c>
      <c r="AB7" s="164">
        <v>1633</v>
      </c>
      <c r="AC7" s="164">
        <v>2893</v>
      </c>
    </row>
    <row r="8" spans="1:29" ht="15.75" customHeight="1">
      <c r="A8" s="188">
        <v>4</v>
      </c>
      <c r="B8" s="178" t="s">
        <v>641</v>
      </c>
      <c r="C8" s="164">
        <v>61</v>
      </c>
      <c r="D8" s="164">
        <v>26</v>
      </c>
      <c r="E8" s="164">
        <v>87</v>
      </c>
      <c r="F8" s="164">
        <v>0</v>
      </c>
      <c r="G8" s="164">
        <v>3</v>
      </c>
      <c r="H8" s="164">
        <v>3</v>
      </c>
      <c r="I8" s="164">
        <v>276</v>
      </c>
      <c r="J8" s="164">
        <v>209</v>
      </c>
      <c r="K8" s="164">
        <v>485</v>
      </c>
      <c r="L8" s="164">
        <v>1513</v>
      </c>
      <c r="M8" s="164">
        <v>472</v>
      </c>
      <c r="N8" s="164">
        <v>1985</v>
      </c>
      <c r="O8" s="164">
        <v>4</v>
      </c>
      <c r="P8" s="164">
        <v>3</v>
      </c>
      <c r="Q8" s="164">
        <v>7</v>
      </c>
      <c r="R8" s="164">
        <v>5</v>
      </c>
      <c r="S8" s="164">
        <v>4</v>
      </c>
      <c r="T8" s="164">
        <v>9</v>
      </c>
      <c r="U8" s="164">
        <v>2</v>
      </c>
      <c r="V8" s="164">
        <v>1</v>
      </c>
      <c r="W8" s="164">
        <v>3</v>
      </c>
      <c r="X8" s="164">
        <v>18</v>
      </c>
      <c r="Y8" s="164">
        <v>9</v>
      </c>
      <c r="Z8" s="164">
        <v>27</v>
      </c>
      <c r="AA8" s="164">
        <v>1879</v>
      </c>
      <c r="AB8" s="164">
        <v>727</v>
      </c>
      <c r="AC8" s="164">
        <v>2606</v>
      </c>
    </row>
    <row r="9" spans="1:29" ht="15.75" customHeight="1">
      <c r="A9" s="188">
        <v>5</v>
      </c>
      <c r="B9" s="178" t="s">
        <v>647</v>
      </c>
      <c r="C9" s="164">
        <v>10</v>
      </c>
      <c r="D9" s="164">
        <v>4</v>
      </c>
      <c r="E9" s="164">
        <v>14</v>
      </c>
      <c r="F9" s="164">
        <v>0</v>
      </c>
      <c r="G9" s="164">
        <v>0</v>
      </c>
      <c r="H9" s="164">
        <v>0</v>
      </c>
      <c r="I9" s="164">
        <v>66</v>
      </c>
      <c r="J9" s="164">
        <v>89</v>
      </c>
      <c r="K9" s="164">
        <v>155</v>
      </c>
      <c r="L9" s="164">
        <v>1102</v>
      </c>
      <c r="M9" s="164">
        <v>993</v>
      </c>
      <c r="N9" s="164">
        <v>2095</v>
      </c>
      <c r="O9" s="164">
        <v>0</v>
      </c>
      <c r="P9" s="164">
        <v>2</v>
      </c>
      <c r="Q9" s="164">
        <v>2</v>
      </c>
      <c r="R9" s="164">
        <v>1</v>
      </c>
      <c r="S9" s="164">
        <v>1</v>
      </c>
      <c r="T9" s="164">
        <v>2</v>
      </c>
      <c r="U9" s="164">
        <v>0</v>
      </c>
      <c r="V9" s="164">
        <v>0</v>
      </c>
      <c r="W9" s="164">
        <v>0</v>
      </c>
      <c r="X9" s="164">
        <v>11</v>
      </c>
      <c r="Y9" s="164">
        <v>8</v>
      </c>
      <c r="Z9" s="164">
        <v>19</v>
      </c>
      <c r="AA9" s="164">
        <v>1190</v>
      </c>
      <c r="AB9" s="164">
        <v>1097</v>
      </c>
      <c r="AC9" s="164">
        <v>2287</v>
      </c>
    </row>
    <row r="10" spans="1:29" ht="15.75" customHeight="1">
      <c r="A10" s="188">
        <v>6</v>
      </c>
      <c r="B10" s="178" t="s">
        <v>642</v>
      </c>
      <c r="C10" s="164">
        <v>3</v>
      </c>
      <c r="D10" s="164">
        <v>0</v>
      </c>
      <c r="E10" s="164">
        <v>3</v>
      </c>
      <c r="F10" s="164">
        <v>0</v>
      </c>
      <c r="G10" s="164">
        <v>0</v>
      </c>
      <c r="H10" s="164">
        <v>0</v>
      </c>
      <c r="I10" s="164">
        <v>95</v>
      </c>
      <c r="J10" s="164">
        <v>38</v>
      </c>
      <c r="K10" s="164">
        <v>133</v>
      </c>
      <c r="L10" s="164">
        <v>750</v>
      </c>
      <c r="M10" s="164">
        <v>624</v>
      </c>
      <c r="N10" s="164">
        <v>1374</v>
      </c>
      <c r="O10" s="164">
        <v>0</v>
      </c>
      <c r="P10" s="164">
        <v>0</v>
      </c>
      <c r="Q10" s="164">
        <v>0</v>
      </c>
      <c r="R10" s="164">
        <v>21</v>
      </c>
      <c r="S10" s="164">
        <v>17</v>
      </c>
      <c r="T10" s="164">
        <v>38</v>
      </c>
      <c r="U10" s="164">
        <v>1</v>
      </c>
      <c r="V10" s="164">
        <v>0</v>
      </c>
      <c r="W10" s="164">
        <v>1</v>
      </c>
      <c r="X10" s="164">
        <v>4</v>
      </c>
      <c r="Y10" s="164">
        <v>9</v>
      </c>
      <c r="Z10" s="164">
        <v>13</v>
      </c>
      <c r="AA10" s="164">
        <v>874</v>
      </c>
      <c r="AB10" s="164">
        <v>688</v>
      </c>
      <c r="AC10" s="164">
        <v>1562</v>
      </c>
    </row>
    <row r="11" spans="1:29" ht="15.75" customHeight="1">
      <c r="A11" s="188">
        <v>7</v>
      </c>
      <c r="B11" s="178" t="s">
        <v>644</v>
      </c>
      <c r="C11" s="164">
        <v>63</v>
      </c>
      <c r="D11" s="164">
        <v>9</v>
      </c>
      <c r="E11" s="164">
        <v>72</v>
      </c>
      <c r="F11" s="164">
        <v>0</v>
      </c>
      <c r="G11" s="164">
        <v>0</v>
      </c>
      <c r="H11" s="164">
        <v>0</v>
      </c>
      <c r="I11" s="164">
        <v>185</v>
      </c>
      <c r="J11" s="164">
        <v>56</v>
      </c>
      <c r="K11" s="164">
        <v>241</v>
      </c>
      <c r="L11" s="164">
        <v>740</v>
      </c>
      <c r="M11" s="164">
        <v>305</v>
      </c>
      <c r="N11" s="164">
        <v>1045</v>
      </c>
      <c r="O11" s="164">
        <v>3</v>
      </c>
      <c r="P11" s="164">
        <v>1</v>
      </c>
      <c r="Q11" s="164">
        <v>4</v>
      </c>
      <c r="R11" s="164">
        <v>1</v>
      </c>
      <c r="S11" s="164">
        <v>6</v>
      </c>
      <c r="T11" s="164">
        <v>7</v>
      </c>
      <c r="U11" s="164">
        <v>0</v>
      </c>
      <c r="V11" s="164">
        <v>0</v>
      </c>
      <c r="W11" s="164">
        <v>0</v>
      </c>
      <c r="X11" s="164">
        <v>12</v>
      </c>
      <c r="Y11" s="164">
        <v>6</v>
      </c>
      <c r="Z11" s="164">
        <v>18</v>
      </c>
      <c r="AA11" s="164">
        <v>1004</v>
      </c>
      <c r="AB11" s="164">
        <v>383</v>
      </c>
      <c r="AC11" s="164">
        <v>1387</v>
      </c>
    </row>
    <row r="12" spans="1:29" ht="15.75" customHeight="1">
      <c r="A12" s="188">
        <v>8</v>
      </c>
      <c r="B12" s="178" t="s">
        <v>928</v>
      </c>
      <c r="C12" s="164">
        <v>18</v>
      </c>
      <c r="D12" s="164">
        <v>9</v>
      </c>
      <c r="E12" s="164">
        <v>27</v>
      </c>
      <c r="F12" s="164">
        <v>0</v>
      </c>
      <c r="G12" s="164">
        <v>0</v>
      </c>
      <c r="H12" s="164">
        <v>0</v>
      </c>
      <c r="I12" s="164">
        <v>75</v>
      </c>
      <c r="J12" s="164">
        <v>51</v>
      </c>
      <c r="K12" s="164">
        <v>126</v>
      </c>
      <c r="L12" s="164">
        <v>514</v>
      </c>
      <c r="M12" s="164">
        <v>470</v>
      </c>
      <c r="N12" s="164">
        <v>984</v>
      </c>
      <c r="O12" s="164">
        <v>1</v>
      </c>
      <c r="P12" s="164">
        <v>0</v>
      </c>
      <c r="Q12" s="164">
        <v>1</v>
      </c>
      <c r="R12" s="164">
        <v>46</v>
      </c>
      <c r="S12" s="164">
        <v>52</v>
      </c>
      <c r="T12" s="164">
        <v>98</v>
      </c>
      <c r="U12" s="164">
        <v>0</v>
      </c>
      <c r="V12" s="164">
        <v>0</v>
      </c>
      <c r="W12" s="164">
        <v>0</v>
      </c>
      <c r="X12" s="164">
        <v>12</v>
      </c>
      <c r="Y12" s="164">
        <v>16</v>
      </c>
      <c r="Z12" s="164">
        <v>28</v>
      </c>
      <c r="AA12" s="164">
        <v>666</v>
      </c>
      <c r="AB12" s="164">
        <v>598</v>
      </c>
      <c r="AC12" s="164">
        <v>1264</v>
      </c>
    </row>
    <row r="13" spans="1:29">
      <c r="A13" s="188">
        <v>9</v>
      </c>
      <c r="B13" s="178" t="s">
        <v>654</v>
      </c>
      <c r="C13" s="164">
        <v>3</v>
      </c>
      <c r="D13" s="164">
        <v>0</v>
      </c>
      <c r="E13" s="164">
        <v>3</v>
      </c>
      <c r="F13" s="164">
        <v>0</v>
      </c>
      <c r="G13" s="164">
        <v>0</v>
      </c>
      <c r="H13" s="164">
        <v>0</v>
      </c>
      <c r="I13" s="164">
        <v>71</v>
      </c>
      <c r="J13" s="164">
        <v>35</v>
      </c>
      <c r="K13" s="164">
        <v>106</v>
      </c>
      <c r="L13" s="164">
        <v>488</v>
      </c>
      <c r="M13" s="164">
        <v>289</v>
      </c>
      <c r="N13" s="164">
        <v>777</v>
      </c>
      <c r="O13" s="164">
        <v>0</v>
      </c>
      <c r="P13" s="164">
        <v>0</v>
      </c>
      <c r="Q13" s="164">
        <v>0</v>
      </c>
      <c r="R13" s="164">
        <v>13</v>
      </c>
      <c r="S13" s="164">
        <v>18</v>
      </c>
      <c r="T13" s="164">
        <v>31</v>
      </c>
      <c r="U13" s="164">
        <v>2</v>
      </c>
      <c r="V13" s="164">
        <v>0</v>
      </c>
      <c r="W13" s="164">
        <v>2</v>
      </c>
      <c r="X13" s="164">
        <v>60</v>
      </c>
      <c r="Y13" s="164">
        <v>79</v>
      </c>
      <c r="Z13" s="164">
        <v>139</v>
      </c>
      <c r="AA13" s="164">
        <v>637</v>
      </c>
      <c r="AB13" s="164">
        <v>421</v>
      </c>
      <c r="AC13" s="164">
        <v>1058</v>
      </c>
    </row>
    <row r="14" spans="1:29" ht="15.75" customHeight="1">
      <c r="A14" s="188">
        <v>10</v>
      </c>
      <c r="B14" s="178" t="s">
        <v>643</v>
      </c>
      <c r="C14" s="164">
        <v>10</v>
      </c>
      <c r="D14" s="164">
        <v>2</v>
      </c>
      <c r="E14" s="164">
        <v>12</v>
      </c>
      <c r="F14" s="164">
        <v>0</v>
      </c>
      <c r="G14" s="164">
        <v>0</v>
      </c>
      <c r="H14" s="164">
        <v>0</v>
      </c>
      <c r="I14" s="164">
        <v>164</v>
      </c>
      <c r="J14" s="164">
        <v>16</v>
      </c>
      <c r="K14" s="164">
        <v>180</v>
      </c>
      <c r="L14" s="164">
        <v>669</v>
      </c>
      <c r="M14" s="164">
        <v>115</v>
      </c>
      <c r="N14" s="164">
        <v>784</v>
      </c>
      <c r="O14" s="164">
        <v>0</v>
      </c>
      <c r="P14" s="164">
        <v>0</v>
      </c>
      <c r="Q14" s="164">
        <v>0</v>
      </c>
      <c r="R14" s="164">
        <v>1</v>
      </c>
      <c r="S14" s="164">
        <v>0</v>
      </c>
      <c r="T14" s="164">
        <v>1</v>
      </c>
      <c r="U14" s="164">
        <v>0</v>
      </c>
      <c r="V14" s="164">
        <v>1</v>
      </c>
      <c r="W14" s="164">
        <v>1</v>
      </c>
      <c r="X14" s="164">
        <v>3</v>
      </c>
      <c r="Y14" s="164">
        <v>1</v>
      </c>
      <c r="Z14" s="164">
        <v>4</v>
      </c>
      <c r="AA14" s="164">
        <v>847</v>
      </c>
      <c r="AB14" s="164">
        <v>135</v>
      </c>
      <c r="AC14" s="164">
        <v>982</v>
      </c>
    </row>
    <row r="15" spans="1:29" ht="15.75" customHeight="1">
      <c r="A15" s="188">
        <v>11</v>
      </c>
      <c r="B15" s="178" t="s">
        <v>645</v>
      </c>
      <c r="C15" s="164">
        <v>157</v>
      </c>
      <c r="D15" s="164">
        <v>27</v>
      </c>
      <c r="E15" s="164">
        <v>184</v>
      </c>
      <c r="F15" s="164">
        <v>0</v>
      </c>
      <c r="G15" s="164">
        <v>0</v>
      </c>
      <c r="H15" s="164">
        <v>0</v>
      </c>
      <c r="I15" s="164">
        <v>186</v>
      </c>
      <c r="J15" s="164">
        <v>35</v>
      </c>
      <c r="K15" s="164">
        <v>221</v>
      </c>
      <c r="L15" s="164">
        <v>431</v>
      </c>
      <c r="M15" s="164">
        <v>66</v>
      </c>
      <c r="N15" s="164">
        <v>497</v>
      </c>
      <c r="O15" s="164">
        <v>0</v>
      </c>
      <c r="P15" s="164">
        <v>0</v>
      </c>
      <c r="Q15" s="164">
        <v>0</v>
      </c>
      <c r="R15" s="164">
        <v>1</v>
      </c>
      <c r="S15" s="164">
        <v>0</v>
      </c>
      <c r="T15" s="164">
        <v>1</v>
      </c>
      <c r="U15" s="164">
        <v>0</v>
      </c>
      <c r="V15" s="164">
        <v>0</v>
      </c>
      <c r="W15" s="164">
        <v>0</v>
      </c>
      <c r="X15" s="164">
        <v>4</v>
      </c>
      <c r="Y15" s="164">
        <v>0</v>
      </c>
      <c r="Z15" s="164">
        <v>4</v>
      </c>
      <c r="AA15" s="164">
        <v>779</v>
      </c>
      <c r="AB15" s="164">
        <v>128</v>
      </c>
      <c r="AC15" s="164">
        <v>907</v>
      </c>
    </row>
    <row r="16" spans="1:29" ht="15.75" customHeight="1">
      <c r="A16" s="188">
        <v>12</v>
      </c>
      <c r="B16" s="178" t="s">
        <v>649</v>
      </c>
      <c r="C16" s="164">
        <v>275</v>
      </c>
      <c r="D16" s="164">
        <v>12</v>
      </c>
      <c r="E16" s="164">
        <v>287</v>
      </c>
      <c r="F16" s="164">
        <v>0</v>
      </c>
      <c r="G16" s="164">
        <v>0</v>
      </c>
      <c r="H16" s="164">
        <v>0</v>
      </c>
      <c r="I16" s="164">
        <v>100</v>
      </c>
      <c r="J16" s="164">
        <v>11</v>
      </c>
      <c r="K16" s="164">
        <v>111</v>
      </c>
      <c r="L16" s="164">
        <v>381</v>
      </c>
      <c r="M16" s="164">
        <v>114</v>
      </c>
      <c r="N16" s="164">
        <v>495</v>
      </c>
      <c r="O16" s="164">
        <v>2</v>
      </c>
      <c r="P16" s="164">
        <v>2</v>
      </c>
      <c r="Q16" s="164">
        <v>4</v>
      </c>
      <c r="R16" s="164">
        <v>0</v>
      </c>
      <c r="S16" s="164">
        <v>0</v>
      </c>
      <c r="T16" s="164">
        <v>0</v>
      </c>
      <c r="U16" s="164">
        <v>0</v>
      </c>
      <c r="V16" s="164">
        <v>0</v>
      </c>
      <c r="W16" s="164">
        <v>0</v>
      </c>
      <c r="X16" s="164">
        <v>2</v>
      </c>
      <c r="Y16" s="164">
        <v>2</v>
      </c>
      <c r="Z16" s="164">
        <v>4</v>
      </c>
      <c r="AA16" s="164">
        <v>760</v>
      </c>
      <c r="AB16" s="164">
        <v>141</v>
      </c>
      <c r="AC16" s="164">
        <v>901</v>
      </c>
    </row>
    <row r="17" spans="1:29" ht="15.75" customHeight="1">
      <c r="A17" s="188">
        <v>13</v>
      </c>
      <c r="B17" s="178" t="s">
        <v>661</v>
      </c>
      <c r="C17" s="164">
        <v>1</v>
      </c>
      <c r="D17" s="164">
        <v>3</v>
      </c>
      <c r="E17" s="164">
        <v>4</v>
      </c>
      <c r="F17" s="164">
        <v>0</v>
      </c>
      <c r="G17" s="164">
        <v>0</v>
      </c>
      <c r="H17" s="164">
        <v>0</v>
      </c>
      <c r="I17" s="164">
        <v>16</v>
      </c>
      <c r="J17" s="164">
        <v>18</v>
      </c>
      <c r="K17" s="164">
        <v>34</v>
      </c>
      <c r="L17" s="164">
        <v>384</v>
      </c>
      <c r="M17" s="164">
        <v>323</v>
      </c>
      <c r="N17" s="164">
        <v>707</v>
      </c>
      <c r="O17" s="164">
        <v>1</v>
      </c>
      <c r="P17" s="164">
        <v>0</v>
      </c>
      <c r="Q17" s="164">
        <v>1</v>
      </c>
      <c r="R17" s="164">
        <v>0</v>
      </c>
      <c r="S17" s="164">
        <v>0</v>
      </c>
      <c r="T17" s="164">
        <v>0</v>
      </c>
      <c r="U17" s="164">
        <v>0</v>
      </c>
      <c r="V17" s="164">
        <v>0</v>
      </c>
      <c r="W17" s="164">
        <v>0</v>
      </c>
      <c r="X17" s="164">
        <v>1</v>
      </c>
      <c r="Y17" s="164">
        <v>3</v>
      </c>
      <c r="Z17" s="164">
        <v>4</v>
      </c>
      <c r="AA17" s="164">
        <v>403</v>
      </c>
      <c r="AB17" s="164">
        <v>347</v>
      </c>
      <c r="AC17" s="164">
        <v>750</v>
      </c>
    </row>
    <row r="18" spans="1:29" ht="15.75" customHeight="1">
      <c r="A18" s="188">
        <v>14</v>
      </c>
      <c r="B18" s="178" t="s">
        <v>655</v>
      </c>
      <c r="C18" s="164">
        <v>12</v>
      </c>
      <c r="D18" s="164">
        <v>7</v>
      </c>
      <c r="E18" s="164">
        <v>19</v>
      </c>
      <c r="F18" s="164">
        <v>0</v>
      </c>
      <c r="G18" s="164">
        <v>0</v>
      </c>
      <c r="H18" s="164">
        <v>0</v>
      </c>
      <c r="I18" s="164">
        <v>22</v>
      </c>
      <c r="J18" s="164">
        <v>16</v>
      </c>
      <c r="K18" s="164">
        <v>38</v>
      </c>
      <c r="L18" s="164">
        <v>362</v>
      </c>
      <c r="M18" s="164">
        <v>261</v>
      </c>
      <c r="N18" s="164">
        <v>623</v>
      </c>
      <c r="O18" s="164">
        <v>0</v>
      </c>
      <c r="P18" s="164">
        <v>0</v>
      </c>
      <c r="Q18" s="164">
        <v>0</v>
      </c>
      <c r="R18" s="164">
        <v>0</v>
      </c>
      <c r="S18" s="164">
        <v>0</v>
      </c>
      <c r="T18" s="164">
        <v>0</v>
      </c>
      <c r="U18" s="164">
        <v>0</v>
      </c>
      <c r="V18" s="164">
        <v>0</v>
      </c>
      <c r="W18" s="164">
        <v>0</v>
      </c>
      <c r="X18" s="164">
        <v>2</v>
      </c>
      <c r="Y18" s="164">
        <v>0</v>
      </c>
      <c r="Z18" s="164">
        <v>2</v>
      </c>
      <c r="AA18" s="164">
        <v>398</v>
      </c>
      <c r="AB18" s="164">
        <v>284</v>
      </c>
      <c r="AC18" s="164">
        <v>682</v>
      </c>
    </row>
    <row r="19" spans="1:29" ht="15.75" customHeight="1">
      <c r="A19" s="188">
        <v>15</v>
      </c>
      <c r="B19" s="178" t="s">
        <v>648</v>
      </c>
      <c r="C19" s="164">
        <v>16</v>
      </c>
      <c r="D19" s="164">
        <v>10</v>
      </c>
      <c r="E19" s="164">
        <v>26</v>
      </c>
      <c r="F19" s="164">
        <v>1</v>
      </c>
      <c r="G19" s="164">
        <v>1</v>
      </c>
      <c r="H19" s="164">
        <v>2</v>
      </c>
      <c r="I19" s="164">
        <v>55</v>
      </c>
      <c r="J19" s="164">
        <v>68</v>
      </c>
      <c r="K19" s="164">
        <v>123</v>
      </c>
      <c r="L19" s="164">
        <v>252</v>
      </c>
      <c r="M19" s="164">
        <v>216</v>
      </c>
      <c r="N19" s="164">
        <v>468</v>
      </c>
      <c r="O19" s="164">
        <v>1</v>
      </c>
      <c r="P19" s="164">
        <v>0</v>
      </c>
      <c r="Q19" s="164">
        <v>1</v>
      </c>
      <c r="R19" s="164">
        <v>14</v>
      </c>
      <c r="S19" s="164">
        <v>3</v>
      </c>
      <c r="T19" s="164">
        <v>17</v>
      </c>
      <c r="U19" s="164">
        <v>1</v>
      </c>
      <c r="V19" s="164">
        <v>0</v>
      </c>
      <c r="W19" s="164">
        <v>1</v>
      </c>
      <c r="X19" s="164">
        <v>13</v>
      </c>
      <c r="Y19" s="164">
        <v>5</v>
      </c>
      <c r="Z19" s="164">
        <v>18</v>
      </c>
      <c r="AA19" s="164">
        <v>353</v>
      </c>
      <c r="AB19" s="164">
        <v>303</v>
      </c>
      <c r="AC19" s="164">
        <v>656</v>
      </c>
    </row>
    <row r="20" spans="1:29" ht="15.75" customHeight="1">
      <c r="A20" s="188">
        <v>16</v>
      </c>
      <c r="B20" s="178" t="s">
        <v>651</v>
      </c>
      <c r="C20" s="164">
        <v>87</v>
      </c>
      <c r="D20" s="164">
        <v>40</v>
      </c>
      <c r="E20" s="164">
        <v>127</v>
      </c>
      <c r="F20" s="164">
        <v>0</v>
      </c>
      <c r="G20" s="164">
        <v>0</v>
      </c>
      <c r="H20" s="164">
        <v>0</v>
      </c>
      <c r="I20" s="164">
        <v>44</v>
      </c>
      <c r="J20" s="164">
        <v>16</v>
      </c>
      <c r="K20" s="164">
        <v>60</v>
      </c>
      <c r="L20" s="164">
        <v>321</v>
      </c>
      <c r="M20" s="164">
        <v>142</v>
      </c>
      <c r="N20" s="164">
        <v>463</v>
      </c>
      <c r="O20" s="164">
        <v>1</v>
      </c>
      <c r="P20" s="164">
        <v>0</v>
      </c>
      <c r="Q20" s="164">
        <v>1</v>
      </c>
      <c r="R20" s="164">
        <v>0</v>
      </c>
      <c r="S20" s="164">
        <v>0</v>
      </c>
      <c r="T20" s="164">
        <v>0</v>
      </c>
      <c r="U20" s="164">
        <v>0</v>
      </c>
      <c r="V20" s="164">
        <v>0</v>
      </c>
      <c r="W20" s="164">
        <v>0</v>
      </c>
      <c r="X20" s="164">
        <v>2</v>
      </c>
      <c r="Y20" s="164">
        <v>0</v>
      </c>
      <c r="Z20" s="164">
        <v>2</v>
      </c>
      <c r="AA20" s="164">
        <v>455</v>
      </c>
      <c r="AB20" s="164">
        <v>198</v>
      </c>
      <c r="AC20" s="164">
        <v>653</v>
      </c>
    </row>
    <row r="21" spans="1:29" ht="15.75" customHeight="1">
      <c r="A21" s="188">
        <v>17</v>
      </c>
      <c r="B21" s="178" t="s">
        <v>657</v>
      </c>
      <c r="C21" s="164">
        <v>10</v>
      </c>
      <c r="D21" s="164">
        <v>4</v>
      </c>
      <c r="E21" s="164">
        <v>14</v>
      </c>
      <c r="F21" s="164">
        <v>0</v>
      </c>
      <c r="G21" s="164">
        <v>0</v>
      </c>
      <c r="H21" s="164">
        <v>0</v>
      </c>
      <c r="I21" s="164">
        <v>25</v>
      </c>
      <c r="J21" s="164">
        <v>18</v>
      </c>
      <c r="K21" s="164">
        <v>43</v>
      </c>
      <c r="L21" s="164">
        <v>318</v>
      </c>
      <c r="M21" s="164">
        <v>210</v>
      </c>
      <c r="N21" s="164">
        <v>528</v>
      </c>
      <c r="O21" s="164">
        <v>0</v>
      </c>
      <c r="P21" s="164">
        <v>0</v>
      </c>
      <c r="Q21" s="164">
        <v>0</v>
      </c>
      <c r="R21" s="164">
        <v>1</v>
      </c>
      <c r="S21" s="164">
        <v>0</v>
      </c>
      <c r="T21" s="164">
        <v>1</v>
      </c>
      <c r="U21" s="164">
        <v>0</v>
      </c>
      <c r="V21" s="164">
        <v>0</v>
      </c>
      <c r="W21" s="164">
        <v>0</v>
      </c>
      <c r="X21" s="164">
        <v>1</v>
      </c>
      <c r="Y21" s="164">
        <v>2</v>
      </c>
      <c r="Z21" s="164">
        <v>3</v>
      </c>
      <c r="AA21" s="164">
        <v>355</v>
      </c>
      <c r="AB21" s="164">
        <v>234</v>
      </c>
      <c r="AC21" s="164">
        <v>589</v>
      </c>
    </row>
    <row r="22" spans="1:29" ht="15.75" customHeight="1">
      <c r="A22" s="188">
        <v>18</v>
      </c>
      <c r="B22" s="178" t="s">
        <v>653</v>
      </c>
      <c r="C22" s="164">
        <v>2</v>
      </c>
      <c r="D22" s="164">
        <v>2</v>
      </c>
      <c r="E22" s="164">
        <v>4</v>
      </c>
      <c r="F22" s="164">
        <v>0</v>
      </c>
      <c r="G22" s="164">
        <v>0</v>
      </c>
      <c r="H22" s="164">
        <v>0</v>
      </c>
      <c r="I22" s="164">
        <v>21</v>
      </c>
      <c r="J22" s="164">
        <v>11</v>
      </c>
      <c r="K22" s="164">
        <v>32</v>
      </c>
      <c r="L22" s="164">
        <v>244</v>
      </c>
      <c r="M22" s="164">
        <v>182</v>
      </c>
      <c r="N22" s="164">
        <v>426</v>
      </c>
      <c r="O22" s="164">
        <v>0</v>
      </c>
      <c r="P22" s="164">
        <v>0</v>
      </c>
      <c r="Q22" s="164">
        <v>0</v>
      </c>
      <c r="R22" s="164">
        <v>3</v>
      </c>
      <c r="S22" s="164">
        <v>0</v>
      </c>
      <c r="T22" s="164">
        <v>3</v>
      </c>
      <c r="U22" s="164">
        <v>0</v>
      </c>
      <c r="V22" s="164">
        <v>0</v>
      </c>
      <c r="W22" s="164">
        <v>0</v>
      </c>
      <c r="X22" s="164">
        <v>4</v>
      </c>
      <c r="Y22" s="164">
        <v>2</v>
      </c>
      <c r="Z22" s="164">
        <v>6</v>
      </c>
      <c r="AA22" s="164">
        <v>274</v>
      </c>
      <c r="AB22" s="164">
        <v>197</v>
      </c>
      <c r="AC22" s="164">
        <v>471</v>
      </c>
    </row>
    <row r="23" spans="1:29" ht="15.75" customHeight="1">
      <c r="A23" s="188">
        <v>19</v>
      </c>
      <c r="B23" s="178" t="s">
        <v>658</v>
      </c>
      <c r="C23" s="164">
        <v>0</v>
      </c>
      <c r="D23" s="164">
        <v>2</v>
      </c>
      <c r="E23" s="164">
        <v>2</v>
      </c>
      <c r="F23" s="164">
        <v>0</v>
      </c>
      <c r="G23" s="164">
        <v>0</v>
      </c>
      <c r="H23" s="164">
        <v>0</v>
      </c>
      <c r="I23" s="164">
        <v>18</v>
      </c>
      <c r="J23" s="164">
        <v>17</v>
      </c>
      <c r="K23" s="164">
        <v>35</v>
      </c>
      <c r="L23" s="164">
        <v>248</v>
      </c>
      <c r="M23" s="164">
        <v>163</v>
      </c>
      <c r="N23" s="164">
        <v>411</v>
      </c>
      <c r="O23" s="164">
        <v>0</v>
      </c>
      <c r="P23" s="164">
        <v>0</v>
      </c>
      <c r="Q23" s="164">
        <v>0</v>
      </c>
      <c r="R23" s="164">
        <v>0</v>
      </c>
      <c r="S23" s="164">
        <v>0</v>
      </c>
      <c r="T23" s="164">
        <v>0</v>
      </c>
      <c r="U23" s="164">
        <v>0</v>
      </c>
      <c r="V23" s="164">
        <v>0</v>
      </c>
      <c r="W23" s="164">
        <v>0</v>
      </c>
      <c r="X23" s="164">
        <v>0</v>
      </c>
      <c r="Y23" s="164">
        <v>1</v>
      </c>
      <c r="Z23" s="164">
        <v>1</v>
      </c>
      <c r="AA23" s="164">
        <v>266</v>
      </c>
      <c r="AB23" s="164">
        <v>183</v>
      </c>
      <c r="AC23" s="164">
        <v>449</v>
      </c>
    </row>
    <row r="24" spans="1:29" ht="15.75" customHeight="1">
      <c r="A24" s="188">
        <v>20</v>
      </c>
      <c r="B24" s="178" t="s">
        <v>668</v>
      </c>
      <c r="C24" s="164">
        <v>1</v>
      </c>
      <c r="D24" s="164">
        <v>0</v>
      </c>
      <c r="E24" s="164">
        <v>1</v>
      </c>
      <c r="F24" s="164">
        <v>0</v>
      </c>
      <c r="G24" s="164">
        <v>0</v>
      </c>
      <c r="H24" s="164">
        <v>0</v>
      </c>
      <c r="I24" s="164">
        <v>61</v>
      </c>
      <c r="J24" s="164">
        <v>33</v>
      </c>
      <c r="K24" s="164">
        <v>94</v>
      </c>
      <c r="L24" s="164">
        <v>179</v>
      </c>
      <c r="M24" s="164">
        <v>122</v>
      </c>
      <c r="N24" s="164">
        <v>301</v>
      </c>
      <c r="O24" s="164">
        <v>0</v>
      </c>
      <c r="P24" s="164">
        <v>0</v>
      </c>
      <c r="Q24" s="164">
        <v>0</v>
      </c>
      <c r="R24" s="164">
        <v>0</v>
      </c>
      <c r="S24" s="164">
        <v>2</v>
      </c>
      <c r="T24" s="164">
        <v>2</v>
      </c>
      <c r="U24" s="164">
        <v>0</v>
      </c>
      <c r="V24" s="164">
        <v>0</v>
      </c>
      <c r="W24" s="164">
        <v>0</v>
      </c>
      <c r="X24" s="164">
        <v>13</v>
      </c>
      <c r="Y24" s="164">
        <v>17</v>
      </c>
      <c r="Z24" s="164">
        <v>30</v>
      </c>
      <c r="AA24" s="164">
        <v>254</v>
      </c>
      <c r="AB24" s="164">
        <v>174</v>
      </c>
      <c r="AC24" s="164">
        <v>428</v>
      </c>
    </row>
    <row r="25" spans="1:29" ht="15.75" customHeight="1">
      <c r="A25" s="188">
        <v>21</v>
      </c>
      <c r="B25" s="178" t="s">
        <v>929</v>
      </c>
      <c r="C25" s="164">
        <v>0</v>
      </c>
      <c r="D25" s="164">
        <v>0</v>
      </c>
      <c r="E25" s="164">
        <v>0</v>
      </c>
      <c r="F25" s="164">
        <v>0</v>
      </c>
      <c r="G25" s="164">
        <v>0</v>
      </c>
      <c r="H25" s="164">
        <v>0</v>
      </c>
      <c r="I25" s="164">
        <v>19</v>
      </c>
      <c r="J25" s="164">
        <v>5</v>
      </c>
      <c r="K25" s="164">
        <v>24</v>
      </c>
      <c r="L25" s="164">
        <v>257</v>
      </c>
      <c r="M25" s="164">
        <v>96</v>
      </c>
      <c r="N25" s="164">
        <v>353</v>
      </c>
      <c r="O25" s="164">
        <v>0</v>
      </c>
      <c r="P25" s="164">
        <v>0</v>
      </c>
      <c r="Q25" s="164">
        <v>0</v>
      </c>
      <c r="R25" s="164">
        <v>1</v>
      </c>
      <c r="S25" s="164">
        <v>0</v>
      </c>
      <c r="T25" s="164">
        <v>1</v>
      </c>
      <c r="U25" s="164">
        <v>0</v>
      </c>
      <c r="V25" s="164">
        <v>0</v>
      </c>
      <c r="W25" s="164">
        <v>0</v>
      </c>
      <c r="X25" s="164">
        <v>16</v>
      </c>
      <c r="Y25" s="164">
        <v>9</v>
      </c>
      <c r="Z25" s="164">
        <v>25</v>
      </c>
      <c r="AA25" s="164">
        <v>293</v>
      </c>
      <c r="AB25" s="164">
        <v>110</v>
      </c>
      <c r="AC25" s="164">
        <v>403</v>
      </c>
    </row>
    <row r="26" spans="1:29">
      <c r="A26" s="188">
        <v>22</v>
      </c>
      <c r="B26" s="178" t="s">
        <v>930</v>
      </c>
      <c r="C26" s="164">
        <v>29</v>
      </c>
      <c r="D26" s="164">
        <v>38</v>
      </c>
      <c r="E26" s="164">
        <v>67</v>
      </c>
      <c r="F26" s="164">
        <v>0</v>
      </c>
      <c r="G26" s="164">
        <v>1</v>
      </c>
      <c r="H26" s="164">
        <v>1</v>
      </c>
      <c r="I26" s="164">
        <v>61</v>
      </c>
      <c r="J26" s="164">
        <v>92</v>
      </c>
      <c r="K26" s="164">
        <v>153</v>
      </c>
      <c r="L26" s="164">
        <v>95</v>
      </c>
      <c r="M26" s="164">
        <v>82</v>
      </c>
      <c r="N26" s="164">
        <v>177</v>
      </c>
      <c r="O26" s="164">
        <v>0</v>
      </c>
      <c r="P26" s="164">
        <v>1</v>
      </c>
      <c r="Q26" s="164">
        <v>1</v>
      </c>
      <c r="R26" s="164">
        <v>0</v>
      </c>
      <c r="S26" s="164">
        <v>1</v>
      </c>
      <c r="T26" s="164">
        <v>1</v>
      </c>
      <c r="U26" s="164">
        <v>0</v>
      </c>
      <c r="V26" s="164">
        <v>0</v>
      </c>
      <c r="W26" s="164">
        <v>0</v>
      </c>
      <c r="X26" s="164">
        <v>1</v>
      </c>
      <c r="Y26" s="164">
        <v>0</v>
      </c>
      <c r="Z26" s="164">
        <v>1</v>
      </c>
      <c r="AA26" s="164">
        <v>186</v>
      </c>
      <c r="AB26" s="164">
        <v>215</v>
      </c>
      <c r="AC26" s="164">
        <v>401</v>
      </c>
    </row>
    <row r="27" spans="1:29">
      <c r="A27" s="188">
        <v>23</v>
      </c>
      <c r="B27" s="178" t="s">
        <v>660</v>
      </c>
      <c r="C27" s="164">
        <v>15</v>
      </c>
      <c r="D27" s="164">
        <v>1</v>
      </c>
      <c r="E27" s="164">
        <v>16</v>
      </c>
      <c r="F27" s="164">
        <v>0</v>
      </c>
      <c r="G27" s="164">
        <v>0</v>
      </c>
      <c r="H27" s="164">
        <v>0</v>
      </c>
      <c r="I27" s="164">
        <v>54</v>
      </c>
      <c r="J27" s="164">
        <v>23</v>
      </c>
      <c r="K27" s="164">
        <v>77</v>
      </c>
      <c r="L27" s="164">
        <v>192</v>
      </c>
      <c r="M27" s="164">
        <v>71</v>
      </c>
      <c r="N27" s="164">
        <v>263</v>
      </c>
      <c r="O27" s="164">
        <v>0</v>
      </c>
      <c r="P27" s="164">
        <v>0</v>
      </c>
      <c r="Q27" s="164">
        <v>0</v>
      </c>
      <c r="R27" s="164">
        <v>3</v>
      </c>
      <c r="S27" s="164">
        <v>0</v>
      </c>
      <c r="T27" s="164">
        <v>3</v>
      </c>
      <c r="U27" s="164">
        <v>0</v>
      </c>
      <c r="V27" s="164">
        <v>0</v>
      </c>
      <c r="W27" s="164">
        <v>0</v>
      </c>
      <c r="X27" s="164">
        <v>4</v>
      </c>
      <c r="Y27" s="164">
        <v>5</v>
      </c>
      <c r="Z27" s="164">
        <v>9</v>
      </c>
      <c r="AA27" s="164">
        <v>268</v>
      </c>
      <c r="AB27" s="164">
        <v>100</v>
      </c>
      <c r="AC27" s="164">
        <v>368</v>
      </c>
    </row>
    <row r="28" spans="1:29">
      <c r="A28" s="188">
        <v>24</v>
      </c>
      <c r="B28" s="178" t="s">
        <v>663</v>
      </c>
      <c r="C28" s="164">
        <v>4</v>
      </c>
      <c r="D28" s="164">
        <v>2</v>
      </c>
      <c r="E28" s="164">
        <v>6</v>
      </c>
      <c r="F28" s="164">
        <v>2</v>
      </c>
      <c r="G28" s="164">
        <v>5</v>
      </c>
      <c r="H28" s="164">
        <v>7</v>
      </c>
      <c r="I28" s="164">
        <v>28</v>
      </c>
      <c r="J28" s="164">
        <v>44</v>
      </c>
      <c r="K28" s="164">
        <v>72</v>
      </c>
      <c r="L28" s="164">
        <v>85</v>
      </c>
      <c r="M28" s="164">
        <v>181</v>
      </c>
      <c r="N28" s="164">
        <v>266</v>
      </c>
      <c r="O28" s="164">
        <v>0</v>
      </c>
      <c r="P28" s="164">
        <v>1</v>
      </c>
      <c r="Q28" s="164">
        <v>1</v>
      </c>
      <c r="R28" s="164">
        <v>2</v>
      </c>
      <c r="S28" s="164">
        <v>5</v>
      </c>
      <c r="T28" s="164">
        <v>7</v>
      </c>
      <c r="U28" s="164">
        <v>0</v>
      </c>
      <c r="V28" s="164">
        <v>0</v>
      </c>
      <c r="W28" s="164">
        <v>0</v>
      </c>
      <c r="X28" s="164">
        <v>0</v>
      </c>
      <c r="Y28" s="164">
        <v>1</v>
      </c>
      <c r="Z28" s="164">
        <v>1</v>
      </c>
      <c r="AA28" s="164">
        <v>121</v>
      </c>
      <c r="AB28" s="164">
        <v>239</v>
      </c>
      <c r="AC28" s="164">
        <v>360</v>
      </c>
    </row>
    <row r="29" spans="1:29">
      <c r="A29" s="188">
        <v>25</v>
      </c>
      <c r="B29" s="178" t="s">
        <v>659</v>
      </c>
      <c r="C29" s="164">
        <v>114</v>
      </c>
      <c r="D29" s="164">
        <v>13</v>
      </c>
      <c r="E29" s="164">
        <v>127</v>
      </c>
      <c r="F29" s="164">
        <v>0</v>
      </c>
      <c r="G29" s="164">
        <v>0</v>
      </c>
      <c r="H29" s="164">
        <v>0</v>
      </c>
      <c r="I29" s="164">
        <v>86</v>
      </c>
      <c r="J29" s="164">
        <v>13</v>
      </c>
      <c r="K29" s="164">
        <v>99</v>
      </c>
      <c r="L29" s="164">
        <v>87</v>
      </c>
      <c r="M29" s="164">
        <v>27</v>
      </c>
      <c r="N29" s="164">
        <v>114</v>
      </c>
      <c r="O29" s="164">
        <v>0</v>
      </c>
      <c r="P29" s="164">
        <v>0</v>
      </c>
      <c r="Q29" s="164">
        <v>0</v>
      </c>
      <c r="R29" s="164">
        <v>1</v>
      </c>
      <c r="S29" s="164">
        <v>0</v>
      </c>
      <c r="T29" s="164">
        <v>1</v>
      </c>
      <c r="U29" s="164">
        <v>0</v>
      </c>
      <c r="V29" s="164">
        <v>0</v>
      </c>
      <c r="W29" s="164">
        <v>0</v>
      </c>
      <c r="X29" s="164">
        <v>1</v>
      </c>
      <c r="Y29" s="164">
        <v>0</v>
      </c>
      <c r="Z29" s="164">
        <v>1</v>
      </c>
      <c r="AA29" s="164">
        <v>289</v>
      </c>
      <c r="AB29" s="164">
        <v>53</v>
      </c>
      <c r="AC29" s="164">
        <v>342</v>
      </c>
    </row>
    <row r="30" spans="1:29">
      <c r="A30" s="188">
        <v>26</v>
      </c>
      <c r="B30" s="178" t="s">
        <v>656</v>
      </c>
      <c r="C30" s="164">
        <v>1</v>
      </c>
      <c r="D30" s="164">
        <v>0</v>
      </c>
      <c r="E30" s="164">
        <v>1</v>
      </c>
      <c r="F30" s="164">
        <v>0</v>
      </c>
      <c r="G30" s="164">
        <v>0</v>
      </c>
      <c r="H30" s="164">
        <v>0</v>
      </c>
      <c r="I30" s="164">
        <v>11</v>
      </c>
      <c r="J30" s="164">
        <v>6</v>
      </c>
      <c r="K30" s="164">
        <v>17</v>
      </c>
      <c r="L30" s="164">
        <v>154</v>
      </c>
      <c r="M30" s="164">
        <v>128</v>
      </c>
      <c r="N30" s="164">
        <v>282</v>
      </c>
      <c r="O30" s="164">
        <v>0</v>
      </c>
      <c r="P30" s="164">
        <v>0</v>
      </c>
      <c r="Q30" s="164">
        <v>0</v>
      </c>
      <c r="R30" s="164">
        <v>0</v>
      </c>
      <c r="S30" s="164">
        <v>0</v>
      </c>
      <c r="T30" s="164">
        <v>0</v>
      </c>
      <c r="U30" s="164">
        <v>0</v>
      </c>
      <c r="V30" s="164">
        <v>0</v>
      </c>
      <c r="W30" s="164">
        <v>0</v>
      </c>
      <c r="X30" s="164">
        <v>0</v>
      </c>
      <c r="Y30" s="164">
        <v>1</v>
      </c>
      <c r="Z30" s="164">
        <v>1</v>
      </c>
      <c r="AA30" s="164">
        <v>166</v>
      </c>
      <c r="AB30" s="164">
        <v>135</v>
      </c>
      <c r="AC30" s="164">
        <v>301</v>
      </c>
    </row>
    <row r="31" spans="1:29">
      <c r="A31" s="188">
        <v>27</v>
      </c>
      <c r="B31" s="178" t="s">
        <v>664</v>
      </c>
      <c r="C31" s="164">
        <v>96</v>
      </c>
      <c r="D31" s="164">
        <v>20</v>
      </c>
      <c r="E31" s="164">
        <v>116</v>
      </c>
      <c r="F31" s="164">
        <v>0</v>
      </c>
      <c r="G31" s="164">
        <v>0</v>
      </c>
      <c r="H31" s="164">
        <v>0</v>
      </c>
      <c r="I31" s="164">
        <v>44</v>
      </c>
      <c r="J31" s="164">
        <v>14</v>
      </c>
      <c r="K31" s="164">
        <v>58</v>
      </c>
      <c r="L31" s="164">
        <v>76</v>
      </c>
      <c r="M31" s="164">
        <v>36</v>
      </c>
      <c r="N31" s="164">
        <v>112</v>
      </c>
      <c r="O31" s="164">
        <v>0</v>
      </c>
      <c r="P31" s="164">
        <v>1</v>
      </c>
      <c r="Q31" s="164">
        <v>1</v>
      </c>
      <c r="R31" s="164">
        <v>5</v>
      </c>
      <c r="S31" s="164">
        <v>0</v>
      </c>
      <c r="T31" s="164">
        <v>5</v>
      </c>
      <c r="U31" s="164">
        <v>7</v>
      </c>
      <c r="V31" s="164">
        <v>0</v>
      </c>
      <c r="W31" s="164">
        <v>7</v>
      </c>
      <c r="X31" s="164">
        <v>0</v>
      </c>
      <c r="Y31" s="164">
        <v>0</v>
      </c>
      <c r="Z31" s="164">
        <v>0</v>
      </c>
      <c r="AA31" s="164">
        <v>228</v>
      </c>
      <c r="AB31" s="164">
        <v>71</v>
      </c>
      <c r="AC31" s="164">
        <v>299</v>
      </c>
    </row>
    <row r="32" spans="1:29">
      <c r="A32" s="188">
        <v>28</v>
      </c>
      <c r="B32" s="178" t="s">
        <v>652</v>
      </c>
      <c r="C32" s="164">
        <v>0</v>
      </c>
      <c r="D32" s="164">
        <v>0</v>
      </c>
      <c r="E32" s="164">
        <v>0</v>
      </c>
      <c r="F32" s="164">
        <v>0</v>
      </c>
      <c r="G32" s="164">
        <v>0</v>
      </c>
      <c r="H32" s="164">
        <v>0</v>
      </c>
      <c r="I32" s="164">
        <v>139</v>
      </c>
      <c r="J32" s="164">
        <v>13</v>
      </c>
      <c r="K32" s="164">
        <v>152</v>
      </c>
      <c r="L32" s="164">
        <v>118</v>
      </c>
      <c r="M32" s="164">
        <v>25</v>
      </c>
      <c r="N32" s="164">
        <v>143</v>
      </c>
      <c r="O32" s="164">
        <v>0</v>
      </c>
      <c r="P32" s="164">
        <v>0</v>
      </c>
      <c r="Q32" s="164">
        <v>0</v>
      </c>
      <c r="R32" s="164">
        <v>1</v>
      </c>
      <c r="S32" s="164">
        <v>0</v>
      </c>
      <c r="T32" s="164">
        <v>1</v>
      </c>
      <c r="U32" s="164">
        <v>1</v>
      </c>
      <c r="V32" s="164">
        <v>0</v>
      </c>
      <c r="W32" s="164">
        <v>1</v>
      </c>
      <c r="X32" s="164">
        <v>0</v>
      </c>
      <c r="Y32" s="164">
        <v>1</v>
      </c>
      <c r="Z32" s="164">
        <v>1</v>
      </c>
      <c r="AA32" s="164">
        <v>259</v>
      </c>
      <c r="AB32" s="164">
        <v>39</v>
      </c>
      <c r="AC32" s="164">
        <v>298</v>
      </c>
    </row>
    <row r="33" spans="1:29">
      <c r="A33" s="188">
        <v>29</v>
      </c>
      <c r="B33" s="178" t="s">
        <v>724</v>
      </c>
      <c r="C33" s="164">
        <v>0</v>
      </c>
      <c r="D33" s="164">
        <v>0</v>
      </c>
      <c r="E33" s="164">
        <v>0</v>
      </c>
      <c r="F33" s="164">
        <v>0</v>
      </c>
      <c r="G33" s="164">
        <v>0</v>
      </c>
      <c r="H33" s="164">
        <v>0</v>
      </c>
      <c r="I33" s="164">
        <v>21</v>
      </c>
      <c r="J33" s="164">
        <v>12</v>
      </c>
      <c r="K33" s="164">
        <v>33</v>
      </c>
      <c r="L33" s="164">
        <v>183</v>
      </c>
      <c r="M33" s="164">
        <v>76</v>
      </c>
      <c r="N33" s="164">
        <v>259</v>
      </c>
      <c r="O33" s="164">
        <v>0</v>
      </c>
      <c r="P33" s="164">
        <v>0</v>
      </c>
      <c r="Q33" s="164">
        <v>0</v>
      </c>
      <c r="R33" s="164">
        <v>0</v>
      </c>
      <c r="S33" s="164">
        <v>0</v>
      </c>
      <c r="T33" s="164">
        <v>0</v>
      </c>
      <c r="U33" s="164">
        <v>0</v>
      </c>
      <c r="V33" s="164">
        <v>0</v>
      </c>
      <c r="W33" s="164">
        <v>0</v>
      </c>
      <c r="X33" s="164">
        <v>0</v>
      </c>
      <c r="Y33" s="164">
        <v>0</v>
      </c>
      <c r="Z33" s="164">
        <v>0</v>
      </c>
      <c r="AA33" s="164">
        <v>204</v>
      </c>
      <c r="AB33" s="164">
        <v>88</v>
      </c>
      <c r="AC33" s="164">
        <v>292</v>
      </c>
    </row>
    <row r="34" spans="1:29">
      <c r="A34" s="188">
        <v>30</v>
      </c>
      <c r="B34" s="178" t="s">
        <v>667</v>
      </c>
      <c r="C34" s="164">
        <v>1</v>
      </c>
      <c r="D34" s="164">
        <v>1</v>
      </c>
      <c r="E34" s="164">
        <v>2</v>
      </c>
      <c r="F34" s="164">
        <v>0</v>
      </c>
      <c r="G34" s="164">
        <v>0</v>
      </c>
      <c r="H34" s="164">
        <v>0</v>
      </c>
      <c r="I34" s="164">
        <v>44</v>
      </c>
      <c r="J34" s="164">
        <v>22</v>
      </c>
      <c r="K34" s="164">
        <v>66</v>
      </c>
      <c r="L34" s="164">
        <v>157</v>
      </c>
      <c r="M34" s="164">
        <v>56</v>
      </c>
      <c r="N34" s="164">
        <v>213</v>
      </c>
      <c r="O34" s="164">
        <v>2</v>
      </c>
      <c r="P34" s="164">
        <v>0</v>
      </c>
      <c r="Q34" s="164">
        <v>2</v>
      </c>
      <c r="R34" s="164">
        <v>3</v>
      </c>
      <c r="S34" s="164">
        <v>0</v>
      </c>
      <c r="T34" s="164">
        <v>3</v>
      </c>
      <c r="U34" s="164">
        <v>0</v>
      </c>
      <c r="V34" s="164">
        <v>0</v>
      </c>
      <c r="W34" s="164">
        <v>0</v>
      </c>
      <c r="X34" s="164">
        <v>4</v>
      </c>
      <c r="Y34" s="164">
        <v>2</v>
      </c>
      <c r="Z34" s="164">
        <v>6</v>
      </c>
      <c r="AA34" s="164">
        <v>211</v>
      </c>
      <c r="AB34" s="164">
        <v>81</v>
      </c>
      <c r="AC34" s="164">
        <v>292</v>
      </c>
    </row>
    <row r="35" spans="1:29">
      <c r="A35" s="188">
        <v>31</v>
      </c>
      <c r="B35" s="178" t="s">
        <v>692</v>
      </c>
      <c r="C35" s="164">
        <v>1</v>
      </c>
      <c r="D35" s="164">
        <v>0</v>
      </c>
      <c r="E35" s="164">
        <v>1</v>
      </c>
      <c r="F35" s="164">
        <v>0</v>
      </c>
      <c r="G35" s="164">
        <v>0</v>
      </c>
      <c r="H35" s="164">
        <v>0</v>
      </c>
      <c r="I35" s="164">
        <v>58</v>
      </c>
      <c r="J35" s="164">
        <v>11</v>
      </c>
      <c r="K35" s="164">
        <v>69</v>
      </c>
      <c r="L35" s="164">
        <v>155</v>
      </c>
      <c r="M35" s="164">
        <v>49</v>
      </c>
      <c r="N35" s="164">
        <v>204</v>
      </c>
      <c r="O35" s="164">
        <v>0</v>
      </c>
      <c r="P35" s="164">
        <v>0</v>
      </c>
      <c r="Q35" s="164">
        <v>0</v>
      </c>
      <c r="R35" s="164">
        <v>1</v>
      </c>
      <c r="S35" s="164">
        <v>0</v>
      </c>
      <c r="T35" s="164">
        <v>1</v>
      </c>
      <c r="U35" s="164">
        <v>0</v>
      </c>
      <c r="V35" s="164">
        <v>0</v>
      </c>
      <c r="W35" s="164">
        <v>0</v>
      </c>
      <c r="X35" s="164">
        <v>5</v>
      </c>
      <c r="Y35" s="164">
        <v>6</v>
      </c>
      <c r="Z35" s="164">
        <v>11</v>
      </c>
      <c r="AA35" s="164">
        <v>220</v>
      </c>
      <c r="AB35" s="164">
        <v>66</v>
      </c>
      <c r="AC35" s="164">
        <v>286</v>
      </c>
    </row>
    <row r="36" spans="1:29">
      <c r="A36" s="188">
        <v>32</v>
      </c>
      <c r="B36" s="178" t="s">
        <v>665</v>
      </c>
      <c r="C36" s="164">
        <v>20</v>
      </c>
      <c r="D36" s="164">
        <v>4</v>
      </c>
      <c r="E36" s="164">
        <v>24</v>
      </c>
      <c r="F36" s="164">
        <v>0</v>
      </c>
      <c r="G36" s="164">
        <v>0</v>
      </c>
      <c r="H36" s="164">
        <v>0</v>
      </c>
      <c r="I36" s="164">
        <v>63</v>
      </c>
      <c r="J36" s="164">
        <v>16</v>
      </c>
      <c r="K36" s="164">
        <v>79</v>
      </c>
      <c r="L36" s="164">
        <v>130</v>
      </c>
      <c r="M36" s="164">
        <v>37</v>
      </c>
      <c r="N36" s="164">
        <v>167</v>
      </c>
      <c r="O36" s="164">
        <v>1</v>
      </c>
      <c r="P36" s="164">
        <v>0</v>
      </c>
      <c r="Q36" s="164">
        <v>1</v>
      </c>
      <c r="R36" s="164">
        <v>1</v>
      </c>
      <c r="S36" s="164">
        <v>1</v>
      </c>
      <c r="T36" s="164">
        <v>2</v>
      </c>
      <c r="U36" s="164">
        <v>0</v>
      </c>
      <c r="V36" s="164">
        <v>0</v>
      </c>
      <c r="W36" s="164">
        <v>0</v>
      </c>
      <c r="X36" s="164">
        <v>3</v>
      </c>
      <c r="Y36" s="164">
        <v>6</v>
      </c>
      <c r="Z36" s="164">
        <v>9</v>
      </c>
      <c r="AA36" s="164">
        <v>218</v>
      </c>
      <c r="AB36" s="164">
        <v>64</v>
      </c>
      <c r="AC36" s="164">
        <v>282</v>
      </c>
    </row>
    <row r="37" spans="1:29">
      <c r="A37" s="188">
        <v>33</v>
      </c>
      <c r="B37" s="178" t="s">
        <v>670</v>
      </c>
      <c r="C37" s="164">
        <v>7</v>
      </c>
      <c r="D37" s="164">
        <v>7</v>
      </c>
      <c r="E37" s="164">
        <v>14</v>
      </c>
      <c r="F37" s="164">
        <v>0</v>
      </c>
      <c r="G37" s="164">
        <v>0</v>
      </c>
      <c r="H37" s="164">
        <v>0</v>
      </c>
      <c r="I37" s="164">
        <v>26</v>
      </c>
      <c r="J37" s="164">
        <v>27</v>
      </c>
      <c r="K37" s="164">
        <v>53</v>
      </c>
      <c r="L37" s="164">
        <v>118</v>
      </c>
      <c r="M37" s="164">
        <v>77</v>
      </c>
      <c r="N37" s="164">
        <v>195</v>
      </c>
      <c r="O37" s="164">
        <v>0</v>
      </c>
      <c r="P37" s="164">
        <v>0</v>
      </c>
      <c r="Q37" s="164">
        <v>0</v>
      </c>
      <c r="R37" s="164">
        <v>0</v>
      </c>
      <c r="S37" s="164">
        <v>0</v>
      </c>
      <c r="T37" s="164">
        <v>0</v>
      </c>
      <c r="U37" s="164">
        <v>0</v>
      </c>
      <c r="V37" s="164">
        <v>0</v>
      </c>
      <c r="W37" s="164">
        <v>0</v>
      </c>
      <c r="X37" s="164">
        <v>3</v>
      </c>
      <c r="Y37" s="164">
        <v>0</v>
      </c>
      <c r="Z37" s="164">
        <v>3</v>
      </c>
      <c r="AA37" s="164">
        <v>154</v>
      </c>
      <c r="AB37" s="164">
        <v>111</v>
      </c>
      <c r="AC37" s="164">
        <v>265</v>
      </c>
    </row>
    <row r="38" spans="1:29">
      <c r="A38" s="188">
        <v>34</v>
      </c>
      <c r="B38" s="178" t="s">
        <v>666</v>
      </c>
      <c r="C38" s="164">
        <v>17</v>
      </c>
      <c r="D38" s="164">
        <v>13</v>
      </c>
      <c r="E38" s="164">
        <v>30</v>
      </c>
      <c r="F38" s="164">
        <v>0</v>
      </c>
      <c r="G38" s="164">
        <v>0</v>
      </c>
      <c r="H38" s="164">
        <v>0</v>
      </c>
      <c r="I38" s="164">
        <v>28</v>
      </c>
      <c r="J38" s="164">
        <v>18</v>
      </c>
      <c r="K38" s="164">
        <v>46</v>
      </c>
      <c r="L38" s="164">
        <v>88</v>
      </c>
      <c r="M38" s="164">
        <v>78</v>
      </c>
      <c r="N38" s="164">
        <v>166</v>
      </c>
      <c r="O38" s="164">
        <v>0</v>
      </c>
      <c r="P38" s="164">
        <v>0</v>
      </c>
      <c r="Q38" s="164">
        <v>0</v>
      </c>
      <c r="R38" s="164">
        <v>5</v>
      </c>
      <c r="S38" s="164">
        <v>5</v>
      </c>
      <c r="T38" s="164">
        <v>10</v>
      </c>
      <c r="U38" s="164">
        <v>0</v>
      </c>
      <c r="V38" s="164">
        <v>1</v>
      </c>
      <c r="W38" s="164">
        <v>1</v>
      </c>
      <c r="X38" s="164">
        <v>0</v>
      </c>
      <c r="Y38" s="164">
        <v>0</v>
      </c>
      <c r="Z38" s="164">
        <v>0</v>
      </c>
      <c r="AA38" s="164">
        <v>138</v>
      </c>
      <c r="AB38" s="164">
        <v>115</v>
      </c>
      <c r="AC38" s="164">
        <v>253</v>
      </c>
    </row>
    <row r="39" spans="1:29" ht="29.25" customHeight="1">
      <c r="A39" s="188">
        <v>35</v>
      </c>
      <c r="B39" s="525" t="s">
        <v>931</v>
      </c>
      <c r="C39" s="164">
        <v>4</v>
      </c>
      <c r="D39" s="164">
        <v>1</v>
      </c>
      <c r="E39" s="164">
        <v>5</v>
      </c>
      <c r="F39" s="164">
        <v>0</v>
      </c>
      <c r="G39" s="164">
        <v>0</v>
      </c>
      <c r="H39" s="164">
        <v>0</v>
      </c>
      <c r="I39" s="164">
        <v>14</v>
      </c>
      <c r="J39" s="164">
        <v>21</v>
      </c>
      <c r="K39" s="164">
        <v>35</v>
      </c>
      <c r="L39" s="164">
        <v>105</v>
      </c>
      <c r="M39" s="164">
        <v>79</v>
      </c>
      <c r="N39" s="164">
        <v>184</v>
      </c>
      <c r="O39" s="164">
        <v>0</v>
      </c>
      <c r="P39" s="164">
        <v>0</v>
      </c>
      <c r="Q39" s="164">
        <v>0</v>
      </c>
      <c r="R39" s="164">
        <v>0</v>
      </c>
      <c r="S39" s="164">
        <v>0</v>
      </c>
      <c r="T39" s="164">
        <v>0</v>
      </c>
      <c r="U39" s="164">
        <v>0</v>
      </c>
      <c r="V39" s="164">
        <v>0</v>
      </c>
      <c r="W39" s="164">
        <v>0</v>
      </c>
      <c r="X39" s="164">
        <v>12</v>
      </c>
      <c r="Y39" s="164">
        <v>16</v>
      </c>
      <c r="Z39" s="164">
        <v>28</v>
      </c>
      <c r="AA39" s="164">
        <v>135</v>
      </c>
      <c r="AB39" s="164">
        <v>117</v>
      </c>
      <c r="AC39" s="164">
        <v>252</v>
      </c>
    </row>
    <row r="40" spans="1:29">
      <c r="A40" s="188">
        <v>36</v>
      </c>
      <c r="B40" s="178" t="s">
        <v>687</v>
      </c>
      <c r="C40" s="164">
        <v>3</v>
      </c>
      <c r="D40" s="164">
        <v>0</v>
      </c>
      <c r="E40" s="164">
        <v>3</v>
      </c>
      <c r="F40" s="164">
        <v>0</v>
      </c>
      <c r="G40" s="164">
        <v>0</v>
      </c>
      <c r="H40" s="164">
        <v>0</v>
      </c>
      <c r="I40" s="164">
        <v>23</v>
      </c>
      <c r="J40" s="164">
        <v>28</v>
      </c>
      <c r="K40" s="164">
        <v>51</v>
      </c>
      <c r="L40" s="164">
        <v>92</v>
      </c>
      <c r="M40" s="164">
        <v>92</v>
      </c>
      <c r="N40" s="164">
        <v>184</v>
      </c>
      <c r="O40" s="164">
        <v>0</v>
      </c>
      <c r="P40" s="164">
        <v>0</v>
      </c>
      <c r="Q40" s="164">
        <v>0</v>
      </c>
      <c r="R40" s="164">
        <v>0</v>
      </c>
      <c r="S40" s="164">
        <v>0</v>
      </c>
      <c r="T40" s="164">
        <v>0</v>
      </c>
      <c r="U40" s="164">
        <v>0</v>
      </c>
      <c r="V40" s="164">
        <v>0</v>
      </c>
      <c r="W40" s="164">
        <v>0</v>
      </c>
      <c r="X40" s="164">
        <v>1</v>
      </c>
      <c r="Y40" s="164">
        <v>8</v>
      </c>
      <c r="Z40" s="164">
        <v>9</v>
      </c>
      <c r="AA40" s="164">
        <v>119</v>
      </c>
      <c r="AB40" s="164">
        <v>128</v>
      </c>
      <c r="AC40" s="164">
        <v>247</v>
      </c>
    </row>
    <row r="41" spans="1:29">
      <c r="A41" s="188">
        <v>37</v>
      </c>
      <c r="B41" s="178" t="s">
        <v>662</v>
      </c>
      <c r="C41" s="164">
        <v>2</v>
      </c>
      <c r="D41" s="164">
        <v>1</v>
      </c>
      <c r="E41" s="164">
        <v>3</v>
      </c>
      <c r="F41" s="164">
        <v>0</v>
      </c>
      <c r="G41" s="164">
        <v>0</v>
      </c>
      <c r="H41" s="164">
        <v>0</v>
      </c>
      <c r="I41" s="164">
        <v>12</v>
      </c>
      <c r="J41" s="164">
        <v>13</v>
      </c>
      <c r="K41" s="164">
        <v>25</v>
      </c>
      <c r="L41" s="164">
        <v>82</v>
      </c>
      <c r="M41" s="164">
        <v>113</v>
      </c>
      <c r="N41" s="164">
        <v>195</v>
      </c>
      <c r="O41" s="164">
        <v>0</v>
      </c>
      <c r="P41" s="164">
        <v>0</v>
      </c>
      <c r="Q41" s="164">
        <v>0</v>
      </c>
      <c r="R41" s="164">
        <v>0</v>
      </c>
      <c r="S41" s="164">
        <v>0</v>
      </c>
      <c r="T41" s="164">
        <v>0</v>
      </c>
      <c r="U41" s="164">
        <v>0</v>
      </c>
      <c r="V41" s="164">
        <v>0</v>
      </c>
      <c r="W41" s="164">
        <v>0</v>
      </c>
      <c r="X41" s="164">
        <v>0</v>
      </c>
      <c r="Y41" s="164">
        <v>1</v>
      </c>
      <c r="Z41" s="164">
        <v>1</v>
      </c>
      <c r="AA41" s="164">
        <v>96</v>
      </c>
      <c r="AB41" s="164">
        <v>128</v>
      </c>
      <c r="AC41" s="164">
        <v>224</v>
      </c>
    </row>
    <row r="42" spans="1:29">
      <c r="A42" s="188">
        <v>38</v>
      </c>
      <c r="B42" s="178" t="s">
        <v>671</v>
      </c>
      <c r="C42" s="164">
        <v>0</v>
      </c>
      <c r="D42" s="164">
        <v>0</v>
      </c>
      <c r="E42" s="164">
        <v>0</v>
      </c>
      <c r="F42" s="164">
        <v>0</v>
      </c>
      <c r="G42" s="164">
        <v>0</v>
      </c>
      <c r="H42" s="164">
        <v>0</v>
      </c>
      <c r="I42" s="164">
        <v>15</v>
      </c>
      <c r="J42" s="164">
        <v>9</v>
      </c>
      <c r="K42" s="164">
        <v>24</v>
      </c>
      <c r="L42" s="164">
        <v>138</v>
      </c>
      <c r="M42" s="164">
        <v>51</v>
      </c>
      <c r="N42" s="164">
        <v>189</v>
      </c>
      <c r="O42" s="164">
        <v>0</v>
      </c>
      <c r="P42" s="164">
        <v>0</v>
      </c>
      <c r="Q42" s="164">
        <v>0</v>
      </c>
      <c r="R42" s="164">
        <v>0</v>
      </c>
      <c r="S42" s="164">
        <v>0</v>
      </c>
      <c r="T42" s="164">
        <v>0</v>
      </c>
      <c r="U42" s="164">
        <v>2</v>
      </c>
      <c r="V42" s="164">
        <v>3</v>
      </c>
      <c r="W42" s="164">
        <v>5</v>
      </c>
      <c r="X42" s="164">
        <v>1</v>
      </c>
      <c r="Y42" s="164">
        <v>0</v>
      </c>
      <c r="Z42" s="164">
        <v>1</v>
      </c>
      <c r="AA42" s="164">
        <v>156</v>
      </c>
      <c r="AB42" s="164">
        <v>63</v>
      </c>
      <c r="AC42" s="164">
        <v>219</v>
      </c>
    </row>
    <row r="43" spans="1:29">
      <c r="A43" s="188">
        <v>39</v>
      </c>
      <c r="B43" s="178" t="s">
        <v>729</v>
      </c>
      <c r="C43" s="164">
        <v>0</v>
      </c>
      <c r="D43" s="164">
        <v>0</v>
      </c>
      <c r="E43" s="164">
        <v>0</v>
      </c>
      <c r="F43" s="164">
        <v>0</v>
      </c>
      <c r="G43" s="164">
        <v>0</v>
      </c>
      <c r="H43" s="164">
        <v>0</v>
      </c>
      <c r="I43" s="164">
        <v>0</v>
      </c>
      <c r="J43" s="164">
        <v>0</v>
      </c>
      <c r="K43" s="164">
        <v>0</v>
      </c>
      <c r="L43" s="164">
        <v>65</v>
      </c>
      <c r="M43" s="164">
        <v>52</v>
      </c>
      <c r="N43" s="164">
        <v>117</v>
      </c>
      <c r="O43" s="164">
        <v>12</v>
      </c>
      <c r="P43" s="164">
        <v>4</v>
      </c>
      <c r="Q43" s="164">
        <v>16</v>
      </c>
      <c r="R43" s="164">
        <v>0</v>
      </c>
      <c r="S43" s="164">
        <v>0</v>
      </c>
      <c r="T43" s="164">
        <v>0</v>
      </c>
      <c r="U43" s="164">
        <v>0</v>
      </c>
      <c r="V43" s="164">
        <v>0</v>
      </c>
      <c r="W43" s="164">
        <v>0</v>
      </c>
      <c r="X43" s="164">
        <v>45</v>
      </c>
      <c r="Y43" s="164">
        <v>38</v>
      </c>
      <c r="Z43" s="164">
        <v>83</v>
      </c>
      <c r="AA43" s="164">
        <v>122</v>
      </c>
      <c r="AB43" s="164">
        <v>94</v>
      </c>
      <c r="AC43" s="164">
        <v>216</v>
      </c>
    </row>
    <row r="44" spans="1:29">
      <c r="A44" s="188">
        <v>40</v>
      </c>
      <c r="B44" s="178" t="s">
        <v>650</v>
      </c>
      <c r="C44" s="164">
        <v>4</v>
      </c>
      <c r="D44" s="164">
        <v>2</v>
      </c>
      <c r="E44" s="164">
        <v>6</v>
      </c>
      <c r="F44" s="164">
        <v>0</v>
      </c>
      <c r="G44" s="164">
        <v>0</v>
      </c>
      <c r="H44" s="164">
        <v>0</v>
      </c>
      <c r="I44" s="164">
        <v>9</v>
      </c>
      <c r="J44" s="164">
        <v>15</v>
      </c>
      <c r="K44" s="164">
        <v>24</v>
      </c>
      <c r="L44" s="164">
        <v>72</v>
      </c>
      <c r="M44" s="164">
        <v>65</v>
      </c>
      <c r="N44" s="164">
        <v>137</v>
      </c>
      <c r="O44" s="164">
        <v>1</v>
      </c>
      <c r="P44" s="164">
        <v>0</v>
      </c>
      <c r="Q44" s="164">
        <v>1</v>
      </c>
      <c r="R44" s="164">
        <v>0</v>
      </c>
      <c r="S44" s="164">
        <v>0</v>
      </c>
      <c r="T44" s="164">
        <v>0</v>
      </c>
      <c r="U44" s="164">
        <v>0</v>
      </c>
      <c r="V44" s="164">
        <v>0</v>
      </c>
      <c r="W44" s="164">
        <v>0</v>
      </c>
      <c r="X44" s="164">
        <v>20</v>
      </c>
      <c r="Y44" s="164">
        <v>15</v>
      </c>
      <c r="Z44" s="164">
        <v>35</v>
      </c>
      <c r="AA44" s="164">
        <v>106</v>
      </c>
      <c r="AB44" s="164">
        <v>97</v>
      </c>
      <c r="AC44" s="164">
        <v>203</v>
      </c>
    </row>
    <row r="45" spans="1:29">
      <c r="A45" s="188">
        <v>41</v>
      </c>
      <c r="B45" s="178" t="s">
        <v>677</v>
      </c>
      <c r="C45" s="164">
        <v>0</v>
      </c>
      <c r="D45" s="164">
        <v>0</v>
      </c>
      <c r="E45" s="164">
        <v>0</v>
      </c>
      <c r="F45" s="164">
        <v>0</v>
      </c>
      <c r="G45" s="164">
        <v>0</v>
      </c>
      <c r="H45" s="164">
        <v>0</v>
      </c>
      <c r="I45" s="164">
        <v>28</v>
      </c>
      <c r="J45" s="164">
        <v>12</v>
      </c>
      <c r="K45" s="164">
        <v>40</v>
      </c>
      <c r="L45" s="164">
        <v>107</v>
      </c>
      <c r="M45" s="164">
        <v>45</v>
      </c>
      <c r="N45" s="164">
        <v>152</v>
      </c>
      <c r="O45" s="164">
        <v>0</v>
      </c>
      <c r="P45" s="164">
        <v>1</v>
      </c>
      <c r="Q45" s="164">
        <v>1</v>
      </c>
      <c r="R45" s="164">
        <v>0</v>
      </c>
      <c r="S45" s="164">
        <v>0</v>
      </c>
      <c r="T45" s="164">
        <v>0</v>
      </c>
      <c r="U45" s="164">
        <v>0</v>
      </c>
      <c r="V45" s="164">
        <v>0</v>
      </c>
      <c r="W45" s="164">
        <v>0</v>
      </c>
      <c r="X45" s="164">
        <v>2</v>
      </c>
      <c r="Y45" s="164">
        <v>0</v>
      </c>
      <c r="Z45" s="164">
        <v>2</v>
      </c>
      <c r="AA45" s="164">
        <v>137</v>
      </c>
      <c r="AB45" s="164">
        <v>58</v>
      </c>
      <c r="AC45" s="164">
        <v>195</v>
      </c>
    </row>
    <row r="46" spans="1:29">
      <c r="A46" s="188">
        <v>42</v>
      </c>
      <c r="B46" s="178" t="s">
        <v>932</v>
      </c>
      <c r="C46" s="164">
        <v>2</v>
      </c>
      <c r="D46" s="164">
        <v>0</v>
      </c>
      <c r="E46" s="164">
        <v>2</v>
      </c>
      <c r="F46" s="164">
        <v>0</v>
      </c>
      <c r="G46" s="164">
        <v>0</v>
      </c>
      <c r="H46" s="164">
        <v>0</v>
      </c>
      <c r="I46" s="164">
        <v>29</v>
      </c>
      <c r="J46" s="164">
        <v>3</v>
      </c>
      <c r="K46" s="164">
        <v>32</v>
      </c>
      <c r="L46" s="164">
        <v>143</v>
      </c>
      <c r="M46" s="164">
        <v>12</v>
      </c>
      <c r="N46" s="164">
        <v>155</v>
      </c>
      <c r="O46" s="164">
        <v>0</v>
      </c>
      <c r="P46" s="164">
        <v>0</v>
      </c>
      <c r="Q46" s="164">
        <v>0</v>
      </c>
      <c r="R46" s="164">
        <v>0</v>
      </c>
      <c r="S46" s="164">
        <v>0</v>
      </c>
      <c r="T46" s="164">
        <v>0</v>
      </c>
      <c r="U46" s="164">
        <v>0</v>
      </c>
      <c r="V46" s="164">
        <v>0</v>
      </c>
      <c r="W46" s="164">
        <v>0</v>
      </c>
      <c r="X46" s="164">
        <v>1</v>
      </c>
      <c r="Y46" s="164">
        <v>3</v>
      </c>
      <c r="Z46" s="164">
        <v>4</v>
      </c>
      <c r="AA46" s="164">
        <v>175</v>
      </c>
      <c r="AB46" s="164">
        <v>18</v>
      </c>
      <c r="AC46" s="164">
        <v>193</v>
      </c>
    </row>
    <row r="47" spans="1:29">
      <c r="A47" s="188">
        <v>43</v>
      </c>
      <c r="B47" s="178" t="s">
        <v>685</v>
      </c>
      <c r="C47" s="164">
        <v>0</v>
      </c>
      <c r="D47" s="164">
        <v>0</v>
      </c>
      <c r="E47" s="164">
        <v>0</v>
      </c>
      <c r="F47" s="164">
        <v>0</v>
      </c>
      <c r="G47" s="164">
        <v>0</v>
      </c>
      <c r="H47" s="164">
        <v>0</v>
      </c>
      <c r="I47" s="164">
        <v>14</v>
      </c>
      <c r="J47" s="164">
        <v>2</v>
      </c>
      <c r="K47" s="164">
        <v>16</v>
      </c>
      <c r="L47" s="164">
        <v>129</v>
      </c>
      <c r="M47" s="164">
        <v>38</v>
      </c>
      <c r="N47" s="164">
        <v>167</v>
      </c>
      <c r="O47" s="164">
        <v>0</v>
      </c>
      <c r="P47" s="164">
        <v>0</v>
      </c>
      <c r="Q47" s="164">
        <v>0</v>
      </c>
      <c r="R47" s="164">
        <v>1</v>
      </c>
      <c r="S47" s="164">
        <v>0</v>
      </c>
      <c r="T47" s="164">
        <v>1</v>
      </c>
      <c r="U47" s="164">
        <v>0</v>
      </c>
      <c r="V47" s="164">
        <v>0</v>
      </c>
      <c r="W47" s="164">
        <v>0</v>
      </c>
      <c r="X47" s="164">
        <v>0</v>
      </c>
      <c r="Y47" s="164">
        <v>1</v>
      </c>
      <c r="Z47" s="164">
        <v>1</v>
      </c>
      <c r="AA47" s="164">
        <v>144</v>
      </c>
      <c r="AB47" s="164">
        <v>41</v>
      </c>
      <c r="AC47" s="164">
        <v>185</v>
      </c>
    </row>
    <row r="48" spans="1:29">
      <c r="A48" s="188">
        <v>44</v>
      </c>
      <c r="B48" s="178" t="s">
        <v>933</v>
      </c>
      <c r="C48" s="164">
        <v>0</v>
      </c>
      <c r="D48" s="164">
        <v>0</v>
      </c>
      <c r="E48" s="164">
        <v>0</v>
      </c>
      <c r="F48" s="164">
        <v>0</v>
      </c>
      <c r="G48" s="164">
        <v>0</v>
      </c>
      <c r="H48" s="164">
        <v>0</v>
      </c>
      <c r="I48" s="164">
        <v>23</v>
      </c>
      <c r="J48" s="164">
        <v>7</v>
      </c>
      <c r="K48" s="164">
        <v>30</v>
      </c>
      <c r="L48" s="164">
        <v>93</v>
      </c>
      <c r="M48" s="164">
        <v>37</v>
      </c>
      <c r="N48" s="164">
        <v>130</v>
      </c>
      <c r="O48" s="164">
        <v>0</v>
      </c>
      <c r="P48" s="164">
        <v>0</v>
      </c>
      <c r="Q48" s="164">
        <v>0</v>
      </c>
      <c r="R48" s="164">
        <v>1</v>
      </c>
      <c r="S48" s="164">
        <v>0</v>
      </c>
      <c r="T48" s="164">
        <v>1</v>
      </c>
      <c r="U48" s="164">
        <v>2</v>
      </c>
      <c r="V48" s="164">
        <v>0</v>
      </c>
      <c r="W48" s="164">
        <v>2</v>
      </c>
      <c r="X48" s="164">
        <v>0</v>
      </c>
      <c r="Y48" s="164">
        <v>0</v>
      </c>
      <c r="Z48" s="164">
        <v>0</v>
      </c>
      <c r="AA48" s="164">
        <v>119</v>
      </c>
      <c r="AB48" s="164">
        <v>44</v>
      </c>
      <c r="AC48" s="164">
        <v>163</v>
      </c>
    </row>
    <row r="49" spans="1:29">
      <c r="A49" s="188">
        <v>45</v>
      </c>
      <c r="B49" s="178" t="s">
        <v>684</v>
      </c>
      <c r="C49" s="164">
        <v>0</v>
      </c>
      <c r="D49" s="164">
        <v>0</v>
      </c>
      <c r="E49" s="164">
        <v>0</v>
      </c>
      <c r="F49" s="164">
        <v>0</v>
      </c>
      <c r="G49" s="164">
        <v>0</v>
      </c>
      <c r="H49" s="164">
        <v>0</v>
      </c>
      <c r="I49" s="164">
        <v>3</v>
      </c>
      <c r="J49" s="164">
        <v>3</v>
      </c>
      <c r="K49" s="164">
        <v>6</v>
      </c>
      <c r="L49" s="164">
        <v>120</v>
      </c>
      <c r="M49" s="164">
        <v>23</v>
      </c>
      <c r="N49" s="164">
        <v>143</v>
      </c>
      <c r="O49" s="164">
        <v>0</v>
      </c>
      <c r="P49" s="164">
        <v>0</v>
      </c>
      <c r="Q49" s="164">
        <v>0</v>
      </c>
      <c r="R49" s="164">
        <v>0</v>
      </c>
      <c r="S49" s="164">
        <v>0</v>
      </c>
      <c r="T49" s="164">
        <v>0</v>
      </c>
      <c r="U49" s="164">
        <v>0</v>
      </c>
      <c r="V49" s="164">
        <v>0</v>
      </c>
      <c r="W49" s="164">
        <v>0</v>
      </c>
      <c r="X49" s="164">
        <v>0</v>
      </c>
      <c r="Y49" s="164">
        <v>0</v>
      </c>
      <c r="Z49" s="164">
        <v>0</v>
      </c>
      <c r="AA49" s="164">
        <v>123</v>
      </c>
      <c r="AB49" s="164">
        <v>26</v>
      </c>
      <c r="AC49" s="164">
        <v>149</v>
      </c>
    </row>
    <row r="50" spans="1:29">
      <c r="A50" s="188">
        <v>46</v>
      </c>
      <c r="B50" s="178" t="s">
        <v>675</v>
      </c>
      <c r="C50" s="164">
        <v>0</v>
      </c>
      <c r="D50" s="164">
        <v>0</v>
      </c>
      <c r="E50" s="164">
        <v>0</v>
      </c>
      <c r="F50" s="164">
        <v>0</v>
      </c>
      <c r="G50" s="164">
        <v>0</v>
      </c>
      <c r="H50" s="164">
        <v>0</v>
      </c>
      <c r="I50" s="164">
        <v>4</v>
      </c>
      <c r="J50" s="164">
        <v>13</v>
      </c>
      <c r="K50" s="164">
        <v>17</v>
      </c>
      <c r="L50" s="164">
        <v>57</v>
      </c>
      <c r="M50" s="164">
        <v>65</v>
      </c>
      <c r="N50" s="164">
        <v>122</v>
      </c>
      <c r="O50" s="164">
        <v>0</v>
      </c>
      <c r="P50" s="164">
        <v>0</v>
      </c>
      <c r="Q50" s="164">
        <v>0</v>
      </c>
      <c r="R50" s="164">
        <v>0</v>
      </c>
      <c r="S50" s="164">
        <v>5</v>
      </c>
      <c r="T50" s="164">
        <v>5</v>
      </c>
      <c r="U50" s="164">
        <v>0</v>
      </c>
      <c r="V50" s="164">
        <v>2</v>
      </c>
      <c r="W50" s="164">
        <v>2</v>
      </c>
      <c r="X50" s="164">
        <v>0</v>
      </c>
      <c r="Y50" s="164">
        <v>1</v>
      </c>
      <c r="Z50" s="164">
        <v>1</v>
      </c>
      <c r="AA50" s="164">
        <v>61</v>
      </c>
      <c r="AB50" s="164">
        <v>86</v>
      </c>
      <c r="AC50" s="164">
        <v>147</v>
      </c>
    </row>
    <row r="51" spans="1:29">
      <c r="A51" s="188">
        <v>47</v>
      </c>
      <c r="B51" s="178" t="s">
        <v>669</v>
      </c>
      <c r="C51" s="164">
        <v>3</v>
      </c>
      <c r="D51" s="164">
        <v>5</v>
      </c>
      <c r="E51" s="164">
        <v>8</v>
      </c>
      <c r="F51" s="164">
        <v>0</v>
      </c>
      <c r="G51" s="164">
        <v>1</v>
      </c>
      <c r="H51" s="164">
        <v>1</v>
      </c>
      <c r="I51" s="164">
        <v>15</v>
      </c>
      <c r="J51" s="164">
        <v>24</v>
      </c>
      <c r="K51" s="164">
        <v>39</v>
      </c>
      <c r="L51" s="164">
        <v>55</v>
      </c>
      <c r="M51" s="164">
        <v>41</v>
      </c>
      <c r="N51" s="164">
        <v>96</v>
      </c>
      <c r="O51" s="164">
        <v>0</v>
      </c>
      <c r="P51" s="164">
        <v>0</v>
      </c>
      <c r="Q51" s="164">
        <v>0</v>
      </c>
      <c r="R51" s="164">
        <v>1</v>
      </c>
      <c r="S51" s="164">
        <v>0</v>
      </c>
      <c r="T51" s="164">
        <v>1</v>
      </c>
      <c r="U51" s="164">
        <v>0</v>
      </c>
      <c r="V51" s="164">
        <v>0</v>
      </c>
      <c r="W51" s="164">
        <v>0</v>
      </c>
      <c r="X51" s="164">
        <v>0</v>
      </c>
      <c r="Y51" s="164">
        <v>0</v>
      </c>
      <c r="Z51" s="164">
        <v>0</v>
      </c>
      <c r="AA51" s="164">
        <v>74</v>
      </c>
      <c r="AB51" s="164">
        <v>71</v>
      </c>
      <c r="AC51" s="164">
        <v>145</v>
      </c>
    </row>
    <row r="52" spans="1:29">
      <c r="A52" s="188">
        <v>48</v>
      </c>
      <c r="B52" s="178" t="s">
        <v>679</v>
      </c>
      <c r="C52" s="164">
        <v>3</v>
      </c>
      <c r="D52" s="164">
        <v>3</v>
      </c>
      <c r="E52" s="164">
        <v>6</v>
      </c>
      <c r="F52" s="164">
        <v>0</v>
      </c>
      <c r="G52" s="164">
        <v>0</v>
      </c>
      <c r="H52" s="164">
        <v>0</v>
      </c>
      <c r="I52" s="164">
        <v>24</v>
      </c>
      <c r="J52" s="164">
        <v>11</v>
      </c>
      <c r="K52" s="164">
        <v>35</v>
      </c>
      <c r="L52" s="164">
        <v>70</v>
      </c>
      <c r="M52" s="164">
        <v>30</v>
      </c>
      <c r="N52" s="164">
        <v>100</v>
      </c>
      <c r="O52" s="164">
        <v>0</v>
      </c>
      <c r="P52" s="164">
        <v>0</v>
      </c>
      <c r="Q52" s="164">
        <v>0</v>
      </c>
      <c r="R52" s="164">
        <v>1</v>
      </c>
      <c r="S52" s="164">
        <v>0</v>
      </c>
      <c r="T52" s="164">
        <v>1</v>
      </c>
      <c r="U52" s="164">
        <v>1</v>
      </c>
      <c r="V52" s="164">
        <v>0</v>
      </c>
      <c r="W52" s="164">
        <v>1</v>
      </c>
      <c r="X52" s="164">
        <v>0</v>
      </c>
      <c r="Y52" s="164">
        <v>0</v>
      </c>
      <c r="Z52" s="164">
        <v>0</v>
      </c>
      <c r="AA52" s="164">
        <v>99</v>
      </c>
      <c r="AB52" s="164">
        <v>44</v>
      </c>
      <c r="AC52" s="164">
        <v>143</v>
      </c>
    </row>
    <row r="53" spans="1:29">
      <c r="A53" s="188">
        <v>49</v>
      </c>
      <c r="B53" s="178" t="s">
        <v>672</v>
      </c>
      <c r="C53" s="164">
        <v>0</v>
      </c>
      <c r="D53" s="164">
        <v>0</v>
      </c>
      <c r="E53" s="164">
        <v>0</v>
      </c>
      <c r="F53" s="164">
        <v>0</v>
      </c>
      <c r="G53" s="164">
        <v>0</v>
      </c>
      <c r="H53" s="164">
        <v>0</v>
      </c>
      <c r="I53" s="164">
        <v>19</v>
      </c>
      <c r="J53" s="164">
        <v>8</v>
      </c>
      <c r="K53" s="164">
        <v>27</v>
      </c>
      <c r="L53" s="164">
        <v>78</v>
      </c>
      <c r="M53" s="164">
        <v>35</v>
      </c>
      <c r="N53" s="164">
        <v>113</v>
      </c>
      <c r="O53" s="164">
        <v>0</v>
      </c>
      <c r="P53" s="164">
        <v>0</v>
      </c>
      <c r="Q53" s="164">
        <v>0</v>
      </c>
      <c r="R53" s="164">
        <v>0</v>
      </c>
      <c r="S53" s="164">
        <v>0</v>
      </c>
      <c r="T53" s="164">
        <v>0</v>
      </c>
      <c r="U53" s="164">
        <v>0</v>
      </c>
      <c r="V53" s="164">
        <v>0</v>
      </c>
      <c r="W53" s="164">
        <v>0</v>
      </c>
      <c r="X53" s="164">
        <v>2</v>
      </c>
      <c r="Y53" s="164">
        <v>0</v>
      </c>
      <c r="Z53" s="164">
        <v>2</v>
      </c>
      <c r="AA53" s="164">
        <v>99</v>
      </c>
      <c r="AB53" s="164">
        <v>43</v>
      </c>
      <c r="AC53" s="164">
        <v>142</v>
      </c>
    </row>
    <row r="54" spans="1:29">
      <c r="A54" s="188">
        <v>50</v>
      </c>
      <c r="B54" s="178" t="s">
        <v>676</v>
      </c>
      <c r="C54" s="164">
        <v>14</v>
      </c>
      <c r="D54" s="164">
        <v>28</v>
      </c>
      <c r="E54" s="164">
        <v>42</v>
      </c>
      <c r="F54" s="164">
        <v>0</v>
      </c>
      <c r="G54" s="164">
        <v>0</v>
      </c>
      <c r="H54" s="164">
        <v>0</v>
      </c>
      <c r="I54" s="164">
        <v>20</v>
      </c>
      <c r="J54" s="164">
        <v>49</v>
      </c>
      <c r="K54" s="164">
        <v>69</v>
      </c>
      <c r="L54" s="164">
        <v>9</v>
      </c>
      <c r="M54" s="164">
        <v>13</v>
      </c>
      <c r="N54" s="164">
        <v>22</v>
      </c>
      <c r="O54" s="164">
        <v>0</v>
      </c>
      <c r="P54" s="164">
        <v>0</v>
      </c>
      <c r="Q54" s="164">
        <v>0</v>
      </c>
      <c r="R54" s="164">
        <v>0</v>
      </c>
      <c r="S54" s="164">
        <v>0</v>
      </c>
      <c r="T54" s="164">
        <v>0</v>
      </c>
      <c r="U54" s="164">
        <v>0</v>
      </c>
      <c r="V54" s="164">
        <v>0</v>
      </c>
      <c r="W54" s="164">
        <v>0</v>
      </c>
      <c r="X54" s="164">
        <v>2</v>
      </c>
      <c r="Y54" s="164">
        <v>0</v>
      </c>
      <c r="Z54" s="164">
        <v>2</v>
      </c>
      <c r="AA54" s="164">
        <v>45</v>
      </c>
      <c r="AB54" s="164">
        <v>90</v>
      </c>
      <c r="AC54" s="164">
        <v>135</v>
      </c>
    </row>
    <row r="55" spans="1:29" ht="31.5" customHeight="1">
      <c r="A55" s="188">
        <v>51</v>
      </c>
      <c r="B55" s="178" t="s">
        <v>646</v>
      </c>
      <c r="C55" s="164">
        <v>2</v>
      </c>
      <c r="D55" s="164">
        <v>0</v>
      </c>
      <c r="E55" s="164">
        <v>2</v>
      </c>
      <c r="F55" s="164">
        <v>0</v>
      </c>
      <c r="G55" s="164">
        <v>0</v>
      </c>
      <c r="H55" s="164">
        <v>0</v>
      </c>
      <c r="I55" s="164">
        <v>6</v>
      </c>
      <c r="J55" s="164">
        <v>5</v>
      </c>
      <c r="K55" s="164">
        <v>11</v>
      </c>
      <c r="L55" s="164">
        <v>60</v>
      </c>
      <c r="M55" s="164">
        <v>52</v>
      </c>
      <c r="N55" s="164">
        <v>112</v>
      </c>
      <c r="O55" s="164">
        <v>0</v>
      </c>
      <c r="P55" s="164">
        <v>0</v>
      </c>
      <c r="Q55" s="164">
        <v>0</v>
      </c>
      <c r="R55" s="164">
        <v>0</v>
      </c>
      <c r="S55" s="164">
        <v>0</v>
      </c>
      <c r="T55" s="164">
        <v>0</v>
      </c>
      <c r="U55" s="164">
        <v>0</v>
      </c>
      <c r="V55" s="164">
        <v>0</v>
      </c>
      <c r="W55" s="164">
        <v>0</v>
      </c>
      <c r="X55" s="164">
        <v>0</v>
      </c>
      <c r="Y55" s="164">
        <v>2</v>
      </c>
      <c r="Z55" s="164">
        <v>2</v>
      </c>
      <c r="AA55" s="164">
        <v>68</v>
      </c>
      <c r="AB55" s="164">
        <v>59</v>
      </c>
      <c r="AC55" s="164">
        <v>127</v>
      </c>
    </row>
    <row r="56" spans="1:29">
      <c r="A56" s="188">
        <v>52</v>
      </c>
      <c r="B56" s="178" t="s">
        <v>673</v>
      </c>
      <c r="C56" s="164">
        <v>3</v>
      </c>
      <c r="D56" s="164">
        <v>0</v>
      </c>
      <c r="E56" s="164">
        <v>3</v>
      </c>
      <c r="F56" s="164">
        <v>0</v>
      </c>
      <c r="G56" s="164">
        <v>0</v>
      </c>
      <c r="H56" s="164">
        <v>0</v>
      </c>
      <c r="I56" s="164">
        <v>22</v>
      </c>
      <c r="J56" s="164">
        <v>28</v>
      </c>
      <c r="K56" s="164">
        <v>50</v>
      </c>
      <c r="L56" s="164">
        <v>36</v>
      </c>
      <c r="M56" s="164">
        <v>31</v>
      </c>
      <c r="N56" s="164">
        <v>67</v>
      </c>
      <c r="O56" s="164">
        <v>0</v>
      </c>
      <c r="P56" s="164">
        <v>0</v>
      </c>
      <c r="Q56" s="164">
        <v>0</v>
      </c>
      <c r="R56" s="164">
        <v>0</v>
      </c>
      <c r="S56" s="164">
        <v>0</v>
      </c>
      <c r="T56" s="164">
        <v>0</v>
      </c>
      <c r="U56" s="164">
        <v>0</v>
      </c>
      <c r="V56" s="164">
        <v>0</v>
      </c>
      <c r="W56" s="164">
        <v>0</v>
      </c>
      <c r="X56" s="164">
        <v>1</v>
      </c>
      <c r="Y56" s="164">
        <v>0</v>
      </c>
      <c r="Z56" s="164">
        <v>1</v>
      </c>
      <c r="AA56" s="164">
        <v>62</v>
      </c>
      <c r="AB56" s="164">
        <v>59</v>
      </c>
      <c r="AC56" s="164">
        <v>121</v>
      </c>
    </row>
    <row r="57" spans="1:29">
      <c r="A57" s="188">
        <v>53</v>
      </c>
      <c r="B57" s="178" t="s">
        <v>934</v>
      </c>
      <c r="C57" s="164">
        <v>2</v>
      </c>
      <c r="D57" s="164">
        <v>3</v>
      </c>
      <c r="E57" s="164">
        <v>5</v>
      </c>
      <c r="F57" s="164">
        <v>0</v>
      </c>
      <c r="G57" s="164">
        <v>0</v>
      </c>
      <c r="H57" s="164">
        <v>0</v>
      </c>
      <c r="I57" s="164">
        <v>9</v>
      </c>
      <c r="J57" s="164">
        <v>3</v>
      </c>
      <c r="K57" s="164">
        <v>12</v>
      </c>
      <c r="L57" s="164">
        <v>57</v>
      </c>
      <c r="M57" s="164">
        <v>37</v>
      </c>
      <c r="N57" s="164">
        <v>94</v>
      </c>
      <c r="O57" s="164">
        <v>0</v>
      </c>
      <c r="P57" s="164">
        <v>0</v>
      </c>
      <c r="Q57" s="164">
        <v>0</v>
      </c>
      <c r="R57" s="164">
        <v>0</v>
      </c>
      <c r="S57" s="164">
        <v>2</v>
      </c>
      <c r="T57" s="164">
        <v>2</v>
      </c>
      <c r="U57" s="164">
        <v>0</v>
      </c>
      <c r="V57" s="164">
        <v>0</v>
      </c>
      <c r="W57" s="164">
        <v>0</v>
      </c>
      <c r="X57" s="164">
        <v>3</v>
      </c>
      <c r="Y57" s="164">
        <v>1</v>
      </c>
      <c r="Z57" s="164">
        <v>4</v>
      </c>
      <c r="AA57" s="164">
        <v>71</v>
      </c>
      <c r="AB57" s="164">
        <v>46</v>
      </c>
      <c r="AC57" s="164">
        <v>117</v>
      </c>
    </row>
    <row r="58" spans="1:29">
      <c r="A58" s="188">
        <v>54</v>
      </c>
      <c r="B58" s="178" t="s">
        <v>935</v>
      </c>
      <c r="C58" s="164">
        <v>0</v>
      </c>
      <c r="D58" s="164">
        <v>0</v>
      </c>
      <c r="E58" s="164">
        <v>0</v>
      </c>
      <c r="F58" s="164">
        <v>0</v>
      </c>
      <c r="G58" s="164">
        <v>0</v>
      </c>
      <c r="H58" s="164">
        <v>0</v>
      </c>
      <c r="I58" s="164">
        <v>0</v>
      </c>
      <c r="J58" s="164">
        <v>0</v>
      </c>
      <c r="K58" s="164">
        <v>0</v>
      </c>
      <c r="L58" s="164">
        <v>54</v>
      </c>
      <c r="M58" s="164">
        <v>45</v>
      </c>
      <c r="N58" s="164">
        <v>99</v>
      </c>
      <c r="O58" s="164">
        <v>0</v>
      </c>
      <c r="P58" s="164">
        <v>0</v>
      </c>
      <c r="Q58" s="164">
        <v>0</v>
      </c>
      <c r="R58" s="164">
        <v>0</v>
      </c>
      <c r="S58" s="164">
        <v>0</v>
      </c>
      <c r="T58" s="164">
        <v>0</v>
      </c>
      <c r="U58" s="164">
        <v>0</v>
      </c>
      <c r="V58" s="164">
        <v>0</v>
      </c>
      <c r="W58" s="164">
        <v>0</v>
      </c>
      <c r="X58" s="164">
        <v>0</v>
      </c>
      <c r="Y58" s="164">
        <v>0</v>
      </c>
      <c r="Z58" s="164">
        <v>0</v>
      </c>
      <c r="AA58" s="164">
        <v>54</v>
      </c>
      <c r="AB58" s="164">
        <v>45</v>
      </c>
      <c r="AC58" s="164">
        <v>99</v>
      </c>
    </row>
    <row r="59" spans="1:29">
      <c r="A59" s="188">
        <v>55</v>
      </c>
      <c r="B59" s="178" t="s">
        <v>686</v>
      </c>
      <c r="C59" s="164">
        <v>1</v>
      </c>
      <c r="D59" s="164">
        <v>1</v>
      </c>
      <c r="E59" s="164">
        <v>2</v>
      </c>
      <c r="F59" s="164">
        <v>0</v>
      </c>
      <c r="G59" s="164">
        <v>0</v>
      </c>
      <c r="H59" s="164">
        <v>0</v>
      </c>
      <c r="I59" s="164">
        <v>12</v>
      </c>
      <c r="J59" s="164">
        <v>13</v>
      </c>
      <c r="K59" s="164">
        <v>25</v>
      </c>
      <c r="L59" s="164">
        <v>22</v>
      </c>
      <c r="M59" s="164">
        <v>35</v>
      </c>
      <c r="N59" s="164">
        <v>57</v>
      </c>
      <c r="O59" s="164">
        <v>0</v>
      </c>
      <c r="P59" s="164">
        <v>0</v>
      </c>
      <c r="Q59" s="164">
        <v>0</v>
      </c>
      <c r="R59" s="164">
        <v>1</v>
      </c>
      <c r="S59" s="164">
        <v>1</v>
      </c>
      <c r="T59" s="164">
        <v>2</v>
      </c>
      <c r="U59" s="164">
        <v>0</v>
      </c>
      <c r="V59" s="164">
        <v>0</v>
      </c>
      <c r="W59" s="164">
        <v>0</v>
      </c>
      <c r="X59" s="164">
        <v>3</v>
      </c>
      <c r="Y59" s="164">
        <v>1</v>
      </c>
      <c r="Z59" s="164">
        <v>4</v>
      </c>
      <c r="AA59" s="164">
        <v>39</v>
      </c>
      <c r="AB59" s="164">
        <v>51</v>
      </c>
      <c r="AC59" s="164">
        <v>90</v>
      </c>
    </row>
    <row r="60" spans="1:29">
      <c r="A60" s="188">
        <v>56</v>
      </c>
      <c r="B60" s="178" t="s">
        <v>683</v>
      </c>
      <c r="C60" s="164">
        <v>5</v>
      </c>
      <c r="D60" s="164">
        <v>2</v>
      </c>
      <c r="E60" s="164">
        <v>7</v>
      </c>
      <c r="F60" s="164">
        <v>0</v>
      </c>
      <c r="G60" s="164">
        <v>0</v>
      </c>
      <c r="H60" s="164">
        <v>0</v>
      </c>
      <c r="I60" s="164">
        <v>8</v>
      </c>
      <c r="J60" s="164">
        <v>7</v>
      </c>
      <c r="K60" s="164">
        <v>15</v>
      </c>
      <c r="L60" s="164">
        <v>24</v>
      </c>
      <c r="M60" s="164">
        <v>37</v>
      </c>
      <c r="N60" s="164">
        <v>61</v>
      </c>
      <c r="O60" s="164">
        <v>0</v>
      </c>
      <c r="P60" s="164">
        <v>1</v>
      </c>
      <c r="Q60" s="164">
        <v>1</v>
      </c>
      <c r="R60" s="164">
        <v>1</v>
      </c>
      <c r="S60" s="164">
        <v>0</v>
      </c>
      <c r="T60" s="164">
        <v>1</v>
      </c>
      <c r="U60" s="164">
        <v>0</v>
      </c>
      <c r="V60" s="164">
        <v>0</v>
      </c>
      <c r="W60" s="164">
        <v>0</v>
      </c>
      <c r="X60" s="164">
        <v>1</v>
      </c>
      <c r="Y60" s="164">
        <v>3</v>
      </c>
      <c r="Z60" s="164">
        <v>4</v>
      </c>
      <c r="AA60" s="164">
        <v>39</v>
      </c>
      <c r="AB60" s="164">
        <v>50</v>
      </c>
      <c r="AC60" s="164">
        <v>89</v>
      </c>
    </row>
    <row r="61" spans="1:29">
      <c r="A61" s="188">
        <v>57</v>
      </c>
      <c r="B61" s="178" t="s">
        <v>682</v>
      </c>
      <c r="C61" s="164">
        <v>4</v>
      </c>
      <c r="D61" s="164">
        <v>2</v>
      </c>
      <c r="E61" s="164">
        <v>6</v>
      </c>
      <c r="F61" s="164">
        <v>0</v>
      </c>
      <c r="G61" s="164">
        <v>0</v>
      </c>
      <c r="H61" s="164">
        <v>0</v>
      </c>
      <c r="I61" s="164">
        <v>10</v>
      </c>
      <c r="J61" s="164">
        <v>3</v>
      </c>
      <c r="K61" s="164">
        <v>13</v>
      </c>
      <c r="L61" s="164">
        <v>51</v>
      </c>
      <c r="M61" s="164">
        <v>16</v>
      </c>
      <c r="N61" s="164">
        <v>67</v>
      </c>
      <c r="O61" s="164">
        <v>0</v>
      </c>
      <c r="P61" s="164">
        <v>0</v>
      </c>
      <c r="Q61" s="164">
        <v>0</v>
      </c>
      <c r="R61" s="164">
        <v>0</v>
      </c>
      <c r="S61" s="164">
        <v>0</v>
      </c>
      <c r="T61" s="164">
        <v>0</v>
      </c>
      <c r="U61" s="164">
        <v>1</v>
      </c>
      <c r="V61" s="164">
        <v>1</v>
      </c>
      <c r="W61" s="164">
        <v>2</v>
      </c>
      <c r="X61" s="164">
        <v>1</v>
      </c>
      <c r="Y61" s="164">
        <v>0</v>
      </c>
      <c r="Z61" s="164">
        <v>1</v>
      </c>
      <c r="AA61" s="164">
        <v>67</v>
      </c>
      <c r="AB61" s="164">
        <v>22</v>
      </c>
      <c r="AC61" s="164">
        <v>89</v>
      </c>
    </row>
    <row r="62" spans="1:29">
      <c r="A62" s="188">
        <v>58</v>
      </c>
      <c r="B62" s="178" t="s">
        <v>701</v>
      </c>
      <c r="C62" s="164">
        <v>3</v>
      </c>
      <c r="D62" s="164">
        <v>4</v>
      </c>
      <c r="E62" s="164">
        <v>7</v>
      </c>
      <c r="F62" s="164">
        <v>0</v>
      </c>
      <c r="G62" s="164">
        <v>0</v>
      </c>
      <c r="H62" s="164">
        <v>0</v>
      </c>
      <c r="I62" s="164">
        <v>10</v>
      </c>
      <c r="J62" s="164">
        <v>21</v>
      </c>
      <c r="K62" s="164">
        <v>31</v>
      </c>
      <c r="L62" s="164">
        <v>23</v>
      </c>
      <c r="M62" s="164">
        <v>25</v>
      </c>
      <c r="N62" s="164">
        <v>48</v>
      </c>
      <c r="O62" s="164">
        <v>0</v>
      </c>
      <c r="P62" s="164">
        <v>0</v>
      </c>
      <c r="Q62" s="164">
        <v>0</v>
      </c>
      <c r="R62" s="164">
        <v>0</v>
      </c>
      <c r="S62" s="164">
        <v>0</v>
      </c>
      <c r="T62" s="164">
        <v>0</v>
      </c>
      <c r="U62" s="164">
        <v>0</v>
      </c>
      <c r="V62" s="164">
        <v>0</v>
      </c>
      <c r="W62" s="164">
        <v>0</v>
      </c>
      <c r="X62" s="164">
        <v>0</v>
      </c>
      <c r="Y62" s="164">
        <v>1</v>
      </c>
      <c r="Z62" s="164">
        <v>1</v>
      </c>
      <c r="AA62" s="164">
        <v>36</v>
      </c>
      <c r="AB62" s="164">
        <v>51</v>
      </c>
      <c r="AC62" s="164">
        <v>87</v>
      </c>
    </row>
    <row r="63" spans="1:29">
      <c r="A63" s="188">
        <v>59</v>
      </c>
      <c r="B63" s="178" t="s">
        <v>728</v>
      </c>
      <c r="C63" s="164">
        <v>0</v>
      </c>
      <c r="D63" s="164">
        <v>0</v>
      </c>
      <c r="E63" s="164">
        <v>0</v>
      </c>
      <c r="F63" s="164">
        <v>0</v>
      </c>
      <c r="G63" s="164">
        <v>0</v>
      </c>
      <c r="H63" s="164">
        <v>0</v>
      </c>
      <c r="I63" s="164">
        <v>9</v>
      </c>
      <c r="J63" s="164">
        <v>6</v>
      </c>
      <c r="K63" s="164">
        <v>15</v>
      </c>
      <c r="L63" s="164">
        <v>34</v>
      </c>
      <c r="M63" s="164">
        <v>25</v>
      </c>
      <c r="N63" s="164">
        <v>59</v>
      </c>
      <c r="O63" s="164">
        <v>0</v>
      </c>
      <c r="P63" s="164">
        <v>0</v>
      </c>
      <c r="Q63" s="164">
        <v>0</v>
      </c>
      <c r="R63" s="164">
        <v>0</v>
      </c>
      <c r="S63" s="164">
        <v>0</v>
      </c>
      <c r="T63" s="164">
        <v>0</v>
      </c>
      <c r="U63" s="164">
        <v>0</v>
      </c>
      <c r="V63" s="164">
        <v>0</v>
      </c>
      <c r="W63" s="164">
        <v>0</v>
      </c>
      <c r="X63" s="164">
        <v>0</v>
      </c>
      <c r="Y63" s="164">
        <v>0</v>
      </c>
      <c r="Z63" s="164">
        <v>0</v>
      </c>
      <c r="AA63" s="164">
        <v>43</v>
      </c>
      <c r="AB63" s="164">
        <v>31</v>
      </c>
      <c r="AC63" s="164">
        <v>74</v>
      </c>
    </row>
    <row r="64" spans="1:29" ht="15.75" customHeight="1">
      <c r="A64" s="188">
        <v>60</v>
      </c>
      <c r="B64" s="178" t="s">
        <v>689</v>
      </c>
      <c r="C64" s="164">
        <v>1</v>
      </c>
      <c r="D64" s="164">
        <v>0</v>
      </c>
      <c r="E64" s="164">
        <v>1</v>
      </c>
      <c r="F64" s="164">
        <v>0</v>
      </c>
      <c r="G64" s="164">
        <v>0</v>
      </c>
      <c r="H64" s="164">
        <v>0</v>
      </c>
      <c r="I64" s="164">
        <v>18</v>
      </c>
      <c r="J64" s="164">
        <v>3</v>
      </c>
      <c r="K64" s="164">
        <v>21</v>
      </c>
      <c r="L64" s="164">
        <v>34</v>
      </c>
      <c r="M64" s="164">
        <v>5</v>
      </c>
      <c r="N64" s="164">
        <v>39</v>
      </c>
      <c r="O64" s="164">
        <v>1</v>
      </c>
      <c r="P64" s="164">
        <v>0</v>
      </c>
      <c r="Q64" s="164">
        <v>1</v>
      </c>
      <c r="R64" s="164">
        <v>0</v>
      </c>
      <c r="S64" s="164">
        <v>0</v>
      </c>
      <c r="T64" s="164">
        <v>0</v>
      </c>
      <c r="U64" s="164">
        <v>0</v>
      </c>
      <c r="V64" s="164">
        <v>0</v>
      </c>
      <c r="W64" s="164">
        <v>0</v>
      </c>
      <c r="X64" s="164">
        <v>10</v>
      </c>
      <c r="Y64" s="164">
        <v>0</v>
      </c>
      <c r="Z64" s="164">
        <v>10</v>
      </c>
      <c r="AA64" s="164">
        <v>64</v>
      </c>
      <c r="AB64" s="164">
        <v>8</v>
      </c>
      <c r="AC64" s="164">
        <v>72</v>
      </c>
    </row>
    <row r="65" spans="1:29">
      <c r="A65" s="188">
        <v>61</v>
      </c>
      <c r="B65" s="178" t="s">
        <v>700</v>
      </c>
      <c r="C65" s="164">
        <v>0</v>
      </c>
      <c r="D65" s="164">
        <v>0</v>
      </c>
      <c r="E65" s="164">
        <v>0</v>
      </c>
      <c r="F65" s="164">
        <v>0</v>
      </c>
      <c r="G65" s="164">
        <v>0</v>
      </c>
      <c r="H65" s="164">
        <v>0</v>
      </c>
      <c r="I65" s="164">
        <v>9</v>
      </c>
      <c r="J65" s="164">
        <v>2</v>
      </c>
      <c r="K65" s="164">
        <v>11</v>
      </c>
      <c r="L65" s="164">
        <v>53</v>
      </c>
      <c r="M65" s="164">
        <v>2</v>
      </c>
      <c r="N65" s="164">
        <v>55</v>
      </c>
      <c r="O65" s="164">
        <v>0</v>
      </c>
      <c r="P65" s="164">
        <v>0</v>
      </c>
      <c r="Q65" s="164">
        <v>0</v>
      </c>
      <c r="R65" s="164">
        <v>0</v>
      </c>
      <c r="S65" s="164">
        <v>0</v>
      </c>
      <c r="T65" s="164">
        <v>0</v>
      </c>
      <c r="U65" s="164">
        <v>0</v>
      </c>
      <c r="V65" s="164">
        <v>1</v>
      </c>
      <c r="W65" s="164">
        <v>1</v>
      </c>
      <c r="X65" s="164">
        <v>0</v>
      </c>
      <c r="Y65" s="164">
        <v>0</v>
      </c>
      <c r="Z65" s="164">
        <v>0</v>
      </c>
      <c r="AA65" s="164">
        <v>62</v>
      </c>
      <c r="AB65" s="164">
        <v>5</v>
      </c>
      <c r="AC65" s="164">
        <v>67</v>
      </c>
    </row>
    <row r="66" spans="1:29">
      <c r="A66" s="188">
        <v>62</v>
      </c>
      <c r="B66" s="178" t="s">
        <v>680</v>
      </c>
      <c r="C66" s="164">
        <v>3</v>
      </c>
      <c r="D66" s="164">
        <v>4</v>
      </c>
      <c r="E66" s="164">
        <v>7</v>
      </c>
      <c r="F66" s="164">
        <v>0</v>
      </c>
      <c r="G66" s="164">
        <v>0</v>
      </c>
      <c r="H66" s="164">
        <v>0</v>
      </c>
      <c r="I66" s="164">
        <v>11</v>
      </c>
      <c r="J66" s="164">
        <v>6</v>
      </c>
      <c r="K66" s="164">
        <v>17</v>
      </c>
      <c r="L66" s="164">
        <v>27</v>
      </c>
      <c r="M66" s="164">
        <v>15</v>
      </c>
      <c r="N66" s="164">
        <v>42</v>
      </c>
      <c r="O66" s="164">
        <v>0</v>
      </c>
      <c r="P66" s="164">
        <v>0</v>
      </c>
      <c r="Q66" s="164">
        <v>0</v>
      </c>
      <c r="R66" s="164">
        <v>0</v>
      </c>
      <c r="S66" s="164">
        <v>0</v>
      </c>
      <c r="T66" s="164">
        <v>0</v>
      </c>
      <c r="U66" s="164">
        <v>0</v>
      </c>
      <c r="V66" s="164">
        <v>0</v>
      </c>
      <c r="W66" s="164">
        <v>0</v>
      </c>
      <c r="X66" s="164">
        <v>0</v>
      </c>
      <c r="Y66" s="164">
        <v>0</v>
      </c>
      <c r="Z66" s="164">
        <v>0</v>
      </c>
      <c r="AA66" s="164">
        <v>41</v>
      </c>
      <c r="AB66" s="164">
        <v>25</v>
      </c>
      <c r="AC66" s="164">
        <v>66</v>
      </c>
    </row>
    <row r="67" spans="1:29">
      <c r="A67" s="188">
        <v>63</v>
      </c>
      <c r="B67" s="178" t="s">
        <v>693</v>
      </c>
      <c r="C67" s="164">
        <v>0</v>
      </c>
      <c r="D67" s="164">
        <v>0</v>
      </c>
      <c r="E67" s="164">
        <v>0</v>
      </c>
      <c r="F67" s="164">
        <v>0</v>
      </c>
      <c r="G67" s="164">
        <v>0</v>
      </c>
      <c r="H67" s="164">
        <v>0</v>
      </c>
      <c r="I67" s="164">
        <v>25</v>
      </c>
      <c r="J67" s="164">
        <v>7</v>
      </c>
      <c r="K67" s="164">
        <v>32</v>
      </c>
      <c r="L67" s="164">
        <v>25</v>
      </c>
      <c r="M67" s="164">
        <v>9</v>
      </c>
      <c r="N67" s="164">
        <v>34</v>
      </c>
      <c r="O67" s="164">
        <v>0</v>
      </c>
      <c r="P67" s="164">
        <v>0</v>
      </c>
      <c r="Q67" s="164">
        <v>0</v>
      </c>
      <c r="R67" s="164">
        <v>0</v>
      </c>
      <c r="S67" s="164">
        <v>0</v>
      </c>
      <c r="T67" s="164">
        <v>0</v>
      </c>
      <c r="U67" s="164">
        <v>0</v>
      </c>
      <c r="V67" s="164">
        <v>0</v>
      </c>
      <c r="W67" s="164">
        <v>0</v>
      </c>
      <c r="X67" s="164">
        <v>0</v>
      </c>
      <c r="Y67" s="164">
        <v>0</v>
      </c>
      <c r="Z67" s="164">
        <v>0</v>
      </c>
      <c r="AA67" s="164">
        <v>50</v>
      </c>
      <c r="AB67" s="164">
        <v>16</v>
      </c>
      <c r="AC67" s="164">
        <v>66</v>
      </c>
    </row>
    <row r="68" spans="1:29">
      <c r="A68" s="188">
        <v>64</v>
      </c>
      <c r="B68" s="178" t="s">
        <v>694</v>
      </c>
      <c r="C68" s="164">
        <v>0</v>
      </c>
      <c r="D68" s="164">
        <v>0</v>
      </c>
      <c r="E68" s="164">
        <v>0</v>
      </c>
      <c r="F68" s="164">
        <v>0</v>
      </c>
      <c r="G68" s="164">
        <v>0</v>
      </c>
      <c r="H68" s="164">
        <v>0</v>
      </c>
      <c r="I68" s="164">
        <v>12</v>
      </c>
      <c r="J68" s="164">
        <v>3</v>
      </c>
      <c r="K68" s="164">
        <v>15</v>
      </c>
      <c r="L68" s="164">
        <v>26</v>
      </c>
      <c r="M68" s="164">
        <v>17</v>
      </c>
      <c r="N68" s="164">
        <v>43</v>
      </c>
      <c r="O68" s="164">
        <v>0</v>
      </c>
      <c r="P68" s="164">
        <v>0</v>
      </c>
      <c r="Q68" s="164">
        <v>0</v>
      </c>
      <c r="R68" s="164">
        <v>0</v>
      </c>
      <c r="S68" s="164">
        <v>0</v>
      </c>
      <c r="T68" s="164">
        <v>0</v>
      </c>
      <c r="U68" s="164">
        <v>0</v>
      </c>
      <c r="V68" s="164">
        <v>0</v>
      </c>
      <c r="W68" s="164">
        <v>0</v>
      </c>
      <c r="X68" s="164">
        <v>1</v>
      </c>
      <c r="Y68" s="164">
        <v>0</v>
      </c>
      <c r="Z68" s="164">
        <v>1</v>
      </c>
      <c r="AA68" s="164">
        <v>39</v>
      </c>
      <c r="AB68" s="164">
        <v>20</v>
      </c>
      <c r="AC68" s="164">
        <v>59</v>
      </c>
    </row>
    <row r="69" spans="1:29">
      <c r="A69" s="188">
        <v>65</v>
      </c>
      <c r="B69" s="178" t="s">
        <v>936</v>
      </c>
      <c r="C69" s="164">
        <v>15</v>
      </c>
      <c r="D69" s="164">
        <v>2</v>
      </c>
      <c r="E69" s="164">
        <v>17</v>
      </c>
      <c r="F69" s="164">
        <v>0</v>
      </c>
      <c r="G69" s="164">
        <v>0</v>
      </c>
      <c r="H69" s="164">
        <v>0</v>
      </c>
      <c r="I69" s="164">
        <v>18</v>
      </c>
      <c r="J69" s="164">
        <v>6</v>
      </c>
      <c r="K69" s="164">
        <v>24</v>
      </c>
      <c r="L69" s="164">
        <v>12</v>
      </c>
      <c r="M69" s="164">
        <v>2</v>
      </c>
      <c r="N69" s="164">
        <v>14</v>
      </c>
      <c r="O69" s="164">
        <v>0</v>
      </c>
      <c r="P69" s="164">
        <v>0</v>
      </c>
      <c r="Q69" s="164">
        <v>0</v>
      </c>
      <c r="R69" s="164">
        <v>0</v>
      </c>
      <c r="S69" s="164">
        <v>0</v>
      </c>
      <c r="T69" s="164">
        <v>0</v>
      </c>
      <c r="U69" s="164">
        <v>0</v>
      </c>
      <c r="V69" s="164">
        <v>0</v>
      </c>
      <c r="W69" s="164">
        <v>0</v>
      </c>
      <c r="X69" s="164">
        <v>1</v>
      </c>
      <c r="Y69" s="164">
        <v>0</v>
      </c>
      <c r="Z69" s="164">
        <v>1</v>
      </c>
      <c r="AA69" s="164">
        <v>46</v>
      </c>
      <c r="AB69" s="164">
        <v>10</v>
      </c>
      <c r="AC69" s="164">
        <v>56</v>
      </c>
    </row>
    <row r="70" spans="1:29">
      <c r="A70" s="188">
        <v>66</v>
      </c>
      <c r="B70" s="178" t="s">
        <v>717</v>
      </c>
      <c r="C70" s="164">
        <v>2</v>
      </c>
      <c r="D70" s="164">
        <v>0</v>
      </c>
      <c r="E70" s="164">
        <v>2</v>
      </c>
      <c r="F70" s="164">
        <v>0</v>
      </c>
      <c r="G70" s="164">
        <v>0</v>
      </c>
      <c r="H70" s="164">
        <v>0</v>
      </c>
      <c r="I70" s="164">
        <v>13</v>
      </c>
      <c r="J70" s="164">
        <v>4</v>
      </c>
      <c r="K70" s="164">
        <v>17</v>
      </c>
      <c r="L70" s="164">
        <v>31</v>
      </c>
      <c r="M70" s="164">
        <v>2</v>
      </c>
      <c r="N70" s="164">
        <v>33</v>
      </c>
      <c r="O70" s="164">
        <v>0</v>
      </c>
      <c r="P70" s="164">
        <v>0</v>
      </c>
      <c r="Q70" s="164">
        <v>0</v>
      </c>
      <c r="R70" s="164">
        <v>0</v>
      </c>
      <c r="S70" s="164">
        <v>0</v>
      </c>
      <c r="T70" s="164">
        <v>0</v>
      </c>
      <c r="U70" s="164">
        <v>0</v>
      </c>
      <c r="V70" s="164">
        <v>0</v>
      </c>
      <c r="W70" s="164">
        <v>0</v>
      </c>
      <c r="X70" s="164">
        <v>1</v>
      </c>
      <c r="Y70" s="164">
        <v>1</v>
      </c>
      <c r="Z70" s="164">
        <v>2</v>
      </c>
      <c r="AA70" s="164">
        <v>47</v>
      </c>
      <c r="AB70" s="164">
        <v>7</v>
      </c>
      <c r="AC70" s="164">
        <v>54</v>
      </c>
    </row>
    <row r="71" spans="1:29">
      <c r="A71" s="188">
        <v>67</v>
      </c>
      <c r="B71" s="178" t="s">
        <v>697</v>
      </c>
      <c r="C71" s="164">
        <v>0</v>
      </c>
      <c r="D71" s="164">
        <v>0</v>
      </c>
      <c r="E71" s="164">
        <v>0</v>
      </c>
      <c r="F71" s="164">
        <v>0</v>
      </c>
      <c r="G71" s="164">
        <v>0</v>
      </c>
      <c r="H71" s="164">
        <v>0</v>
      </c>
      <c r="I71" s="164">
        <v>10</v>
      </c>
      <c r="J71" s="164">
        <v>8</v>
      </c>
      <c r="K71" s="164">
        <v>18</v>
      </c>
      <c r="L71" s="164">
        <v>24</v>
      </c>
      <c r="M71" s="164">
        <v>10</v>
      </c>
      <c r="N71" s="164">
        <v>34</v>
      </c>
      <c r="O71" s="164">
        <v>0</v>
      </c>
      <c r="P71" s="164">
        <v>0</v>
      </c>
      <c r="Q71" s="164">
        <v>0</v>
      </c>
      <c r="R71" s="164">
        <v>0</v>
      </c>
      <c r="S71" s="164">
        <v>0</v>
      </c>
      <c r="T71" s="164">
        <v>0</v>
      </c>
      <c r="U71" s="164">
        <v>0</v>
      </c>
      <c r="V71" s="164">
        <v>0</v>
      </c>
      <c r="W71" s="164">
        <v>0</v>
      </c>
      <c r="X71" s="164">
        <v>0</v>
      </c>
      <c r="Y71" s="164">
        <v>0</v>
      </c>
      <c r="Z71" s="164">
        <v>0</v>
      </c>
      <c r="AA71" s="164">
        <v>34</v>
      </c>
      <c r="AB71" s="164">
        <v>18</v>
      </c>
      <c r="AC71" s="164">
        <v>52</v>
      </c>
    </row>
    <row r="72" spans="1:29">
      <c r="A72" s="188">
        <v>68</v>
      </c>
      <c r="B72" s="178" t="s">
        <v>937</v>
      </c>
      <c r="C72" s="164">
        <v>3</v>
      </c>
      <c r="D72" s="164">
        <v>2</v>
      </c>
      <c r="E72" s="164">
        <v>5</v>
      </c>
      <c r="F72" s="164">
        <v>0</v>
      </c>
      <c r="G72" s="164">
        <v>0</v>
      </c>
      <c r="H72" s="164">
        <v>0</v>
      </c>
      <c r="I72" s="164">
        <v>13</v>
      </c>
      <c r="J72" s="164">
        <v>17</v>
      </c>
      <c r="K72" s="164">
        <v>30</v>
      </c>
      <c r="L72" s="164">
        <v>9</v>
      </c>
      <c r="M72" s="164">
        <v>8</v>
      </c>
      <c r="N72" s="164">
        <v>17</v>
      </c>
      <c r="O72" s="164">
        <v>0</v>
      </c>
      <c r="P72" s="164">
        <v>0</v>
      </c>
      <c r="Q72" s="164">
        <v>0</v>
      </c>
      <c r="R72" s="164">
        <v>0</v>
      </c>
      <c r="S72" s="164">
        <v>0</v>
      </c>
      <c r="T72" s="164">
        <v>0</v>
      </c>
      <c r="U72" s="164">
        <v>0</v>
      </c>
      <c r="V72" s="164">
        <v>0</v>
      </c>
      <c r="W72" s="164">
        <v>0</v>
      </c>
      <c r="X72" s="164">
        <v>0</v>
      </c>
      <c r="Y72" s="164">
        <v>0</v>
      </c>
      <c r="Z72" s="164">
        <v>0</v>
      </c>
      <c r="AA72" s="164">
        <v>25</v>
      </c>
      <c r="AB72" s="164">
        <v>27</v>
      </c>
      <c r="AC72" s="164">
        <v>52</v>
      </c>
    </row>
    <row r="73" spans="1:29">
      <c r="A73" s="188">
        <v>69</v>
      </c>
      <c r="B73" s="178" t="s">
        <v>690</v>
      </c>
      <c r="C73" s="164">
        <v>3</v>
      </c>
      <c r="D73" s="164">
        <v>2</v>
      </c>
      <c r="E73" s="164">
        <v>5</v>
      </c>
      <c r="F73" s="164">
        <v>0</v>
      </c>
      <c r="G73" s="164">
        <v>0</v>
      </c>
      <c r="H73" s="164">
        <v>0</v>
      </c>
      <c r="I73" s="164">
        <v>9</v>
      </c>
      <c r="J73" s="164">
        <v>11</v>
      </c>
      <c r="K73" s="164">
        <v>20</v>
      </c>
      <c r="L73" s="164">
        <v>13</v>
      </c>
      <c r="M73" s="164">
        <v>11</v>
      </c>
      <c r="N73" s="164">
        <v>24</v>
      </c>
      <c r="O73" s="164">
        <v>0</v>
      </c>
      <c r="P73" s="164">
        <v>2</v>
      </c>
      <c r="Q73" s="164">
        <v>2</v>
      </c>
      <c r="R73" s="164">
        <v>0</v>
      </c>
      <c r="S73" s="164">
        <v>0</v>
      </c>
      <c r="T73" s="164">
        <v>0</v>
      </c>
      <c r="U73" s="164">
        <v>0</v>
      </c>
      <c r="V73" s="164">
        <v>0</v>
      </c>
      <c r="W73" s="164">
        <v>0</v>
      </c>
      <c r="X73" s="164">
        <v>0</v>
      </c>
      <c r="Y73" s="164">
        <v>0</v>
      </c>
      <c r="Z73" s="164">
        <v>0</v>
      </c>
      <c r="AA73" s="164">
        <v>25</v>
      </c>
      <c r="AB73" s="164">
        <v>26</v>
      </c>
      <c r="AC73" s="164">
        <v>51</v>
      </c>
    </row>
    <row r="74" spans="1:29">
      <c r="A74" s="188">
        <v>70</v>
      </c>
      <c r="B74" s="178" t="s">
        <v>696</v>
      </c>
      <c r="C74" s="164">
        <v>1</v>
      </c>
      <c r="D74" s="164">
        <v>0</v>
      </c>
      <c r="E74" s="164">
        <v>1</v>
      </c>
      <c r="F74" s="164">
        <v>0</v>
      </c>
      <c r="G74" s="164">
        <v>0</v>
      </c>
      <c r="H74" s="164">
        <v>0</v>
      </c>
      <c r="I74" s="164">
        <v>11</v>
      </c>
      <c r="J74" s="164">
        <v>9</v>
      </c>
      <c r="K74" s="164">
        <v>20</v>
      </c>
      <c r="L74" s="164">
        <v>22</v>
      </c>
      <c r="M74" s="164">
        <v>7</v>
      </c>
      <c r="N74" s="164">
        <v>29</v>
      </c>
      <c r="O74" s="164">
        <v>0</v>
      </c>
      <c r="P74" s="164">
        <v>0</v>
      </c>
      <c r="Q74" s="164">
        <v>0</v>
      </c>
      <c r="R74" s="164">
        <v>0</v>
      </c>
      <c r="S74" s="164">
        <v>0</v>
      </c>
      <c r="T74" s="164">
        <v>0</v>
      </c>
      <c r="U74" s="164">
        <v>0</v>
      </c>
      <c r="V74" s="164">
        <v>0</v>
      </c>
      <c r="W74" s="164">
        <v>0</v>
      </c>
      <c r="X74" s="164">
        <v>0</v>
      </c>
      <c r="Y74" s="164">
        <v>0</v>
      </c>
      <c r="Z74" s="164">
        <v>0</v>
      </c>
      <c r="AA74" s="164">
        <v>34</v>
      </c>
      <c r="AB74" s="164">
        <v>16</v>
      </c>
      <c r="AC74" s="164">
        <v>50</v>
      </c>
    </row>
    <row r="75" spans="1:29">
      <c r="A75" s="188">
        <v>71</v>
      </c>
      <c r="B75" s="178" t="s">
        <v>708</v>
      </c>
      <c r="C75" s="164">
        <v>0</v>
      </c>
      <c r="D75" s="164">
        <v>0</v>
      </c>
      <c r="E75" s="164">
        <v>0</v>
      </c>
      <c r="F75" s="164">
        <v>0</v>
      </c>
      <c r="G75" s="164">
        <v>0</v>
      </c>
      <c r="H75" s="164">
        <v>0</v>
      </c>
      <c r="I75" s="164">
        <v>5</v>
      </c>
      <c r="J75" s="164">
        <v>2</v>
      </c>
      <c r="K75" s="164">
        <v>7</v>
      </c>
      <c r="L75" s="164">
        <v>34</v>
      </c>
      <c r="M75" s="164">
        <v>8</v>
      </c>
      <c r="N75" s="164">
        <v>42</v>
      </c>
      <c r="O75" s="164">
        <v>0</v>
      </c>
      <c r="P75" s="164">
        <v>0</v>
      </c>
      <c r="Q75" s="164">
        <v>0</v>
      </c>
      <c r="R75" s="164">
        <v>0</v>
      </c>
      <c r="S75" s="164">
        <v>0</v>
      </c>
      <c r="T75" s="164">
        <v>0</v>
      </c>
      <c r="U75" s="164">
        <v>0</v>
      </c>
      <c r="V75" s="164">
        <v>0</v>
      </c>
      <c r="W75" s="164">
        <v>0</v>
      </c>
      <c r="X75" s="164">
        <v>0</v>
      </c>
      <c r="Y75" s="164">
        <v>0</v>
      </c>
      <c r="Z75" s="164">
        <v>0</v>
      </c>
      <c r="AA75" s="164">
        <v>39</v>
      </c>
      <c r="AB75" s="164">
        <v>10</v>
      </c>
      <c r="AC75" s="164">
        <v>49</v>
      </c>
    </row>
    <row r="76" spans="1:29">
      <c r="A76" s="188">
        <v>72</v>
      </c>
      <c r="B76" s="178" t="s">
        <v>681</v>
      </c>
      <c r="C76" s="164">
        <v>2</v>
      </c>
      <c r="D76" s="164">
        <v>2</v>
      </c>
      <c r="E76" s="164">
        <v>4</v>
      </c>
      <c r="F76" s="164">
        <v>0</v>
      </c>
      <c r="G76" s="164">
        <v>0</v>
      </c>
      <c r="H76" s="164">
        <v>0</v>
      </c>
      <c r="I76" s="164">
        <v>3</v>
      </c>
      <c r="J76" s="164">
        <v>4</v>
      </c>
      <c r="K76" s="164">
        <v>7</v>
      </c>
      <c r="L76" s="164">
        <v>16</v>
      </c>
      <c r="M76" s="164">
        <v>19</v>
      </c>
      <c r="N76" s="164">
        <v>35</v>
      </c>
      <c r="O76" s="164">
        <v>1</v>
      </c>
      <c r="P76" s="164">
        <v>0</v>
      </c>
      <c r="Q76" s="164">
        <v>1</v>
      </c>
      <c r="R76" s="164">
        <v>0</v>
      </c>
      <c r="S76" s="164">
        <v>0</v>
      </c>
      <c r="T76" s="164">
        <v>0</v>
      </c>
      <c r="U76" s="164">
        <v>0</v>
      </c>
      <c r="V76" s="164">
        <v>0</v>
      </c>
      <c r="W76" s="164">
        <v>0</v>
      </c>
      <c r="X76" s="164">
        <v>0</v>
      </c>
      <c r="Y76" s="164">
        <v>0</v>
      </c>
      <c r="Z76" s="164">
        <v>0</v>
      </c>
      <c r="AA76" s="164">
        <v>22</v>
      </c>
      <c r="AB76" s="164">
        <v>25</v>
      </c>
      <c r="AC76" s="164">
        <v>47</v>
      </c>
    </row>
    <row r="77" spans="1:29">
      <c r="A77" s="188">
        <v>73</v>
      </c>
      <c r="B77" s="178" t="s">
        <v>938</v>
      </c>
      <c r="C77" s="164">
        <v>0</v>
      </c>
      <c r="D77" s="164">
        <v>0</v>
      </c>
      <c r="E77" s="164">
        <v>0</v>
      </c>
      <c r="F77" s="164">
        <v>0</v>
      </c>
      <c r="G77" s="164">
        <v>0</v>
      </c>
      <c r="H77" s="164">
        <v>0</v>
      </c>
      <c r="I77" s="164">
        <v>6</v>
      </c>
      <c r="J77" s="164">
        <v>1</v>
      </c>
      <c r="K77" s="164">
        <v>7</v>
      </c>
      <c r="L77" s="164">
        <v>29</v>
      </c>
      <c r="M77" s="164">
        <v>10</v>
      </c>
      <c r="N77" s="164">
        <v>39</v>
      </c>
      <c r="O77" s="164">
        <v>0</v>
      </c>
      <c r="P77" s="164">
        <v>0</v>
      </c>
      <c r="Q77" s="164">
        <v>0</v>
      </c>
      <c r="R77" s="164">
        <v>0</v>
      </c>
      <c r="S77" s="164">
        <v>0</v>
      </c>
      <c r="T77" s="164">
        <v>0</v>
      </c>
      <c r="U77" s="164">
        <v>0</v>
      </c>
      <c r="V77" s="164">
        <v>0</v>
      </c>
      <c r="W77" s="164">
        <v>0</v>
      </c>
      <c r="X77" s="164">
        <v>0</v>
      </c>
      <c r="Y77" s="164">
        <v>0</v>
      </c>
      <c r="Z77" s="164">
        <v>0</v>
      </c>
      <c r="AA77" s="164">
        <v>35</v>
      </c>
      <c r="AB77" s="164">
        <v>11</v>
      </c>
      <c r="AC77" s="164">
        <v>46</v>
      </c>
    </row>
    <row r="78" spans="1:29">
      <c r="A78" s="188">
        <v>74</v>
      </c>
      <c r="B78" s="178" t="s">
        <v>678</v>
      </c>
      <c r="C78" s="164">
        <v>0</v>
      </c>
      <c r="D78" s="164">
        <v>8</v>
      </c>
      <c r="E78" s="164">
        <v>8</v>
      </c>
      <c r="F78" s="164">
        <v>0</v>
      </c>
      <c r="G78" s="164">
        <v>0</v>
      </c>
      <c r="H78" s="164">
        <v>0</v>
      </c>
      <c r="I78" s="164">
        <v>3</v>
      </c>
      <c r="J78" s="164">
        <v>12</v>
      </c>
      <c r="K78" s="164">
        <v>15</v>
      </c>
      <c r="L78" s="164">
        <v>15</v>
      </c>
      <c r="M78" s="164">
        <v>6</v>
      </c>
      <c r="N78" s="164">
        <v>21</v>
      </c>
      <c r="O78" s="164">
        <v>0</v>
      </c>
      <c r="P78" s="164">
        <v>0</v>
      </c>
      <c r="Q78" s="164">
        <v>0</v>
      </c>
      <c r="R78" s="164">
        <v>1</v>
      </c>
      <c r="S78" s="164">
        <v>0</v>
      </c>
      <c r="T78" s="164">
        <v>1</v>
      </c>
      <c r="U78" s="164">
        <v>0</v>
      </c>
      <c r="V78" s="164">
        <v>0</v>
      </c>
      <c r="W78" s="164">
        <v>0</v>
      </c>
      <c r="X78" s="164">
        <v>1</v>
      </c>
      <c r="Y78" s="164">
        <v>0</v>
      </c>
      <c r="Z78" s="164">
        <v>1</v>
      </c>
      <c r="AA78" s="164">
        <v>20</v>
      </c>
      <c r="AB78" s="164">
        <v>26</v>
      </c>
      <c r="AC78" s="164">
        <v>46</v>
      </c>
    </row>
    <row r="79" spans="1:29">
      <c r="A79" s="188">
        <v>75</v>
      </c>
      <c r="B79" s="178" t="s">
        <v>674</v>
      </c>
      <c r="C79" s="164">
        <v>0</v>
      </c>
      <c r="D79" s="164">
        <v>1</v>
      </c>
      <c r="E79" s="164">
        <v>1</v>
      </c>
      <c r="F79" s="164">
        <v>0</v>
      </c>
      <c r="G79" s="164">
        <v>0</v>
      </c>
      <c r="H79" s="164">
        <v>0</v>
      </c>
      <c r="I79" s="164">
        <v>3</v>
      </c>
      <c r="J79" s="164">
        <v>11</v>
      </c>
      <c r="K79" s="164">
        <v>14</v>
      </c>
      <c r="L79" s="164">
        <v>10</v>
      </c>
      <c r="M79" s="164">
        <v>18</v>
      </c>
      <c r="N79" s="164">
        <v>28</v>
      </c>
      <c r="O79" s="164">
        <v>0</v>
      </c>
      <c r="P79" s="164">
        <v>0</v>
      </c>
      <c r="Q79" s="164">
        <v>0</v>
      </c>
      <c r="R79" s="164">
        <v>1</v>
      </c>
      <c r="S79" s="164">
        <v>0</v>
      </c>
      <c r="T79" s="164">
        <v>1</v>
      </c>
      <c r="U79" s="164">
        <v>0</v>
      </c>
      <c r="V79" s="164">
        <v>0</v>
      </c>
      <c r="W79" s="164">
        <v>0</v>
      </c>
      <c r="X79" s="164">
        <v>0</v>
      </c>
      <c r="Y79" s="164">
        <v>0</v>
      </c>
      <c r="Z79" s="164">
        <v>0</v>
      </c>
      <c r="AA79" s="164">
        <v>14</v>
      </c>
      <c r="AB79" s="164">
        <v>30</v>
      </c>
      <c r="AC79" s="164">
        <v>44</v>
      </c>
    </row>
    <row r="80" spans="1:29">
      <c r="A80" s="188">
        <v>76</v>
      </c>
      <c r="B80" s="178" t="s">
        <v>688</v>
      </c>
      <c r="C80" s="164">
        <v>26</v>
      </c>
      <c r="D80" s="164">
        <v>6</v>
      </c>
      <c r="E80" s="164">
        <v>32</v>
      </c>
      <c r="F80" s="164">
        <v>0</v>
      </c>
      <c r="G80" s="164">
        <v>0</v>
      </c>
      <c r="H80" s="164">
        <v>0</v>
      </c>
      <c r="I80" s="164">
        <v>5</v>
      </c>
      <c r="J80" s="164">
        <v>1</v>
      </c>
      <c r="K80" s="164">
        <v>6</v>
      </c>
      <c r="L80" s="164">
        <v>4</v>
      </c>
      <c r="M80" s="164">
        <v>0</v>
      </c>
      <c r="N80" s="164">
        <v>4</v>
      </c>
      <c r="O80" s="164">
        <v>0</v>
      </c>
      <c r="P80" s="164">
        <v>0</v>
      </c>
      <c r="Q80" s="164">
        <v>0</v>
      </c>
      <c r="R80" s="164">
        <v>0</v>
      </c>
      <c r="S80" s="164">
        <v>0</v>
      </c>
      <c r="T80" s="164">
        <v>0</v>
      </c>
      <c r="U80" s="164">
        <v>0</v>
      </c>
      <c r="V80" s="164">
        <v>0</v>
      </c>
      <c r="W80" s="164">
        <v>0</v>
      </c>
      <c r="X80" s="164">
        <v>0</v>
      </c>
      <c r="Y80" s="164">
        <v>0</v>
      </c>
      <c r="Z80" s="164">
        <v>0</v>
      </c>
      <c r="AA80" s="164">
        <v>35</v>
      </c>
      <c r="AB80" s="164">
        <v>7</v>
      </c>
      <c r="AC80" s="164">
        <v>42</v>
      </c>
    </row>
    <row r="81" spans="1:29">
      <c r="A81" s="188">
        <v>77</v>
      </c>
      <c r="B81" s="178" t="s">
        <v>743</v>
      </c>
      <c r="C81" s="164">
        <v>0</v>
      </c>
      <c r="D81" s="164">
        <v>0</v>
      </c>
      <c r="E81" s="164">
        <v>0</v>
      </c>
      <c r="F81" s="164">
        <v>0</v>
      </c>
      <c r="G81" s="164">
        <v>0</v>
      </c>
      <c r="H81" s="164">
        <v>0</v>
      </c>
      <c r="I81" s="164">
        <v>1</v>
      </c>
      <c r="J81" s="164">
        <v>3</v>
      </c>
      <c r="K81" s="164">
        <v>4</v>
      </c>
      <c r="L81" s="164">
        <v>16</v>
      </c>
      <c r="M81" s="164">
        <v>18</v>
      </c>
      <c r="N81" s="164">
        <v>34</v>
      </c>
      <c r="O81" s="164">
        <v>0</v>
      </c>
      <c r="P81" s="164">
        <v>0</v>
      </c>
      <c r="Q81" s="164">
        <v>0</v>
      </c>
      <c r="R81" s="164">
        <v>0</v>
      </c>
      <c r="S81" s="164">
        <v>0</v>
      </c>
      <c r="T81" s="164">
        <v>0</v>
      </c>
      <c r="U81" s="164">
        <v>0</v>
      </c>
      <c r="V81" s="164">
        <v>0</v>
      </c>
      <c r="W81" s="164">
        <v>0</v>
      </c>
      <c r="X81" s="164">
        <v>0</v>
      </c>
      <c r="Y81" s="164">
        <v>0</v>
      </c>
      <c r="Z81" s="164">
        <v>0</v>
      </c>
      <c r="AA81" s="164">
        <v>17</v>
      </c>
      <c r="AB81" s="164">
        <v>21</v>
      </c>
      <c r="AC81" s="164">
        <v>38</v>
      </c>
    </row>
    <row r="82" spans="1:29" ht="29.25" customHeight="1">
      <c r="A82" s="188">
        <v>78</v>
      </c>
      <c r="B82" s="178" t="s">
        <v>703</v>
      </c>
      <c r="C82" s="164">
        <v>4</v>
      </c>
      <c r="D82" s="164">
        <v>3</v>
      </c>
      <c r="E82" s="164">
        <v>7</v>
      </c>
      <c r="F82" s="164">
        <v>0</v>
      </c>
      <c r="G82" s="164">
        <v>1</v>
      </c>
      <c r="H82" s="164">
        <v>1</v>
      </c>
      <c r="I82" s="164">
        <v>6</v>
      </c>
      <c r="J82" s="164">
        <v>5</v>
      </c>
      <c r="K82" s="164">
        <v>11</v>
      </c>
      <c r="L82" s="164">
        <v>5</v>
      </c>
      <c r="M82" s="164">
        <v>9</v>
      </c>
      <c r="N82" s="164">
        <v>14</v>
      </c>
      <c r="O82" s="164">
        <v>0</v>
      </c>
      <c r="P82" s="164">
        <v>0</v>
      </c>
      <c r="Q82" s="164">
        <v>0</v>
      </c>
      <c r="R82" s="164">
        <v>0</v>
      </c>
      <c r="S82" s="164">
        <v>0</v>
      </c>
      <c r="T82" s="164">
        <v>0</v>
      </c>
      <c r="U82" s="164">
        <v>1</v>
      </c>
      <c r="V82" s="164">
        <v>0</v>
      </c>
      <c r="W82" s="164">
        <v>1</v>
      </c>
      <c r="X82" s="164">
        <v>2</v>
      </c>
      <c r="Y82" s="164">
        <v>1</v>
      </c>
      <c r="Z82" s="164">
        <v>3</v>
      </c>
      <c r="AA82" s="164">
        <v>18</v>
      </c>
      <c r="AB82" s="164">
        <v>19</v>
      </c>
      <c r="AC82" s="164">
        <v>37</v>
      </c>
    </row>
    <row r="83" spans="1:29">
      <c r="A83" s="188">
        <v>79</v>
      </c>
      <c r="B83" s="178" t="s">
        <v>713</v>
      </c>
      <c r="C83" s="164">
        <v>2</v>
      </c>
      <c r="D83" s="164">
        <v>1</v>
      </c>
      <c r="E83" s="164">
        <v>3</v>
      </c>
      <c r="F83" s="164">
        <v>0</v>
      </c>
      <c r="G83" s="164">
        <v>0</v>
      </c>
      <c r="H83" s="164">
        <v>0</v>
      </c>
      <c r="I83" s="164">
        <v>1</v>
      </c>
      <c r="J83" s="164">
        <v>3</v>
      </c>
      <c r="K83" s="164">
        <v>4</v>
      </c>
      <c r="L83" s="164">
        <v>8</v>
      </c>
      <c r="M83" s="164">
        <v>21</v>
      </c>
      <c r="N83" s="164">
        <v>29</v>
      </c>
      <c r="O83" s="164">
        <v>0</v>
      </c>
      <c r="P83" s="164">
        <v>0</v>
      </c>
      <c r="Q83" s="164">
        <v>0</v>
      </c>
      <c r="R83" s="164">
        <v>0</v>
      </c>
      <c r="S83" s="164">
        <v>0</v>
      </c>
      <c r="T83" s="164">
        <v>0</v>
      </c>
      <c r="U83" s="164">
        <v>0</v>
      </c>
      <c r="V83" s="164">
        <v>0</v>
      </c>
      <c r="W83" s="164">
        <v>0</v>
      </c>
      <c r="X83" s="164">
        <v>0</v>
      </c>
      <c r="Y83" s="164">
        <v>0</v>
      </c>
      <c r="Z83" s="164">
        <v>0</v>
      </c>
      <c r="AA83" s="164">
        <v>11</v>
      </c>
      <c r="AB83" s="164">
        <v>25</v>
      </c>
      <c r="AC83" s="164">
        <v>36</v>
      </c>
    </row>
    <row r="84" spans="1:29">
      <c r="A84" s="188">
        <v>80</v>
      </c>
      <c r="B84" s="178" t="s">
        <v>705</v>
      </c>
      <c r="C84" s="164">
        <v>1</v>
      </c>
      <c r="D84" s="164">
        <v>0</v>
      </c>
      <c r="E84" s="164">
        <v>1</v>
      </c>
      <c r="F84" s="164">
        <v>0</v>
      </c>
      <c r="G84" s="164">
        <v>0</v>
      </c>
      <c r="H84" s="164">
        <v>0</v>
      </c>
      <c r="I84" s="164">
        <v>16</v>
      </c>
      <c r="J84" s="164">
        <v>11</v>
      </c>
      <c r="K84" s="164">
        <v>27</v>
      </c>
      <c r="L84" s="164">
        <v>5</v>
      </c>
      <c r="M84" s="164">
        <v>2</v>
      </c>
      <c r="N84" s="164">
        <v>7</v>
      </c>
      <c r="O84" s="164">
        <v>0</v>
      </c>
      <c r="P84" s="164">
        <v>0</v>
      </c>
      <c r="Q84" s="164">
        <v>0</v>
      </c>
      <c r="R84" s="164">
        <v>0</v>
      </c>
      <c r="S84" s="164">
        <v>0</v>
      </c>
      <c r="T84" s="164">
        <v>0</v>
      </c>
      <c r="U84" s="164">
        <v>0</v>
      </c>
      <c r="V84" s="164">
        <v>0</v>
      </c>
      <c r="W84" s="164">
        <v>0</v>
      </c>
      <c r="X84" s="164">
        <v>0</v>
      </c>
      <c r="Y84" s="164">
        <v>0</v>
      </c>
      <c r="Z84" s="164">
        <v>0</v>
      </c>
      <c r="AA84" s="164">
        <v>22</v>
      </c>
      <c r="AB84" s="164">
        <v>13</v>
      </c>
      <c r="AC84" s="164">
        <v>35</v>
      </c>
    </row>
    <row r="85" spans="1:29" ht="29.25" customHeight="1">
      <c r="A85" s="188">
        <v>81</v>
      </c>
      <c r="B85" s="178" t="s">
        <v>718</v>
      </c>
      <c r="C85" s="164">
        <v>0</v>
      </c>
      <c r="D85" s="164">
        <v>4</v>
      </c>
      <c r="E85" s="164">
        <v>4</v>
      </c>
      <c r="F85" s="164">
        <v>0</v>
      </c>
      <c r="G85" s="164">
        <v>0</v>
      </c>
      <c r="H85" s="164">
        <v>0</v>
      </c>
      <c r="I85" s="164">
        <v>4</v>
      </c>
      <c r="J85" s="164">
        <v>7</v>
      </c>
      <c r="K85" s="164">
        <v>11</v>
      </c>
      <c r="L85" s="164">
        <v>12</v>
      </c>
      <c r="M85" s="164">
        <v>7</v>
      </c>
      <c r="N85" s="164">
        <v>19</v>
      </c>
      <c r="O85" s="164">
        <v>0</v>
      </c>
      <c r="P85" s="164">
        <v>0</v>
      </c>
      <c r="Q85" s="164">
        <v>0</v>
      </c>
      <c r="R85" s="164">
        <v>0</v>
      </c>
      <c r="S85" s="164">
        <v>0</v>
      </c>
      <c r="T85" s="164">
        <v>0</v>
      </c>
      <c r="U85" s="164">
        <v>0</v>
      </c>
      <c r="V85" s="164">
        <v>0</v>
      </c>
      <c r="W85" s="164">
        <v>0</v>
      </c>
      <c r="X85" s="164">
        <v>0</v>
      </c>
      <c r="Y85" s="164">
        <v>0</v>
      </c>
      <c r="Z85" s="164">
        <v>0</v>
      </c>
      <c r="AA85" s="164">
        <v>16</v>
      </c>
      <c r="AB85" s="164">
        <v>18</v>
      </c>
      <c r="AC85" s="164">
        <v>34</v>
      </c>
    </row>
    <row r="86" spans="1:29">
      <c r="A86" s="188">
        <v>82</v>
      </c>
      <c r="B86" s="178" t="s">
        <v>711</v>
      </c>
      <c r="C86" s="164">
        <v>4</v>
      </c>
      <c r="D86" s="164">
        <v>0</v>
      </c>
      <c r="E86" s="164">
        <v>4</v>
      </c>
      <c r="F86" s="164">
        <v>0</v>
      </c>
      <c r="G86" s="164">
        <v>0</v>
      </c>
      <c r="H86" s="164">
        <v>0</v>
      </c>
      <c r="I86" s="164">
        <v>13</v>
      </c>
      <c r="J86" s="164">
        <v>0</v>
      </c>
      <c r="K86" s="164">
        <v>13</v>
      </c>
      <c r="L86" s="164">
        <v>13</v>
      </c>
      <c r="M86" s="164">
        <v>3</v>
      </c>
      <c r="N86" s="164">
        <v>16</v>
      </c>
      <c r="O86" s="164">
        <v>0</v>
      </c>
      <c r="P86" s="164">
        <v>0</v>
      </c>
      <c r="Q86" s="164">
        <v>0</v>
      </c>
      <c r="R86" s="164">
        <v>0</v>
      </c>
      <c r="S86" s="164">
        <v>0</v>
      </c>
      <c r="T86" s="164">
        <v>0</v>
      </c>
      <c r="U86" s="164">
        <v>0</v>
      </c>
      <c r="V86" s="164">
        <v>0</v>
      </c>
      <c r="W86" s="164">
        <v>0</v>
      </c>
      <c r="X86" s="164">
        <v>0</v>
      </c>
      <c r="Y86" s="164">
        <v>0</v>
      </c>
      <c r="Z86" s="164">
        <v>0</v>
      </c>
      <c r="AA86" s="164">
        <v>30</v>
      </c>
      <c r="AB86" s="164">
        <v>3</v>
      </c>
      <c r="AC86" s="164">
        <v>33</v>
      </c>
    </row>
    <row r="87" spans="1:29">
      <c r="A87" s="188">
        <v>83</v>
      </c>
      <c r="B87" s="178" t="s">
        <v>691</v>
      </c>
      <c r="C87" s="164">
        <v>1</v>
      </c>
      <c r="D87" s="164">
        <v>0</v>
      </c>
      <c r="E87" s="164">
        <v>1</v>
      </c>
      <c r="F87" s="164">
        <v>0</v>
      </c>
      <c r="G87" s="164">
        <v>0</v>
      </c>
      <c r="H87" s="164">
        <v>0</v>
      </c>
      <c r="I87" s="164">
        <v>3</v>
      </c>
      <c r="J87" s="164">
        <v>4</v>
      </c>
      <c r="K87" s="164">
        <v>7</v>
      </c>
      <c r="L87" s="164">
        <v>16</v>
      </c>
      <c r="M87" s="164">
        <v>8</v>
      </c>
      <c r="N87" s="164">
        <v>24</v>
      </c>
      <c r="O87" s="164">
        <v>0</v>
      </c>
      <c r="P87" s="164">
        <v>0</v>
      </c>
      <c r="Q87" s="164">
        <v>0</v>
      </c>
      <c r="R87" s="164">
        <v>0</v>
      </c>
      <c r="S87" s="164">
        <v>0</v>
      </c>
      <c r="T87" s="164">
        <v>0</v>
      </c>
      <c r="U87" s="164">
        <v>0</v>
      </c>
      <c r="V87" s="164">
        <v>0</v>
      </c>
      <c r="W87" s="164">
        <v>0</v>
      </c>
      <c r="X87" s="164">
        <v>0</v>
      </c>
      <c r="Y87" s="164">
        <v>0</v>
      </c>
      <c r="Z87" s="164">
        <v>0</v>
      </c>
      <c r="AA87" s="164">
        <v>20</v>
      </c>
      <c r="AB87" s="164">
        <v>12</v>
      </c>
      <c r="AC87" s="164">
        <v>32</v>
      </c>
    </row>
    <row r="88" spans="1:29">
      <c r="A88" s="188">
        <v>84</v>
      </c>
      <c r="B88" s="178" t="s">
        <v>719</v>
      </c>
      <c r="C88" s="164">
        <v>0</v>
      </c>
      <c r="D88" s="164">
        <v>0</v>
      </c>
      <c r="E88" s="164">
        <v>0</v>
      </c>
      <c r="F88" s="164">
        <v>0</v>
      </c>
      <c r="G88" s="164">
        <v>0</v>
      </c>
      <c r="H88" s="164">
        <v>0</v>
      </c>
      <c r="I88" s="164">
        <v>3</v>
      </c>
      <c r="J88" s="164">
        <v>0</v>
      </c>
      <c r="K88" s="164">
        <v>3</v>
      </c>
      <c r="L88" s="164">
        <v>21</v>
      </c>
      <c r="M88" s="164">
        <v>6</v>
      </c>
      <c r="N88" s="164">
        <v>27</v>
      </c>
      <c r="O88" s="164">
        <v>0</v>
      </c>
      <c r="P88" s="164">
        <v>0</v>
      </c>
      <c r="Q88" s="164">
        <v>0</v>
      </c>
      <c r="R88" s="164">
        <v>0</v>
      </c>
      <c r="S88" s="164">
        <v>0</v>
      </c>
      <c r="T88" s="164">
        <v>0</v>
      </c>
      <c r="U88" s="164">
        <v>0</v>
      </c>
      <c r="V88" s="164">
        <v>0</v>
      </c>
      <c r="W88" s="164">
        <v>0</v>
      </c>
      <c r="X88" s="164">
        <v>0</v>
      </c>
      <c r="Y88" s="164">
        <v>0</v>
      </c>
      <c r="Z88" s="164">
        <v>0</v>
      </c>
      <c r="AA88" s="164">
        <v>24</v>
      </c>
      <c r="AB88" s="164">
        <v>6</v>
      </c>
      <c r="AC88" s="164">
        <v>30</v>
      </c>
    </row>
    <row r="89" spans="1:29">
      <c r="A89" s="188">
        <v>85</v>
      </c>
      <c r="B89" s="178" t="s">
        <v>706</v>
      </c>
      <c r="C89" s="164">
        <v>0</v>
      </c>
      <c r="D89" s="164">
        <v>3</v>
      </c>
      <c r="E89" s="164">
        <v>3</v>
      </c>
      <c r="F89" s="164">
        <v>1</v>
      </c>
      <c r="G89" s="164">
        <v>0</v>
      </c>
      <c r="H89" s="164">
        <v>1</v>
      </c>
      <c r="I89" s="164">
        <v>2</v>
      </c>
      <c r="J89" s="164">
        <v>4</v>
      </c>
      <c r="K89" s="164">
        <v>6</v>
      </c>
      <c r="L89" s="164">
        <v>8</v>
      </c>
      <c r="M89" s="164">
        <v>9</v>
      </c>
      <c r="N89" s="164">
        <v>17</v>
      </c>
      <c r="O89" s="164">
        <v>0</v>
      </c>
      <c r="P89" s="164">
        <v>0</v>
      </c>
      <c r="Q89" s="164">
        <v>0</v>
      </c>
      <c r="R89" s="164">
        <v>0</v>
      </c>
      <c r="S89" s="164">
        <v>0</v>
      </c>
      <c r="T89" s="164">
        <v>0</v>
      </c>
      <c r="U89" s="164">
        <v>0</v>
      </c>
      <c r="V89" s="164">
        <v>0</v>
      </c>
      <c r="W89" s="164">
        <v>0</v>
      </c>
      <c r="X89" s="164">
        <v>1</v>
      </c>
      <c r="Y89" s="164">
        <v>0</v>
      </c>
      <c r="Z89" s="164">
        <v>1</v>
      </c>
      <c r="AA89" s="164">
        <v>12</v>
      </c>
      <c r="AB89" s="164">
        <v>16</v>
      </c>
      <c r="AC89" s="164">
        <v>28</v>
      </c>
    </row>
    <row r="90" spans="1:29">
      <c r="A90" s="188">
        <v>86</v>
      </c>
      <c r="B90" s="178" t="s">
        <v>720</v>
      </c>
      <c r="C90" s="164">
        <v>1</v>
      </c>
      <c r="D90" s="164">
        <v>0</v>
      </c>
      <c r="E90" s="164">
        <v>1</v>
      </c>
      <c r="F90" s="164">
        <v>0</v>
      </c>
      <c r="G90" s="164">
        <v>0</v>
      </c>
      <c r="H90" s="164">
        <v>0</v>
      </c>
      <c r="I90" s="164">
        <v>6</v>
      </c>
      <c r="J90" s="164">
        <v>2</v>
      </c>
      <c r="K90" s="164">
        <v>8</v>
      </c>
      <c r="L90" s="164">
        <v>7</v>
      </c>
      <c r="M90" s="164">
        <v>10</v>
      </c>
      <c r="N90" s="164">
        <v>17</v>
      </c>
      <c r="O90" s="164">
        <v>0</v>
      </c>
      <c r="P90" s="164">
        <v>0</v>
      </c>
      <c r="Q90" s="164">
        <v>0</v>
      </c>
      <c r="R90" s="164">
        <v>0</v>
      </c>
      <c r="S90" s="164">
        <v>0</v>
      </c>
      <c r="T90" s="164">
        <v>0</v>
      </c>
      <c r="U90" s="164">
        <v>0</v>
      </c>
      <c r="V90" s="164">
        <v>0</v>
      </c>
      <c r="W90" s="164">
        <v>0</v>
      </c>
      <c r="X90" s="164">
        <v>1</v>
      </c>
      <c r="Y90" s="164">
        <v>1</v>
      </c>
      <c r="Z90" s="164">
        <v>2</v>
      </c>
      <c r="AA90" s="164">
        <v>15</v>
      </c>
      <c r="AB90" s="164">
        <v>13</v>
      </c>
      <c r="AC90" s="164">
        <v>28</v>
      </c>
    </row>
    <row r="91" spans="1:29">
      <c r="A91" s="188">
        <v>87</v>
      </c>
      <c r="B91" s="178" t="s">
        <v>704</v>
      </c>
      <c r="C91" s="164">
        <v>0</v>
      </c>
      <c r="D91" s="164">
        <v>2</v>
      </c>
      <c r="E91" s="164">
        <v>2</v>
      </c>
      <c r="F91" s="164">
        <v>0</v>
      </c>
      <c r="G91" s="164">
        <v>0</v>
      </c>
      <c r="H91" s="164">
        <v>0</v>
      </c>
      <c r="I91" s="164">
        <v>2</v>
      </c>
      <c r="J91" s="164">
        <v>4</v>
      </c>
      <c r="K91" s="164">
        <v>6</v>
      </c>
      <c r="L91" s="164">
        <v>7</v>
      </c>
      <c r="M91" s="164">
        <v>6</v>
      </c>
      <c r="N91" s="164">
        <v>13</v>
      </c>
      <c r="O91" s="164">
        <v>0</v>
      </c>
      <c r="P91" s="164">
        <v>1</v>
      </c>
      <c r="Q91" s="164">
        <v>1</v>
      </c>
      <c r="R91" s="164">
        <v>0</v>
      </c>
      <c r="S91" s="164">
        <v>0</v>
      </c>
      <c r="T91" s="164">
        <v>0</v>
      </c>
      <c r="U91" s="164">
        <v>0</v>
      </c>
      <c r="V91" s="164">
        <v>0</v>
      </c>
      <c r="W91" s="164">
        <v>0</v>
      </c>
      <c r="X91" s="164">
        <v>0</v>
      </c>
      <c r="Y91" s="164">
        <v>1</v>
      </c>
      <c r="Z91" s="164">
        <v>1</v>
      </c>
      <c r="AA91" s="164">
        <v>9</v>
      </c>
      <c r="AB91" s="164">
        <v>14</v>
      </c>
      <c r="AC91" s="164">
        <v>23</v>
      </c>
    </row>
    <row r="92" spans="1:29">
      <c r="A92" s="188">
        <v>88</v>
      </c>
      <c r="B92" s="178" t="s">
        <v>709</v>
      </c>
      <c r="C92" s="164">
        <v>1</v>
      </c>
      <c r="D92" s="164">
        <v>0</v>
      </c>
      <c r="E92" s="164">
        <v>1</v>
      </c>
      <c r="F92" s="164">
        <v>0</v>
      </c>
      <c r="G92" s="164">
        <v>0</v>
      </c>
      <c r="H92" s="164">
        <v>0</v>
      </c>
      <c r="I92" s="164">
        <v>6</v>
      </c>
      <c r="J92" s="164">
        <v>0</v>
      </c>
      <c r="K92" s="164">
        <v>6</v>
      </c>
      <c r="L92" s="164">
        <v>4</v>
      </c>
      <c r="M92" s="164">
        <v>9</v>
      </c>
      <c r="N92" s="164">
        <v>13</v>
      </c>
      <c r="O92" s="164">
        <v>0</v>
      </c>
      <c r="P92" s="164">
        <v>0</v>
      </c>
      <c r="Q92" s="164">
        <v>0</v>
      </c>
      <c r="R92" s="164">
        <v>0</v>
      </c>
      <c r="S92" s="164">
        <v>0</v>
      </c>
      <c r="T92" s="164">
        <v>0</v>
      </c>
      <c r="U92" s="164">
        <v>0</v>
      </c>
      <c r="V92" s="164">
        <v>0</v>
      </c>
      <c r="W92" s="164">
        <v>0</v>
      </c>
      <c r="X92" s="164">
        <v>2</v>
      </c>
      <c r="Y92" s="164">
        <v>0</v>
      </c>
      <c r="Z92" s="164">
        <v>2</v>
      </c>
      <c r="AA92" s="164">
        <v>13</v>
      </c>
      <c r="AB92" s="164">
        <v>9</v>
      </c>
      <c r="AC92" s="164">
        <v>22</v>
      </c>
    </row>
    <row r="93" spans="1:29">
      <c r="A93" s="188">
        <v>89</v>
      </c>
      <c r="B93" s="178" t="s">
        <v>712</v>
      </c>
      <c r="C93" s="164">
        <v>1</v>
      </c>
      <c r="D93" s="164">
        <v>0</v>
      </c>
      <c r="E93" s="164">
        <v>1</v>
      </c>
      <c r="F93" s="164">
        <v>0</v>
      </c>
      <c r="G93" s="164">
        <v>0</v>
      </c>
      <c r="H93" s="164">
        <v>0</v>
      </c>
      <c r="I93" s="164">
        <v>1</v>
      </c>
      <c r="J93" s="164">
        <v>0</v>
      </c>
      <c r="K93" s="164">
        <v>1</v>
      </c>
      <c r="L93" s="164">
        <v>8</v>
      </c>
      <c r="M93" s="164">
        <v>11</v>
      </c>
      <c r="N93" s="164">
        <v>19</v>
      </c>
      <c r="O93" s="164">
        <v>0</v>
      </c>
      <c r="P93" s="164">
        <v>0</v>
      </c>
      <c r="Q93" s="164">
        <v>0</v>
      </c>
      <c r="R93" s="164">
        <v>0</v>
      </c>
      <c r="S93" s="164">
        <v>1</v>
      </c>
      <c r="T93" s="164">
        <v>1</v>
      </c>
      <c r="U93" s="164">
        <v>0</v>
      </c>
      <c r="V93" s="164">
        <v>0</v>
      </c>
      <c r="W93" s="164">
        <v>0</v>
      </c>
      <c r="X93" s="164">
        <v>0</v>
      </c>
      <c r="Y93" s="164">
        <v>0</v>
      </c>
      <c r="Z93" s="164">
        <v>0</v>
      </c>
      <c r="AA93" s="164">
        <v>10</v>
      </c>
      <c r="AB93" s="164">
        <v>12</v>
      </c>
      <c r="AC93" s="164">
        <v>22</v>
      </c>
    </row>
    <row r="94" spans="1:29">
      <c r="A94" s="188">
        <v>90</v>
      </c>
      <c r="B94" s="178" t="s">
        <v>747</v>
      </c>
      <c r="C94" s="164">
        <v>0</v>
      </c>
      <c r="D94" s="164">
        <v>0</v>
      </c>
      <c r="E94" s="164">
        <v>0</v>
      </c>
      <c r="F94" s="164">
        <v>0</v>
      </c>
      <c r="G94" s="164">
        <v>0</v>
      </c>
      <c r="H94" s="164">
        <v>0</v>
      </c>
      <c r="I94" s="164">
        <v>0</v>
      </c>
      <c r="J94" s="164">
        <v>0</v>
      </c>
      <c r="K94" s="164">
        <v>0</v>
      </c>
      <c r="L94" s="164">
        <v>9</v>
      </c>
      <c r="M94" s="164">
        <v>13</v>
      </c>
      <c r="N94" s="164">
        <v>22</v>
      </c>
      <c r="O94" s="164">
        <v>0</v>
      </c>
      <c r="P94" s="164">
        <v>0</v>
      </c>
      <c r="Q94" s="164">
        <v>0</v>
      </c>
      <c r="R94" s="164">
        <v>0</v>
      </c>
      <c r="S94" s="164">
        <v>0</v>
      </c>
      <c r="T94" s="164">
        <v>0</v>
      </c>
      <c r="U94" s="164">
        <v>0</v>
      </c>
      <c r="V94" s="164">
        <v>0</v>
      </c>
      <c r="W94" s="164">
        <v>0</v>
      </c>
      <c r="X94" s="164">
        <v>0</v>
      </c>
      <c r="Y94" s="164">
        <v>0</v>
      </c>
      <c r="Z94" s="164">
        <v>0</v>
      </c>
      <c r="AA94" s="164">
        <v>9</v>
      </c>
      <c r="AB94" s="164">
        <v>13</v>
      </c>
      <c r="AC94" s="164">
        <v>22</v>
      </c>
    </row>
    <row r="95" spans="1:29">
      <c r="A95" s="188">
        <v>91</v>
      </c>
      <c r="B95" s="178" t="s">
        <v>939</v>
      </c>
      <c r="C95" s="164">
        <v>0</v>
      </c>
      <c r="D95" s="164">
        <v>0</v>
      </c>
      <c r="E95" s="164">
        <v>0</v>
      </c>
      <c r="F95" s="164">
        <v>0</v>
      </c>
      <c r="G95" s="164">
        <v>0</v>
      </c>
      <c r="H95" s="164">
        <v>0</v>
      </c>
      <c r="I95" s="164">
        <v>1</v>
      </c>
      <c r="J95" s="164">
        <v>0</v>
      </c>
      <c r="K95" s="164">
        <v>1</v>
      </c>
      <c r="L95" s="164">
        <v>6</v>
      </c>
      <c r="M95" s="164">
        <v>14</v>
      </c>
      <c r="N95" s="164">
        <v>20</v>
      </c>
      <c r="O95" s="164">
        <v>0</v>
      </c>
      <c r="P95" s="164">
        <v>0</v>
      </c>
      <c r="Q95" s="164">
        <v>0</v>
      </c>
      <c r="R95" s="164">
        <v>0</v>
      </c>
      <c r="S95" s="164">
        <v>0</v>
      </c>
      <c r="T95" s="164">
        <v>0</v>
      </c>
      <c r="U95" s="164">
        <v>0</v>
      </c>
      <c r="V95" s="164">
        <v>0</v>
      </c>
      <c r="W95" s="164">
        <v>0</v>
      </c>
      <c r="X95" s="164">
        <v>0</v>
      </c>
      <c r="Y95" s="164">
        <v>0</v>
      </c>
      <c r="Z95" s="164">
        <v>0</v>
      </c>
      <c r="AA95" s="164">
        <v>7</v>
      </c>
      <c r="AB95" s="164">
        <v>14</v>
      </c>
      <c r="AC95" s="164">
        <v>21</v>
      </c>
    </row>
    <row r="96" spans="1:29">
      <c r="A96" s="188">
        <v>92</v>
      </c>
      <c r="B96" s="178" t="s">
        <v>735</v>
      </c>
      <c r="C96" s="164">
        <v>0</v>
      </c>
      <c r="D96" s="164">
        <v>0</v>
      </c>
      <c r="E96" s="164">
        <v>0</v>
      </c>
      <c r="F96" s="164">
        <v>0</v>
      </c>
      <c r="G96" s="164">
        <v>0</v>
      </c>
      <c r="H96" s="164">
        <v>0</v>
      </c>
      <c r="I96" s="164">
        <v>1</v>
      </c>
      <c r="J96" s="164">
        <v>0</v>
      </c>
      <c r="K96" s="164">
        <v>1</v>
      </c>
      <c r="L96" s="164">
        <v>9</v>
      </c>
      <c r="M96" s="164">
        <v>9</v>
      </c>
      <c r="N96" s="164">
        <v>18</v>
      </c>
      <c r="O96" s="164">
        <v>0</v>
      </c>
      <c r="P96" s="164">
        <v>0</v>
      </c>
      <c r="Q96" s="164">
        <v>0</v>
      </c>
      <c r="R96" s="164">
        <v>0</v>
      </c>
      <c r="S96" s="164">
        <v>0</v>
      </c>
      <c r="T96" s="164">
        <v>0</v>
      </c>
      <c r="U96" s="164">
        <v>0</v>
      </c>
      <c r="V96" s="164">
        <v>0</v>
      </c>
      <c r="W96" s="164">
        <v>0</v>
      </c>
      <c r="X96" s="164">
        <v>1</v>
      </c>
      <c r="Y96" s="164">
        <v>1</v>
      </c>
      <c r="Z96" s="164">
        <v>2</v>
      </c>
      <c r="AA96" s="164">
        <v>11</v>
      </c>
      <c r="AB96" s="164">
        <v>10</v>
      </c>
      <c r="AC96" s="164">
        <v>21</v>
      </c>
    </row>
    <row r="97" spans="1:29" ht="15.75" customHeight="1">
      <c r="A97" s="188">
        <v>93</v>
      </c>
      <c r="B97" s="178" t="s">
        <v>940</v>
      </c>
      <c r="C97" s="164">
        <v>1</v>
      </c>
      <c r="D97" s="164">
        <v>0</v>
      </c>
      <c r="E97" s="164">
        <v>1</v>
      </c>
      <c r="F97" s="164">
        <v>0</v>
      </c>
      <c r="G97" s="164">
        <v>0</v>
      </c>
      <c r="H97" s="164">
        <v>0</v>
      </c>
      <c r="I97" s="164">
        <v>1</v>
      </c>
      <c r="J97" s="164">
        <v>3</v>
      </c>
      <c r="K97" s="164">
        <v>4</v>
      </c>
      <c r="L97" s="164">
        <v>8</v>
      </c>
      <c r="M97" s="164">
        <v>5</v>
      </c>
      <c r="N97" s="164">
        <v>13</v>
      </c>
      <c r="O97" s="164">
        <v>0</v>
      </c>
      <c r="P97" s="164">
        <v>0</v>
      </c>
      <c r="Q97" s="164">
        <v>0</v>
      </c>
      <c r="R97" s="164">
        <v>1</v>
      </c>
      <c r="S97" s="164">
        <v>1</v>
      </c>
      <c r="T97" s="164">
        <v>2</v>
      </c>
      <c r="U97" s="164">
        <v>0</v>
      </c>
      <c r="V97" s="164">
        <v>0</v>
      </c>
      <c r="W97" s="164">
        <v>0</v>
      </c>
      <c r="X97" s="164">
        <v>0</v>
      </c>
      <c r="Y97" s="164">
        <v>0</v>
      </c>
      <c r="Z97" s="164">
        <v>0</v>
      </c>
      <c r="AA97" s="164">
        <v>11</v>
      </c>
      <c r="AB97" s="164">
        <v>9</v>
      </c>
      <c r="AC97" s="164">
        <v>20</v>
      </c>
    </row>
    <row r="98" spans="1:29">
      <c r="A98" s="188">
        <v>94</v>
      </c>
      <c r="B98" s="178" t="s">
        <v>726</v>
      </c>
      <c r="C98" s="164">
        <v>0</v>
      </c>
      <c r="D98" s="164">
        <v>1</v>
      </c>
      <c r="E98" s="164">
        <v>1</v>
      </c>
      <c r="F98" s="164">
        <v>0</v>
      </c>
      <c r="G98" s="164">
        <v>0</v>
      </c>
      <c r="H98" s="164">
        <v>0</v>
      </c>
      <c r="I98" s="164">
        <v>6</v>
      </c>
      <c r="J98" s="164">
        <v>9</v>
      </c>
      <c r="K98" s="164">
        <v>15</v>
      </c>
      <c r="L98" s="164">
        <v>2</v>
      </c>
      <c r="M98" s="164">
        <v>1</v>
      </c>
      <c r="N98" s="164">
        <v>3</v>
      </c>
      <c r="O98" s="164">
        <v>0</v>
      </c>
      <c r="P98" s="164">
        <v>0</v>
      </c>
      <c r="Q98" s="164">
        <v>0</v>
      </c>
      <c r="R98" s="164">
        <v>0</v>
      </c>
      <c r="S98" s="164">
        <v>0</v>
      </c>
      <c r="T98" s="164">
        <v>0</v>
      </c>
      <c r="U98" s="164">
        <v>0</v>
      </c>
      <c r="V98" s="164">
        <v>0</v>
      </c>
      <c r="W98" s="164">
        <v>0</v>
      </c>
      <c r="X98" s="164">
        <v>0</v>
      </c>
      <c r="Y98" s="164">
        <v>0</v>
      </c>
      <c r="Z98" s="164">
        <v>0</v>
      </c>
      <c r="AA98" s="164">
        <v>8</v>
      </c>
      <c r="AB98" s="164">
        <v>11</v>
      </c>
      <c r="AC98" s="164">
        <v>19</v>
      </c>
    </row>
    <row r="99" spans="1:29">
      <c r="A99" s="188">
        <v>95</v>
      </c>
      <c r="B99" s="178" t="s">
        <v>723</v>
      </c>
      <c r="C99" s="164">
        <v>0</v>
      </c>
      <c r="D99" s="164">
        <v>2</v>
      </c>
      <c r="E99" s="164">
        <v>2</v>
      </c>
      <c r="F99" s="164">
        <v>0</v>
      </c>
      <c r="G99" s="164">
        <v>0</v>
      </c>
      <c r="H99" s="164">
        <v>0</v>
      </c>
      <c r="I99" s="164">
        <v>2</v>
      </c>
      <c r="J99" s="164">
        <v>2</v>
      </c>
      <c r="K99" s="164">
        <v>4</v>
      </c>
      <c r="L99" s="164">
        <v>4</v>
      </c>
      <c r="M99" s="164">
        <v>5</v>
      </c>
      <c r="N99" s="164">
        <v>9</v>
      </c>
      <c r="O99" s="164">
        <v>0</v>
      </c>
      <c r="P99" s="164">
        <v>0</v>
      </c>
      <c r="Q99" s="164">
        <v>0</v>
      </c>
      <c r="R99" s="164">
        <v>0</v>
      </c>
      <c r="S99" s="164">
        <v>0</v>
      </c>
      <c r="T99" s="164">
        <v>0</v>
      </c>
      <c r="U99" s="164">
        <v>0</v>
      </c>
      <c r="V99" s="164">
        <v>0</v>
      </c>
      <c r="W99" s="164">
        <v>0</v>
      </c>
      <c r="X99" s="164">
        <v>1</v>
      </c>
      <c r="Y99" s="164">
        <v>2</v>
      </c>
      <c r="Z99" s="164">
        <v>3</v>
      </c>
      <c r="AA99" s="164">
        <v>7</v>
      </c>
      <c r="AB99" s="164">
        <v>11</v>
      </c>
      <c r="AC99" s="164">
        <v>18</v>
      </c>
    </row>
    <row r="100" spans="1:29">
      <c r="A100" s="188">
        <v>96</v>
      </c>
      <c r="B100" s="178" t="s">
        <v>722</v>
      </c>
      <c r="C100" s="164">
        <v>2</v>
      </c>
      <c r="D100" s="164">
        <v>1</v>
      </c>
      <c r="E100" s="164">
        <v>3</v>
      </c>
      <c r="F100" s="164">
        <v>0</v>
      </c>
      <c r="G100" s="164">
        <v>0</v>
      </c>
      <c r="H100" s="164">
        <v>0</v>
      </c>
      <c r="I100" s="164">
        <v>10</v>
      </c>
      <c r="J100" s="164">
        <v>0</v>
      </c>
      <c r="K100" s="164">
        <v>10</v>
      </c>
      <c r="L100" s="164">
        <v>4</v>
      </c>
      <c r="M100" s="164">
        <v>0</v>
      </c>
      <c r="N100" s="164">
        <v>4</v>
      </c>
      <c r="O100" s="164">
        <v>0</v>
      </c>
      <c r="P100" s="164">
        <v>0</v>
      </c>
      <c r="Q100" s="164">
        <v>0</v>
      </c>
      <c r="R100" s="164">
        <v>0</v>
      </c>
      <c r="S100" s="164">
        <v>0</v>
      </c>
      <c r="T100" s="164">
        <v>0</v>
      </c>
      <c r="U100" s="164">
        <v>0</v>
      </c>
      <c r="V100" s="164">
        <v>0</v>
      </c>
      <c r="W100" s="164">
        <v>0</v>
      </c>
      <c r="X100" s="164">
        <v>0</v>
      </c>
      <c r="Y100" s="164">
        <v>0</v>
      </c>
      <c r="Z100" s="164">
        <v>0</v>
      </c>
      <c r="AA100" s="164">
        <v>16</v>
      </c>
      <c r="AB100" s="164">
        <v>1</v>
      </c>
      <c r="AC100" s="164">
        <v>17</v>
      </c>
    </row>
    <row r="101" spans="1:29">
      <c r="A101" s="188">
        <v>97</v>
      </c>
      <c r="B101" s="178" t="s">
        <v>707</v>
      </c>
      <c r="C101" s="164">
        <v>0</v>
      </c>
      <c r="D101" s="164">
        <v>0</v>
      </c>
      <c r="E101" s="164">
        <v>0</v>
      </c>
      <c r="F101" s="164">
        <v>0</v>
      </c>
      <c r="G101" s="164">
        <v>0</v>
      </c>
      <c r="H101" s="164">
        <v>0</v>
      </c>
      <c r="I101" s="164">
        <v>9</v>
      </c>
      <c r="J101" s="164">
        <v>0</v>
      </c>
      <c r="K101" s="164">
        <v>9</v>
      </c>
      <c r="L101" s="164">
        <v>7</v>
      </c>
      <c r="M101" s="164">
        <v>0</v>
      </c>
      <c r="N101" s="164">
        <v>7</v>
      </c>
      <c r="O101" s="164">
        <v>0</v>
      </c>
      <c r="P101" s="164">
        <v>0</v>
      </c>
      <c r="Q101" s="164">
        <v>0</v>
      </c>
      <c r="R101" s="164">
        <v>0</v>
      </c>
      <c r="S101" s="164">
        <v>0</v>
      </c>
      <c r="T101" s="164">
        <v>0</v>
      </c>
      <c r="U101" s="164">
        <v>0</v>
      </c>
      <c r="V101" s="164">
        <v>0</v>
      </c>
      <c r="W101" s="164">
        <v>0</v>
      </c>
      <c r="X101" s="164">
        <v>0</v>
      </c>
      <c r="Y101" s="164">
        <v>0</v>
      </c>
      <c r="Z101" s="164">
        <v>0</v>
      </c>
      <c r="AA101" s="164">
        <v>16</v>
      </c>
      <c r="AB101" s="164">
        <v>0</v>
      </c>
      <c r="AC101" s="164">
        <v>16</v>
      </c>
    </row>
    <row r="102" spans="1:29">
      <c r="A102" s="188">
        <v>98</v>
      </c>
      <c r="B102" s="178" t="s">
        <v>714</v>
      </c>
      <c r="C102" s="164">
        <v>0</v>
      </c>
      <c r="D102" s="164">
        <v>0</v>
      </c>
      <c r="E102" s="164">
        <v>0</v>
      </c>
      <c r="F102" s="164">
        <v>0</v>
      </c>
      <c r="G102" s="164">
        <v>0</v>
      </c>
      <c r="H102" s="164">
        <v>0</v>
      </c>
      <c r="I102" s="164">
        <v>0</v>
      </c>
      <c r="J102" s="164">
        <v>1</v>
      </c>
      <c r="K102" s="164">
        <v>1</v>
      </c>
      <c r="L102" s="164">
        <v>4</v>
      </c>
      <c r="M102" s="164">
        <v>9</v>
      </c>
      <c r="N102" s="164">
        <v>13</v>
      </c>
      <c r="O102" s="164">
        <v>0</v>
      </c>
      <c r="P102" s="164">
        <v>0</v>
      </c>
      <c r="Q102" s="164">
        <v>0</v>
      </c>
      <c r="R102" s="164">
        <v>0</v>
      </c>
      <c r="S102" s="164">
        <v>0</v>
      </c>
      <c r="T102" s="164">
        <v>0</v>
      </c>
      <c r="U102" s="164">
        <v>0</v>
      </c>
      <c r="V102" s="164">
        <v>0</v>
      </c>
      <c r="W102" s="164">
        <v>0</v>
      </c>
      <c r="X102" s="164">
        <v>0</v>
      </c>
      <c r="Y102" s="164">
        <v>1</v>
      </c>
      <c r="Z102" s="164">
        <v>1</v>
      </c>
      <c r="AA102" s="164">
        <v>4</v>
      </c>
      <c r="AB102" s="164">
        <v>11</v>
      </c>
      <c r="AC102" s="164">
        <v>15</v>
      </c>
    </row>
    <row r="103" spans="1:29">
      <c r="A103" s="188">
        <v>99</v>
      </c>
      <c r="B103" s="178" t="s">
        <v>698</v>
      </c>
      <c r="C103" s="164">
        <v>1</v>
      </c>
      <c r="D103" s="164">
        <v>2</v>
      </c>
      <c r="E103" s="164">
        <v>3</v>
      </c>
      <c r="F103" s="164">
        <v>0</v>
      </c>
      <c r="G103" s="164">
        <v>1</v>
      </c>
      <c r="H103" s="164">
        <v>1</v>
      </c>
      <c r="I103" s="164">
        <v>1</v>
      </c>
      <c r="J103" s="164">
        <v>2</v>
      </c>
      <c r="K103" s="164">
        <v>3</v>
      </c>
      <c r="L103" s="164">
        <v>4</v>
      </c>
      <c r="M103" s="164">
        <v>2</v>
      </c>
      <c r="N103" s="164">
        <v>6</v>
      </c>
      <c r="O103" s="164">
        <v>0</v>
      </c>
      <c r="P103" s="164">
        <v>1</v>
      </c>
      <c r="Q103" s="164">
        <v>1</v>
      </c>
      <c r="R103" s="164">
        <v>0</v>
      </c>
      <c r="S103" s="164">
        <v>0</v>
      </c>
      <c r="T103" s="164">
        <v>0</v>
      </c>
      <c r="U103" s="164">
        <v>0</v>
      </c>
      <c r="V103" s="164">
        <v>0</v>
      </c>
      <c r="W103" s="164">
        <v>0</v>
      </c>
      <c r="X103" s="164">
        <v>0</v>
      </c>
      <c r="Y103" s="164">
        <v>0</v>
      </c>
      <c r="Z103" s="164">
        <v>0</v>
      </c>
      <c r="AA103" s="164">
        <v>6</v>
      </c>
      <c r="AB103" s="164">
        <v>8</v>
      </c>
      <c r="AC103" s="164">
        <v>14</v>
      </c>
    </row>
    <row r="104" spans="1:29">
      <c r="A104" s="188">
        <v>100</v>
      </c>
      <c r="B104" s="178" t="s">
        <v>732</v>
      </c>
      <c r="C104" s="164">
        <v>0</v>
      </c>
      <c r="D104" s="164">
        <v>1</v>
      </c>
      <c r="E104" s="164">
        <v>1</v>
      </c>
      <c r="F104" s="164">
        <v>0</v>
      </c>
      <c r="G104" s="164">
        <v>0</v>
      </c>
      <c r="H104" s="164">
        <v>0</v>
      </c>
      <c r="I104" s="164">
        <v>0</v>
      </c>
      <c r="J104" s="164">
        <v>1</v>
      </c>
      <c r="K104" s="164">
        <v>1</v>
      </c>
      <c r="L104" s="164">
        <v>5</v>
      </c>
      <c r="M104" s="164">
        <v>6</v>
      </c>
      <c r="N104" s="164">
        <v>11</v>
      </c>
      <c r="O104" s="164">
        <v>0</v>
      </c>
      <c r="P104" s="164">
        <v>1</v>
      </c>
      <c r="Q104" s="164">
        <v>1</v>
      </c>
      <c r="R104" s="164">
        <v>0</v>
      </c>
      <c r="S104" s="164">
        <v>0</v>
      </c>
      <c r="T104" s="164">
        <v>0</v>
      </c>
      <c r="U104" s="164">
        <v>0</v>
      </c>
      <c r="V104" s="164">
        <v>0</v>
      </c>
      <c r="W104" s="164">
        <v>0</v>
      </c>
      <c r="X104" s="164">
        <v>0</v>
      </c>
      <c r="Y104" s="164">
        <v>0</v>
      </c>
      <c r="Z104" s="164">
        <v>0</v>
      </c>
      <c r="AA104" s="164">
        <v>5</v>
      </c>
      <c r="AB104" s="164">
        <v>9</v>
      </c>
      <c r="AC104" s="164">
        <v>14</v>
      </c>
    </row>
    <row r="105" spans="1:29">
      <c r="A105" s="188">
        <v>101</v>
      </c>
      <c r="B105" s="178" t="s">
        <v>716</v>
      </c>
      <c r="C105" s="164">
        <v>0</v>
      </c>
      <c r="D105" s="164">
        <v>0</v>
      </c>
      <c r="E105" s="164">
        <v>0</v>
      </c>
      <c r="F105" s="164">
        <v>0</v>
      </c>
      <c r="G105" s="164">
        <v>0</v>
      </c>
      <c r="H105" s="164">
        <v>0</v>
      </c>
      <c r="I105" s="164">
        <v>0</v>
      </c>
      <c r="J105" s="164">
        <v>1</v>
      </c>
      <c r="K105" s="164">
        <v>1</v>
      </c>
      <c r="L105" s="164">
        <v>4</v>
      </c>
      <c r="M105" s="164">
        <v>6</v>
      </c>
      <c r="N105" s="164">
        <v>10</v>
      </c>
      <c r="O105" s="164">
        <v>0</v>
      </c>
      <c r="P105" s="164">
        <v>2</v>
      </c>
      <c r="Q105" s="164">
        <v>2</v>
      </c>
      <c r="R105" s="164">
        <v>0</v>
      </c>
      <c r="S105" s="164">
        <v>0</v>
      </c>
      <c r="T105" s="164">
        <v>0</v>
      </c>
      <c r="U105" s="164">
        <v>0</v>
      </c>
      <c r="V105" s="164">
        <v>0</v>
      </c>
      <c r="W105" s="164">
        <v>0</v>
      </c>
      <c r="X105" s="164">
        <v>0</v>
      </c>
      <c r="Y105" s="164">
        <v>0</v>
      </c>
      <c r="Z105" s="164">
        <v>0</v>
      </c>
      <c r="AA105" s="164">
        <v>4</v>
      </c>
      <c r="AB105" s="164">
        <v>9</v>
      </c>
      <c r="AC105" s="164">
        <v>13</v>
      </c>
    </row>
    <row r="106" spans="1:29">
      <c r="A106" s="188">
        <v>102</v>
      </c>
      <c r="B106" s="178" t="s">
        <v>741</v>
      </c>
      <c r="C106" s="164">
        <v>0</v>
      </c>
      <c r="D106" s="164">
        <v>0</v>
      </c>
      <c r="E106" s="164">
        <v>0</v>
      </c>
      <c r="F106" s="164">
        <v>0</v>
      </c>
      <c r="G106" s="164">
        <v>0</v>
      </c>
      <c r="H106" s="164">
        <v>0</v>
      </c>
      <c r="I106" s="164">
        <v>0</v>
      </c>
      <c r="J106" s="164">
        <v>1</v>
      </c>
      <c r="K106" s="164">
        <v>1</v>
      </c>
      <c r="L106" s="164">
        <v>2</v>
      </c>
      <c r="M106" s="164">
        <v>8</v>
      </c>
      <c r="N106" s="164">
        <v>10</v>
      </c>
      <c r="O106" s="164">
        <v>0</v>
      </c>
      <c r="P106" s="164">
        <v>0</v>
      </c>
      <c r="Q106" s="164">
        <v>0</v>
      </c>
      <c r="R106" s="164">
        <v>0</v>
      </c>
      <c r="S106" s="164">
        <v>0</v>
      </c>
      <c r="T106" s="164">
        <v>0</v>
      </c>
      <c r="U106" s="164">
        <v>0</v>
      </c>
      <c r="V106" s="164">
        <v>0</v>
      </c>
      <c r="W106" s="164">
        <v>0</v>
      </c>
      <c r="X106" s="164">
        <v>0</v>
      </c>
      <c r="Y106" s="164">
        <v>0</v>
      </c>
      <c r="Z106" s="164">
        <v>0</v>
      </c>
      <c r="AA106" s="164">
        <v>2</v>
      </c>
      <c r="AB106" s="164">
        <v>9</v>
      </c>
      <c r="AC106" s="164">
        <v>11</v>
      </c>
    </row>
    <row r="107" spans="1:29">
      <c r="A107" s="188">
        <v>103</v>
      </c>
      <c r="B107" s="178" t="s">
        <v>710</v>
      </c>
      <c r="C107" s="164">
        <v>0</v>
      </c>
      <c r="D107" s="164">
        <v>1</v>
      </c>
      <c r="E107" s="164">
        <v>1</v>
      </c>
      <c r="F107" s="164">
        <v>0</v>
      </c>
      <c r="G107" s="164">
        <v>0</v>
      </c>
      <c r="H107" s="164">
        <v>0</v>
      </c>
      <c r="I107" s="164">
        <v>0</v>
      </c>
      <c r="J107" s="164">
        <v>1</v>
      </c>
      <c r="K107" s="164">
        <v>1</v>
      </c>
      <c r="L107" s="164">
        <v>5</v>
      </c>
      <c r="M107" s="164">
        <v>3</v>
      </c>
      <c r="N107" s="164">
        <v>8</v>
      </c>
      <c r="O107" s="164">
        <v>0</v>
      </c>
      <c r="P107" s="164">
        <v>0</v>
      </c>
      <c r="Q107" s="164">
        <v>0</v>
      </c>
      <c r="R107" s="164">
        <v>0</v>
      </c>
      <c r="S107" s="164">
        <v>0</v>
      </c>
      <c r="T107" s="164">
        <v>0</v>
      </c>
      <c r="U107" s="164">
        <v>0</v>
      </c>
      <c r="V107" s="164">
        <v>0</v>
      </c>
      <c r="W107" s="164">
        <v>0</v>
      </c>
      <c r="X107" s="164">
        <v>0</v>
      </c>
      <c r="Y107" s="164">
        <v>0</v>
      </c>
      <c r="Z107" s="164">
        <v>0</v>
      </c>
      <c r="AA107" s="164">
        <v>5</v>
      </c>
      <c r="AB107" s="164">
        <v>5</v>
      </c>
      <c r="AC107" s="164">
        <v>10</v>
      </c>
    </row>
    <row r="108" spans="1:29">
      <c r="A108" s="188">
        <v>104</v>
      </c>
      <c r="B108" s="178" t="s">
        <v>695</v>
      </c>
      <c r="C108" s="164">
        <v>0</v>
      </c>
      <c r="D108" s="164">
        <v>0</v>
      </c>
      <c r="E108" s="164">
        <v>0</v>
      </c>
      <c r="F108" s="164">
        <v>0</v>
      </c>
      <c r="G108" s="164">
        <v>0</v>
      </c>
      <c r="H108" s="164">
        <v>0</v>
      </c>
      <c r="I108" s="164">
        <v>0</v>
      </c>
      <c r="J108" s="164">
        <v>1</v>
      </c>
      <c r="K108" s="164">
        <v>1</v>
      </c>
      <c r="L108" s="164">
        <v>1</v>
      </c>
      <c r="M108" s="164">
        <v>3</v>
      </c>
      <c r="N108" s="164">
        <v>4</v>
      </c>
      <c r="O108" s="164">
        <v>0</v>
      </c>
      <c r="P108" s="164">
        <v>0</v>
      </c>
      <c r="Q108" s="164">
        <v>0</v>
      </c>
      <c r="R108" s="164">
        <v>0</v>
      </c>
      <c r="S108" s="164">
        <v>0</v>
      </c>
      <c r="T108" s="164">
        <v>0</v>
      </c>
      <c r="U108" s="164">
        <v>0</v>
      </c>
      <c r="V108" s="164">
        <v>4</v>
      </c>
      <c r="W108" s="164">
        <v>4</v>
      </c>
      <c r="X108" s="164">
        <v>0</v>
      </c>
      <c r="Y108" s="164">
        <v>0</v>
      </c>
      <c r="Z108" s="164">
        <v>0</v>
      </c>
      <c r="AA108" s="164">
        <v>1</v>
      </c>
      <c r="AB108" s="164">
        <v>8</v>
      </c>
      <c r="AC108" s="164">
        <v>9</v>
      </c>
    </row>
    <row r="109" spans="1:29">
      <c r="A109" s="188">
        <v>105</v>
      </c>
      <c r="B109" s="178" t="s">
        <v>744</v>
      </c>
      <c r="C109" s="164">
        <v>1</v>
      </c>
      <c r="D109" s="164">
        <v>0</v>
      </c>
      <c r="E109" s="164">
        <v>1</v>
      </c>
      <c r="F109" s="164">
        <v>0</v>
      </c>
      <c r="G109" s="164">
        <v>0</v>
      </c>
      <c r="H109" s="164">
        <v>0</v>
      </c>
      <c r="I109" s="164">
        <v>1</v>
      </c>
      <c r="J109" s="164">
        <v>1</v>
      </c>
      <c r="K109" s="164">
        <v>2</v>
      </c>
      <c r="L109" s="164">
        <v>2</v>
      </c>
      <c r="M109" s="164">
        <v>4</v>
      </c>
      <c r="N109" s="164">
        <v>6</v>
      </c>
      <c r="O109" s="164">
        <v>0</v>
      </c>
      <c r="P109" s="164">
        <v>0</v>
      </c>
      <c r="Q109" s="164">
        <v>0</v>
      </c>
      <c r="R109" s="164">
        <v>0</v>
      </c>
      <c r="S109" s="164">
        <v>0</v>
      </c>
      <c r="T109" s="164">
        <v>0</v>
      </c>
      <c r="U109" s="164">
        <v>0</v>
      </c>
      <c r="V109" s="164">
        <v>0</v>
      </c>
      <c r="W109" s="164">
        <v>0</v>
      </c>
      <c r="X109" s="164">
        <v>0</v>
      </c>
      <c r="Y109" s="164">
        <v>0</v>
      </c>
      <c r="Z109" s="164">
        <v>0</v>
      </c>
      <c r="AA109" s="164">
        <v>4</v>
      </c>
      <c r="AB109" s="164">
        <v>5</v>
      </c>
      <c r="AC109" s="164">
        <v>9</v>
      </c>
    </row>
    <row r="110" spans="1:29">
      <c r="A110" s="188">
        <v>106</v>
      </c>
      <c r="B110" s="178" t="s">
        <v>734</v>
      </c>
      <c r="C110" s="164">
        <v>0</v>
      </c>
      <c r="D110" s="164">
        <v>0</v>
      </c>
      <c r="E110" s="164">
        <v>0</v>
      </c>
      <c r="F110" s="164">
        <v>0</v>
      </c>
      <c r="G110" s="164">
        <v>0</v>
      </c>
      <c r="H110" s="164">
        <v>0</v>
      </c>
      <c r="I110" s="164">
        <v>3</v>
      </c>
      <c r="J110" s="164">
        <v>0</v>
      </c>
      <c r="K110" s="164">
        <v>3</v>
      </c>
      <c r="L110" s="164">
        <v>3</v>
      </c>
      <c r="M110" s="164">
        <v>1</v>
      </c>
      <c r="N110" s="164">
        <v>4</v>
      </c>
      <c r="O110" s="164">
        <v>0</v>
      </c>
      <c r="P110" s="164">
        <v>1</v>
      </c>
      <c r="Q110" s="164">
        <v>1</v>
      </c>
      <c r="R110" s="164">
        <v>0</v>
      </c>
      <c r="S110" s="164">
        <v>0</v>
      </c>
      <c r="T110" s="164">
        <v>0</v>
      </c>
      <c r="U110" s="164">
        <v>0</v>
      </c>
      <c r="V110" s="164">
        <v>0</v>
      </c>
      <c r="W110" s="164">
        <v>0</v>
      </c>
      <c r="X110" s="164">
        <v>0</v>
      </c>
      <c r="Y110" s="164">
        <v>0</v>
      </c>
      <c r="Z110" s="164">
        <v>0</v>
      </c>
      <c r="AA110" s="164">
        <v>6</v>
      </c>
      <c r="AB110" s="164">
        <v>2</v>
      </c>
      <c r="AC110" s="164">
        <v>8</v>
      </c>
    </row>
    <row r="111" spans="1:29">
      <c r="A111" s="188">
        <v>107</v>
      </c>
      <c r="B111" s="178" t="s">
        <v>730</v>
      </c>
      <c r="C111" s="164">
        <v>2</v>
      </c>
      <c r="D111" s="164">
        <v>1</v>
      </c>
      <c r="E111" s="164">
        <v>3</v>
      </c>
      <c r="F111" s="164">
        <v>0</v>
      </c>
      <c r="G111" s="164">
        <v>0</v>
      </c>
      <c r="H111" s="164">
        <v>0</v>
      </c>
      <c r="I111" s="164">
        <v>1</v>
      </c>
      <c r="J111" s="164">
        <v>2</v>
      </c>
      <c r="K111" s="164">
        <v>3</v>
      </c>
      <c r="L111" s="164">
        <v>0</v>
      </c>
      <c r="M111" s="164">
        <v>1</v>
      </c>
      <c r="N111" s="164">
        <v>1</v>
      </c>
      <c r="O111" s="164">
        <v>0</v>
      </c>
      <c r="P111" s="164">
        <v>0</v>
      </c>
      <c r="Q111" s="164">
        <v>0</v>
      </c>
      <c r="R111" s="164">
        <v>0</v>
      </c>
      <c r="S111" s="164">
        <v>0</v>
      </c>
      <c r="T111" s="164">
        <v>0</v>
      </c>
      <c r="U111" s="164">
        <v>0</v>
      </c>
      <c r="V111" s="164">
        <v>0</v>
      </c>
      <c r="W111" s="164">
        <v>0</v>
      </c>
      <c r="X111" s="164">
        <v>1</v>
      </c>
      <c r="Y111" s="164">
        <v>0</v>
      </c>
      <c r="Z111" s="164">
        <v>1</v>
      </c>
      <c r="AA111" s="164">
        <v>4</v>
      </c>
      <c r="AB111" s="164">
        <v>4</v>
      </c>
      <c r="AC111" s="164">
        <v>8</v>
      </c>
    </row>
    <row r="112" spans="1:29">
      <c r="A112" s="188">
        <v>108</v>
      </c>
      <c r="B112" s="178" t="s">
        <v>733</v>
      </c>
      <c r="C112" s="164">
        <v>0</v>
      </c>
      <c r="D112" s="164">
        <v>0</v>
      </c>
      <c r="E112" s="164">
        <v>0</v>
      </c>
      <c r="F112" s="164">
        <v>0</v>
      </c>
      <c r="G112" s="164">
        <v>0</v>
      </c>
      <c r="H112" s="164">
        <v>0</v>
      </c>
      <c r="I112" s="164">
        <v>4</v>
      </c>
      <c r="J112" s="164">
        <v>0</v>
      </c>
      <c r="K112" s="164">
        <v>4</v>
      </c>
      <c r="L112" s="164">
        <v>2</v>
      </c>
      <c r="M112" s="164">
        <v>0</v>
      </c>
      <c r="N112" s="164">
        <v>2</v>
      </c>
      <c r="O112" s="164">
        <v>0</v>
      </c>
      <c r="P112" s="164">
        <v>0</v>
      </c>
      <c r="Q112" s="164">
        <v>0</v>
      </c>
      <c r="R112" s="164">
        <v>0</v>
      </c>
      <c r="S112" s="164">
        <v>2</v>
      </c>
      <c r="T112" s="164">
        <v>2</v>
      </c>
      <c r="U112" s="164">
        <v>0</v>
      </c>
      <c r="V112" s="164">
        <v>0</v>
      </c>
      <c r="W112" s="164">
        <v>0</v>
      </c>
      <c r="X112" s="164">
        <v>0</v>
      </c>
      <c r="Y112" s="164">
        <v>0</v>
      </c>
      <c r="Z112" s="164">
        <v>0</v>
      </c>
      <c r="AA112" s="164">
        <v>6</v>
      </c>
      <c r="AB112" s="164">
        <v>2</v>
      </c>
      <c r="AC112" s="164">
        <v>8</v>
      </c>
    </row>
    <row r="113" spans="1:29">
      <c r="A113" s="188">
        <v>109</v>
      </c>
      <c r="B113" s="178" t="s">
        <v>721</v>
      </c>
      <c r="C113" s="164">
        <v>0</v>
      </c>
      <c r="D113" s="164">
        <v>0</v>
      </c>
      <c r="E113" s="164">
        <v>0</v>
      </c>
      <c r="F113" s="164">
        <v>0</v>
      </c>
      <c r="G113" s="164">
        <v>0</v>
      </c>
      <c r="H113" s="164">
        <v>0</v>
      </c>
      <c r="I113" s="164">
        <v>2</v>
      </c>
      <c r="J113" s="164">
        <v>0</v>
      </c>
      <c r="K113" s="164">
        <v>2</v>
      </c>
      <c r="L113" s="164">
        <v>4</v>
      </c>
      <c r="M113" s="164">
        <v>1</v>
      </c>
      <c r="N113" s="164">
        <v>5</v>
      </c>
      <c r="O113" s="164">
        <v>0</v>
      </c>
      <c r="P113" s="164">
        <v>0</v>
      </c>
      <c r="Q113" s="164">
        <v>0</v>
      </c>
      <c r="R113" s="164">
        <v>0</v>
      </c>
      <c r="S113" s="164">
        <v>0</v>
      </c>
      <c r="T113" s="164">
        <v>0</v>
      </c>
      <c r="U113" s="164">
        <v>0</v>
      </c>
      <c r="V113" s="164">
        <v>0</v>
      </c>
      <c r="W113" s="164">
        <v>0</v>
      </c>
      <c r="X113" s="164">
        <v>0</v>
      </c>
      <c r="Y113" s="164">
        <v>1</v>
      </c>
      <c r="Z113" s="164">
        <v>1</v>
      </c>
      <c r="AA113" s="164">
        <v>6</v>
      </c>
      <c r="AB113" s="164">
        <v>2</v>
      </c>
      <c r="AC113" s="164">
        <v>8</v>
      </c>
    </row>
    <row r="114" spans="1:29">
      <c r="A114" s="188">
        <v>110</v>
      </c>
      <c r="B114" s="178" t="s">
        <v>737</v>
      </c>
      <c r="C114" s="164">
        <v>0</v>
      </c>
      <c r="D114" s="164">
        <v>0</v>
      </c>
      <c r="E114" s="164">
        <v>0</v>
      </c>
      <c r="F114" s="164">
        <v>0</v>
      </c>
      <c r="G114" s="164">
        <v>0</v>
      </c>
      <c r="H114" s="164">
        <v>0</v>
      </c>
      <c r="I114" s="164">
        <v>1</v>
      </c>
      <c r="J114" s="164">
        <v>1</v>
      </c>
      <c r="K114" s="164">
        <v>2</v>
      </c>
      <c r="L114" s="164">
        <v>4</v>
      </c>
      <c r="M114" s="164">
        <v>2</v>
      </c>
      <c r="N114" s="164">
        <v>6</v>
      </c>
      <c r="O114" s="164">
        <v>0</v>
      </c>
      <c r="P114" s="164">
        <v>0</v>
      </c>
      <c r="Q114" s="164">
        <v>0</v>
      </c>
      <c r="R114" s="164">
        <v>0</v>
      </c>
      <c r="S114" s="164">
        <v>0</v>
      </c>
      <c r="T114" s="164">
        <v>0</v>
      </c>
      <c r="U114" s="164">
        <v>0</v>
      </c>
      <c r="V114" s="164">
        <v>0</v>
      </c>
      <c r="W114" s="164">
        <v>0</v>
      </c>
      <c r="X114" s="164">
        <v>0</v>
      </c>
      <c r="Y114" s="164">
        <v>0</v>
      </c>
      <c r="Z114" s="164">
        <v>0</v>
      </c>
      <c r="AA114" s="164">
        <v>5</v>
      </c>
      <c r="AB114" s="164">
        <v>3</v>
      </c>
      <c r="AC114" s="164">
        <v>8</v>
      </c>
    </row>
    <row r="115" spans="1:29">
      <c r="A115" s="188">
        <v>111</v>
      </c>
      <c r="B115" s="178" t="s">
        <v>736</v>
      </c>
      <c r="C115" s="164">
        <v>0</v>
      </c>
      <c r="D115" s="164">
        <v>0</v>
      </c>
      <c r="E115" s="164">
        <v>0</v>
      </c>
      <c r="F115" s="164">
        <v>0</v>
      </c>
      <c r="G115" s="164">
        <v>0</v>
      </c>
      <c r="H115" s="164">
        <v>0</v>
      </c>
      <c r="I115" s="164">
        <v>1</v>
      </c>
      <c r="J115" s="164">
        <v>0</v>
      </c>
      <c r="K115" s="164">
        <v>1</v>
      </c>
      <c r="L115" s="164">
        <v>3</v>
      </c>
      <c r="M115" s="164">
        <v>2</v>
      </c>
      <c r="N115" s="164">
        <v>5</v>
      </c>
      <c r="O115" s="164">
        <v>0</v>
      </c>
      <c r="P115" s="164">
        <v>1</v>
      </c>
      <c r="Q115" s="164">
        <v>1</v>
      </c>
      <c r="R115" s="164">
        <v>0</v>
      </c>
      <c r="S115" s="164">
        <v>0</v>
      </c>
      <c r="T115" s="164">
        <v>0</v>
      </c>
      <c r="U115" s="164">
        <v>0</v>
      </c>
      <c r="V115" s="164">
        <v>0</v>
      </c>
      <c r="W115" s="164">
        <v>0</v>
      </c>
      <c r="X115" s="164">
        <v>0</v>
      </c>
      <c r="Y115" s="164">
        <v>0</v>
      </c>
      <c r="Z115" s="164">
        <v>0</v>
      </c>
      <c r="AA115" s="164">
        <v>4</v>
      </c>
      <c r="AB115" s="164">
        <v>3</v>
      </c>
      <c r="AC115" s="164">
        <v>7</v>
      </c>
    </row>
    <row r="116" spans="1:29">
      <c r="A116" s="188">
        <v>112</v>
      </c>
      <c r="B116" s="178" t="s">
        <v>702</v>
      </c>
      <c r="C116" s="164">
        <v>0</v>
      </c>
      <c r="D116" s="164">
        <v>0</v>
      </c>
      <c r="E116" s="164">
        <v>0</v>
      </c>
      <c r="F116" s="164">
        <v>0</v>
      </c>
      <c r="G116" s="164">
        <v>0</v>
      </c>
      <c r="H116" s="164">
        <v>0</v>
      </c>
      <c r="I116" s="164">
        <v>2</v>
      </c>
      <c r="J116" s="164">
        <v>0</v>
      </c>
      <c r="K116" s="164">
        <v>2</v>
      </c>
      <c r="L116" s="164">
        <v>1</v>
      </c>
      <c r="M116" s="164">
        <v>4</v>
      </c>
      <c r="N116" s="164">
        <v>5</v>
      </c>
      <c r="O116" s="164">
        <v>0</v>
      </c>
      <c r="P116" s="164">
        <v>0</v>
      </c>
      <c r="Q116" s="164">
        <v>0</v>
      </c>
      <c r="R116" s="164">
        <v>0</v>
      </c>
      <c r="S116" s="164">
        <v>0</v>
      </c>
      <c r="T116" s="164">
        <v>0</v>
      </c>
      <c r="U116" s="164">
        <v>0</v>
      </c>
      <c r="V116" s="164">
        <v>0</v>
      </c>
      <c r="W116" s="164">
        <v>0</v>
      </c>
      <c r="X116" s="164">
        <v>0</v>
      </c>
      <c r="Y116" s="164">
        <v>0</v>
      </c>
      <c r="Z116" s="164">
        <v>0</v>
      </c>
      <c r="AA116" s="164">
        <v>3</v>
      </c>
      <c r="AB116" s="164">
        <v>4</v>
      </c>
      <c r="AC116" s="164">
        <v>7</v>
      </c>
    </row>
    <row r="117" spans="1:29">
      <c r="A117" s="188">
        <v>113</v>
      </c>
      <c r="B117" s="178" t="s">
        <v>868</v>
      </c>
      <c r="C117" s="164">
        <v>0</v>
      </c>
      <c r="D117" s="164">
        <v>0</v>
      </c>
      <c r="E117" s="164">
        <v>0</v>
      </c>
      <c r="F117" s="164">
        <v>0</v>
      </c>
      <c r="G117" s="164">
        <v>0</v>
      </c>
      <c r="H117" s="164">
        <v>0</v>
      </c>
      <c r="I117" s="164">
        <v>1</v>
      </c>
      <c r="J117" s="164">
        <v>0</v>
      </c>
      <c r="K117" s="164">
        <v>1</v>
      </c>
      <c r="L117" s="164">
        <v>3</v>
      </c>
      <c r="M117" s="164">
        <v>3</v>
      </c>
      <c r="N117" s="164">
        <v>6</v>
      </c>
      <c r="O117" s="164">
        <v>0</v>
      </c>
      <c r="P117" s="164">
        <v>0</v>
      </c>
      <c r="Q117" s="164">
        <v>0</v>
      </c>
      <c r="R117" s="164">
        <v>0</v>
      </c>
      <c r="S117" s="164">
        <v>0</v>
      </c>
      <c r="T117" s="164">
        <v>0</v>
      </c>
      <c r="U117" s="164">
        <v>0</v>
      </c>
      <c r="V117" s="164">
        <v>0</v>
      </c>
      <c r="W117" s="164">
        <v>0</v>
      </c>
      <c r="X117" s="164">
        <v>0</v>
      </c>
      <c r="Y117" s="164">
        <v>0</v>
      </c>
      <c r="Z117" s="164">
        <v>0</v>
      </c>
      <c r="AA117" s="164">
        <v>4</v>
      </c>
      <c r="AB117" s="164">
        <v>3</v>
      </c>
      <c r="AC117" s="164">
        <v>7</v>
      </c>
    </row>
    <row r="118" spans="1:29">
      <c r="A118" s="188">
        <v>114</v>
      </c>
      <c r="B118" s="178" t="s">
        <v>731</v>
      </c>
      <c r="C118" s="164">
        <v>0</v>
      </c>
      <c r="D118" s="164">
        <v>0</v>
      </c>
      <c r="E118" s="164">
        <v>0</v>
      </c>
      <c r="F118" s="164">
        <v>0</v>
      </c>
      <c r="G118" s="164">
        <v>0</v>
      </c>
      <c r="H118" s="164">
        <v>0</v>
      </c>
      <c r="I118" s="164">
        <v>2</v>
      </c>
      <c r="J118" s="164">
        <v>3</v>
      </c>
      <c r="K118" s="164">
        <v>5</v>
      </c>
      <c r="L118" s="164">
        <v>1</v>
      </c>
      <c r="M118" s="164">
        <v>1</v>
      </c>
      <c r="N118" s="164">
        <v>2</v>
      </c>
      <c r="O118" s="164">
        <v>0</v>
      </c>
      <c r="P118" s="164">
        <v>0</v>
      </c>
      <c r="Q118" s="164">
        <v>0</v>
      </c>
      <c r="R118" s="164">
        <v>0</v>
      </c>
      <c r="S118" s="164">
        <v>0</v>
      </c>
      <c r="T118" s="164">
        <v>0</v>
      </c>
      <c r="U118" s="164">
        <v>0</v>
      </c>
      <c r="V118" s="164">
        <v>0</v>
      </c>
      <c r="W118" s="164">
        <v>0</v>
      </c>
      <c r="X118" s="164">
        <v>0</v>
      </c>
      <c r="Y118" s="164">
        <v>0</v>
      </c>
      <c r="Z118" s="164">
        <v>0</v>
      </c>
      <c r="AA118" s="164">
        <v>3</v>
      </c>
      <c r="AB118" s="164">
        <v>4</v>
      </c>
      <c r="AC118" s="164">
        <v>7</v>
      </c>
    </row>
    <row r="119" spans="1:29" ht="16.5" customHeight="1">
      <c r="A119" s="188">
        <v>115</v>
      </c>
      <c r="B119" s="178" t="s">
        <v>941</v>
      </c>
      <c r="C119" s="164">
        <v>0</v>
      </c>
      <c r="D119" s="164">
        <v>0</v>
      </c>
      <c r="E119" s="164">
        <v>0</v>
      </c>
      <c r="F119" s="164">
        <v>0</v>
      </c>
      <c r="G119" s="164">
        <v>0</v>
      </c>
      <c r="H119" s="164">
        <v>0</v>
      </c>
      <c r="I119" s="164">
        <v>0</v>
      </c>
      <c r="J119" s="164">
        <v>0</v>
      </c>
      <c r="K119" s="164">
        <v>0</v>
      </c>
      <c r="L119" s="164">
        <v>5</v>
      </c>
      <c r="M119" s="164">
        <v>2</v>
      </c>
      <c r="N119" s="164">
        <v>7</v>
      </c>
      <c r="O119" s="164">
        <v>0</v>
      </c>
      <c r="P119" s="164">
        <v>0</v>
      </c>
      <c r="Q119" s="164">
        <v>0</v>
      </c>
      <c r="R119" s="164">
        <v>0</v>
      </c>
      <c r="S119" s="164">
        <v>0</v>
      </c>
      <c r="T119" s="164">
        <v>0</v>
      </c>
      <c r="U119" s="164">
        <v>0</v>
      </c>
      <c r="V119" s="164">
        <v>0</v>
      </c>
      <c r="W119" s="164">
        <v>0</v>
      </c>
      <c r="X119" s="164">
        <v>0</v>
      </c>
      <c r="Y119" s="164">
        <v>0</v>
      </c>
      <c r="Z119" s="164">
        <v>0</v>
      </c>
      <c r="AA119" s="164">
        <v>5</v>
      </c>
      <c r="AB119" s="164">
        <v>2</v>
      </c>
      <c r="AC119" s="164">
        <v>7</v>
      </c>
    </row>
    <row r="120" spans="1:29">
      <c r="A120" s="188">
        <v>116</v>
      </c>
      <c r="B120" s="178" t="s">
        <v>738</v>
      </c>
      <c r="C120" s="164">
        <v>0</v>
      </c>
      <c r="D120" s="164">
        <v>0</v>
      </c>
      <c r="E120" s="164">
        <v>0</v>
      </c>
      <c r="F120" s="164">
        <v>0</v>
      </c>
      <c r="G120" s="164">
        <v>0</v>
      </c>
      <c r="H120" s="164">
        <v>0</v>
      </c>
      <c r="I120" s="164">
        <v>0</v>
      </c>
      <c r="J120" s="164">
        <v>1</v>
      </c>
      <c r="K120" s="164">
        <v>1</v>
      </c>
      <c r="L120" s="164">
        <v>3</v>
      </c>
      <c r="M120" s="164">
        <v>2</v>
      </c>
      <c r="N120" s="164">
        <v>5</v>
      </c>
      <c r="O120" s="164">
        <v>0</v>
      </c>
      <c r="P120" s="164">
        <v>0</v>
      </c>
      <c r="Q120" s="164">
        <v>0</v>
      </c>
      <c r="R120" s="164">
        <v>0</v>
      </c>
      <c r="S120" s="164">
        <v>0</v>
      </c>
      <c r="T120" s="164">
        <v>0</v>
      </c>
      <c r="U120" s="164">
        <v>0</v>
      </c>
      <c r="V120" s="164">
        <v>0</v>
      </c>
      <c r="W120" s="164">
        <v>0</v>
      </c>
      <c r="X120" s="164">
        <v>0</v>
      </c>
      <c r="Y120" s="164">
        <v>0</v>
      </c>
      <c r="Z120" s="164">
        <v>0</v>
      </c>
      <c r="AA120" s="164">
        <v>3</v>
      </c>
      <c r="AB120" s="164">
        <v>3</v>
      </c>
      <c r="AC120" s="164">
        <v>6</v>
      </c>
    </row>
    <row r="121" spans="1:29">
      <c r="A121" s="188">
        <v>117</v>
      </c>
      <c r="B121" s="178" t="s">
        <v>715</v>
      </c>
      <c r="C121" s="164">
        <v>0</v>
      </c>
      <c r="D121" s="164">
        <v>0</v>
      </c>
      <c r="E121" s="164">
        <v>0</v>
      </c>
      <c r="F121" s="164">
        <v>0</v>
      </c>
      <c r="G121" s="164">
        <v>0</v>
      </c>
      <c r="H121" s="164">
        <v>0</v>
      </c>
      <c r="I121" s="164">
        <v>1</v>
      </c>
      <c r="J121" s="164">
        <v>1</v>
      </c>
      <c r="K121" s="164">
        <v>2</v>
      </c>
      <c r="L121" s="164">
        <v>3</v>
      </c>
      <c r="M121" s="164">
        <v>1</v>
      </c>
      <c r="N121" s="164">
        <v>4</v>
      </c>
      <c r="O121" s="164">
        <v>0</v>
      </c>
      <c r="P121" s="164">
        <v>0</v>
      </c>
      <c r="Q121" s="164">
        <v>0</v>
      </c>
      <c r="R121" s="164">
        <v>0</v>
      </c>
      <c r="S121" s="164">
        <v>0</v>
      </c>
      <c r="T121" s="164">
        <v>0</v>
      </c>
      <c r="U121" s="164">
        <v>0</v>
      </c>
      <c r="V121" s="164">
        <v>0</v>
      </c>
      <c r="W121" s="164">
        <v>0</v>
      </c>
      <c r="X121" s="164">
        <v>0</v>
      </c>
      <c r="Y121" s="164">
        <v>0</v>
      </c>
      <c r="Z121" s="164">
        <v>0</v>
      </c>
      <c r="AA121" s="164">
        <v>4</v>
      </c>
      <c r="AB121" s="164">
        <v>2</v>
      </c>
      <c r="AC121" s="164">
        <v>6</v>
      </c>
    </row>
    <row r="122" spans="1:29">
      <c r="A122" s="188">
        <v>118</v>
      </c>
      <c r="B122" s="178" t="s">
        <v>745</v>
      </c>
      <c r="C122" s="164">
        <v>0</v>
      </c>
      <c r="D122" s="164">
        <v>0</v>
      </c>
      <c r="E122" s="164">
        <v>0</v>
      </c>
      <c r="F122" s="164">
        <v>0</v>
      </c>
      <c r="G122" s="164">
        <v>0</v>
      </c>
      <c r="H122" s="164">
        <v>0</v>
      </c>
      <c r="I122" s="164">
        <v>1</v>
      </c>
      <c r="J122" s="164">
        <v>1</v>
      </c>
      <c r="K122" s="164">
        <v>2</v>
      </c>
      <c r="L122" s="164">
        <v>1</v>
      </c>
      <c r="M122" s="164">
        <v>3</v>
      </c>
      <c r="N122" s="164">
        <v>4</v>
      </c>
      <c r="O122" s="164">
        <v>0</v>
      </c>
      <c r="P122" s="164">
        <v>0</v>
      </c>
      <c r="Q122" s="164">
        <v>0</v>
      </c>
      <c r="R122" s="164">
        <v>0</v>
      </c>
      <c r="S122" s="164">
        <v>0</v>
      </c>
      <c r="T122" s="164">
        <v>0</v>
      </c>
      <c r="U122" s="164">
        <v>0</v>
      </c>
      <c r="V122" s="164">
        <v>0</v>
      </c>
      <c r="W122" s="164">
        <v>0</v>
      </c>
      <c r="X122" s="164">
        <v>0</v>
      </c>
      <c r="Y122" s="164">
        <v>0</v>
      </c>
      <c r="Z122" s="164">
        <v>0</v>
      </c>
      <c r="AA122" s="164">
        <v>2</v>
      </c>
      <c r="AB122" s="164">
        <v>4</v>
      </c>
      <c r="AC122" s="164">
        <v>6</v>
      </c>
    </row>
    <row r="123" spans="1:29">
      <c r="A123" s="188">
        <v>119</v>
      </c>
      <c r="B123" s="178" t="s">
        <v>761</v>
      </c>
      <c r="C123" s="164">
        <v>0</v>
      </c>
      <c r="D123" s="164">
        <v>0</v>
      </c>
      <c r="E123" s="164">
        <v>0</v>
      </c>
      <c r="F123" s="164">
        <v>0</v>
      </c>
      <c r="G123" s="164">
        <v>0</v>
      </c>
      <c r="H123" s="164">
        <v>0</v>
      </c>
      <c r="I123" s="164">
        <v>2</v>
      </c>
      <c r="J123" s="164">
        <v>0</v>
      </c>
      <c r="K123" s="164">
        <v>2</v>
      </c>
      <c r="L123" s="164">
        <v>3</v>
      </c>
      <c r="M123" s="164">
        <v>0</v>
      </c>
      <c r="N123" s="164">
        <v>3</v>
      </c>
      <c r="O123" s="164">
        <v>0</v>
      </c>
      <c r="P123" s="164">
        <v>0</v>
      </c>
      <c r="Q123" s="164">
        <v>0</v>
      </c>
      <c r="R123" s="164">
        <v>1</v>
      </c>
      <c r="S123" s="164">
        <v>0</v>
      </c>
      <c r="T123" s="164">
        <v>1</v>
      </c>
      <c r="U123" s="164">
        <v>0</v>
      </c>
      <c r="V123" s="164">
        <v>0</v>
      </c>
      <c r="W123" s="164">
        <v>0</v>
      </c>
      <c r="X123" s="164">
        <v>0</v>
      </c>
      <c r="Y123" s="164">
        <v>0</v>
      </c>
      <c r="Z123" s="164">
        <v>0</v>
      </c>
      <c r="AA123" s="164">
        <v>6</v>
      </c>
      <c r="AB123" s="164">
        <v>0</v>
      </c>
      <c r="AC123" s="164">
        <v>6</v>
      </c>
    </row>
    <row r="124" spans="1:29">
      <c r="A124" s="188">
        <v>120</v>
      </c>
      <c r="B124" s="178" t="s">
        <v>727</v>
      </c>
      <c r="C124" s="164">
        <v>0</v>
      </c>
      <c r="D124" s="164">
        <v>0</v>
      </c>
      <c r="E124" s="164">
        <v>0</v>
      </c>
      <c r="F124" s="164">
        <v>0</v>
      </c>
      <c r="G124" s="164">
        <v>0</v>
      </c>
      <c r="H124" s="164">
        <v>0</v>
      </c>
      <c r="I124" s="164">
        <v>1</v>
      </c>
      <c r="J124" s="164">
        <v>1</v>
      </c>
      <c r="K124" s="164">
        <v>2</v>
      </c>
      <c r="L124" s="164">
        <v>3</v>
      </c>
      <c r="M124" s="164">
        <v>0</v>
      </c>
      <c r="N124" s="164">
        <v>3</v>
      </c>
      <c r="O124" s="164">
        <v>0</v>
      </c>
      <c r="P124" s="164">
        <v>0</v>
      </c>
      <c r="Q124" s="164">
        <v>0</v>
      </c>
      <c r="R124" s="164">
        <v>0</v>
      </c>
      <c r="S124" s="164">
        <v>0</v>
      </c>
      <c r="T124" s="164">
        <v>0</v>
      </c>
      <c r="U124" s="164">
        <v>0</v>
      </c>
      <c r="V124" s="164">
        <v>0</v>
      </c>
      <c r="W124" s="164">
        <v>0</v>
      </c>
      <c r="X124" s="164">
        <v>0</v>
      </c>
      <c r="Y124" s="164">
        <v>0</v>
      </c>
      <c r="Z124" s="164">
        <v>0</v>
      </c>
      <c r="AA124" s="164">
        <v>4</v>
      </c>
      <c r="AB124" s="164">
        <v>1</v>
      </c>
      <c r="AC124" s="164">
        <v>5</v>
      </c>
    </row>
    <row r="125" spans="1:29">
      <c r="A125" s="188">
        <v>121</v>
      </c>
      <c r="B125" s="178" t="s">
        <v>725</v>
      </c>
      <c r="C125" s="164">
        <v>0</v>
      </c>
      <c r="D125" s="164">
        <v>0</v>
      </c>
      <c r="E125" s="164">
        <v>0</v>
      </c>
      <c r="F125" s="164">
        <v>0</v>
      </c>
      <c r="G125" s="164">
        <v>0</v>
      </c>
      <c r="H125" s="164">
        <v>0</v>
      </c>
      <c r="I125" s="164">
        <v>0</v>
      </c>
      <c r="J125" s="164">
        <v>2</v>
      </c>
      <c r="K125" s="164">
        <v>2</v>
      </c>
      <c r="L125" s="164">
        <v>3</v>
      </c>
      <c r="M125" s="164">
        <v>0</v>
      </c>
      <c r="N125" s="164">
        <v>3</v>
      </c>
      <c r="O125" s="164">
        <v>0</v>
      </c>
      <c r="P125" s="164">
        <v>0</v>
      </c>
      <c r="Q125" s="164">
        <v>0</v>
      </c>
      <c r="R125" s="164">
        <v>0</v>
      </c>
      <c r="S125" s="164">
        <v>0</v>
      </c>
      <c r="T125" s="164">
        <v>0</v>
      </c>
      <c r="U125" s="164">
        <v>0</v>
      </c>
      <c r="V125" s="164">
        <v>0</v>
      </c>
      <c r="W125" s="164">
        <v>0</v>
      </c>
      <c r="X125" s="164">
        <v>0</v>
      </c>
      <c r="Y125" s="164">
        <v>0</v>
      </c>
      <c r="Z125" s="164">
        <v>0</v>
      </c>
      <c r="AA125" s="164">
        <v>3</v>
      </c>
      <c r="AB125" s="164">
        <v>2</v>
      </c>
      <c r="AC125" s="164">
        <v>5</v>
      </c>
    </row>
    <row r="126" spans="1:29">
      <c r="A126" s="188">
        <v>122</v>
      </c>
      <c r="B126" s="178" t="s">
        <v>762</v>
      </c>
      <c r="C126" s="164">
        <v>2</v>
      </c>
      <c r="D126" s="164">
        <v>0</v>
      </c>
      <c r="E126" s="164">
        <v>2</v>
      </c>
      <c r="F126" s="164">
        <v>0</v>
      </c>
      <c r="G126" s="164">
        <v>0</v>
      </c>
      <c r="H126" s="164">
        <v>0</v>
      </c>
      <c r="I126" s="164">
        <v>0</v>
      </c>
      <c r="J126" s="164">
        <v>0</v>
      </c>
      <c r="K126" s="164">
        <v>0</v>
      </c>
      <c r="L126" s="164">
        <v>2</v>
      </c>
      <c r="M126" s="164">
        <v>1</v>
      </c>
      <c r="N126" s="164">
        <v>3</v>
      </c>
      <c r="O126" s="164">
        <v>0</v>
      </c>
      <c r="P126" s="164">
        <v>0</v>
      </c>
      <c r="Q126" s="164">
        <v>0</v>
      </c>
      <c r="R126" s="164">
        <v>0</v>
      </c>
      <c r="S126" s="164">
        <v>0</v>
      </c>
      <c r="T126" s="164">
        <v>0</v>
      </c>
      <c r="U126" s="164">
        <v>0</v>
      </c>
      <c r="V126" s="164">
        <v>0</v>
      </c>
      <c r="W126" s="164">
        <v>0</v>
      </c>
      <c r="X126" s="164">
        <v>0</v>
      </c>
      <c r="Y126" s="164">
        <v>0</v>
      </c>
      <c r="Z126" s="164">
        <v>0</v>
      </c>
      <c r="AA126" s="164">
        <v>4</v>
      </c>
      <c r="AB126" s="164">
        <v>1</v>
      </c>
      <c r="AC126" s="164">
        <v>5</v>
      </c>
    </row>
    <row r="127" spans="1:29">
      <c r="A127" s="188">
        <v>123</v>
      </c>
      <c r="B127" s="178" t="s">
        <v>759</v>
      </c>
      <c r="C127" s="164">
        <v>0</v>
      </c>
      <c r="D127" s="164">
        <v>0</v>
      </c>
      <c r="E127" s="164">
        <v>0</v>
      </c>
      <c r="F127" s="164">
        <v>0</v>
      </c>
      <c r="G127" s="164">
        <v>0</v>
      </c>
      <c r="H127" s="164">
        <v>0</v>
      </c>
      <c r="I127" s="164">
        <v>1</v>
      </c>
      <c r="J127" s="164">
        <v>0</v>
      </c>
      <c r="K127" s="164">
        <v>1</v>
      </c>
      <c r="L127" s="164">
        <v>3</v>
      </c>
      <c r="M127" s="164">
        <v>1</v>
      </c>
      <c r="N127" s="164">
        <v>4</v>
      </c>
      <c r="O127" s="164">
        <v>0</v>
      </c>
      <c r="P127" s="164">
        <v>0</v>
      </c>
      <c r="Q127" s="164">
        <v>0</v>
      </c>
      <c r="R127" s="164">
        <v>0</v>
      </c>
      <c r="S127" s="164">
        <v>0</v>
      </c>
      <c r="T127" s="164">
        <v>0</v>
      </c>
      <c r="U127" s="164">
        <v>0</v>
      </c>
      <c r="V127" s="164">
        <v>0</v>
      </c>
      <c r="W127" s="164">
        <v>0</v>
      </c>
      <c r="X127" s="164">
        <v>0</v>
      </c>
      <c r="Y127" s="164">
        <v>0</v>
      </c>
      <c r="Z127" s="164">
        <v>0</v>
      </c>
      <c r="AA127" s="164">
        <v>4</v>
      </c>
      <c r="AB127" s="164">
        <v>1</v>
      </c>
      <c r="AC127" s="164">
        <v>5</v>
      </c>
    </row>
    <row r="128" spans="1:29">
      <c r="A128" s="188">
        <v>124</v>
      </c>
      <c r="B128" s="178" t="s">
        <v>942</v>
      </c>
      <c r="C128" s="164">
        <v>0</v>
      </c>
      <c r="D128" s="164">
        <v>0</v>
      </c>
      <c r="E128" s="164">
        <v>0</v>
      </c>
      <c r="F128" s="164">
        <v>0</v>
      </c>
      <c r="G128" s="164">
        <v>0</v>
      </c>
      <c r="H128" s="164">
        <v>0</v>
      </c>
      <c r="I128" s="164">
        <v>0</v>
      </c>
      <c r="J128" s="164">
        <v>0</v>
      </c>
      <c r="K128" s="164">
        <v>0</v>
      </c>
      <c r="L128" s="164">
        <v>0</v>
      </c>
      <c r="M128" s="164">
        <v>0</v>
      </c>
      <c r="N128" s="164">
        <v>0</v>
      </c>
      <c r="O128" s="164">
        <v>0</v>
      </c>
      <c r="P128" s="164">
        <v>0</v>
      </c>
      <c r="Q128" s="164">
        <v>0</v>
      </c>
      <c r="R128" s="164">
        <v>0</v>
      </c>
      <c r="S128" s="164">
        <v>0</v>
      </c>
      <c r="T128" s="164">
        <v>0</v>
      </c>
      <c r="U128" s="164">
        <v>0</v>
      </c>
      <c r="V128" s="164">
        <v>0</v>
      </c>
      <c r="W128" s="164">
        <v>0</v>
      </c>
      <c r="X128" s="164">
        <v>3</v>
      </c>
      <c r="Y128" s="164">
        <v>2</v>
      </c>
      <c r="Z128" s="164">
        <v>5</v>
      </c>
      <c r="AA128" s="164">
        <v>3</v>
      </c>
      <c r="AB128" s="164">
        <v>2</v>
      </c>
      <c r="AC128" s="164">
        <v>5</v>
      </c>
    </row>
    <row r="129" spans="1:29">
      <c r="A129" s="188">
        <v>125</v>
      </c>
      <c r="B129" s="178" t="s">
        <v>752</v>
      </c>
      <c r="C129" s="164">
        <v>0</v>
      </c>
      <c r="D129" s="164">
        <v>0</v>
      </c>
      <c r="E129" s="164">
        <v>0</v>
      </c>
      <c r="F129" s="164">
        <v>0</v>
      </c>
      <c r="G129" s="164">
        <v>0</v>
      </c>
      <c r="H129" s="164">
        <v>0</v>
      </c>
      <c r="I129" s="164">
        <v>0</v>
      </c>
      <c r="J129" s="164">
        <v>0</v>
      </c>
      <c r="K129" s="164">
        <v>0</v>
      </c>
      <c r="L129" s="164">
        <v>4</v>
      </c>
      <c r="M129" s="164">
        <v>0</v>
      </c>
      <c r="N129" s="164">
        <v>4</v>
      </c>
      <c r="O129" s="164">
        <v>0</v>
      </c>
      <c r="P129" s="164">
        <v>0</v>
      </c>
      <c r="Q129" s="164">
        <v>0</v>
      </c>
      <c r="R129" s="164">
        <v>0</v>
      </c>
      <c r="S129" s="164">
        <v>0</v>
      </c>
      <c r="T129" s="164">
        <v>0</v>
      </c>
      <c r="U129" s="164">
        <v>0</v>
      </c>
      <c r="V129" s="164">
        <v>0</v>
      </c>
      <c r="W129" s="164">
        <v>0</v>
      </c>
      <c r="X129" s="164">
        <v>0</v>
      </c>
      <c r="Y129" s="164">
        <v>0</v>
      </c>
      <c r="Z129" s="164">
        <v>0</v>
      </c>
      <c r="AA129" s="164">
        <v>4</v>
      </c>
      <c r="AB129" s="164">
        <v>0</v>
      </c>
      <c r="AC129" s="164">
        <v>4</v>
      </c>
    </row>
    <row r="130" spans="1:29">
      <c r="A130" s="188">
        <v>126</v>
      </c>
      <c r="B130" s="178" t="s">
        <v>739</v>
      </c>
      <c r="C130" s="164">
        <v>0</v>
      </c>
      <c r="D130" s="164">
        <v>2</v>
      </c>
      <c r="E130" s="164">
        <v>2</v>
      </c>
      <c r="F130" s="164">
        <v>0</v>
      </c>
      <c r="G130" s="164">
        <v>0</v>
      </c>
      <c r="H130" s="164">
        <v>0</v>
      </c>
      <c r="I130" s="164">
        <v>0</v>
      </c>
      <c r="J130" s="164">
        <v>1</v>
      </c>
      <c r="K130" s="164">
        <v>1</v>
      </c>
      <c r="L130" s="164">
        <v>0</v>
      </c>
      <c r="M130" s="164">
        <v>1</v>
      </c>
      <c r="N130" s="164">
        <v>1</v>
      </c>
      <c r="O130" s="164">
        <v>0</v>
      </c>
      <c r="P130" s="164">
        <v>0</v>
      </c>
      <c r="Q130" s="164">
        <v>0</v>
      </c>
      <c r="R130" s="164">
        <v>0</v>
      </c>
      <c r="S130" s="164">
        <v>0</v>
      </c>
      <c r="T130" s="164">
        <v>0</v>
      </c>
      <c r="U130" s="164">
        <v>0</v>
      </c>
      <c r="V130" s="164">
        <v>0</v>
      </c>
      <c r="W130" s="164">
        <v>0</v>
      </c>
      <c r="X130" s="164">
        <v>0</v>
      </c>
      <c r="Y130" s="164">
        <v>0</v>
      </c>
      <c r="Z130" s="164">
        <v>0</v>
      </c>
      <c r="AA130" s="164">
        <v>0</v>
      </c>
      <c r="AB130" s="164">
        <v>4</v>
      </c>
      <c r="AC130" s="164">
        <v>4</v>
      </c>
    </row>
    <row r="131" spans="1:29">
      <c r="A131" s="188">
        <v>127</v>
      </c>
      <c r="B131" s="178" t="s">
        <v>751</v>
      </c>
      <c r="C131" s="164">
        <v>0</v>
      </c>
      <c r="D131" s="164">
        <v>0</v>
      </c>
      <c r="E131" s="164">
        <v>0</v>
      </c>
      <c r="F131" s="164">
        <v>0</v>
      </c>
      <c r="G131" s="164">
        <v>0</v>
      </c>
      <c r="H131" s="164">
        <v>0</v>
      </c>
      <c r="I131" s="164">
        <v>0</v>
      </c>
      <c r="J131" s="164">
        <v>0</v>
      </c>
      <c r="K131" s="164">
        <v>0</v>
      </c>
      <c r="L131" s="164">
        <v>3</v>
      </c>
      <c r="M131" s="164">
        <v>1</v>
      </c>
      <c r="N131" s="164">
        <v>4</v>
      </c>
      <c r="O131" s="164">
        <v>0</v>
      </c>
      <c r="P131" s="164">
        <v>0</v>
      </c>
      <c r="Q131" s="164">
        <v>0</v>
      </c>
      <c r="R131" s="164">
        <v>0</v>
      </c>
      <c r="S131" s="164">
        <v>0</v>
      </c>
      <c r="T131" s="164">
        <v>0</v>
      </c>
      <c r="U131" s="164">
        <v>0</v>
      </c>
      <c r="V131" s="164">
        <v>0</v>
      </c>
      <c r="W131" s="164">
        <v>0</v>
      </c>
      <c r="X131" s="164">
        <v>0</v>
      </c>
      <c r="Y131" s="164">
        <v>0</v>
      </c>
      <c r="Z131" s="164">
        <v>0</v>
      </c>
      <c r="AA131" s="164">
        <v>3</v>
      </c>
      <c r="AB131" s="164">
        <v>1</v>
      </c>
      <c r="AC131" s="164">
        <v>4</v>
      </c>
    </row>
    <row r="132" spans="1:29">
      <c r="A132" s="188">
        <v>128</v>
      </c>
      <c r="B132" s="178" t="s">
        <v>748</v>
      </c>
      <c r="C132" s="164">
        <v>2</v>
      </c>
      <c r="D132" s="164">
        <v>0</v>
      </c>
      <c r="E132" s="164">
        <v>2</v>
      </c>
      <c r="F132" s="164">
        <v>0</v>
      </c>
      <c r="G132" s="164">
        <v>0</v>
      </c>
      <c r="H132" s="164">
        <v>0</v>
      </c>
      <c r="I132" s="164">
        <v>1</v>
      </c>
      <c r="J132" s="164">
        <v>1</v>
      </c>
      <c r="K132" s="164">
        <v>2</v>
      </c>
      <c r="L132" s="164">
        <v>0</v>
      </c>
      <c r="M132" s="164">
        <v>0</v>
      </c>
      <c r="N132" s="164">
        <v>0</v>
      </c>
      <c r="O132" s="164">
        <v>0</v>
      </c>
      <c r="P132" s="164">
        <v>0</v>
      </c>
      <c r="Q132" s="164">
        <v>0</v>
      </c>
      <c r="R132" s="164">
        <v>0</v>
      </c>
      <c r="S132" s="164">
        <v>0</v>
      </c>
      <c r="T132" s="164">
        <v>0</v>
      </c>
      <c r="U132" s="164">
        <v>0</v>
      </c>
      <c r="V132" s="164">
        <v>0</v>
      </c>
      <c r="W132" s="164">
        <v>0</v>
      </c>
      <c r="X132" s="164">
        <v>0</v>
      </c>
      <c r="Y132" s="164">
        <v>0</v>
      </c>
      <c r="Z132" s="164">
        <v>0</v>
      </c>
      <c r="AA132" s="164">
        <v>3</v>
      </c>
      <c r="AB132" s="164">
        <v>1</v>
      </c>
      <c r="AC132" s="164">
        <v>4</v>
      </c>
    </row>
    <row r="133" spans="1:29">
      <c r="A133" s="188">
        <v>129</v>
      </c>
      <c r="B133" s="178" t="s">
        <v>742</v>
      </c>
      <c r="C133" s="164">
        <v>0</v>
      </c>
      <c r="D133" s="164">
        <v>2</v>
      </c>
      <c r="E133" s="164">
        <v>2</v>
      </c>
      <c r="F133" s="164">
        <v>0</v>
      </c>
      <c r="G133" s="164">
        <v>0</v>
      </c>
      <c r="H133" s="164">
        <v>0</v>
      </c>
      <c r="I133" s="164">
        <v>0</v>
      </c>
      <c r="J133" s="164">
        <v>0</v>
      </c>
      <c r="K133" s="164">
        <v>0</v>
      </c>
      <c r="L133" s="164">
        <v>1</v>
      </c>
      <c r="M133" s="164">
        <v>1</v>
      </c>
      <c r="N133" s="164">
        <v>2</v>
      </c>
      <c r="O133" s="164">
        <v>0</v>
      </c>
      <c r="P133" s="164">
        <v>0</v>
      </c>
      <c r="Q133" s="164">
        <v>0</v>
      </c>
      <c r="R133" s="164">
        <v>0</v>
      </c>
      <c r="S133" s="164">
        <v>0</v>
      </c>
      <c r="T133" s="164">
        <v>0</v>
      </c>
      <c r="U133" s="164">
        <v>0</v>
      </c>
      <c r="V133" s="164">
        <v>0</v>
      </c>
      <c r="W133" s="164">
        <v>0</v>
      </c>
      <c r="X133" s="164">
        <v>0</v>
      </c>
      <c r="Y133" s="164">
        <v>0</v>
      </c>
      <c r="Z133" s="164">
        <v>0</v>
      </c>
      <c r="AA133" s="164">
        <v>1</v>
      </c>
      <c r="AB133" s="164">
        <v>3</v>
      </c>
      <c r="AC133" s="164">
        <v>4</v>
      </c>
    </row>
    <row r="134" spans="1:29">
      <c r="A134" s="188">
        <v>130</v>
      </c>
      <c r="B134" s="178" t="s">
        <v>943</v>
      </c>
      <c r="C134" s="164">
        <v>0</v>
      </c>
      <c r="D134" s="164">
        <v>0</v>
      </c>
      <c r="E134" s="164">
        <v>0</v>
      </c>
      <c r="F134" s="164">
        <v>0</v>
      </c>
      <c r="G134" s="164">
        <v>0</v>
      </c>
      <c r="H134" s="164">
        <v>0</v>
      </c>
      <c r="I134" s="164">
        <v>0</v>
      </c>
      <c r="J134" s="164">
        <v>0</v>
      </c>
      <c r="K134" s="164">
        <v>0</v>
      </c>
      <c r="L134" s="164">
        <v>4</v>
      </c>
      <c r="M134" s="164">
        <v>0</v>
      </c>
      <c r="N134" s="164">
        <v>4</v>
      </c>
      <c r="O134" s="164">
        <v>0</v>
      </c>
      <c r="P134" s="164">
        <v>0</v>
      </c>
      <c r="Q134" s="164">
        <v>0</v>
      </c>
      <c r="R134" s="164">
        <v>0</v>
      </c>
      <c r="S134" s="164">
        <v>0</v>
      </c>
      <c r="T134" s="164">
        <v>0</v>
      </c>
      <c r="U134" s="164">
        <v>0</v>
      </c>
      <c r="V134" s="164">
        <v>0</v>
      </c>
      <c r="W134" s="164">
        <v>0</v>
      </c>
      <c r="X134" s="164">
        <v>0</v>
      </c>
      <c r="Y134" s="164">
        <v>0</v>
      </c>
      <c r="Z134" s="164">
        <v>0</v>
      </c>
      <c r="AA134" s="164">
        <v>4</v>
      </c>
      <c r="AB134" s="164">
        <v>0</v>
      </c>
      <c r="AC134" s="164">
        <v>4</v>
      </c>
    </row>
    <row r="135" spans="1:29">
      <c r="A135" s="188">
        <v>131</v>
      </c>
      <c r="B135" s="178" t="s">
        <v>870</v>
      </c>
      <c r="C135" s="164">
        <v>0</v>
      </c>
      <c r="D135" s="164">
        <v>0</v>
      </c>
      <c r="E135" s="164">
        <v>0</v>
      </c>
      <c r="F135" s="164">
        <v>0</v>
      </c>
      <c r="G135" s="164">
        <v>0</v>
      </c>
      <c r="H135" s="164">
        <v>0</v>
      </c>
      <c r="I135" s="164">
        <v>1</v>
      </c>
      <c r="J135" s="164">
        <v>1</v>
      </c>
      <c r="K135" s="164">
        <v>2</v>
      </c>
      <c r="L135" s="164">
        <v>1</v>
      </c>
      <c r="M135" s="164">
        <v>0</v>
      </c>
      <c r="N135" s="164">
        <v>1</v>
      </c>
      <c r="O135" s="164">
        <v>0</v>
      </c>
      <c r="P135" s="164">
        <v>0</v>
      </c>
      <c r="Q135" s="164">
        <v>0</v>
      </c>
      <c r="R135" s="164">
        <v>0</v>
      </c>
      <c r="S135" s="164">
        <v>0</v>
      </c>
      <c r="T135" s="164">
        <v>0</v>
      </c>
      <c r="U135" s="164">
        <v>0</v>
      </c>
      <c r="V135" s="164">
        <v>0</v>
      </c>
      <c r="W135" s="164">
        <v>0</v>
      </c>
      <c r="X135" s="164">
        <v>0</v>
      </c>
      <c r="Y135" s="164">
        <v>0</v>
      </c>
      <c r="Z135" s="164">
        <v>0</v>
      </c>
      <c r="AA135" s="164">
        <v>2</v>
      </c>
      <c r="AB135" s="164">
        <v>1</v>
      </c>
      <c r="AC135" s="164">
        <v>3</v>
      </c>
    </row>
    <row r="136" spans="1:29">
      <c r="A136" s="188">
        <v>132</v>
      </c>
      <c r="B136" s="178" t="s">
        <v>760</v>
      </c>
      <c r="C136" s="164">
        <v>0</v>
      </c>
      <c r="D136" s="164">
        <v>0</v>
      </c>
      <c r="E136" s="164">
        <v>0</v>
      </c>
      <c r="F136" s="164">
        <v>0</v>
      </c>
      <c r="G136" s="164">
        <v>0</v>
      </c>
      <c r="H136" s="164">
        <v>0</v>
      </c>
      <c r="I136" s="164">
        <v>0</v>
      </c>
      <c r="J136" s="164">
        <v>0</v>
      </c>
      <c r="K136" s="164">
        <v>0</v>
      </c>
      <c r="L136" s="164">
        <v>3</v>
      </c>
      <c r="M136" s="164">
        <v>0</v>
      </c>
      <c r="N136" s="164">
        <v>3</v>
      </c>
      <c r="O136" s="164">
        <v>0</v>
      </c>
      <c r="P136" s="164">
        <v>0</v>
      </c>
      <c r="Q136" s="164">
        <v>0</v>
      </c>
      <c r="R136" s="164">
        <v>0</v>
      </c>
      <c r="S136" s="164">
        <v>0</v>
      </c>
      <c r="T136" s="164">
        <v>0</v>
      </c>
      <c r="U136" s="164">
        <v>0</v>
      </c>
      <c r="V136" s="164">
        <v>0</v>
      </c>
      <c r="W136" s="164">
        <v>0</v>
      </c>
      <c r="X136" s="164">
        <v>0</v>
      </c>
      <c r="Y136" s="164">
        <v>0</v>
      </c>
      <c r="Z136" s="164">
        <v>0</v>
      </c>
      <c r="AA136" s="164">
        <v>3</v>
      </c>
      <c r="AB136" s="164">
        <v>0</v>
      </c>
      <c r="AC136" s="164">
        <v>3</v>
      </c>
    </row>
    <row r="137" spans="1:29">
      <c r="A137" s="188">
        <v>133</v>
      </c>
      <c r="B137" s="178" t="s">
        <v>944</v>
      </c>
      <c r="C137" s="164">
        <v>0</v>
      </c>
      <c r="D137" s="164">
        <v>0</v>
      </c>
      <c r="E137" s="164">
        <v>0</v>
      </c>
      <c r="F137" s="164">
        <v>0</v>
      </c>
      <c r="G137" s="164">
        <v>0</v>
      </c>
      <c r="H137" s="164">
        <v>0</v>
      </c>
      <c r="I137" s="164">
        <v>1</v>
      </c>
      <c r="J137" s="164">
        <v>2</v>
      </c>
      <c r="K137" s="164">
        <v>3</v>
      </c>
      <c r="L137" s="164">
        <v>0</v>
      </c>
      <c r="M137" s="164">
        <v>0</v>
      </c>
      <c r="N137" s="164">
        <v>0</v>
      </c>
      <c r="O137" s="164">
        <v>0</v>
      </c>
      <c r="P137" s="164">
        <v>0</v>
      </c>
      <c r="Q137" s="164">
        <v>0</v>
      </c>
      <c r="R137" s="164">
        <v>0</v>
      </c>
      <c r="S137" s="164">
        <v>0</v>
      </c>
      <c r="T137" s="164">
        <v>0</v>
      </c>
      <c r="U137" s="164">
        <v>0</v>
      </c>
      <c r="V137" s="164">
        <v>0</v>
      </c>
      <c r="W137" s="164">
        <v>0</v>
      </c>
      <c r="X137" s="164">
        <v>0</v>
      </c>
      <c r="Y137" s="164">
        <v>0</v>
      </c>
      <c r="Z137" s="164">
        <v>0</v>
      </c>
      <c r="AA137" s="164">
        <v>1</v>
      </c>
      <c r="AB137" s="164">
        <v>2</v>
      </c>
      <c r="AC137" s="164">
        <v>3</v>
      </c>
    </row>
    <row r="138" spans="1:29">
      <c r="A138" s="188">
        <v>134</v>
      </c>
      <c r="B138" s="178" t="s">
        <v>945</v>
      </c>
      <c r="C138" s="164">
        <v>0</v>
      </c>
      <c r="D138" s="164">
        <v>0</v>
      </c>
      <c r="E138" s="164">
        <v>0</v>
      </c>
      <c r="F138" s="164">
        <v>0</v>
      </c>
      <c r="G138" s="164">
        <v>0</v>
      </c>
      <c r="H138" s="164">
        <v>0</v>
      </c>
      <c r="I138" s="164">
        <v>0</v>
      </c>
      <c r="J138" s="164">
        <v>0</v>
      </c>
      <c r="K138" s="164">
        <v>0</v>
      </c>
      <c r="L138" s="164">
        <v>0</v>
      </c>
      <c r="M138" s="164">
        <v>3</v>
      </c>
      <c r="N138" s="164">
        <v>3</v>
      </c>
      <c r="O138" s="164">
        <v>0</v>
      </c>
      <c r="P138" s="164">
        <v>0</v>
      </c>
      <c r="Q138" s="164">
        <v>0</v>
      </c>
      <c r="R138" s="164">
        <v>0</v>
      </c>
      <c r="S138" s="164">
        <v>0</v>
      </c>
      <c r="T138" s="164">
        <v>0</v>
      </c>
      <c r="U138" s="164">
        <v>0</v>
      </c>
      <c r="V138" s="164">
        <v>0</v>
      </c>
      <c r="W138" s="164">
        <v>0</v>
      </c>
      <c r="X138" s="164">
        <v>0</v>
      </c>
      <c r="Y138" s="164">
        <v>0</v>
      </c>
      <c r="Z138" s="164">
        <v>0</v>
      </c>
      <c r="AA138" s="164">
        <v>0</v>
      </c>
      <c r="AB138" s="164">
        <v>3</v>
      </c>
      <c r="AC138" s="164">
        <v>3</v>
      </c>
    </row>
    <row r="139" spans="1:29">
      <c r="A139" s="188">
        <v>135</v>
      </c>
      <c r="B139" s="178" t="s">
        <v>749</v>
      </c>
      <c r="C139" s="164">
        <v>0</v>
      </c>
      <c r="D139" s="164">
        <v>0</v>
      </c>
      <c r="E139" s="164">
        <v>0</v>
      </c>
      <c r="F139" s="164">
        <v>0</v>
      </c>
      <c r="G139" s="164">
        <v>0</v>
      </c>
      <c r="H139" s="164">
        <v>0</v>
      </c>
      <c r="I139" s="164">
        <v>0</v>
      </c>
      <c r="J139" s="164">
        <v>1</v>
      </c>
      <c r="K139" s="164">
        <v>1</v>
      </c>
      <c r="L139" s="164">
        <v>0</v>
      </c>
      <c r="M139" s="164">
        <v>2</v>
      </c>
      <c r="N139" s="164">
        <v>2</v>
      </c>
      <c r="O139" s="164">
        <v>0</v>
      </c>
      <c r="P139" s="164">
        <v>0</v>
      </c>
      <c r="Q139" s="164">
        <v>0</v>
      </c>
      <c r="R139" s="164">
        <v>0</v>
      </c>
      <c r="S139" s="164">
        <v>0</v>
      </c>
      <c r="T139" s="164">
        <v>0</v>
      </c>
      <c r="U139" s="164">
        <v>0</v>
      </c>
      <c r="V139" s="164">
        <v>0</v>
      </c>
      <c r="W139" s="164">
        <v>0</v>
      </c>
      <c r="X139" s="164">
        <v>0</v>
      </c>
      <c r="Y139" s="164">
        <v>0</v>
      </c>
      <c r="Z139" s="164">
        <v>0</v>
      </c>
      <c r="AA139" s="164">
        <v>0</v>
      </c>
      <c r="AB139" s="164">
        <v>3</v>
      </c>
      <c r="AC139" s="164">
        <v>3</v>
      </c>
    </row>
    <row r="140" spans="1:29">
      <c r="A140" s="188">
        <v>136</v>
      </c>
      <c r="B140" s="178" t="s">
        <v>946</v>
      </c>
      <c r="C140" s="164">
        <v>0</v>
      </c>
      <c r="D140" s="164">
        <v>0</v>
      </c>
      <c r="E140" s="164">
        <v>0</v>
      </c>
      <c r="F140" s="164">
        <v>0</v>
      </c>
      <c r="G140" s="164">
        <v>0</v>
      </c>
      <c r="H140" s="164">
        <v>0</v>
      </c>
      <c r="I140" s="164">
        <v>1</v>
      </c>
      <c r="J140" s="164">
        <v>1</v>
      </c>
      <c r="K140" s="164">
        <v>2</v>
      </c>
      <c r="L140" s="164">
        <v>1</v>
      </c>
      <c r="M140" s="164">
        <v>0</v>
      </c>
      <c r="N140" s="164">
        <v>1</v>
      </c>
      <c r="O140" s="164">
        <v>0</v>
      </c>
      <c r="P140" s="164">
        <v>0</v>
      </c>
      <c r="Q140" s="164">
        <v>0</v>
      </c>
      <c r="R140" s="164">
        <v>0</v>
      </c>
      <c r="S140" s="164">
        <v>0</v>
      </c>
      <c r="T140" s="164">
        <v>0</v>
      </c>
      <c r="U140" s="164">
        <v>0</v>
      </c>
      <c r="V140" s="164">
        <v>0</v>
      </c>
      <c r="W140" s="164">
        <v>0</v>
      </c>
      <c r="X140" s="164">
        <v>0</v>
      </c>
      <c r="Y140" s="164">
        <v>0</v>
      </c>
      <c r="Z140" s="164">
        <v>0</v>
      </c>
      <c r="AA140" s="164">
        <v>2</v>
      </c>
      <c r="AB140" s="164">
        <v>1</v>
      </c>
      <c r="AC140" s="164">
        <v>3</v>
      </c>
    </row>
    <row r="141" spans="1:29">
      <c r="A141" s="188">
        <v>137</v>
      </c>
      <c r="B141" s="178" t="s">
        <v>947</v>
      </c>
      <c r="C141" s="164">
        <v>0</v>
      </c>
      <c r="D141" s="164">
        <v>0</v>
      </c>
      <c r="E141" s="164">
        <v>0</v>
      </c>
      <c r="F141" s="164">
        <v>0</v>
      </c>
      <c r="G141" s="164">
        <v>0</v>
      </c>
      <c r="H141" s="164">
        <v>0</v>
      </c>
      <c r="I141" s="164">
        <v>0</v>
      </c>
      <c r="J141" s="164">
        <v>0</v>
      </c>
      <c r="K141" s="164">
        <v>0</v>
      </c>
      <c r="L141" s="164">
        <v>1</v>
      </c>
      <c r="M141" s="164">
        <v>2</v>
      </c>
      <c r="N141" s="164">
        <v>3</v>
      </c>
      <c r="O141" s="164">
        <v>0</v>
      </c>
      <c r="P141" s="164">
        <v>0</v>
      </c>
      <c r="Q141" s="164">
        <v>0</v>
      </c>
      <c r="R141" s="164">
        <v>0</v>
      </c>
      <c r="S141" s="164">
        <v>0</v>
      </c>
      <c r="T141" s="164">
        <v>0</v>
      </c>
      <c r="U141" s="164">
        <v>0</v>
      </c>
      <c r="V141" s="164">
        <v>0</v>
      </c>
      <c r="W141" s="164">
        <v>0</v>
      </c>
      <c r="X141" s="164">
        <v>0</v>
      </c>
      <c r="Y141" s="164">
        <v>0</v>
      </c>
      <c r="Z141" s="164">
        <v>0</v>
      </c>
      <c r="AA141" s="164">
        <v>1</v>
      </c>
      <c r="AB141" s="164">
        <v>2</v>
      </c>
      <c r="AC141" s="164">
        <v>3</v>
      </c>
    </row>
    <row r="142" spans="1:29">
      <c r="A142" s="188">
        <v>138</v>
      </c>
      <c r="B142" s="178" t="s">
        <v>753</v>
      </c>
      <c r="C142" s="164">
        <v>0</v>
      </c>
      <c r="D142" s="164">
        <v>2</v>
      </c>
      <c r="E142" s="164">
        <v>2</v>
      </c>
      <c r="F142" s="164">
        <v>0</v>
      </c>
      <c r="G142" s="164">
        <v>0</v>
      </c>
      <c r="H142" s="164">
        <v>0</v>
      </c>
      <c r="I142" s="164">
        <v>0</v>
      </c>
      <c r="J142" s="164">
        <v>1</v>
      </c>
      <c r="K142" s="164">
        <v>1</v>
      </c>
      <c r="L142" s="164">
        <v>0</v>
      </c>
      <c r="M142" s="164">
        <v>0</v>
      </c>
      <c r="N142" s="164">
        <v>0</v>
      </c>
      <c r="O142" s="164">
        <v>0</v>
      </c>
      <c r="P142" s="164">
        <v>0</v>
      </c>
      <c r="Q142" s="164">
        <v>0</v>
      </c>
      <c r="R142" s="164">
        <v>0</v>
      </c>
      <c r="S142" s="164">
        <v>0</v>
      </c>
      <c r="T142" s="164">
        <v>0</v>
      </c>
      <c r="U142" s="164">
        <v>0</v>
      </c>
      <c r="V142" s="164">
        <v>0</v>
      </c>
      <c r="W142" s="164">
        <v>0</v>
      </c>
      <c r="X142" s="164">
        <v>0</v>
      </c>
      <c r="Y142" s="164">
        <v>0</v>
      </c>
      <c r="Z142" s="164">
        <v>0</v>
      </c>
      <c r="AA142" s="164">
        <v>0</v>
      </c>
      <c r="AB142" s="164">
        <v>3</v>
      </c>
      <c r="AC142" s="164">
        <v>3</v>
      </c>
    </row>
    <row r="143" spans="1:29">
      <c r="A143" s="188">
        <v>139</v>
      </c>
      <c r="B143" s="178" t="s">
        <v>754</v>
      </c>
      <c r="C143" s="164">
        <v>0</v>
      </c>
      <c r="D143" s="164">
        <v>0</v>
      </c>
      <c r="E143" s="164">
        <v>0</v>
      </c>
      <c r="F143" s="164">
        <v>0</v>
      </c>
      <c r="G143" s="164">
        <v>0</v>
      </c>
      <c r="H143" s="164">
        <v>0</v>
      </c>
      <c r="I143" s="164">
        <v>0</v>
      </c>
      <c r="J143" s="164">
        <v>2</v>
      </c>
      <c r="K143" s="164">
        <v>2</v>
      </c>
      <c r="L143" s="164">
        <v>1</v>
      </c>
      <c r="M143" s="164">
        <v>0</v>
      </c>
      <c r="N143" s="164">
        <v>1</v>
      </c>
      <c r="O143" s="164">
        <v>0</v>
      </c>
      <c r="P143" s="164">
        <v>0</v>
      </c>
      <c r="Q143" s="164">
        <v>0</v>
      </c>
      <c r="R143" s="164">
        <v>0</v>
      </c>
      <c r="S143" s="164">
        <v>0</v>
      </c>
      <c r="T143" s="164">
        <v>0</v>
      </c>
      <c r="U143" s="164">
        <v>0</v>
      </c>
      <c r="V143" s="164">
        <v>0</v>
      </c>
      <c r="W143" s="164">
        <v>0</v>
      </c>
      <c r="X143" s="164">
        <v>0</v>
      </c>
      <c r="Y143" s="164">
        <v>0</v>
      </c>
      <c r="Z143" s="164">
        <v>0</v>
      </c>
      <c r="AA143" s="164">
        <v>1</v>
      </c>
      <c r="AB143" s="164">
        <v>2</v>
      </c>
      <c r="AC143" s="164">
        <v>3</v>
      </c>
    </row>
    <row r="144" spans="1:29">
      <c r="A144" s="188">
        <v>140</v>
      </c>
      <c r="B144" s="178" t="s">
        <v>948</v>
      </c>
      <c r="C144" s="164">
        <v>0</v>
      </c>
      <c r="D144" s="164">
        <v>0</v>
      </c>
      <c r="E144" s="164">
        <v>0</v>
      </c>
      <c r="F144" s="164">
        <v>0</v>
      </c>
      <c r="G144" s="164">
        <v>0</v>
      </c>
      <c r="H144" s="164">
        <v>0</v>
      </c>
      <c r="I144" s="164">
        <v>0</v>
      </c>
      <c r="J144" s="164">
        <v>0</v>
      </c>
      <c r="K144" s="164">
        <v>0</v>
      </c>
      <c r="L144" s="164">
        <v>0</v>
      </c>
      <c r="M144" s="164">
        <v>2</v>
      </c>
      <c r="N144" s="164">
        <v>2</v>
      </c>
      <c r="O144" s="164">
        <v>0</v>
      </c>
      <c r="P144" s="164">
        <v>1</v>
      </c>
      <c r="Q144" s="164">
        <v>1</v>
      </c>
      <c r="R144" s="164">
        <v>0</v>
      </c>
      <c r="S144" s="164">
        <v>0</v>
      </c>
      <c r="T144" s="164">
        <v>0</v>
      </c>
      <c r="U144" s="164">
        <v>0</v>
      </c>
      <c r="V144" s="164">
        <v>0</v>
      </c>
      <c r="W144" s="164">
        <v>0</v>
      </c>
      <c r="X144" s="164">
        <v>0</v>
      </c>
      <c r="Y144" s="164">
        <v>0</v>
      </c>
      <c r="Z144" s="164">
        <v>0</v>
      </c>
      <c r="AA144" s="164">
        <v>0</v>
      </c>
      <c r="AB144" s="164">
        <v>3</v>
      </c>
      <c r="AC144" s="164">
        <v>3</v>
      </c>
    </row>
    <row r="145" spans="1:29">
      <c r="A145" s="188">
        <v>141</v>
      </c>
      <c r="B145" s="178" t="s">
        <v>755</v>
      </c>
      <c r="C145" s="164">
        <v>0</v>
      </c>
      <c r="D145" s="164">
        <v>1</v>
      </c>
      <c r="E145" s="164">
        <v>1</v>
      </c>
      <c r="F145" s="164">
        <v>0</v>
      </c>
      <c r="G145" s="164">
        <v>0</v>
      </c>
      <c r="H145" s="164">
        <v>0</v>
      </c>
      <c r="I145" s="164">
        <v>0</v>
      </c>
      <c r="J145" s="164">
        <v>1</v>
      </c>
      <c r="K145" s="164">
        <v>1</v>
      </c>
      <c r="L145" s="164">
        <v>0</v>
      </c>
      <c r="M145" s="164">
        <v>0</v>
      </c>
      <c r="N145" s="164">
        <v>0</v>
      </c>
      <c r="O145" s="164">
        <v>0</v>
      </c>
      <c r="P145" s="164">
        <v>0</v>
      </c>
      <c r="Q145" s="164">
        <v>0</v>
      </c>
      <c r="R145" s="164">
        <v>0</v>
      </c>
      <c r="S145" s="164">
        <v>0</v>
      </c>
      <c r="T145" s="164">
        <v>0</v>
      </c>
      <c r="U145" s="164">
        <v>0</v>
      </c>
      <c r="V145" s="164">
        <v>0</v>
      </c>
      <c r="W145" s="164">
        <v>0</v>
      </c>
      <c r="X145" s="164">
        <v>0</v>
      </c>
      <c r="Y145" s="164">
        <v>0</v>
      </c>
      <c r="Z145" s="164">
        <v>0</v>
      </c>
      <c r="AA145" s="164">
        <v>0</v>
      </c>
      <c r="AB145" s="164">
        <v>2</v>
      </c>
      <c r="AC145" s="164">
        <v>2</v>
      </c>
    </row>
    <row r="146" spans="1:29">
      <c r="A146" s="188">
        <v>142</v>
      </c>
      <c r="B146" s="178" t="s">
        <v>871</v>
      </c>
      <c r="C146" s="164">
        <v>0</v>
      </c>
      <c r="D146" s="164">
        <v>0</v>
      </c>
      <c r="E146" s="164">
        <v>0</v>
      </c>
      <c r="F146" s="164">
        <v>0</v>
      </c>
      <c r="G146" s="164">
        <v>0</v>
      </c>
      <c r="H146" s="164">
        <v>0</v>
      </c>
      <c r="I146" s="164">
        <v>0</v>
      </c>
      <c r="J146" s="164">
        <v>0</v>
      </c>
      <c r="K146" s="164">
        <v>0</v>
      </c>
      <c r="L146" s="164">
        <v>1</v>
      </c>
      <c r="M146" s="164">
        <v>1</v>
      </c>
      <c r="N146" s="164">
        <v>2</v>
      </c>
      <c r="O146" s="164">
        <v>0</v>
      </c>
      <c r="P146" s="164">
        <v>0</v>
      </c>
      <c r="Q146" s="164">
        <v>0</v>
      </c>
      <c r="R146" s="164">
        <v>0</v>
      </c>
      <c r="S146" s="164">
        <v>0</v>
      </c>
      <c r="T146" s="164">
        <v>0</v>
      </c>
      <c r="U146" s="164">
        <v>0</v>
      </c>
      <c r="V146" s="164">
        <v>0</v>
      </c>
      <c r="W146" s="164">
        <v>0</v>
      </c>
      <c r="X146" s="164">
        <v>0</v>
      </c>
      <c r="Y146" s="164">
        <v>0</v>
      </c>
      <c r="Z146" s="164">
        <v>0</v>
      </c>
      <c r="AA146" s="164">
        <v>1</v>
      </c>
      <c r="AB146" s="164">
        <v>1</v>
      </c>
      <c r="AC146" s="164">
        <v>2</v>
      </c>
    </row>
    <row r="147" spans="1:29">
      <c r="A147" s="188">
        <v>143</v>
      </c>
      <c r="B147" s="178" t="s">
        <v>949</v>
      </c>
      <c r="C147" s="164">
        <v>0</v>
      </c>
      <c r="D147" s="164">
        <v>0</v>
      </c>
      <c r="E147" s="164">
        <v>0</v>
      </c>
      <c r="F147" s="164">
        <v>0</v>
      </c>
      <c r="G147" s="164">
        <v>0</v>
      </c>
      <c r="H147" s="164">
        <v>0</v>
      </c>
      <c r="I147" s="164">
        <v>1</v>
      </c>
      <c r="J147" s="164">
        <v>0</v>
      </c>
      <c r="K147" s="164">
        <v>1</v>
      </c>
      <c r="L147" s="164">
        <v>1</v>
      </c>
      <c r="M147" s="164">
        <v>0</v>
      </c>
      <c r="N147" s="164">
        <v>1</v>
      </c>
      <c r="O147" s="164">
        <v>0</v>
      </c>
      <c r="P147" s="164">
        <v>0</v>
      </c>
      <c r="Q147" s="164">
        <v>0</v>
      </c>
      <c r="R147" s="164">
        <v>0</v>
      </c>
      <c r="S147" s="164">
        <v>0</v>
      </c>
      <c r="T147" s="164">
        <v>0</v>
      </c>
      <c r="U147" s="164">
        <v>0</v>
      </c>
      <c r="V147" s="164">
        <v>0</v>
      </c>
      <c r="W147" s="164">
        <v>0</v>
      </c>
      <c r="X147" s="164">
        <v>0</v>
      </c>
      <c r="Y147" s="164">
        <v>0</v>
      </c>
      <c r="Z147" s="164">
        <v>0</v>
      </c>
      <c r="AA147" s="164">
        <v>2</v>
      </c>
      <c r="AB147" s="164">
        <v>0</v>
      </c>
      <c r="AC147" s="164">
        <v>2</v>
      </c>
    </row>
    <row r="148" spans="1:29">
      <c r="A148" s="188">
        <v>144</v>
      </c>
      <c r="B148" s="178" t="s">
        <v>950</v>
      </c>
      <c r="C148" s="164">
        <v>0</v>
      </c>
      <c r="D148" s="164">
        <v>0</v>
      </c>
      <c r="E148" s="164">
        <v>0</v>
      </c>
      <c r="F148" s="164">
        <v>0</v>
      </c>
      <c r="G148" s="164">
        <v>0</v>
      </c>
      <c r="H148" s="164">
        <v>0</v>
      </c>
      <c r="I148" s="164">
        <v>0</v>
      </c>
      <c r="J148" s="164">
        <v>1</v>
      </c>
      <c r="K148" s="164">
        <v>1</v>
      </c>
      <c r="L148" s="164">
        <v>1</v>
      </c>
      <c r="M148" s="164">
        <v>0</v>
      </c>
      <c r="N148" s="164">
        <v>1</v>
      </c>
      <c r="O148" s="164">
        <v>0</v>
      </c>
      <c r="P148" s="164">
        <v>0</v>
      </c>
      <c r="Q148" s="164">
        <v>0</v>
      </c>
      <c r="R148" s="164">
        <v>0</v>
      </c>
      <c r="S148" s="164">
        <v>0</v>
      </c>
      <c r="T148" s="164">
        <v>0</v>
      </c>
      <c r="U148" s="164">
        <v>0</v>
      </c>
      <c r="V148" s="164">
        <v>0</v>
      </c>
      <c r="W148" s="164">
        <v>0</v>
      </c>
      <c r="X148" s="164">
        <v>0</v>
      </c>
      <c r="Y148" s="164">
        <v>0</v>
      </c>
      <c r="Z148" s="164">
        <v>0</v>
      </c>
      <c r="AA148" s="164">
        <v>1</v>
      </c>
      <c r="AB148" s="164">
        <v>1</v>
      </c>
      <c r="AC148" s="164">
        <v>2</v>
      </c>
    </row>
    <row r="149" spans="1:29">
      <c r="A149" s="188">
        <v>145</v>
      </c>
      <c r="B149" s="178" t="s">
        <v>869</v>
      </c>
      <c r="C149" s="164">
        <v>0</v>
      </c>
      <c r="D149" s="164">
        <v>0</v>
      </c>
      <c r="E149" s="164">
        <v>0</v>
      </c>
      <c r="F149" s="164">
        <v>0</v>
      </c>
      <c r="G149" s="164">
        <v>0</v>
      </c>
      <c r="H149" s="164">
        <v>0</v>
      </c>
      <c r="I149" s="164">
        <v>1</v>
      </c>
      <c r="J149" s="164">
        <v>0</v>
      </c>
      <c r="K149" s="164">
        <v>1</v>
      </c>
      <c r="L149" s="164">
        <v>0</v>
      </c>
      <c r="M149" s="164">
        <v>1</v>
      </c>
      <c r="N149" s="164">
        <v>1</v>
      </c>
      <c r="O149" s="164">
        <v>0</v>
      </c>
      <c r="P149" s="164">
        <v>0</v>
      </c>
      <c r="Q149" s="164">
        <v>0</v>
      </c>
      <c r="R149" s="164">
        <v>0</v>
      </c>
      <c r="S149" s="164">
        <v>0</v>
      </c>
      <c r="T149" s="164">
        <v>0</v>
      </c>
      <c r="U149" s="164">
        <v>0</v>
      </c>
      <c r="V149" s="164">
        <v>0</v>
      </c>
      <c r="W149" s="164">
        <v>0</v>
      </c>
      <c r="X149" s="164">
        <v>0</v>
      </c>
      <c r="Y149" s="164">
        <v>0</v>
      </c>
      <c r="Z149" s="164">
        <v>0</v>
      </c>
      <c r="AA149" s="164">
        <v>1</v>
      </c>
      <c r="AB149" s="164">
        <v>1</v>
      </c>
      <c r="AC149" s="164">
        <v>2</v>
      </c>
    </row>
    <row r="150" spans="1:29">
      <c r="A150" s="188">
        <v>146</v>
      </c>
      <c r="B150" s="178" t="s">
        <v>757</v>
      </c>
      <c r="C150" s="164">
        <v>0</v>
      </c>
      <c r="D150" s="164">
        <v>0</v>
      </c>
      <c r="E150" s="164">
        <v>0</v>
      </c>
      <c r="F150" s="164">
        <v>0</v>
      </c>
      <c r="G150" s="164">
        <v>0</v>
      </c>
      <c r="H150" s="164">
        <v>0</v>
      </c>
      <c r="I150" s="164">
        <v>0</v>
      </c>
      <c r="J150" s="164">
        <v>0</v>
      </c>
      <c r="K150" s="164">
        <v>0</v>
      </c>
      <c r="L150" s="164">
        <v>0</v>
      </c>
      <c r="M150" s="164">
        <v>1</v>
      </c>
      <c r="N150" s="164">
        <v>1</v>
      </c>
      <c r="O150" s="164">
        <v>0</v>
      </c>
      <c r="P150" s="164">
        <v>0</v>
      </c>
      <c r="Q150" s="164">
        <v>0</v>
      </c>
      <c r="R150" s="164">
        <v>0</v>
      </c>
      <c r="S150" s="164">
        <v>0</v>
      </c>
      <c r="T150" s="164">
        <v>0</v>
      </c>
      <c r="U150" s="164">
        <v>0</v>
      </c>
      <c r="V150" s="164">
        <v>0</v>
      </c>
      <c r="W150" s="164">
        <v>0</v>
      </c>
      <c r="X150" s="164">
        <v>0</v>
      </c>
      <c r="Y150" s="164">
        <v>1</v>
      </c>
      <c r="Z150" s="164">
        <v>1</v>
      </c>
      <c r="AA150" s="164">
        <v>0</v>
      </c>
      <c r="AB150" s="164">
        <v>2</v>
      </c>
      <c r="AC150" s="164">
        <v>2</v>
      </c>
    </row>
    <row r="151" spans="1:29">
      <c r="A151" s="188">
        <v>147</v>
      </c>
      <c r="B151" s="178" t="s">
        <v>951</v>
      </c>
      <c r="C151" s="164">
        <v>0</v>
      </c>
      <c r="D151" s="164">
        <v>1</v>
      </c>
      <c r="E151" s="164">
        <v>1</v>
      </c>
      <c r="F151" s="164">
        <v>0</v>
      </c>
      <c r="G151" s="164">
        <v>0</v>
      </c>
      <c r="H151" s="164">
        <v>0</v>
      </c>
      <c r="I151" s="164">
        <v>1</v>
      </c>
      <c r="J151" s="164">
        <v>0</v>
      </c>
      <c r="K151" s="164">
        <v>1</v>
      </c>
      <c r="L151" s="164">
        <v>0</v>
      </c>
      <c r="M151" s="164">
        <v>0</v>
      </c>
      <c r="N151" s="164">
        <v>0</v>
      </c>
      <c r="O151" s="164">
        <v>0</v>
      </c>
      <c r="P151" s="164">
        <v>0</v>
      </c>
      <c r="Q151" s="164">
        <v>0</v>
      </c>
      <c r="R151" s="164">
        <v>0</v>
      </c>
      <c r="S151" s="164">
        <v>0</v>
      </c>
      <c r="T151" s="164">
        <v>0</v>
      </c>
      <c r="U151" s="164">
        <v>0</v>
      </c>
      <c r="V151" s="164">
        <v>0</v>
      </c>
      <c r="W151" s="164">
        <v>0</v>
      </c>
      <c r="X151" s="164">
        <v>0</v>
      </c>
      <c r="Y151" s="164">
        <v>0</v>
      </c>
      <c r="Z151" s="164">
        <v>0</v>
      </c>
      <c r="AA151" s="164">
        <v>1</v>
      </c>
      <c r="AB151" s="164">
        <v>1</v>
      </c>
      <c r="AC151" s="164">
        <v>2</v>
      </c>
    </row>
    <row r="152" spans="1:29">
      <c r="A152" s="188">
        <v>148</v>
      </c>
      <c r="B152" s="178" t="s">
        <v>699</v>
      </c>
      <c r="C152" s="164">
        <v>0</v>
      </c>
      <c r="D152" s="164">
        <v>0</v>
      </c>
      <c r="E152" s="164">
        <v>0</v>
      </c>
      <c r="F152" s="164">
        <v>0</v>
      </c>
      <c r="G152" s="164">
        <v>0</v>
      </c>
      <c r="H152" s="164">
        <v>0</v>
      </c>
      <c r="I152" s="164">
        <v>0</v>
      </c>
      <c r="J152" s="164">
        <v>1</v>
      </c>
      <c r="K152" s="164">
        <v>1</v>
      </c>
      <c r="L152" s="164">
        <v>1</v>
      </c>
      <c r="M152" s="164">
        <v>0</v>
      </c>
      <c r="N152" s="164">
        <v>1</v>
      </c>
      <c r="O152" s="164">
        <v>0</v>
      </c>
      <c r="P152" s="164">
        <v>0</v>
      </c>
      <c r="Q152" s="164">
        <v>0</v>
      </c>
      <c r="R152" s="164">
        <v>0</v>
      </c>
      <c r="S152" s="164">
        <v>0</v>
      </c>
      <c r="T152" s="164">
        <v>0</v>
      </c>
      <c r="U152" s="164">
        <v>0</v>
      </c>
      <c r="V152" s="164">
        <v>0</v>
      </c>
      <c r="W152" s="164">
        <v>0</v>
      </c>
      <c r="X152" s="164">
        <v>0</v>
      </c>
      <c r="Y152" s="164">
        <v>0</v>
      </c>
      <c r="Z152" s="164">
        <v>0</v>
      </c>
      <c r="AA152" s="164">
        <v>1</v>
      </c>
      <c r="AB152" s="164">
        <v>1</v>
      </c>
      <c r="AC152" s="164">
        <v>2</v>
      </c>
    </row>
    <row r="153" spans="1:29">
      <c r="A153" s="188">
        <v>149</v>
      </c>
      <c r="B153" s="178" t="s">
        <v>740</v>
      </c>
      <c r="C153" s="164">
        <v>0</v>
      </c>
      <c r="D153" s="164">
        <v>1</v>
      </c>
      <c r="E153" s="164">
        <v>1</v>
      </c>
      <c r="F153" s="164">
        <v>0</v>
      </c>
      <c r="G153" s="164">
        <v>0</v>
      </c>
      <c r="H153" s="164">
        <v>0</v>
      </c>
      <c r="I153" s="164">
        <v>0</v>
      </c>
      <c r="J153" s="164">
        <v>0</v>
      </c>
      <c r="K153" s="164">
        <v>0</v>
      </c>
      <c r="L153" s="164">
        <v>1</v>
      </c>
      <c r="M153" s="164">
        <v>0</v>
      </c>
      <c r="N153" s="164">
        <v>1</v>
      </c>
      <c r="O153" s="164">
        <v>0</v>
      </c>
      <c r="P153" s="164">
        <v>0</v>
      </c>
      <c r="Q153" s="164">
        <v>0</v>
      </c>
      <c r="R153" s="164">
        <v>0</v>
      </c>
      <c r="S153" s="164">
        <v>0</v>
      </c>
      <c r="T153" s="164">
        <v>0</v>
      </c>
      <c r="U153" s="164">
        <v>0</v>
      </c>
      <c r="V153" s="164">
        <v>0</v>
      </c>
      <c r="W153" s="164">
        <v>0</v>
      </c>
      <c r="X153" s="164">
        <v>0</v>
      </c>
      <c r="Y153" s="164">
        <v>0</v>
      </c>
      <c r="Z153" s="164">
        <v>0</v>
      </c>
      <c r="AA153" s="164">
        <v>1</v>
      </c>
      <c r="AB153" s="164">
        <v>1</v>
      </c>
      <c r="AC153" s="164">
        <v>2</v>
      </c>
    </row>
    <row r="154" spans="1:29">
      <c r="A154" s="188">
        <v>150</v>
      </c>
      <c r="B154" s="178" t="s">
        <v>952</v>
      </c>
      <c r="C154" s="164">
        <v>0</v>
      </c>
      <c r="D154" s="164">
        <v>0</v>
      </c>
      <c r="E154" s="164">
        <v>0</v>
      </c>
      <c r="F154" s="164">
        <v>0</v>
      </c>
      <c r="G154" s="164">
        <v>0</v>
      </c>
      <c r="H154" s="164">
        <v>0</v>
      </c>
      <c r="I154" s="164">
        <v>0</v>
      </c>
      <c r="J154" s="164">
        <v>0</v>
      </c>
      <c r="K154" s="164">
        <v>0</v>
      </c>
      <c r="L154" s="164">
        <v>0</v>
      </c>
      <c r="M154" s="164">
        <v>1</v>
      </c>
      <c r="N154" s="164">
        <v>1</v>
      </c>
      <c r="O154" s="164">
        <v>0</v>
      </c>
      <c r="P154" s="164">
        <v>0</v>
      </c>
      <c r="Q154" s="164">
        <v>0</v>
      </c>
      <c r="R154" s="164">
        <v>0</v>
      </c>
      <c r="S154" s="164">
        <v>0</v>
      </c>
      <c r="T154" s="164">
        <v>0</v>
      </c>
      <c r="U154" s="164">
        <v>0</v>
      </c>
      <c r="V154" s="164">
        <v>0</v>
      </c>
      <c r="W154" s="164">
        <v>0</v>
      </c>
      <c r="X154" s="164">
        <v>0</v>
      </c>
      <c r="Y154" s="164">
        <v>0</v>
      </c>
      <c r="Z154" s="164">
        <v>0</v>
      </c>
      <c r="AA154" s="164">
        <v>0</v>
      </c>
      <c r="AB154" s="164">
        <v>1</v>
      </c>
      <c r="AC154" s="164">
        <v>1</v>
      </c>
    </row>
    <row r="155" spans="1:29">
      <c r="A155" s="188">
        <v>151</v>
      </c>
      <c r="B155" s="178" t="s">
        <v>758</v>
      </c>
      <c r="C155" s="164">
        <v>0</v>
      </c>
      <c r="D155" s="164">
        <v>0</v>
      </c>
      <c r="E155" s="164">
        <v>0</v>
      </c>
      <c r="F155" s="164">
        <v>0</v>
      </c>
      <c r="G155" s="164">
        <v>0</v>
      </c>
      <c r="H155" s="164">
        <v>0</v>
      </c>
      <c r="I155" s="164">
        <v>0</v>
      </c>
      <c r="J155" s="164">
        <v>0</v>
      </c>
      <c r="K155" s="164">
        <v>0</v>
      </c>
      <c r="L155" s="164">
        <v>1</v>
      </c>
      <c r="M155" s="164">
        <v>0</v>
      </c>
      <c r="N155" s="164">
        <v>1</v>
      </c>
      <c r="O155" s="164">
        <v>0</v>
      </c>
      <c r="P155" s="164">
        <v>0</v>
      </c>
      <c r="Q155" s="164">
        <v>0</v>
      </c>
      <c r="R155" s="164">
        <v>0</v>
      </c>
      <c r="S155" s="164">
        <v>0</v>
      </c>
      <c r="T155" s="164">
        <v>0</v>
      </c>
      <c r="U155" s="164">
        <v>0</v>
      </c>
      <c r="V155" s="164">
        <v>0</v>
      </c>
      <c r="W155" s="164">
        <v>0</v>
      </c>
      <c r="X155" s="164">
        <v>0</v>
      </c>
      <c r="Y155" s="164">
        <v>0</v>
      </c>
      <c r="Z155" s="164">
        <v>0</v>
      </c>
      <c r="AA155" s="164">
        <v>1</v>
      </c>
      <c r="AB155" s="164">
        <v>0</v>
      </c>
      <c r="AC155" s="164">
        <v>1</v>
      </c>
    </row>
    <row r="156" spans="1:29">
      <c r="A156" s="188">
        <v>152</v>
      </c>
      <c r="B156" s="178" t="s">
        <v>764</v>
      </c>
      <c r="C156" s="164">
        <v>0</v>
      </c>
      <c r="D156" s="164">
        <v>0</v>
      </c>
      <c r="E156" s="164">
        <v>0</v>
      </c>
      <c r="F156" s="164">
        <v>0</v>
      </c>
      <c r="G156" s="164">
        <v>0</v>
      </c>
      <c r="H156" s="164">
        <v>0</v>
      </c>
      <c r="I156" s="164">
        <v>0</v>
      </c>
      <c r="J156" s="164">
        <v>1</v>
      </c>
      <c r="K156" s="164">
        <v>1</v>
      </c>
      <c r="L156" s="164">
        <v>0</v>
      </c>
      <c r="M156" s="164">
        <v>0</v>
      </c>
      <c r="N156" s="164">
        <v>0</v>
      </c>
      <c r="O156" s="164">
        <v>0</v>
      </c>
      <c r="P156" s="164">
        <v>0</v>
      </c>
      <c r="Q156" s="164">
        <v>0</v>
      </c>
      <c r="R156" s="164">
        <v>0</v>
      </c>
      <c r="S156" s="164">
        <v>0</v>
      </c>
      <c r="T156" s="164">
        <v>0</v>
      </c>
      <c r="U156" s="164">
        <v>0</v>
      </c>
      <c r="V156" s="164">
        <v>0</v>
      </c>
      <c r="W156" s="164">
        <v>0</v>
      </c>
      <c r="X156" s="164">
        <v>0</v>
      </c>
      <c r="Y156" s="164">
        <v>0</v>
      </c>
      <c r="Z156" s="164">
        <v>0</v>
      </c>
      <c r="AA156" s="164">
        <v>0</v>
      </c>
      <c r="AB156" s="164">
        <v>1</v>
      </c>
      <c r="AC156" s="164">
        <v>1</v>
      </c>
    </row>
    <row r="157" spans="1:29">
      <c r="A157" s="188">
        <v>153</v>
      </c>
      <c r="B157" s="178" t="s">
        <v>953</v>
      </c>
      <c r="C157" s="164">
        <v>0</v>
      </c>
      <c r="D157" s="164">
        <v>0</v>
      </c>
      <c r="E157" s="164">
        <v>0</v>
      </c>
      <c r="F157" s="164">
        <v>0</v>
      </c>
      <c r="G157" s="164">
        <v>0</v>
      </c>
      <c r="H157" s="164">
        <v>0</v>
      </c>
      <c r="I157" s="164">
        <v>0</v>
      </c>
      <c r="J157" s="164">
        <v>0</v>
      </c>
      <c r="K157" s="164">
        <v>0</v>
      </c>
      <c r="L157" s="164">
        <v>0</v>
      </c>
      <c r="M157" s="164">
        <v>1</v>
      </c>
      <c r="N157" s="164">
        <v>1</v>
      </c>
      <c r="O157" s="164">
        <v>0</v>
      </c>
      <c r="P157" s="164">
        <v>0</v>
      </c>
      <c r="Q157" s="164">
        <v>0</v>
      </c>
      <c r="R157" s="164">
        <v>0</v>
      </c>
      <c r="S157" s="164">
        <v>0</v>
      </c>
      <c r="T157" s="164">
        <v>0</v>
      </c>
      <c r="U157" s="164">
        <v>0</v>
      </c>
      <c r="V157" s="164">
        <v>0</v>
      </c>
      <c r="W157" s="164">
        <v>0</v>
      </c>
      <c r="X157" s="164">
        <v>0</v>
      </c>
      <c r="Y157" s="164">
        <v>0</v>
      </c>
      <c r="Z157" s="164">
        <v>0</v>
      </c>
      <c r="AA157" s="164">
        <v>0</v>
      </c>
      <c r="AB157" s="164">
        <v>1</v>
      </c>
      <c r="AC157" s="164">
        <v>1</v>
      </c>
    </row>
    <row r="158" spans="1:29">
      <c r="A158" s="188">
        <v>154</v>
      </c>
      <c r="B158" s="178" t="s">
        <v>769</v>
      </c>
      <c r="C158" s="164">
        <v>0</v>
      </c>
      <c r="D158" s="164">
        <v>0</v>
      </c>
      <c r="E158" s="164">
        <v>0</v>
      </c>
      <c r="F158" s="164">
        <v>0</v>
      </c>
      <c r="G158" s="164">
        <v>0</v>
      </c>
      <c r="H158" s="164">
        <v>0</v>
      </c>
      <c r="I158" s="164">
        <v>0</v>
      </c>
      <c r="J158" s="164">
        <v>0</v>
      </c>
      <c r="K158" s="164">
        <v>0</v>
      </c>
      <c r="L158" s="164">
        <v>1</v>
      </c>
      <c r="M158" s="164">
        <v>0</v>
      </c>
      <c r="N158" s="164">
        <v>1</v>
      </c>
      <c r="O158" s="164">
        <v>0</v>
      </c>
      <c r="P158" s="164">
        <v>0</v>
      </c>
      <c r="Q158" s="164">
        <v>0</v>
      </c>
      <c r="R158" s="164">
        <v>0</v>
      </c>
      <c r="S158" s="164">
        <v>0</v>
      </c>
      <c r="T158" s="164">
        <v>0</v>
      </c>
      <c r="U158" s="164">
        <v>0</v>
      </c>
      <c r="V158" s="164">
        <v>0</v>
      </c>
      <c r="W158" s="164">
        <v>0</v>
      </c>
      <c r="X158" s="164">
        <v>0</v>
      </c>
      <c r="Y158" s="164">
        <v>0</v>
      </c>
      <c r="Z158" s="164">
        <v>0</v>
      </c>
      <c r="AA158" s="164">
        <v>1</v>
      </c>
      <c r="AB158" s="164">
        <v>0</v>
      </c>
      <c r="AC158" s="164">
        <v>1</v>
      </c>
    </row>
    <row r="159" spans="1:29">
      <c r="A159" s="188">
        <v>155</v>
      </c>
      <c r="B159" s="178" t="s">
        <v>766</v>
      </c>
      <c r="C159" s="164">
        <v>0</v>
      </c>
      <c r="D159" s="164">
        <v>0</v>
      </c>
      <c r="E159" s="164">
        <v>0</v>
      </c>
      <c r="F159" s="164">
        <v>0</v>
      </c>
      <c r="G159" s="164">
        <v>0</v>
      </c>
      <c r="H159" s="164">
        <v>0</v>
      </c>
      <c r="I159" s="164">
        <v>0</v>
      </c>
      <c r="J159" s="164">
        <v>0</v>
      </c>
      <c r="K159" s="164">
        <v>0</v>
      </c>
      <c r="L159" s="164">
        <v>1</v>
      </c>
      <c r="M159" s="164">
        <v>0</v>
      </c>
      <c r="N159" s="164">
        <v>1</v>
      </c>
      <c r="O159" s="164">
        <v>0</v>
      </c>
      <c r="P159" s="164">
        <v>0</v>
      </c>
      <c r="Q159" s="164">
        <v>0</v>
      </c>
      <c r="R159" s="164">
        <v>0</v>
      </c>
      <c r="S159" s="164">
        <v>0</v>
      </c>
      <c r="T159" s="164">
        <v>0</v>
      </c>
      <c r="U159" s="164">
        <v>0</v>
      </c>
      <c r="V159" s="164">
        <v>0</v>
      </c>
      <c r="W159" s="164">
        <v>0</v>
      </c>
      <c r="X159" s="164">
        <v>0</v>
      </c>
      <c r="Y159" s="164">
        <v>0</v>
      </c>
      <c r="Z159" s="164">
        <v>0</v>
      </c>
      <c r="AA159" s="164">
        <v>1</v>
      </c>
      <c r="AB159" s="164">
        <v>0</v>
      </c>
      <c r="AC159" s="164">
        <v>1</v>
      </c>
    </row>
    <row r="160" spans="1:29">
      <c r="A160" s="188">
        <v>156</v>
      </c>
      <c r="B160" s="178" t="s">
        <v>954</v>
      </c>
      <c r="C160" s="164">
        <v>0</v>
      </c>
      <c r="D160" s="164">
        <v>1</v>
      </c>
      <c r="E160" s="164">
        <v>1</v>
      </c>
      <c r="F160" s="164">
        <v>0</v>
      </c>
      <c r="G160" s="164">
        <v>0</v>
      </c>
      <c r="H160" s="164">
        <v>0</v>
      </c>
      <c r="I160" s="164">
        <v>0</v>
      </c>
      <c r="J160" s="164">
        <v>0</v>
      </c>
      <c r="K160" s="164">
        <v>0</v>
      </c>
      <c r="L160" s="164">
        <v>0</v>
      </c>
      <c r="M160" s="164">
        <v>0</v>
      </c>
      <c r="N160" s="164">
        <v>0</v>
      </c>
      <c r="O160" s="164">
        <v>0</v>
      </c>
      <c r="P160" s="164">
        <v>0</v>
      </c>
      <c r="Q160" s="164">
        <v>0</v>
      </c>
      <c r="R160" s="164">
        <v>0</v>
      </c>
      <c r="S160" s="164">
        <v>0</v>
      </c>
      <c r="T160" s="164">
        <v>0</v>
      </c>
      <c r="U160" s="164">
        <v>0</v>
      </c>
      <c r="V160" s="164">
        <v>0</v>
      </c>
      <c r="W160" s="164">
        <v>0</v>
      </c>
      <c r="X160" s="164">
        <v>0</v>
      </c>
      <c r="Y160" s="164">
        <v>0</v>
      </c>
      <c r="Z160" s="164">
        <v>0</v>
      </c>
      <c r="AA160" s="164">
        <v>0</v>
      </c>
      <c r="AB160" s="164">
        <v>1</v>
      </c>
      <c r="AC160" s="164">
        <v>1</v>
      </c>
    </row>
    <row r="161" spans="1:29">
      <c r="A161" s="188">
        <v>157</v>
      </c>
      <c r="B161" s="178" t="s">
        <v>750</v>
      </c>
      <c r="C161" s="164">
        <v>0</v>
      </c>
      <c r="D161" s="164">
        <v>0</v>
      </c>
      <c r="E161" s="164">
        <v>0</v>
      </c>
      <c r="F161" s="164">
        <v>0</v>
      </c>
      <c r="G161" s="164">
        <v>0</v>
      </c>
      <c r="H161" s="164">
        <v>0</v>
      </c>
      <c r="I161" s="164">
        <v>1</v>
      </c>
      <c r="J161" s="164">
        <v>0</v>
      </c>
      <c r="K161" s="164">
        <v>1</v>
      </c>
      <c r="L161" s="164">
        <v>0</v>
      </c>
      <c r="M161" s="164">
        <v>0</v>
      </c>
      <c r="N161" s="164">
        <v>0</v>
      </c>
      <c r="O161" s="164">
        <v>0</v>
      </c>
      <c r="P161" s="164">
        <v>0</v>
      </c>
      <c r="Q161" s="164">
        <v>0</v>
      </c>
      <c r="R161" s="164">
        <v>0</v>
      </c>
      <c r="S161" s="164">
        <v>0</v>
      </c>
      <c r="T161" s="164">
        <v>0</v>
      </c>
      <c r="U161" s="164">
        <v>0</v>
      </c>
      <c r="V161" s="164">
        <v>0</v>
      </c>
      <c r="W161" s="164">
        <v>0</v>
      </c>
      <c r="X161" s="164">
        <v>0</v>
      </c>
      <c r="Y161" s="164">
        <v>0</v>
      </c>
      <c r="Z161" s="164">
        <v>0</v>
      </c>
      <c r="AA161" s="164">
        <v>1</v>
      </c>
      <c r="AB161" s="164">
        <v>0</v>
      </c>
      <c r="AC161" s="164">
        <v>1</v>
      </c>
    </row>
    <row r="162" spans="1:29">
      <c r="A162" s="188">
        <v>158</v>
      </c>
      <c r="B162" s="178" t="s">
        <v>767</v>
      </c>
      <c r="C162" s="164">
        <v>0</v>
      </c>
      <c r="D162" s="164">
        <v>0</v>
      </c>
      <c r="E162" s="164">
        <v>0</v>
      </c>
      <c r="F162" s="164">
        <v>0</v>
      </c>
      <c r="G162" s="164">
        <v>0</v>
      </c>
      <c r="H162" s="164">
        <v>0</v>
      </c>
      <c r="I162" s="164">
        <v>0</v>
      </c>
      <c r="J162" s="164">
        <v>0</v>
      </c>
      <c r="K162" s="164">
        <v>0</v>
      </c>
      <c r="L162" s="164">
        <v>0</v>
      </c>
      <c r="M162" s="164">
        <v>0</v>
      </c>
      <c r="N162" s="164">
        <v>0</v>
      </c>
      <c r="O162" s="164">
        <v>0</v>
      </c>
      <c r="P162" s="164">
        <v>0</v>
      </c>
      <c r="Q162" s="164">
        <v>0</v>
      </c>
      <c r="R162" s="164">
        <v>0</v>
      </c>
      <c r="S162" s="164">
        <v>0</v>
      </c>
      <c r="T162" s="164">
        <v>0</v>
      </c>
      <c r="U162" s="164">
        <v>1</v>
      </c>
      <c r="V162" s="164">
        <v>0</v>
      </c>
      <c r="W162" s="164">
        <v>1</v>
      </c>
      <c r="X162" s="164">
        <v>0</v>
      </c>
      <c r="Y162" s="164">
        <v>0</v>
      </c>
      <c r="Z162" s="164">
        <v>0</v>
      </c>
      <c r="AA162" s="164">
        <v>1</v>
      </c>
      <c r="AB162" s="164">
        <v>0</v>
      </c>
      <c r="AC162" s="164">
        <v>1</v>
      </c>
    </row>
    <row r="163" spans="1:29">
      <c r="A163" s="188">
        <v>159</v>
      </c>
      <c r="B163" s="178" t="s">
        <v>955</v>
      </c>
      <c r="C163" s="164">
        <v>0</v>
      </c>
      <c r="D163" s="164">
        <v>0</v>
      </c>
      <c r="E163" s="164">
        <v>0</v>
      </c>
      <c r="F163" s="164">
        <v>0</v>
      </c>
      <c r="G163" s="164">
        <v>0</v>
      </c>
      <c r="H163" s="164">
        <v>0</v>
      </c>
      <c r="I163" s="164">
        <v>0</v>
      </c>
      <c r="J163" s="164">
        <v>0</v>
      </c>
      <c r="K163" s="164">
        <v>0</v>
      </c>
      <c r="L163" s="164">
        <v>1</v>
      </c>
      <c r="M163" s="164">
        <v>0</v>
      </c>
      <c r="N163" s="164">
        <v>1</v>
      </c>
      <c r="O163" s="164">
        <v>0</v>
      </c>
      <c r="P163" s="164">
        <v>0</v>
      </c>
      <c r="Q163" s="164">
        <v>0</v>
      </c>
      <c r="R163" s="164">
        <v>0</v>
      </c>
      <c r="S163" s="164">
        <v>0</v>
      </c>
      <c r="T163" s="164">
        <v>0</v>
      </c>
      <c r="U163" s="164">
        <v>0</v>
      </c>
      <c r="V163" s="164">
        <v>0</v>
      </c>
      <c r="W163" s="164">
        <v>0</v>
      </c>
      <c r="X163" s="164">
        <v>0</v>
      </c>
      <c r="Y163" s="164">
        <v>0</v>
      </c>
      <c r="Z163" s="164">
        <v>0</v>
      </c>
      <c r="AA163" s="164">
        <v>1</v>
      </c>
      <c r="AB163" s="164">
        <v>0</v>
      </c>
      <c r="AC163" s="164">
        <v>1</v>
      </c>
    </row>
    <row r="164" spans="1:29">
      <c r="A164" s="188">
        <v>160</v>
      </c>
      <c r="B164" s="178" t="s">
        <v>872</v>
      </c>
      <c r="C164" s="164">
        <v>0</v>
      </c>
      <c r="D164" s="164">
        <v>0</v>
      </c>
      <c r="E164" s="164">
        <v>0</v>
      </c>
      <c r="F164" s="164">
        <v>0</v>
      </c>
      <c r="G164" s="164">
        <v>0</v>
      </c>
      <c r="H164" s="164">
        <v>0</v>
      </c>
      <c r="I164" s="164">
        <v>0</v>
      </c>
      <c r="J164" s="164">
        <v>0</v>
      </c>
      <c r="K164" s="164">
        <v>0</v>
      </c>
      <c r="L164" s="164">
        <v>0</v>
      </c>
      <c r="M164" s="164">
        <v>1</v>
      </c>
      <c r="N164" s="164">
        <v>1</v>
      </c>
      <c r="O164" s="164">
        <v>0</v>
      </c>
      <c r="P164" s="164">
        <v>0</v>
      </c>
      <c r="Q164" s="164">
        <v>0</v>
      </c>
      <c r="R164" s="164">
        <v>0</v>
      </c>
      <c r="S164" s="164">
        <v>0</v>
      </c>
      <c r="T164" s="164">
        <v>0</v>
      </c>
      <c r="U164" s="164">
        <v>0</v>
      </c>
      <c r="V164" s="164">
        <v>0</v>
      </c>
      <c r="W164" s="164">
        <v>0</v>
      </c>
      <c r="X164" s="164">
        <v>0</v>
      </c>
      <c r="Y164" s="164">
        <v>0</v>
      </c>
      <c r="Z164" s="164">
        <v>0</v>
      </c>
      <c r="AA164" s="164">
        <v>0</v>
      </c>
      <c r="AB164" s="164">
        <v>1</v>
      </c>
      <c r="AC164" s="164">
        <v>1</v>
      </c>
    </row>
    <row r="165" spans="1:29">
      <c r="A165" s="188">
        <v>161</v>
      </c>
      <c r="B165" s="178" t="s">
        <v>756</v>
      </c>
      <c r="C165" s="164">
        <v>0</v>
      </c>
      <c r="D165" s="164">
        <v>0</v>
      </c>
      <c r="E165" s="164">
        <v>0</v>
      </c>
      <c r="F165" s="164">
        <v>0</v>
      </c>
      <c r="G165" s="164">
        <v>0</v>
      </c>
      <c r="H165" s="164">
        <v>0</v>
      </c>
      <c r="I165" s="164">
        <v>0</v>
      </c>
      <c r="J165" s="164">
        <v>0</v>
      </c>
      <c r="K165" s="164">
        <v>0</v>
      </c>
      <c r="L165" s="164">
        <v>0</v>
      </c>
      <c r="M165" s="164">
        <v>1</v>
      </c>
      <c r="N165" s="164">
        <v>1</v>
      </c>
      <c r="O165" s="164">
        <v>0</v>
      </c>
      <c r="P165" s="164">
        <v>0</v>
      </c>
      <c r="Q165" s="164">
        <v>0</v>
      </c>
      <c r="R165" s="164">
        <v>0</v>
      </c>
      <c r="S165" s="164">
        <v>0</v>
      </c>
      <c r="T165" s="164">
        <v>0</v>
      </c>
      <c r="U165" s="164">
        <v>0</v>
      </c>
      <c r="V165" s="164">
        <v>0</v>
      </c>
      <c r="W165" s="164">
        <v>0</v>
      </c>
      <c r="X165" s="164">
        <v>0</v>
      </c>
      <c r="Y165" s="164">
        <v>0</v>
      </c>
      <c r="Z165" s="164">
        <v>0</v>
      </c>
      <c r="AA165" s="164">
        <v>0</v>
      </c>
      <c r="AB165" s="164">
        <v>1</v>
      </c>
      <c r="AC165" s="164">
        <v>1</v>
      </c>
    </row>
    <row r="166" spans="1:29">
      <c r="A166" s="188">
        <v>162</v>
      </c>
      <c r="B166" s="178" t="s">
        <v>746</v>
      </c>
      <c r="C166" s="164">
        <v>0</v>
      </c>
      <c r="D166" s="164">
        <v>0</v>
      </c>
      <c r="E166" s="164">
        <v>0</v>
      </c>
      <c r="F166" s="164">
        <v>0</v>
      </c>
      <c r="G166" s="164">
        <v>0</v>
      </c>
      <c r="H166" s="164">
        <v>0</v>
      </c>
      <c r="I166" s="164">
        <v>0</v>
      </c>
      <c r="J166" s="164">
        <v>0</v>
      </c>
      <c r="K166" s="164">
        <v>0</v>
      </c>
      <c r="L166" s="164">
        <v>0</v>
      </c>
      <c r="M166" s="164">
        <v>1</v>
      </c>
      <c r="N166" s="164">
        <v>1</v>
      </c>
      <c r="O166" s="164">
        <v>0</v>
      </c>
      <c r="P166" s="164">
        <v>0</v>
      </c>
      <c r="Q166" s="164">
        <v>0</v>
      </c>
      <c r="R166" s="164">
        <v>0</v>
      </c>
      <c r="S166" s="164">
        <v>0</v>
      </c>
      <c r="T166" s="164">
        <v>0</v>
      </c>
      <c r="U166" s="164">
        <v>0</v>
      </c>
      <c r="V166" s="164">
        <v>0</v>
      </c>
      <c r="W166" s="164">
        <v>0</v>
      </c>
      <c r="X166" s="164">
        <v>0</v>
      </c>
      <c r="Y166" s="164">
        <v>0</v>
      </c>
      <c r="Z166" s="164">
        <v>0</v>
      </c>
      <c r="AA166" s="164">
        <v>0</v>
      </c>
      <c r="AB166" s="164">
        <v>1</v>
      </c>
      <c r="AC166" s="164">
        <v>1</v>
      </c>
    </row>
    <row r="167" spans="1:29" ht="33" customHeight="1">
      <c r="A167" s="188">
        <v>163</v>
      </c>
      <c r="B167" s="178" t="s">
        <v>956</v>
      </c>
      <c r="C167" s="164">
        <v>0</v>
      </c>
      <c r="D167" s="164">
        <v>0</v>
      </c>
      <c r="E167" s="164">
        <v>0</v>
      </c>
      <c r="F167" s="164">
        <v>0</v>
      </c>
      <c r="G167" s="164">
        <v>0</v>
      </c>
      <c r="H167" s="164">
        <v>0</v>
      </c>
      <c r="I167" s="164">
        <v>0</v>
      </c>
      <c r="J167" s="164">
        <v>0</v>
      </c>
      <c r="K167" s="164">
        <v>0</v>
      </c>
      <c r="L167" s="164">
        <v>0</v>
      </c>
      <c r="M167" s="164">
        <v>1</v>
      </c>
      <c r="N167" s="164">
        <v>1</v>
      </c>
      <c r="O167" s="164">
        <v>0</v>
      </c>
      <c r="P167" s="164">
        <v>0</v>
      </c>
      <c r="Q167" s="164">
        <v>0</v>
      </c>
      <c r="R167" s="164">
        <v>0</v>
      </c>
      <c r="S167" s="164">
        <v>0</v>
      </c>
      <c r="T167" s="164">
        <v>0</v>
      </c>
      <c r="U167" s="164">
        <v>0</v>
      </c>
      <c r="V167" s="164">
        <v>0</v>
      </c>
      <c r="W167" s="164">
        <v>0</v>
      </c>
      <c r="X167" s="164">
        <v>0</v>
      </c>
      <c r="Y167" s="164">
        <v>0</v>
      </c>
      <c r="Z167" s="164">
        <v>0</v>
      </c>
      <c r="AA167" s="164">
        <v>0</v>
      </c>
      <c r="AB167" s="164">
        <v>1</v>
      </c>
      <c r="AC167" s="164">
        <v>1</v>
      </c>
    </row>
    <row r="168" spans="1:29">
      <c r="A168" s="188">
        <v>164</v>
      </c>
      <c r="B168" s="178" t="s">
        <v>765</v>
      </c>
      <c r="C168" s="164">
        <v>0</v>
      </c>
      <c r="D168" s="164">
        <v>0</v>
      </c>
      <c r="E168" s="164">
        <v>0</v>
      </c>
      <c r="F168" s="164">
        <v>0</v>
      </c>
      <c r="G168" s="164">
        <v>0</v>
      </c>
      <c r="H168" s="164">
        <v>0</v>
      </c>
      <c r="I168" s="164">
        <v>0</v>
      </c>
      <c r="J168" s="164">
        <v>0</v>
      </c>
      <c r="K168" s="164">
        <v>0</v>
      </c>
      <c r="L168" s="164">
        <v>0</v>
      </c>
      <c r="M168" s="164">
        <v>1</v>
      </c>
      <c r="N168" s="164">
        <v>1</v>
      </c>
      <c r="O168" s="164">
        <v>0</v>
      </c>
      <c r="P168" s="164">
        <v>0</v>
      </c>
      <c r="Q168" s="164">
        <v>0</v>
      </c>
      <c r="R168" s="164">
        <v>0</v>
      </c>
      <c r="S168" s="164">
        <v>0</v>
      </c>
      <c r="T168" s="164">
        <v>0</v>
      </c>
      <c r="U168" s="164">
        <v>0</v>
      </c>
      <c r="V168" s="164">
        <v>0</v>
      </c>
      <c r="W168" s="164">
        <v>0</v>
      </c>
      <c r="X168" s="164">
        <v>0</v>
      </c>
      <c r="Y168" s="164">
        <v>0</v>
      </c>
      <c r="Z168" s="164">
        <v>0</v>
      </c>
      <c r="AA168" s="164">
        <v>0</v>
      </c>
      <c r="AB168" s="164">
        <v>1</v>
      </c>
      <c r="AC168" s="164">
        <v>1</v>
      </c>
    </row>
    <row r="169" spans="1:29">
      <c r="A169" s="188">
        <v>165</v>
      </c>
      <c r="B169" s="178" t="s">
        <v>957</v>
      </c>
      <c r="C169" s="164">
        <v>0</v>
      </c>
      <c r="D169" s="164">
        <v>0</v>
      </c>
      <c r="E169" s="164">
        <v>0</v>
      </c>
      <c r="F169" s="179">
        <v>0</v>
      </c>
      <c r="G169" s="164">
        <v>0</v>
      </c>
      <c r="H169" s="164">
        <v>0</v>
      </c>
      <c r="I169" s="164">
        <v>0</v>
      </c>
      <c r="J169" s="164">
        <v>1</v>
      </c>
      <c r="K169" s="164">
        <v>1</v>
      </c>
      <c r="L169" s="164">
        <v>0</v>
      </c>
      <c r="M169" s="164">
        <v>0</v>
      </c>
      <c r="N169" s="164">
        <v>0</v>
      </c>
      <c r="O169" s="164">
        <v>0</v>
      </c>
      <c r="P169" s="164">
        <v>0</v>
      </c>
      <c r="Q169" s="164">
        <v>0</v>
      </c>
      <c r="R169" s="164">
        <v>0</v>
      </c>
      <c r="S169" s="164">
        <v>0</v>
      </c>
      <c r="T169" s="164">
        <v>0</v>
      </c>
      <c r="U169" s="164">
        <v>0</v>
      </c>
      <c r="V169" s="164">
        <v>0</v>
      </c>
      <c r="W169" s="164">
        <v>0</v>
      </c>
      <c r="X169" s="164">
        <v>0</v>
      </c>
      <c r="Y169" s="164">
        <v>0</v>
      </c>
      <c r="Z169" s="164">
        <v>0</v>
      </c>
      <c r="AA169" s="164">
        <v>0</v>
      </c>
      <c r="AB169" s="164">
        <v>1</v>
      </c>
      <c r="AC169" s="164">
        <v>1</v>
      </c>
    </row>
    <row r="170" spans="1:29">
      <c r="A170" s="188">
        <v>166</v>
      </c>
      <c r="B170" s="178" t="s">
        <v>958</v>
      </c>
      <c r="C170" s="164">
        <v>0</v>
      </c>
      <c r="D170" s="164">
        <v>0</v>
      </c>
      <c r="E170" s="164">
        <v>0</v>
      </c>
      <c r="F170" s="164">
        <v>0</v>
      </c>
      <c r="G170" s="164">
        <v>0</v>
      </c>
      <c r="H170" s="164">
        <v>0</v>
      </c>
      <c r="I170" s="164">
        <v>0</v>
      </c>
      <c r="J170" s="164">
        <v>1</v>
      </c>
      <c r="K170" s="164">
        <v>1</v>
      </c>
      <c r="L170" s="164">
        <v>0</v>
      </c>
      <c r="M170" s="164">
        <v>0</v>
      </c>
      <c r="N170" s="164">
        <v>0</v>
      </c>
      <c r="O170" s="164">
        <v>0</v>
      </c>
      <c r="P170" s="164">
        <v>0</v>
      </c>
      <c r="Q170" s="164">
        <v>0</v>
      </c>
      <c r="R170" s="164">
        <v>0</v>
      </c>
      <c r="S170" s="164">
        <v>0</v>
      </c>
      <c r="T170" s="164">
        <v>0</v>
      </c>
      <c r="U170" s="164">
        <v>0</v>
      </c>
      <c r="V170" s="164">
        <v>0</v>
      </c>
      <c r="W170" s="164">
        <v>0</v>
      </c>
      <c r="X170" s="164">
        <v>0</v>
      </c>
      <c r="Y170" s="164">
        <v>0</v>
      </c>
      <c r="Z170" s="164">
        <v>0</v>
      </c>
      <c r="AA170" s="164">
        <v>0</v>
      </c>
      <c r="AB170" s="164">
        <v>1</v>
      </c>
      <c r="AC170" s="164">
        <v>1</v>
      </c>
    </row>
    <row r="171" spans="1:29">
      <c r="A171" s="188">
        <v>167</v>
      </c>
      <c r="B171" s="178" t="s">
        <v>768</v>
      </c>
      <c r="C171" s="164">
        <v>0</v>
      </c>
      <c r="D171" s="164">
        <v>0</v>
      </c>
      <c r="E171" s="164">
        <v>0</v>
      </c>
      <c r="F171" s="164">
        <v>0</v>
      </c>
      <c r="G171" s="164">
        <v>0</v>
      </c>
      <c r="H171" s="164">
        <v>0</v>
      </c>
      <c r="I171" s="164">
        <v>1</v>
      </c>
      <c r="J171" s="164">
        <v>0</v>
      </c>
      <c r="K171" s="164">
        <v>1</v>
      </c>
      <c r="L171" s="164">
        <v>0</v>
      </c>
      <c r="M171" s="164">
        <v>0</v>
      </c>
      <c r="N171" s="164">
        <v>0</v>
      </c>
      <c r="O171" s="164">
        <v>0</v>
      </c>
      <c r="P171" s="164">
        <v>0</v>
      </c>
      <c r="Q171" s="164">
        <v>0</v>
      </c>
      <c r="R171" s="164">
        <v>0</v>
      </c>
      <c r="S171" s="164">
        <v>0</v>
      </c>
      <c r="T171" s="164">
        <v>0</v>
      </c>
      <c r="U171" s="164">
        <v>0</v>
      </c>
      <c r="V171" s="164">
        <v>0</v>
      </c>
      <c r="W171" s="164">
        <v>0</v>
      </c>
      <c r="X171" s="164">
        <v>0</v>
      </c>
      <c r="Y171" s="164">
        <v>0</v>
      </c>
      <c r="Z171" s="164">
        <v>0</v>
      </c>
      <c r="AA171" s="164">
        <v>1</v>
      </c>
      <c r="AB171" s="164">
        <v>0</v>
      </c>
      <c r="AC171" s="164">
        <v>1</v>
      </c>
    </row>
    <row r="172" spans="1:29">
      <c r="A172" s="188">
        <v>168</v>
      </c>
      <c r="B172" s="178" t="s">
        <v>959</v>
      </c>
      <c r="C172" s="164">
        <v>0</v>
      </c>
      <c r="D172" s="164">
        <v>0</v>
      </c>
      <c r="E172" s="164">
        <v>0</v>
      </c>
      <c r="F172" s="164">
        <v>0</v>
      </c>
      <c r="G172" s="164">
        <v>0</v>
      </c>
      <c r="H172" s="164">
        <v>0</v>
      </c>
      <c r="I172" s="164">
        <v>0</v>
      </c>
      <c r="J172" s="164">
        <v>0</v>
      </c>
      <c r="K172" s="164">
        <v>0</v>
      </c>
      <c r="L172" s="164">
        <v>1</v>
      </c>
      <c r="M172" s="164">
        <v>0</v>
      </c>
      <c r="N172" s="164">
        <v>1</v>
      </c>
      <c r="O172" s="164">
        <v>0</v>
      </c>
      <c r="P172" s="164">
        <v>0</v>
      </c>
      <c r="Q172" s="164">
        <v>0</v>
      </c>
      <c r="R172" s="164">
        <v>0</v>
      </c>
      <c r="S172" s="164">
        <v>0</v>
      </c>
      <c r="T172" s="164">
        <v>0</v>
      </c>
      <c r="U172" s="164">
        <v>0</v>
      </c>
      <c r="V172" s="164">
        <v>0</v>
      </c>
      <c r="W172" s="164">
        <v>0</v>
      </c>
      <c r="X172" s="164">
        <v>0</v>
      </c>
      <c r="Y172" s="164">
        <v>0</v>
      </c>
      <c r="Z172" s="164">
        <v>0</v>
      </c>
      <c r="AA172" s="164">
        <v>1</v>
      </c>
      <c r="AB172" s="164">
        <v>0</v>
      </c>
      <c r="AC172" s="164">
        <v>1</v>
      </c>
    </row>
    <row r="173" spans="1:29">
      <c r="A173" s="188">
        <v>169</v>
      </c>
      <c r="B173" s="178" t="s">
        <v>763</v>
      </c>
      <c r="C173" s="164">
        <v>0</v>
      </c>
      <c r="D173" s="164">
        <v>0</v>
      </c>
      <c r="E173" s="164">
        <v>0</v>
      </c>
      <c r="F173" s="164">
        <v>0</v>
      </c>
      <c r="G173" s="164">
        <v>0</v>
      </c>
      <c r="H173" s="164">
        <v>0</v>
      </c>
      <c r="I173" s="164">
        <v>0</v>
      </c>
      <c r="J173" s="164">
        <v>0</v>
      </c>
      <c r="K173" s="164">
        <v>0</v>
      </c>
      <c r="L173" s="164">
        <v>1</v>
      </c>
      <c r="M173" s="164">
        <v>0</v>
      </c>
      <c r="N173" s="164">
        <v>1</v>
      </c>
      <c r="O173" s="164">
        <v>0</v>
      </c>
      <c r="P173" s="164">
        <v>0</v>
      </c>
      <c r="Q173" s="164">
        <v>0</v>
      </c>
      <c r="R173" s="164">
        <v>0</v>
      </c>
      <c r="S173" s="164">
        <v>0</v>
      </c>
      <c r="T173" s="164">
        <v>0</v>
      </c>
      <c r="U173" s="164">
        <v>0</v>
      </c>
      <c r="V173" s="164">
        <v>0</v>
      </c>
      <c r="W173" s="164">
        <v>0</v>
      </c>
      <c r="X173" s="164">
        <v>0</v>
      </c>
      <c r="Y173" s="164">
        <v>0</v>
      </c>
      <c r="Z173" s="164">
        <v>0</v>
      </c>
      <c r="AA173" s="164">
        <v>1</v>
      </c>
      <c r="AB173" s="164">
        <v>0</v>
      </c>
      <c r="AC173" s="164">
        <v>1</v>
      </c>
    </row>
    <row r="174" spans="1:29">
      <c r="A174" s="188">
        <v>170</v>
      </c>
      <c r="B174" s="178" t="s">
        <v>960</v>
      </c>
      <c r="C174" s="164">
        <v>0</v>
      </c>
      <c r="D174" s="164">
        <v>0</v>
      </c>
      <c r="E174" s="164">
        <v>0</v>
      </c>
      <c r="F174" s="164">
        <v>0</v>
      </c>
      <c r="G174" s="164">
        <v>0</v>
      </c>
      <c r="H174" s="164">
        <v>0</v>
      </c>
      <c r="I174" s="164">
        <v>0</v>
      </c>
      <c r="J174" s="164">
        <v>0</v>
      </c>
      <c r="K174" s="164">
        <v>0</v>
      </c>
      <c r="L174" s="164">
        <v>0</v>
      </c>
      <c r="M174" s="164">
        <v>1</v>
      </c>
      <c r="N174" s="164">
        <v>1</v>
      </c>
      <c r="O174" s="164">
        <v>0</v>
      </c>
      <c r="P174" s="164">
        <v>0</v>
      </c>
      <c r="Q174" s="164">
        <v>0</v>
      </c>
      <c r="R174" s="164">
        <v>0</v>
      </c>
      <c r="S174" s="164">
        <v>0</v>
      </c>
      <c r="T174" s="164">
        <v>0</v>
      </c>
      <c r="U174" s="164">
        <v>0</v>
      </c>
      <c r="V174" s="164">
        <v>0</v>
      </c>
      <c r="W174" s="164">
        <v>0</v>
      </c>
      <c r="X174" s="164">
        <v>0</v>
      </c>
      <c r="Y174" s="164">
        <v>0</v>
      </c>
      <c r="Z174" s="164">
        <v>0</v>
      </c>
      <c r="AA174" s="164">
        <v>0</v>
      </c>
      <c r="AB174" s="164">
        <v>1</v>
      </c>
      <c r="AC174" s="164">
        <v>1</v>
      </c>
    </row>
    <row r="175" spans="1:29" s="189" customFormat="1" ht="14.25">
      <c r="A175" s="1066" t="s">
        <v>60</v>
      </c>
      <c r="B175" s="1067"/>
      <c r="C175" s="115">
        <v>1597</v>
      </c>
      <c r="D175" s="115">
        <v>433</v>
      </c>
      <c r="E175" s="115">
        <v>2030</v>
      </c>
      <c r="F175" s="115">
        <v>5</v>
      </c>
      <c r="G175" s="115">
        <v>15</v>
      </c>
      <c r="H175" s="115">
        <v>20</v>
      </c>
      <c r="I175" s="115">
        <v>4972</v>
      </c>
      <c r="J175" s="115">
        <v>2444</v>
      </c>
      <c r="K175" s="115">
        <v>7416</v>
      </c>
      <c r="L175" s="115">
        <v>23204</v>
      </c>
      <c r="M175" s="115">
        <v>11882</v>
      </c>
      <c r="N175" s="115">
        <v>35086</v>
      </c>
      <c r="O175" s="115">
        <v>52</v>
      </c>
      <c r="P175" s="115">
        <v>35</v>
      </c>
      <c r="Q175" s="115">
        <v>87</v>
      </c>
      <c r="R175" s="115">
        <v>707</v>
      </c>
      <c r="S175" s="115">
        <v>635</v>
      </c>
      <c r="T175" s="115">
        <v>1342</v>
      </c>
      <c r="U175" s="115">
        <v>31</v>
      </c>
      <c r="V175" s="115">
        <v>15</v>
      </c>
      <c r="W175" s="115">
        <v>46</v>
      </c>
      <c r="X175" s="115">
        <v>440</v>
      </c>
      <c r="Y175" s="115">
        <v>411</v>
      </c>
      <c r="Z175" s="115">
        <v>851</v>
      </c>
      <c r="AA175" s="115">
        <v>31008</v>
      </c>
      <c r="AB175" s="115">
        <v>15870</v>
      </c>
      <c r="AC175" s="115">
        <v>46878</v>
      </c>
    </row>
  </sheetData>
  <mergeCells count="15">
    <mergeCell ref="A175:B175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51181102362204722" right="0.31496062992125984" top="0.55118110236220474" bottom="0.39370078740157483" header="0.35433070866141736" footer="0.23622047244094491"/>
  <pageSetup paperSize="9" scale="70" firstPageNumber="51" pageOrder="overThenDown" orientation="portrait" useFirstPageNumber="1" r:id="rId1"/>
  <headerFooter>
    <oddFooter>&amp;LAISHE 2021-22&amp;CT-16</oddFooter>
  </headerFooter>
  <colBreaks count="2" manualBreakCount="2">
    <brk id="11" max="174" man="1"/>
    <brk id="20" max="174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AC39"/>
  <sheetViews>
    <sheetView showZeros="0" view="pageBreakPreview" zoomScaleSheetLayoutView="100" workbookViewId="0">
      <pane xSplit="2" ySplit="4" topLeftCell="C17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"/>
  <cols>
    <col min="1" max="1" width="6.85546875" style="482" bestFit="1" customWidth="1"/>
    <col min="2" max="2" width="23.7109375" style="186" bestFit="1" customWidth="1"/>
    <col min="3" max="29" width="8.7109375" style="184" customWidth="1"/>
    <col min="30" max="16384" width="9.28515625" style="184"/>
  </cols>
  <sheetData>
    <row r="1" spans="1:29" s="181" customFormat="1" ht="36" customHeight="1">
      <c r="A1" s="481"/>
      <c r="B1" s="80" t="s">
        <v>770</v>
      </c>
      <c r="C1" s="1072" t="s">
        <v>1090</v>
      </c>
      <c r="D1" s="1073"/>
      <c r="E1" s="1073"/>
      <c r="F1" s="1073"/>
      <c r="G1" s="1073"/>
      <c r="H1" s="1073"/>
      <c r="I1" s="1073"/>
      <c r="J1" s="1073"/>
      <c r="K1" s="1073"/>
      <c r="L1" s="1072" t="str">
        <f>C1</f>
        <v>States/UT-wise &amp; Level-wise Foreign Students
(Based on Actual Response)</v>
      </c>
      <c r="M1" s="1073"/>
      <c r="N1" s="1073"/>
      <c r="O1" s="1073"/>
      <c r="P1" s="1073"/>
      <c r="Q1" s="1073"/>
      <c r="R1" s="1073"/>
      <c r="S1" s="1073"/>
      <c r="T1" s="1073"/>
      <c r="U1" s="1072" t="str">
        <f>L1</f>
        <v>States/UT-wise &amp; Level-wise Foreign Students
(Based on Actual Response)</v>
      </c>
      <c r="V1" s="1073"/>
      <c r="W1" s="1073"/>
      <c r="X1" s="1073"/>
      <c r="Y1" s="1073"/>
      <c r="Z1" s="1073"/>
      <c r="AA1" s="1073"/>
      <c r="AB1" s="1073"/>
      <c r="AC1" s="1073"/>
    </row>
    <row r="2" spans="1:29" s="183" customFormat="1" ht="18.600000000000001" customHeight="1">
      <c r="A2" s="1058" t="s">
        <v>988</v>
      </c>
      <c r="B2" s="1058" t="s">
        <v>137</v>
      </c>
      <c r="C2" s="1074" t="s">
        <v>89</v>
      </c>
      <c r="D2" s="1074"/>
      <c r="E2" s="1074"/>
      <c r="F2" s="1074" t="s">
        <v>90</v>
      </c>
      <c r="G2" s="1074"/>
      <c r="H2" s="1074"/>
      <c r="I2" s="1074" t="s">
        <v>85</v>
      </c>
      <c r="J2" s="1074"/>
      <c r="K2" s="1074"/>
      <c r="L2" s="1074" t="s">
        <v>86</v>
      </c>
      <c r="M2" s="1074"/>
      <c r="N2" s="1074"/>
      <c r="O2" s="1074" t="s">
        <v>91</v>
      </c>
      <c r="P2" s="1074"/>
      <c r="Q2" s="1074"/>
      <c r="R2" s="1074" t="s">
        <v>92</v>
      </c>
      <c r="S2" s="1074"/>
      <c r="T2" s="1074"/>
      <c r="U2" s="1074" t="s">
        <v>93</v>
      </c>
      <c r="V2" s="1074"/>
      <c r="W2" s="1074"/>
      <c r="X2" s="1074" t="s">
        <v>94</v>
      </c>
      <c r="Y2" s="1074"/>
      <c r="Z2" s="1074"/>
      <c r="AA2" s="1074" t="s">
        <v>12</v>
      </c>
      <c r="AB2" s="1074"/>
      <c r="AC2" s="1074"/>
    </row>
    <row r="3" spans="1:29" ht="18.600000000000001" customHeight="1">
      <c r="A3" s="1059"/>
      <c r="B3" s="1059"/>
      <c r="C3" s="182" t="s">
        <v>87</v>
      </c>
      <c r="D3" s="182" t="s">
        <v>88</v>
      </c>
      <c r="E3" s="182" t="s">
        <v>12</v>
      </c>
      <c r="F3" s="182" t="s">
        <v>87</v>
      </c>
      <c r="G3" s="182" t="s">
        <v>88</v>
      </c>
      <c r="H3" s="182" t="s">
        <v>12</v>
      </c>
      <c r="I3" s="182" t="s">
        <v>87</v>
      </c>
      <c r="J3" s="182" t="s">
        <v>88</v>
      </c>
      <c r="K3" s="182" t="s">
        <v>12</v>
      </c>
      <c r="L3" s="182" t="s">
        <v>87</v>
      </c>
      <c r="M3" s="182" t="s">
        <v>88</v>
      </c>
      <c r="N3" s="182" t="s">
        <v>12</v>
      </c>
      <c r="O3" s="182" t="s">
        <v>87</v>
      </c>
      <c r="P3" s="182" t="s">
        <v>88</v>
      </c>
      <c r="Q3" s="182" t="s">
        <v>12</v>
      </c>
      <c r="R3" s="182" t="s">
        <v>87</v>
      </c>
      <c r="S3" s="182" t="s">
        <v>88</v>
      </c>
      <c r="T3" s="182" t="s">
        <v>12</v>
      </c>
      <c r="U3" s="182" t="s">
        <v>87</v>
      </c>
      <c r="V3" s="182" t="s">
        <v>88</v>
      </c>
      <c r="W3" s="182" t="s">
        <v>12</v>
      </c>
      <c r="X3" s="182" t="s">
        <v>87</v>
      </c>
      <c r="Y3" s="182" t="s">
        <v>88</v>
      </c>
      <c r="Z3" s="182" t="s">
        <v>12</v>
      </c>
      <c r="AA3" s="182" t="s">
        <v>87</v>
      </c>
      <c r="AB3" s="182" t="s">
        <v>88</v>
      </c>
      <c r="AC3" s="182" t="s">
        <v>12</v>
      </c>
    </row>
    <row r="4" spans="1:29" s="483" customFormat="1" ht="12">
      <c r="A4" s="477">
        <v>1</v>
      </c>
      <c r="B4" s="477">
        <v>2</v>
      </c>
      <c r="C4" s="477">
        <v>3</v>
      </c>
      <c r="D4" s="477">
        <v>4</v>
      </c>
      <c r="E4" s="477">
        <v>5</v>
      </c>
      <c r="F4" s="477">
        <v>6</v>
      </c>
      <c r="G4" s="477">
        <v>7</v>
      </c>
      <c r="H4" s="477">
        <v>8</v>
      </c>
      <c r="I4" s="477">
        <v>9</v>
      </c>
      <c r="J4" s="477">
        <v>10</v>
      </c>
      <c r="K4" s="477">
        <v>11</v>
      </c>
      <c r="L4" s="477">
        <v>12</v>
      </c>
      <c r="M4" s="477">
        <v>13</v>
      </c>
      <c r="N4" s="477">
        <v>14</v>
      </c>
      <c r="O4" s="477">
        <v>15</v>
      </c>
      <c r="P4" s="477">
        <v>16</v>
      </c>
      <c r="Q4" s="477">
        <v>17</v>
      </c>
      <c r="R4" s="477">
        <v>18</v>
      </c>
      <c r="S4" s="477">
        <v>19</v>
      </c>
      <c r="T4" s="477">
        <v>20</v>
      </c>
      <c r="U4" s="477">
        <v>21</v>
      </c>
      <c r="V4" s="477">
        <v>22</v>
      </c>
      <c r="W4" s="477">
        <v>23</v>
      </c>
      <c r="X4" s="477">
        <v>24</v>
      </c>
      <c r="Y4" s="477">
        <v>25</v>
      </c>
      <c r="Z4" s="477">
        <v>26</v>
      </c>
      <c r="AA4" s="477">
        <v>27</v>
      </c>
      <c r="AB4" s="477">
        <v>28</v>
      </c>
      <c r="AC4" s="477">
        <v>29</v>
      </c>
    </row>
    <row r="5" spans="1:29" ht="24" customHeight="1">
      <c r="A5" s="188">
        <v>1</v>
      </c>
      <c r="B5" s="185" t="s">
        <v>15</v>
      </c>
      <c r="C5" s="164">
        <v>263</v>
      </c>
      <c r="D5" s="164">
        <v>37</v>
      </c>
      <c r="E5" s="164">
        <v>300</v>
      </c>
      <c r="F5" s="164">
        <v>0</v>
      </c>
      <c r="G5" s="164">
        <v>0</v>
      </c>
      <c r="H5" s="164">
        <v>0</v>
      </c>
      <c r="I5" s="164">
        <v>392</v>
      </c>
      <c r="J5" s="164">
        <v>124</v>
      </c>
      <c r="K5" s="164">
        <v>516</v>
      </c>
      <c r="L5" s="164">
        <v>1449</v>
      </c>
      <c r="M5" s="164">
        <v>441</v>
      </c>
      <c r="N5" s="164">
        <v>1890</v>
      </c>
      <c r="O5" s="164">
        <v>0</v>
      </c>
      <c r="P5" s="164">
        <v>0</v>
      </c>
      <c r="Q5" s="164">
        <v>0</v>
      </c>
      <c r="R5" s="164">
        <v>0</v>
      </c>
      <c r="S5" s="164">
        <v>400</v>
      </c>
      <c r="T5" s="164">
        <v>400</v>
      </c>
      <c r="U5" s="164">
        <v>0</v>
      </c>
      <c r="V5" s="164">
        <v>2</v>
      </c>
      <c r="W5" s="164">
        <v>2</v>
      </c>
      <c r="X5" s="164">
        <v>3</v>
      </c>
      <c r="Y5" s="164">
        <v>4</v>
      </c>
      <c r="Z5" s="164">
        <v>7</v>
      </c>
      <c r="AA5" s="164">
        <v>2107</v>
      </c>
      <c r="AB5" s="164">
        <v>1008</v>
      </c>
      <c r="AC5" s="164">
        <v>3115</v>
      </c>
    </row>
    <row r="6" spans="1:29" ht="24" customHeight="1">
      <c r="A6" s="188">
        <v>2</v>
      </c>
      <c r="B6" s="185" t="s">
        <v>16</v>
      </c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</row>
    <row r="7" spans="1:29" ht="24" customHeight="1">
      <c r="A7" s="188">
        <v>3</v>
      </c>
      <c r="B7" s="185" t="s">
        <v>17</v>
      </c>
      <c r="C7" s="164">
        <v>14</v>
      </c>
      <c r="D7" s="164">
        <v>6</v>
      </c>
      <c r="E7" s="164">
        <v>20</v>
      </c>
      <c r="F7" s="164">
        <v>0</v>
      </c>
      <c r="G7" s="164">
        <v>0</v>
      </c>
      <c r="H7" s="164">
        <v>0</v>
      </c>
      <c r="I7" s="164">
        <v>27</v>
      </c>
      <c r="J7" s="164">
        <v>15</v>
      </c>
      <c r="K7" s="164">
        <v>42</v>
      </c>
      <c r="L7" s="164">
        <v>62</v>
      </c>
      <c r="M7" s="164">
        <v>35</v>
      </c>
      <c r="N7" s="164">
        <v>97</v>
      </c>
      <c r="O7" s="164">
        <v>0</v>
      </c>
      <c r="P7" s="164">
        <v>0</v>
      </c>
      <c r="Q7" s="164">
        <v>0</v>
      </c>
      <c r="R7" s="164">
        <v>0</v>
      </c>
      <c r="S7" s="164">
        <v>0</v>
      </c>
      <c r="T7" s="164">
        <v>0</v>
      </c>
      <c r="U7" s="164">
        <v>0</v>
      </c>
      <c r="V7" s="164">
        <v>0</v>
      </c>
      <c r="W7" s="164">
        <v>0</v>
      </c>
      <c r="X7" s="164">
        <v>0</v>
      </c>
      <c r="Y7" s="164">
        <v>0</v>
      </c>
      <c r="Z7" s="164">
        <v>0</v>
      </c>
      <c r="AA7" s="164">
        <v>103</v>
      </c>
      <c r="AB7" s="164">
        <v>56</v>
      </c>
      <c r="AC7" s="164">
        <v>159</v>
      </c>
    </row>
    <row r="8" spans="1:29" ht="24" customHeight="1">
      <c r="A8" s="188">
        <v>4</v>
      </c>
      <c r="B8" s="185" t="s">
        <v>18</v>
      </c>
      <c r="C8" s="164">
        <v>12</v>
      </c>
      <c r="D8" s="164">
        <v>6</v>
      </c>
      <c r="E8" s="164">
        <v>18</v>
      </c>
      <c r="F8" s="164">
        <v>0</v>
      </c>
      <c r="G8" s="164">
        <v>0</v>
      </c>
      <c r="H8" s="164">
        <v>0</v>
      </c>
      <c r="I8" s="164">
        <v>108</v>
      </c>
      <c r="J8" s="164">
        <v>81</v>
      </c>
      <c r="K8" s="164">
        <v>189</v>
      </c>
      <c r="L8" s="164">
        <v>29</v>
      </c>
      <c r="M8" s="164">
        <v>10</v>
      </c>
      <c r="N8" s="164">
        <v>39</v>
      </c>
      <c r="O8" s="164">
        <v>0</v>
      </c>
      <c r="P8" s="164">
        <v>0</v>
      </c>
      <c r="Q8" s="164">
        <v>0</v>
      </c>
      <c r="R8" s="164">
        <v>0</v>
      </c>
      <c r="S8" s="164">
        <v>1</v>
      </c>
      <c r="T8" s="164">
        <v>1</v>
      </c>
      <c r="U8" s="164">
        <v>3</v>
      </c>
      <c r="V8" s="164">
        <v>0</v>
      </c>
      <c r="W8" s="164">
        <v>3</v>
      </c>
      <c r="X8" s="164">
        <v>0</v>
      </c>
      <c r="Y8" s="164">
        <v>0</v>
      </c>
      <c r="Z8" s="164">
        <v>0</v>
      </c>
      <c r="AA8" s="164">
        <v>152</v>
      </c>
      <c r="AB8" s="164">
        <v>98</v>
      </c>
      <c r="AC8" s="164">
        <v>250</v>
      </c>
    </row>
    <row r="9" spans="1:29" ht="24" customHeight="1">
      <c r="A9" s="188">
        <v>5</v>
      </c>
      <c r="B9" s="185" t="s">
        <v>19</v>
      </c>
      <c r="C9" s="164">
        <v>28</v>
      </c>
      <c r="D9" s="164">
        <v>11</v>
      </c>
      <c r="E9" s="164">
        <v>39</v>
      </c>
      <c r="F9" s="164">
        <v>0</v>
      </c>
      <c r="G9" s="164">
        <v>0</v>
      </c>
      <c r="H9" s="164">
        <v>0</v>
      </c>
      <c r="I9" s="164">
        <v>108</v>
      </c>
      <c r="J9" s="164">
        <v>49</v>
      </c>
      <c r="K9" s="164">
        <v>157</v>
      </c>
      <c r="L9" s="164">
        <v>132</v>
      </c>
      <c r="M9" s="164">
        <v>59</v>
      </c>
      <c r="N9" s="164">
        <v>191</v>
      </c>
      <c r="O9" s="164">
        <v>3</v>
      </c>
      <c r="P9" s="164">
        <v>0</v>
      </c>
      <c r="Q9" s="164">
        <v>3</v>
      </c>
      <c r="R9" s="164">
        <v>0</v>
      </c>
      <c r="S9" s="164">
        <v>0</v>
      </c>
      <c r="T9" s="164">
        <v>0</v>
      </c>
      <c r="U9" s="164">
        <v>0</v>
      </c>
      <c r="V9" s="164">
        <v>0</v>
      </c>
      <c r="W9" s="164">
        <v>0</v>
      </c>
      <c r="X9" s="164">
        <v>26</v>
      </c>
      <c r="Y9" s="164">
        <v>20</v>
      </c>
      <c r="Z9" s="164">
        <v>46</v>
      </c>
      <c r="AA9" s="164">
        <v>297</v>
      </c>
      <c r="AB9" s="164">
        <v>139</v>
      </c>
      <c r="AC9" s="164">
        <v>436</v>
      </c>
    </row>
    <row r="10" spans="1:29" ht="24" customHeight="1">
      <c r="A10" s="188">
        <v>6</v>
      </c>
      <c r="B10" s="185" t="s">
        <v>20</v>
      </c>
      <c r="C10" s="164">
        <v>6</v>
      </c>
      <c r="D10" s="164">
        <v>2</v>
      </c>
      <c r="E10" s="164">
        <v>8</v>
      </c>
      <c r="F10" s="164">
        <v>0</v>
      </c>
      <c r="G10" s="164">
        <v>0</v>
      </c>
      <c r="H10" s="164">
        <v>0</v>
      </c>
      <c r="I10" s="164">
        <v>24</v>
      </c>
      <c r="J10" s="164">
        <v>10</v>
      </c>
      <c r="K10" s="164">
        <v>34</v>
      </c>
      <c r="L10" s="164">
        <v>215</v>
      </c>
      <c r="M10" s="164">
        <v>56</v>
      </c>
      <c r="N10" s="164">
        <v>271</v>
      </c>
      <c r="O10" s="164">
        <v>1</v>
      </c>
      <c r="P10" s="164">
        <v>0</v>
      </c>
      <c r="Q10" s="164">
        <v>1</v>
      </c>
      <c r="R10" s="164">
        <v>13</v>
      </c>
      <c r="S10" s="164">
        <v>1</v>
      </c>
      <c r="T10" s="164">
        <v>14</v>
      </c>
      <c r="U10" s="164">
        <v>0</v>
      </c>
      <c r="V10" s="164">
        <v>0</v>
      </c>
      <c r="W10" s="164">
        <v>0</v>
      </c>
      <c r="X10" s="164">
        <v>7</v>
      </c>
      <c r="Y10" s="164">
        <v>3</v>
      </c>
      <c r="Z10" s="164">
        <v>10</v>
      </c>
      <c r="AA10" s="164">
        <v>266</v>
      </c>
      <c r="AB10" s="164">
        <v>72</v>
      </c>
      <c r="AC10" s="164">
        <v>338</v>
      </c>
    </row>
    <row r="11" spans="1:29" ht="24" customHeight="1">
      <c r="A11" s="188">
        <v>7</v>
      </c>
      <c r="B11" s="185" t="s">
        <v>23</v>
      </c>
      <c r="C11" s="164">
        <v>129</v>
      </c>
      <c r="D11" s="164">
        <v>100</v>
      </c>
      <c r="E11" s="164">
        <v>229</v>
      </c>
      <c r="F11" s="164">
        <v>4</v>
      </c>
      <c r="G11" s="164">
        <v>11</v>
      </c>
      <c r="H11" s="164">
        <v>15</v>
      </c>
      <c r="I11" s="164">
        <v>390</v>
      </c>
      <c r="J11" s="164">
        <v>215</v>
      </c>
      <c r="K11" s="164">
        <v>605</v>
      </c>
      <c r="L11" s="164">
        <v>1131</v>
      </c>
      <c r="M11" s="164">
        <v>733</v>
      </c>
      <c r="N11" s="164">
        <v>1864</v>
      </c>
      <c r="O11" s="164">
        <v>2</v>
      </c>
      <c r="P11" s="164">
        <v>1</v>
      </c>
      <c r="Q11" s="164">
        <v>3</v>
      </c>
      <c r="R11" s="164">
        <v>4</v>
      </c>
      <c r="S11" s="164">
        <v>7</v>
      </c>
      <c r="T11" s="164">
        <v>11</v>
      </c>
      <c r="U11" s="164">
        <v>1</v>
      </c>
      <c r="V11" s="164">
        <v>1</v>
      </c>
      <c r="W11" s="164">
        <v>2</v>
      </c>
      <c r="X11" s="164">
        <v>20</v>
      </c>
      <c r="Y11" s="164">
        <v>22</v>
      </c>
      <c r="Z11" s="164">
        <v>42</v>
      </c>
      <c r="AA11" s="164">
        <v>1681</v>
      </c>
      <c r="AB11" s="164">
        <v>1090</v>
      </c>
      <c r="AC11" s="164">
        <v>2771</v>
      </c>
    </row>
    <row r="12" spans="1:29" ht="24" customHeight="1">
      <c r="A12" s="188">
        <v>8</v>
      </c>
      <c r="B12" s="185" t="s">
        <v>24</v>
      </c>
      <c r="C12" s="164">
        <v>0</v>
      </c>
      <c r="D12" s="164">
        <v>2</v>
      </c>
      <c r="E12" s="164">
        <v>2</v>
      </c>
      <c r="F12" s="164">
        <v>0</v>
      </c>
      <c r="G12" s="164">
        <v>0</v>
      </c>
      <c r="H12" s="164">
        <v>0</v>
      </c>
      <c r="I12" s="164">
        <v>36</v>
      </c>
      <c r="J12" s="164">
        <v>2</v>
      </c>
      <c r="K12" s="164">
        <v>38</v>
      </c>
      <c r="L12" s="164">
        <v>180</v>
      </c>
      <c r="M12" s="164">
        <v>65</v>
      </c>
      <c r="N12" s="164">
        <v>245</v>
      </c>
      <c r="O12" s="164">
        <v>0</v>
      </c>
      <c r="P12" s="164">
        <v>0</v>
      </c>
      <c r="Q12" s="164">
        <v>0</v>
      </c>
      <c r="R12" s="164">
        <v>0</v>
      </c>
      <c r="S12" s="164">
        <v>0</v>
      </c>
      <c r="T12" s="164">
        <v>0</v>
      </c>
      <c r="U12" s="164">
        <v>0</v>
      </c>
      <c r="V12" s="164">
        <v>0</v>
      </c>
      <c r="W12" s="164">
        <v>0</v>
      </c>
      <c r="X12" s="164">
        <v>12</v>
      </c>
      <c r="Y12" s="164">
        <v>6</v>
      </c>
      <c r="Z12" s="164">
        <v>18</v>
      </c>
      <c r="AA12" s="164">
        <v>228</v>
      </c>
      <c r="AB12" s="164">
        <v>75</v>
      </c>
      <c r="AC12" s="164">
        <v>303</v>
      </c>
    </row>
    <row r="13" spans="1:29" ht="24" customHeight="1">
      <c r="A13" s="188">
        <v>9</v>
      </c>
      <c r="B13" s="185" t="s">
        <v>25</v>
      </c>
      <c r="C13" s="164">
        <v>108</v>
      </c>
      <c r="D13" s="164">
        <v>23</v>
      </c>
      <c r="E13" s="164">
        <v>131</v>
      </c>
      <c r="F13" s="164">
        <v>0</v>
      </c>
      <c r="G13" s="164">
        <v>0</v>
      </c>
      <c r="H13" s="164">
        <v>0</v>
      </c>
      <c r="I13" s="164">
        <v>303</v>
      </c>
      <c r="J13" s="164">
        <v>136</v>
      </c>
      <c r="K13" s="164">
        <v>439</v>
      </c>
      <c r="L13" s="164">
        <v>1932</v>
      </c>
      <c r="M13" s="164">
        <v>807</v>
      </c>
      <c r="N13" s="164">
        <v>2739</v>
      </c>
      <c r="O13" s="164">
        <v>22</v>
      </c>
      <c r="P13" s="164">
        <v>8</v>
      </c>
      <c r="Q13" s="164">
        <v>30</v>
      </c>
      <c r="R13" s="164">
        <v>62</v>
      </c>
      <c r="S13" s="164">
        <v>21</v>
      </c>
      <c r="T13" s="164">
        <v>83</v>
      </c>
      <c r="U13" s="164">
        <v>2</v>
      </c>
      <c r="V13" s="164">
        <v>0</v>
      </c>
      <c r="W13" s="164">
        <v>2</v>
      </c>
      <c r="X13" s="164">
        <v>81</v>
      </c>
      <c r="Y13" s="164">
        <v>88</v>
      </c>
      <c r="Z13" s="164">
        <v>169</v>
      </c>
      <c r="AA13" s="164">
        <v>2510</v>
      </c>
      <c r="AB13" s="164">
        <v>1083</v>
      </c>
      <c r="AC13" s="164">
        <v>3593</v>
      </c>
    </row>
    <row r="14" spans="1:29" ht="24" customHeight="1">
      <c r="A14" s="188">
        <v>10</v>
      </c>
      <c r="B14" s="185" t="s">
        <v>26</v>
      </c>
      <c r="C14" s="164">
        <v>83</v>
      </c>
      <c r="D14" s="164">
        <v>9</v>
      </c>
      <c r="E14" s="164">
        <v>92</v>
      </c>
      <c r="F14" s="164">
        <v>0</v>
      </c>
      <c r="G14" s="164">
        <v>0</v>
      </c>
      <c r="H14" s="164">
        <v>0</v>
      </c>
      <c r="I14" s="164">
        <v>132</v>
      </c>
      <c r="J14" s="164">
        <v>50</v>
      </c>
      <c r="K14" s="164">
        <v>182</v>
      </c>
      <c r="L14" s="164">
        <v>785</v>
      </c>
      <c r="M14" s="164">
        <v>429</v>
      </c>
      <c r="N14" s="164">
        <v>1214</v>
      </c>
      <c r="O14" s="164">
        <v>14</v>
      </c>
      <c r="P14" s="164">
        <v>12</v>
      </c>
      <c r="Q14" s="164">
        <v>26</v>
      </c>
      <c r="R14" s="164">
        <v>153</v>
      </c>
      <c r="S14" s="164">
        <v>22</v>
      </c>
      <c r="T14" s="164">
        <v>175</v>
      </c>
      <c r="U14" s="164">
        <v>0</v>
      </c>
      <c r="V14" s="164">
        <v>0</v>
      </c>
      <c r="W14" s="164">
        <v>0</v>
      </c>
      <c r="X14" s="164">
        <v>8</v>
      </c>
      <c r="Y14" s="164">
        <v>6</v>
      </c>
      <c r="Z14" s="164">
        <v>14</v>
      </c>
      <c r="AA14" s="164">
        <v>1175</v>
      </c>
      <c r="AB14" s="164">
        <v>528</v>
      </c>
      <c r="AC14" s="164">
        <v>1703</v>
      </c>
    </row>
    <row r="15" spans="1:29" ht="24" customHeight="1">
      <c r="A15" s="188">
        <v>11</v>
      </c>
      <c r="B15" s="185" t="s">
        <v>27</v>
      </c>
      <c r="C15" s="164">
        <v>42</v>
      </c>
      <c r="D15" s="164">
        <v>6</v>
      </c>
      <c r="E15" s="164">
        <v>48</v>
      </c>
      <c r="F15" s="164">
        <v>0</v>
      </c>
      <c r="G15" s="164">
        <v>0</v>
      </c>
      <c r="H15" s="164">
        <v>0</v>
      </c>
      <c r="I15" s="164">
        <v>38</v>
      </c>
      <c r="J15" s="164">
        <v>8</v>
      </c>
      <c r="K15" s="164">
        <v>46</v>
      </c>
      <c r="L15" s="164">
        <v>208</v>
      </c>
      <c r="M15" s="164">
        <v>59</v>
      </c>
      <c r="N15" s="164">
        <v>267</v>
      </c>
      <c r="O15" s="164">
        <v>0</v>
      </c>
      <c r="P15" s="164">
        <v>0</v>
      </c>
      <c r="Q15" s="164">
        <v>0</v>
      </c>
      <c r="R15" s="164">
        <v>1</v>
      </c>
      <c r="S15" s="164">
        <v>0</v>
      </c>
      <c r="T15" s="164">
        <v>1</v>
      </c>
      <c r="U15" s="164">
        <v>0</v>
      </c>
      <c r="V15" s="164">
        <v>0</v>
      </c>
      <c r="W15" s="164">
        <v>0</v>
      </c>
      <c r="X15" s="164">
        <v>20</v>
      </c>
      <c r="Y15" s="164">
        <v>11</v>
      </c>
      <c r="Z15" s="164">
        <v>31</v>
      </c>
      <c r="AA15" s="164">
        <v>309</v>
      </c>
      <c r="AB15" s="164">
        <v>84</v>
      </c>
      <c r="AC15" s="164">
        <v>393</v>
      </c>
    </row>
    <row r="16" spans="1:29" ht="24" customHeight="1">
      <c r="A16" s="188">
        <v>12</v>
      </c>
      <c r="B16" s="185" t="s">
        <v>57</v>
      </c>
      <c r="C16" s="164">
        <v>4</v>
      </c>
      <c r="D16" s="164">
        <v>1</v>
      </c>
      <c r="E16" s="164">
        <v>5</v>
      </c>
      <c r="F16" s="164">
        <v>0</v>
      </c>
      <c r="G16" s="164">
        <v>0</v>
      </c>
      <c r="H16" s="164">
        <v>0</v>
      </c>
      <c r="I16" s="164">
        <v>7</v>
      </c>
      <c r="J16" s="164">
        <v>1</v>
      </c>
      <c r="K16" s="164">
        <v>8</v>
      </c>
      <c r="L16" s="164">
        <v>2</v>
      </c>
      <c r="M16" s="164">
        <v>1</v>
      </c>
      <c r="N16" s="164">
        <v>3</v>
      </c>
      <c r="O16" s="164">
        <v>0</v>
      </c>
      <c r="P16" s="164">
        <v>0</v>
      </c>
      <c r="Q16" s="164">
        <v>0</v>
      </c>
      <c r="R16" s="164">
        <v>0</v>
      </c>
      <c r="S16" s="164">
        <v>0</v>
      </c>
      <c r="T16" s="164">
        <v>0</v>
      </c>
      <c r="U16" s="164">
        <v>0</v>
      </c>
      <c r="V16" s="164">
        <v>0</v>
      </c>
      <c r="W16" s="164">
        <v>0</v>
      </c>
      <c r="X16" s="164">
        <v>1</v>
      </c>
      <c r="Y16" s="164">
        <v>0</v>
      </c>
      <c r="Z16" s="164">
        <v>1</v>
      </c>
      <c r="AA16" s="164">
        <v>14</v>
      </c>
      <c r="AB16" s="164">
        <v>3</v>
      </c>
      <c r="AC16" s="164">
        <v>17</v>
      </c>
    </row>
    <row r="17" spans="1:29" ht="24" customHeight="1">
      <c r="A17" s="188">
        <v>13</v>
      </c>
      <c r="B17" s="185" t="s">
        <v>29</v>
      </c>
      <c r="C17" s="164">
        <v>0</v>
      </c>
      <c r="D17" s="164">
        <v>0</v>
      </c>
      <c r="E17" s="164">
        <v>0</v>
      </c>
      <c r="F17" s="164">
        <v>0</v>
      </c>
      <c r="G17" s="164">
        <v>0</v>
      </c>
      <c r="H17" s="164">
        <v>0</v>
      </c>
      <c r="I17" s="164">
        <v>2</v>
      </c>
      <c r="J17" s="164">
        <v>0</v>
      </c>
      <c r="K17" s="164">
        <v>2</v>
      </c>
      <c r="L17" s="164">
        <v>49</v>
      </c>
      <c r="M17" s="164">
        <v>8</v>
      </c>
      <c r="N17" s="164">
        <v>57</v>
      </c>
      <c r="O17" s="164">
        <v>0</v>
      </c>
      <c r="P17" s="164">
        <v>0</v>
      </c>
      <c r="Q17" s="164">
        <v>0</v>
      </c>
      <c r="R17" s="164">
        <v>25</v>
      </c>
      <c r="S17" s="164">
        <v>4</v>
      </c>
      <c r="T17" s="164">
        <v>29</v>
      </c>
      <c r="U17" s="164">
        <v>0</v>
      </c>
      <c r="V17" s="164">
        <v>0</v>
      </c>
      <c r="W17" s="164">
        <v>0</v>
      </c>
      <c r="X17" s="164">
        <v>0</v>
      </c>
      <c r="Y17" s="164">
        <v>0</v>
      </c>
      <c r="Z17" s="164">
        <v>0</v>
      </c>
      <c r="AA17" s="164">
        <v>76</v>
      </c>
      <c r="AB17" s="164">
        <v>12</v>
      </c>
      <c r="AC17" s="164">
        <v>88</v>
      </c>
    </row>
    <row r="18" spans="1:29" ht="24" customHeight="1">
      <c r="A18" s="188">
        <v>14</v>
      </c>
      <c r="B18" s="185" t="s">
        <v>30</v>
      </c>
      <c r="C18" s="164">
        <v>107</v>
      </c>
      <c r="D18" s="164">
        <v>23</v>
      </c>
      <c r="E18" s="164">
        <v>130</v>
      </c>
      <c r="F18" s="164">
        <v>0</v>
      </c>
      <c r="G18" s="164">
        <v>0</v>
      </c>
      <c r="H18" s="164">
        <v>0</v>
      </c>
      <c r="I18" s="164">
        <v>482</v>
      </c>
      <c r="J18" s="164">
        <v>338</v>
      </c>
      <c r="K18" s="164">
        <v>820</v>
      </c>
      <c r="L18" s="164">
        <v>3004</v>
      </c>
      <c r="M18" s="164">
        <v>1899</v>
      </c>
      <c r="N18" s="164">
        <v>4903</v>
      </c>
      <c r="O18" s="164">
        <v>0</v>
      </c>
      <c r="P18" s="164">
        <v>0</v>
      </c>
      <c r="Q18" s="164">
        <v>0</v>
      </c>
      <c r="R18" s="164">
        <v>31</v>
      </c>
      <c r="S18" s="164">
        <v>70</v>
      </c>
      <c r="T18" s="164">
        <v>101</v>
      </c>
      <c r="U18" s="164">
        <v>0</v>
      </c>
      <c r="V18" s="164">
        <v>0</v>
      </c>
      <c r="W18" s="164">
        <v>0</v>
      </c>
      <c r="X18" s="164">
        <v>17</v>
      </c>
      <c r="Y18" s="164">
        <v>33</v>
      </c>
      <c r="Z18" s="164">
        <v>50</v>
      </c>
      <c r="AA18" s="164">
        <v>3641</v>
      </c>
      <c r="AB18" s="164">
        <v>2363</v>
      </c>
      <c r="AC18" s="164">
        <v>6004</v>
      </c>
    </row>
    <row r="19" spans="1:29" ht="24" customHeight="1">
      <c r="A19" s="188">
        <v>15</v>
      </c>
      <c r="B19" s="185" t="s">
        <v>31</v>
      </c>
      <c r="C19" s="164">
        <v>24</v>
      </c>
      <c r="D19" s="164">
        <v>15</v>
      </c>
      <c r="E19" s="164">
        <v>39</v>
      </c>
      <c r="F19" s="164">
        <v>0</v>
      </c>
      <c r="G19" s="164">
        <v>0</v>
      </c>
      <c r="H19" s="164">
        <v>0</v>
      </c>
      <c r="I19" s="164">
        <v>48</v>
      </c>
      <c r="J19" s="164">
        <v>28</v>
      </c>
      <c r="K19" s="164">
        <v>76</v>
      </c>
      <c r="L19" s="164">
        <v>184</v>
      </c>
      <c r="M19" s="164">
        <v>194</v>
      </c>
      <c r="N19" s="164">
        <v>378</v>
      </c>
      <c r="O19" s="164">
        <v>5</v>
      </c>
      <c r="P19" s="164">
        <v>9</v>
      </c>
      <c r="Q19" s="164">
        <v>14</v>
      </c>
      <c r="R19" s="164">
        <v>0</v>
      </c>
      <c r="S19" s="164">
        <v>1</v>
      </c>
      <c r="T19" s="164">
        <v>1</v>
      </c>
      <c r="U19" s="164">
        <v>0</v>
      </c>
      <c r="V19" s="164">
        <v>0</v>
      </c>
      <c r="W19" s="164">
        <v>0</v>
      </c>
      <c r="X19" s="164">
        <v>1</v>
      </c>
      <c r="Y19" s="164">
        <v>0</v>
      </c>
      <c r="Z19" s="164">
        <v>1</v>
      </c>
      <c r="AA19" s="164">
        <v>262</v>
      </c>
      <c r="AB19" s="164">
        <v>247</v>
      </c>
      <c r="AC19" s="164">
        <v>509</v>
      </c>
    </row>
    <row r="20" spans="1:29" ht="24" customHeight="1">
      <c r="A20" s="188">
        <v>16</v>
      </c>
      <c r="B20" s="185" t="s">
        <v>154</v>
      </c>
      <c r="C20" s="164">
        <v>0</v>
      </c>
      <c r="D20" s="164">
        <v>0</v>
      </c>
      <c r="E20" s="164">
        <v>0</v>
      </c>
      <c r="F20" s="164">
        <v>0</v>
      </c>
      <c r="G20" s="164">
        <v>0</v>
      </c>
      <c r="H20" s="164">
        <v>0</v>
      </c>
      <c r="I20" s="164">
        <v>1</v>
      </c>
      <c r="J20" s="164">
        <v>0</v>
      </c>
      <c r="K20" s="164">
        <v>1</v>
      </c>
      <c r="L20" s="164">
        <v>1</v>
      </c>
      <c r="M20" s="164">
        <v>5</v>
      </c>
      <c r="N20" s="164">
        <v>6</v>
      </c>
      <c r="O20" s="164">
        <v>0</v>
      </c>
      <c r="P20" s="164">
        <v>0</v>
      </c>
      <c r="Q20" s="164">
        <v>0</v>
      </c>
      <c r="R20" s="164">
        <v>0</v>
      </c>
      <c r="S20" s="164">
        <v>0</v>
      </c>
      <c r="T20" s="164">
        <v>0</v>
      </c>
      <c r="U20" s="164">
        <v>0</v>
      </c>
      <c r="V20" s="164">
        <v>0</v>
      </c>
      <c r="W20" s="164">
        <v>0</v>
      </c>
      <c r="X20" s="164">
        <v>0</v>
      </c>
      <c r="Y20" s="164">
        <v>0</v>
      </c>
      <c r="Z20" s="164">
        <v>0</v>
      </c>
      <c r="AA20" s="164">
        <v>2</v>
      </c>
      <c r="AB20" s="164">
        <v>5</v>
      </c>
      <c r="AC20" s="164">
        <v>7</v>
      </c>
    </row>
    <row r="21" spans="1:29" ht="24" customHeight="1">
      <c r="A21" s="188">
        <v>17</v>
      </c>
      <c r="B21" s="185" t="s">
        <v>33</v>
      </c>
      <c r="C21" s="164">
        <v>2</v>
      </c>
      <c r="D21" s="164">
        <v>0</v>
      </c>
      <c r="E21" s="164">
        <v>2</v>
      </c>
      <c r="F21" s="164">
        <v>0</v>
      </c>
      <c r="G21" s="164">
        <v>0</v>
      </c>
      <c r="H21" s="164">
        <v>0</v>
      </c>
      <c r="I21" s="164">
        <v>49</v>
      </c>
      <c r="J21" s="164">
        <v>7</v>
      </c>
      <c r="K21" s="164">
        <v>56</v>
      </c>
      <c r="L21" s="164">
        <v>285</v>
      </c>
      <c r="M21" s="164">
        <v>143</v>
      </c>
      <c r="N21" s="164">
        <v>428</v>
      </c>
      <c r="O21" s="164">
        <v>0</v>
      </c>
      <c r="P21" s="164">
        <v>0</v>
      </c>
      <c r="Q21" s="164">
        <v>0</v>
      </c>
      <c r="R21" s="164">
        <v>28</v>
      </c>
      <c r="S21" s="164">
        <v>0</v>
      </c>
      <c r="T21" s="164">
        <v>28</v>
      </c>
      <c r="U21" s="164">
        <v>0</v>
      </c>
      <c r="V21" s="164">
        <v>0</v>
      </c>
      <c r="W21" s="164">
        <v>0</v>
      </c>
      <c r="X21" s="164">
        <v>1</v>
      </c>
      <c r="Y21" s="164">
        <v>1</v>
      </c>
      <c r="Z21" s="164">
        <v>2</v>
      </c>
      <c r="AA21" s="164">
        <v>365</v>
      </c>
      <c r="AB21" s="164">
        <v>151</v>
      </c>
      <c r="AC21" s="164">
        <v>516</v>
      </c>
    </row>
    <row r="22" spans="1:29" ht="24" customHeight="1">
      <c r="A22" s="188">
        <v>18</v>
      </c>
      <c r="B22" s="185" t="s">
        <v>34</v>
      </c>
      <c r="C22" s="164">
        <v>104</v>
      </c>
      <c r="D22" s="164">
        <v>41</v>
      </c>
      <c r="E22" s="164">
        <v>145</v>
      </c>
      <c r="F22" s="164">
        <v>0</v>
      </c>
      <c r="G22" s="164">
        <v>3</v>
      </c>
      <c r="H22" s="164">
        <v>3</v>
      </c>
      <c r="I22" s="164">
        <v>708</v>
      </c>
      <c r="J22" s="164">
        <v>465</v>
      </c>
      <c r="K22" s="164">
        <v>1173</v>
      </c>
      <c r="L22" s="164">
        <v>1816</v>
      </c>
      <c r="M22" s="164">
        <v>1651</v>
      </c>
      <c r="N22" s="164">
        <v>3467</v>
      </c>
      <c r="O22" s="164">
        <v>0</v>
      </c>
      <c r="P22" s="164">
        <v>1</v>
      </c>
      <c r="Q22" s="164">
        <v>1</v>
      </c>
      <c r="R22" s="164">
        <v>9</v>
      </c>
      <c r="S22" s="164">
        <v>20</v>
      </c>
      <c r="T22" s="164">
        <v>29</v>
      </c>
      <c r="U22" s="164">
        <v>1</v>
      </c>
      <c r="V22" s="164">
        <v>5</v>
      </c>
      <c r="W22" s="164">
        <v>6</v>
      </c>
      <c r="X22" s="164">
        <v>16</v>
      </c>
      <c r="Y22" s="164">
        <v>16</v>
      </c>
      <c r="Z22" s="164">
        <v>32</v>
      </c>
      <c r="AA22" s="164">
        <v>2654</v>
      </c>
      <c r="AB22" s="164">
        <v>2202</v>
      </c>
      <c r="AC22" s="164">
        <v>4856</v>
      </c>
    </row>
    <row r="23" spans="1:29" ht="24" customHeight="1">
      <c r="A23" s="188">
        <v>19</v>
      </c>
      <c r="B23" s="185" t="s">
        <v>35</v>
      </c>
      <c r="C23" s="164">
        <v>9</v>
      </c>
      <c r="D23" s="164">
        <v>1</v>
      </c>
      <c r="E23" s="164">
        <v>10</v>
      </c>
      <c r="F23" s="164">
        <v>0</v>
      </c>
      <c r="G23" s="164">
        <v>0</v>
      </c>
      <c r="H23" s="164">
        <v>0</v>
      </c>
      <c r="I23" s="164">
        <v>14</v>
      </c>
      <c r="J23" s="164">
        <v>2</v>
      </c>
      <c r="K23" s="164">
        <v>16</v>
      </c>
      <c r="L23" s="164">
        <v>2</v>
      </c>
      <c r="M23" s="164">
        <v>2</v>
      </c>
      <c r="N23" s="164">
        <v>4</v>
      </c>
      <c r="O23" s="164">
        <v>0</v>
      </c>
      <c r="P23" s="164">
        <v>0</v>
      </c>
      <c r="Q23" s="164">
        <v>0</v>
      </c>
      <c r="R23" s="164">
        <v>0</v>
      </c>
      <c r="S23" s="164">
        <v>0</v>
      </c>
      <c r="T23" s="164">
        <v>0</v>
      </c>
      <c r="U23" s="164">
        <v>0</v>
      </c>
      <c r="V23" s="164">
        <v>0</v>
      </c>
      <c r="W23" s="164">
        <v>0</v>
      </c>
      <c r="X23" s="164">
        <v>0</v>
      </c>
      <c r="Y23" s="164">
        <v>0</v>
      </c>
      <c r="Z23" s="164">
        <v>0</v>
      </c>
      <c r="AA23" s="164">
        <v>25</v>
      </c>
      <c r="AB23" s="164">
        <v>5</v>
      </c>
      <c r="AC23" s="164">
        <v>30</v>
      </c>
    </row>
    <row r="24" spans="1:29" ht="24" customHeight="1">
      <c r="A24" s="188">
        <v>20</v>
      </c>
      <c r="B24" s="185" t="s">
        <v>36</v>
      </c>
      <c r="C24" s="164">
        <v>4</v>
      </c>
      <c r="D24" s="164">
        <v>3</v>
      </c>
      <c r="E24" s="164">
        <v>7</v>
      </c>
      <c r="F24" s="164">
        <v>0</v>
      </c>
      <c r="G24" s="164">
        <v>0</v>
      </c>
      <c r="H24" s="164">
        <v>0</v>
      </c>
      <c r="I24" s="164">
        <v>8</v>
      </c>
      <c r="J24" s="164">
        <v>4</v>
      </c>
      <c r="K24" s="164">
        <v>12</v>
      </c>
      <c r="L24" s="164">
        <v>51</v>
      </c>
      <c r="M24" s="164">
        <v>22</v>
      </c>
      <c r="N24" s="164">
        <v>73</v>
      </c>
      <c r="O24" s="164">
        <v>0</v>
      </c>
      <c r="P24" s="164">
        <v>0</v>
      </c>
      <c r="Q24" s="164">
        <v>0</v>
      </c>
      <c r="R24" s="164">
        <v>0</v>
      </c>
      <c r="S24" s="164">
        <v>0</v>
      </c>
      <c r="T24" s="164">
        <v>0</v>
      </c>
      <c r="U24" s="164">
        <v>0</v>
      </c>
      <c r="V24" s="164">
        <v>0</v>
      </c>
      <c r="W24" s="164">
        <v>0</v>
      </c>
      <c r="X24" s="164">
        <v>0</v>
      </c>
      <c r="Y24" s="164">
        <v>0</v>
      </c>
      <c r="Z24" s="164">
        <v>0</v>
      </c>
      <c r="AA24" s="164">
        <v>63</v>
      </c>
      <c r="AB24" s="164">
        <v>29</v>
      </c>
      <c r="AC24" s="164">
        <v>92</v>
      </c>
    </row>
    <row r="25" spans="1:29" ht="24" customHeight="1">
      <c r="A25" s="188">
        <v>21</v>
      </c>
      <c r="B25" s="185" t="s">
        <v>37</v>
      </c>
      <c r="C25" s="164">
        <v>0</v>
      </c>
      <c r="D25" s="164">
        <v>0</v>
      </c>
      <c r="E25" s="164">
        <v>0</v>
      </c>
      <c r="F25" s="164">
        <v>0</v>
      </c>
      <c r="G25" s="164">
        <v>0</v>
      </c>
      <c r="H25" s="164">
        <v>0</v>
      </c>
      <c r="I25" s="164">
        <v>0</v>
      </c>
      <c r="J25" s="164">
        <v>0</v>
      </c>
      <c r="K25" s="164">
        <v>0</v>
      </c>
      <c r="L25" s="164">
        <v>2</v>
      </c>
      <c r="M25" s="164">
        <v>0</v>
      </c>
      <c r="N25" s="164">
        <v>2</v>
      </c>
      <c r="O25" s="164">
        <v>0</v>
      </c>
      <c r="P25" s="164">
        <v>0</v>
      </c>
      <c r="Q25" s="164">
        <v>0</v>
      </c>
      <c r="R25" s="164">
        <v>0</v>
      </c>
      <c r="S25" s="164">
        <v>0</v>
      </c>
      <c r="T25" s="164">
        <v>0</v>
      </c>
      <c r="U25" s="164">
        <v>0</v>
      </c>
      <c r="V25" s="164">
        <v>0</v>
      </c>
      <c r="W25" s="164">
        <v>0</v>
      </c>
      <c r="X25" s="164">
        <v>0</v>
      </c>
      <c r="Y25" s="164">
        <v>0</v>
      </c>
      <c r="Z25" s="164">
        <v>0</v>
      </c>
      <c r="AA25" s="164">
        <v>2</v>
      </c>
      <c r="AB25" s="164">
        <v>0</v>
      </c>
      <c r="AC25" s="164">
        <v>2</v>
      </c>
    </row>
    <row r="26" spans="1:29" ht="24" customHeight="1">
      <c r="A26" s="188">
        <v>22</v>
      </c>
      <c r="B26" s="185" t="s">
        <v>38</v>
      </c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</row>
    <row r="27" spans="1:29" ht="24" customHeight="1">
      <c r="A27" s="188">
        <v>23</v>
      </c>
      <c r="B27" s="185" t="s">
        <v>39</v>
      </c>
      <c r="C27" s="164">
        <v>13</v>
      </c>
      <c r="D27" s="164">
        <v>1</v>
      </c>
      <c r="E27" s="164">
        <v>14</v>
      </c>
      <c r="F27" s="164">
        <v>0</v>
      </c>
      <c r="G27" s="164">
        <v>0</v>
      </c>
      <c r="H27" s="164">
        <v>0</v>
      </c>
      <c r="I27" s="164">
        <v>62</v>
      </c>
      <c r="J27" s="164">
        <v>23</v>
      </c>
      <c r="K27" s="164">
        <v>85</v>
      </c>
      <c r="L27" s="164">
        <v>1665</v>
      </c>
      <c r="M27" s="164">
        <v>556</v>
      </c>
      <c r="N27" s="164">
        <v>2221</v>
      </c>
      <c r="O27" s="164">
        <v>0</v>
      </c>
      <c r="P27" s="164">
        <v>0</v>
      </c>
      <c r="Q27" s="164">
        <v>0</v>
      </c>
      <c r="R27" s="164">
        <v>0</v>
      </c>
      <c r="S27" s="164">
        <v>0</v>
      </c>
      <c r="T27" s="164">
        <v>0</v>
      </c>
      <c r="U27" s="164">
        <v>0</v>
      </c>
      <c r="V27" s="164">
        <v>0</v>
      </c>
      <c r="W27" s="164">
        <v>0</v>
      </c>
      <c r="X27" s="164">
        <v>27</v>
      </c>
      <c r="Y27" s="164">
        <v>15</v>
      </c>
      <c r="Z27" s="164">
        <v>42</v>
      </c>
      <c r="AA27" s="164">
        <v>1767</v>
      </c>
      <c r="AB27" s="164">
        <v>595</v>
      </c>
      <c r="AC27" s="164">
        <v>2362</v>
      </c>
    </row>
    <row r="28" spans="1:29" ht="24" customHeight="1">
      <c r="A28" s="188">
        <v>24</v>
      </c>
      <c r="B28" s="185" t="s">
        <v>40</v>
      </c>
      <c r="C28" s="164">
        <v>7</v>
      </c>
      <c r="D28" s="164">
        <v>3</v>
      </c>
      <c r="E28" s="164">
        <v>10</v>
      </c>
      <c r="F28" s="164">
        <v>0</v>
      </c>
      <c r="G28" s="164">
        <v>0</v>
      </c>
      <c r="H28" s="164">
        <v>0</v>
      </c>
      <c r="I28" s="164">
        <v>56</v>
      </c>
      <c r="J28" s="164">
        <v>53</v>
      </c>
      <c r="K28" s="164">
        <v>109</v>
      </c>
      <c r="L28" s="164">
        <v>83</v>
      </c>
      <c r="M28" s="164">
        <v>53</v>
      </c>
      <c r="N28" s="164">
        <v>136</v>
      </c>
      <c r="O28" s="164">
        <v>0</v>
      </c>
      <c r="P28" s="164">
        <v>0</v>
      </c>
      <c r="Q28" s="164">
        <v>0</v>
      </c>
      <c r="R28" s="164">
        <v>0</v>
      </c>
      <c r="S28" s="164">
        <v>0</v>
      </c>
      <c r="T28" s="164">
        <v>0</v>
      </c>
      <c r="U28" s="164">
        <v>0</v>
      </c>
      <c r="V28" s="164">
        <v>0</v>
      </c>
      <c r="W28" s="164">
        <v>0</v>
      </c>
      <c r="X28" s="164">
        <v>0</v>
      </c>
      <c r="Y28" s="164">
        <v>0</v>
      </c>
      <c r="Z28" s="164">
        <v>0</v>
      </c>
      <c r="AA28" s="164">
        <v>146</v>
      </c>
      <c r="AB28" s="164">
        <v>109</v>
      </c>
      <c r="AC28" s="164">
        <v>255</v>
      </c>
    </row>
    <row r="29" spans="1:29" ht="24" customHeight="1">
      <c r="A29" s="188">
        <v>25</v>
      </c>
      <c r="B29" s="185" t="s">
        <v>41</v>
      </c>
      <c r="C29" s="164">
        <v>151</v>
      </c>
      <c r="D29" s="164">
        <v>16</v>
      </c>
      <c r="E29" s="164">
        <v>167</v>
      </c>
      <c r="F29" s="164">
        <v>0</v>
      </c>
      <c r="G29" s="164">
        <v>0</v>
      </c>
      <c r="H29" s="164">
        <v>0</v>
      </c>
      <c r="I29" s="164">
        <v>586</v>
      </c>
      <c r="J29" s="164">
        <v>187</v>
      </c>
      <c r="K29" s="164">
        <v>773</v>
      </c>
      <c r="L29" s="164">
        <v>3171</v>
      </c>
      <c r="M29" s="164">
        <v>1436</v>
      </c>
      <c r="N29" s="164">
        <v>4607</v>
      </c>
      <c r="O29" s="164">
        <v>1</v>
      </c>
      <c r="P29" s="164">
        <v>0</v>
      </c>
      <c r="Q29" s="164">
        <v>1</v>
      </c>
      <c r="R29" s="164">
        <v>266</v>
      </c>
      <c r="S29" s="164">
        <v>33</v>
      </c>
      <c r="T29" s="164">
        <v>299</v>
      </c>
      <c r="U29" s="164">
        <v>0</v>
      </c>
      <c r="V29" s="164">
        <v>0</v>
      </c>
      <c r="W29" s="164">
        <v>0</v>
      </c>
      <c r="X29" s="164">
        <v>59</v>
      </c>
      <c r="Y29" s="164">
        <v>65</v>
      </c>
      <c r="Z29" s="164">
        <v>124</v>
      </c>
      <c r="AA29" s="164">
        <v>4234</v>
      </c>
      <c r="AB29" s="164">
        <v>1737</v>
      </c>
      <c r="AC29" s="164">
        <v>5971</v>
      </c>
    </row>
    <row r="30" spans="1:29" ht="24" customHeight="1">
      <c r="A30" s="188">
        <v>26</v>
      </c>
      <c r="B30" s="185" t="s">
        <v>42</v>
      </c>
      <c r="C30" s="164">
        <v>35</v>
      </c>
      <c r="D30" s="164">
        <v>8</v>
      </c>
      <c r="E30" s="164">
        <v>43</v>
      </c>
      <c r="F30" s="164">
        <v>0</v>
      </c>
      <c r="G30" s="164">
        <v>0</v>
      </c>
      <c r="H30" s="164">
        <v>0</v>
      </c>
      <c r="I30" s="164">
        <v>152</v>
      </c>
      <c r="J30" s="164">
        <v>27</v>
      </c>
      <c r="K30" s="164">
        <v>179</v>
      </c>
      <c r="L30" s="164">
        <v>593</v>
      </c>
      <c r="M30" s="164">
        <v>243</v>
      </c>
      <c r="N30" s="164">
        <v>836</v>
      </c>
      <c r="O30" s="164">
        <v>0</v>
      </c>
      <c r="P30" s="164">
        <v>0</v>
      </c>
      <c r="Q30" s="164">
        <v>0</v>
      </c>
      <c r="R30" s="164">
        <v>14</v>
      </c>
      <c r="S30" s="164">
        <v>2</v>
      </c>
      <c r="T30" s="164">
        <v>16</v>
      </c>
      <c r="U30" s="164">
        <v>0</v>
      </c>
      <c r="V30" s="164">
        <v>0</v>
      </c>
      <c r="W30" s="164">
        <v>0</v>
      </c>
      <c r="X30" s="164">
        <v>20</v>
      </c>
      <c r="Y30" s="164">
        <v>20</v>
      </c>
      <c r="Z30" s="164">
        <v>40</v>
      </c>
      <c r="AA30" s="164">
        <v>814</v>
      </c>
      <c r="AB30" s="164">
        <v>300</v>
      </c>
      <c r="AC30" s="164">
        <v>1114</v>
      </c>
    </row>
    <row r="31" spans="1:29" ht="24" customHeight="1">
      <c r="A31" s="188">
        <v>27</v>
      </c>
      <c r="B31" s="185" t="s">
        <v>43</v>
      </c>
      <c r="C31" s="164">
        <v>0</v>
      </c>
      <c r="D31" s="164">
        <v>0</v>
      </c>
      <c r="E31" s="164">
        <v>0</v>
      </c>
      <c r="F31" s="164">
        <v>0</v>
      </c>
      <c r="G31" s="164">
        <v>0</v>
      </c>
      <c r="H31" s="164">
        <v>0</v>
      </c>
      <c r="I31" s="164">
        <v>2</v>
      </c>
      <c r="J31" s="164">
        <v>3</v>
      </c>
      <c r="K31" s="164">
        <v>5</v>
      </c>
      <c r="L31" s="164">
        <v>62</v>
      </c>
      <c r="M31" s="164">
        <v>63</v>
      </c>
      <c r="N31" s="164">
        <v>125</v>
      </c>
      <c r="O31" s="164">
        <v>0</v>
      </c>
      <c r="P31" s="164">
        <v>0</v>
      </c>
      <c r="Q31" s="164">
        <v>0</v>
      </c>
      <c r="R31" s="164">
        <v>1</v>
      </c>
      <c r="S31" s="164">
        <v>0</v>
      </c>
      <c r="T31" s="164">
        <v>1</v>
      </c>
      <c r="U31" s="164">
        <v>4</v>
      </c>
      <c r="V31" s="164">
        <v>0</v>
      </c>
      <c r="W31" s="164">
        <v>4</v>
      </c>
      <c r="X31" s="164">
        <v>0</v>
      </c>
      <c r="Y31" s="164">
        <v>2</v>
      </c>
      <c r="Z31" s="164">
        <v>2</v>
      </c>
      <c r="AA31" s="164">
        <v>69</v>
      </c>
      <c r="AB31" s="164">
        <v>68</v>
      </c>
      <c r="AC31" s="164">
        <v>137</v>
      </c>
    </row>
    <row r="32" spans="1:29" ht="24" customHeight="1">
      <c r="A32" s="188">
        <v>28</v>
      </c>
      <c r="B32" s="185" t="s">
        <v>44</v>
      </c>
      <c r="C32" s="164">
        <v>69</v>
      </c>
      <c r="D32" s="164">
        <v>25</v>
      </c>
      <c r="E32" s="164">
        <v>94</v>
      </c>
      <c r="F32" s="164">
        <v>1</v>
      </c>
      <c r="G32" s="164">
        <v>0</v>
      </c>
      <c r="H32" s="164">
        <v>1</v>
      </c>
      <c r="I32" s="164">
        <v>339</v>
      </c>
      <c r="J32" s="164">
        <v>190</v>
      </c>
      <c r="K32" s="164">
        <v>529</v>
      </c>
      <c r="L32" s="164">
        <v>2171</v>
      </c>
      <c r="M32" s="164">
        <v>1045</v>
      </c>
      <c r="N32" s="164">
        <v>3216</v>
      </c>
      <c r="O32" s="164">
        <v>3</v>
      </c>
      <c r="P32" s="164">
        <v>0</v>
      </c>
      <c r="Q32" s="164">
        <v>3</v>
      </c>
      <c r="R32" s="164">
        <v>20</v>
      </c>
      <c r="S32" s="164">
        <v>3</v>
      </c>
      <c r="T32" s="164">
        <v>23</v>
      </c>
      <c r="U32" s="164">
        <v>0</v>
      </c>
      <c r="V32" s="164">
        <v>0</v>
      </c>
      <c r="W32" s="164">
        <v>0</v>
      </c>
      <c r="X32" s="164">
        <v>18</v>
      </c>
      <c r="Y32" s="164">
        <v>7</v>
      </c>
      <c r="Z32" s="164">
        <v>25</v>
      </c>
      <c r="AA32" s="164">
        <v>2621</v>
      </c>
      <c r="AB32" s="164">
        <v>1270</v>
      </c>
      <c r="AC32" s="164">
        <v>3891</v>
      </c>
    </row>
    <row r="33" spans="1:29" ht="24" customHeight="1">
      <c r="A33" s="188">
        <v>29</v>
      </c>
      <c r="B33" s="185" t="s">
        <v>131</v>
      </c>
      <c r="C33" s="164">
        <v>35</v>
      </c>
      <c r="D33" s="164">
        <v>8</v>
      </c>
      <c r="E33" s="164">
        <v>43</v>
      </c>
      <c r="F33" s="164">
        <v>0</v>
      </c>
      <c r="G33" s="164">
        <v>0</v>
      </c>
      <c r="H33" s="164">
        <v>0</v>
      </c>
      <c r="I33" s="164">
        <v>108</v>
      </c>
      <c r="J33" s="164">
        <v>33</v>
      </c>
      <c r="K33" s="164">
        <v>141</v>
      </c>
      <c r="L33" s="164">
        <v>767</v>
      </c>
      <c r="M33" s="164">
        <v>314</v>
      </c>
      <c r="N33" s="164">
        <v>1081</v>
      </c>
      <c r="O33" s="164">
        <v>1</v>
      </c>
      <c r="P33" s="164">
        <v>2</v>
      </c>
      <c r="Q33" s="164">
        <v>3</v>
      </c>
      <c r="R33" s="164">
        <v>18</v>
      </c>
      <c r="S33" s="164">
        <v>0</v>
      </c>
      <c r="T33" s="164">
        <v>18</v>
      </c>
      <c r="U33" s="164">
        <v>11</v>
      </c>
      <c r="V33" s="164">
        <v>0</v>
      </c>
      <c r="W33" s="164">
        <v>11</v>
      </c>
      <c r="X33" s="164">
        <v>52</v>
      </c>
      <c r="Y33" s="164">
        <v>47</v>
      </c>
      <c r="Z33" s="164">
        <v>99</v>
      </c>
      <c r="AA33" s="164">
        <v>992</v>
      </c>
      <c r="AB33" s="164">
        <v>404</v>
      </c>
      <c r="AC33" s="164">
        <v>1396</v>
      </c>
    </row>
    <row r="34" spans="1:29" ht="28.5">
      <c r="A34" s="188">
        <v>30</v>
      </c>
      <c r="B34" s="185" t="s">
        <v>1062</v>
      </c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</row>
    <row r="35" spans="1:29" ht="24" customHeight="1">
      <c r="A35" s="188">
        <v>31</v>
      </c>
      <c r="B35" s="185" t="s">
        <v>45</v>
      </c>
      <c r="C35" s="164">
        <v>1</v>
      </c>
      <c r="D35" s="164">
        <v>0</v>
      </c>
      <c r="E35" s="164">
        <v>1</v>
      </c>
      <c r="F35" s="164">
        <v>0</v>
      </c>
      <c r="G35" s="164">
        <v>0</v>
      </c>
      <c r="H35" s="164">
        <v>0</v>
      </c>
      <c r="I35" s="164">
        <v>3</v>
      </c>
      <c r="J35" s="164">
        <v>6</v>
      </c>
      <c r="K35" s="164">
        <v>9</v>
      </c>
      <c r="L35" s="164">
        <v>1</v>
      </c>
      <c r="M35" s="164">
        <v>5</v>
      </c>
      <c r="N35" s="164">
        <v>6</v>
      </c>
      <c r="O35" s="164">
        <v>0</v>
      </c>
      <c r="P35" s="164">
        <v>0</v>
      </c>
      <c r="Q35" s="164">
        <v>0</v>
      </c>
      <c r="R35" s="164">
        <v>0</v>
      </c>
      <c r="S35" s="164">
        <v>0</v>
      </c>
      <c r="T35" s="164">
        <v>0</v>
      </c>
      <c r="U35" s="164">
        <v>0</v>
      </c>
      <c r="V35" s="164">
        <v>0</v>
      </c>
      <c r="W35" s="164">
        <v>0</v>
      </c>
      <c r="X35" s="164">
        <v>2</v>
      </c>
      <c r="Y35" s="164">
        <v>2</v>
      </c>
      <c r="Z35" s="164">
        <v>4</v>
      </c>
      <c r="AA35" s="164">
        <v>7</v>
      </c>
      <c r="AB35" s="164">
        <v>13</v>
      </c>
      <c r="AC35" s="164">
        <v>20</v>
      </c>
    </row>
    <row r="36" spans="1:29" ht="24" customHeight="1">
      <c r="A36" s="188">
        <v>32</v>
      </c>
      <c r="B36" s="185" t="s">
        <v>47</v>
      </c>
      <c r="C36" s="164">
        <v>273</v>
      </c>
      <c r="D36" s="164">
        <v>61</v>
      </c>
      <c r="E36" s="164">
        <v>334</v>
      </c>
      <c r="F36" s="164">
        <v>0</v>
      </c>
      <c r="G36" s="164">
        <v>0</v>
      </c>
      <c r="H36" s="164">
        <v>0</v>
      </c>
      <c r="I36" s="164">
        <v>487</v>
      </c>
      <c r="J36" s="164">
        <v>212</v>
      </c>
      <c r="K36" s="164">
        <v>699</v>
      </c>
      <c r="L36" s="164">
        <v>2031</v>
      </c>
      <c r="M36" s="164">
        <v>1081</v>
      </c>
      <c r="N36" s="164">
        <v>3112</v>
      </c>
      <c r="O36" s="164">
        <v>0</v>
      </c>
      <c r="P36" s="164">
        <v>0</v>
      </c>
      <c r="Q36" s="164">
        <v>0</v>
      </c>
      <c r="R36" s="164">
        <v>40</v>
      </c>
      <c r="S36" s="164">
        <v>46</v>
      </c>
      <c r="T36" s="164">
        <v>86</v>
      </c>
      <c r="U36" s="164">
        <v>6</v>
      </c>
      <c r="V36" s="164">
        <v>6</v>
      </c>
      <c r="W36" s="164">
        <v>12</v>
      </c>
      <c r="X36" s="164">
        <v>41</v>
      </c>
      <c r="Y36" s="164">
        <v>39</v>
      </c>
      <c r="Z36" s="164">
        <v>80</v>
      </c>
      <c r="AA36" s="164">
        <v>2878</v>
      </c>
      <c r="AB36" s="164">
        <v>1445</v>
      </c>
      <c r="AC36" s="164">
        <v>4323</v>
      </c>
    </row>
    <row r="37" spans="1:29" ht="24" customHeight="1">
      <c r="A37" s="188">
        <v>33</v>
      </c>
      <c r="B37" s="185" t="s">
        <v>46</v>
      </c>
      <c r="C37" s="164">
        <v>59</v>
      </c>
      <c r="D37" s="164">
        <v>22</v>
      </c>
      <c r="E37" s="164">
        <v>81</v>
      </c>
      <c r="F37" s="164">
        <v>0</v>
      </c>
      <c r="G37" s="164">
        <v>0</v>
      </c>
      <c r="H37" s="164">
        <v>0</v>
      </c>
      <c r="I37" s="164">
        <v>196</v>
      </c>
      <c r="J37" s="164">
        <v>61</v>
      </c>
      <c r="K37" s="164">
        <v>257</v>
      </c>
      <c r="L37" s="164">
        <v>798</v>
      </c>
      <c r="M37" s="164">
        <v>247</v>
      </c>
      <c r="N37" s="164">
        <v>1045</v>
      </c>
      <c r="O37" s="164">
        <v>0</v>
      </c>
      <c r="P37" s="164">
        <v>0</v>
      </c>
      <c r="Q37" s="164">
        <v>0</v>
      </c>
      <c r="R37" s="164">
        <v>20</v>
      </c>
      <c r="S37" s="164">
        <v>2</v>
      </c>
      <c r="T37" s="164">
        <v>22</v>
      </c>
      <c r="U37" s="164">
        <v>2</v>
      </c>
      <c r="V37" s="164">
        <v>0</v>
      </c>
      <c r="W37" s="164">
        <v>2</v>
      </c>
      <c r="X37" s="164">
        <v>1</v>
      </c>
      <c r="Y37" s="164">
        <v>1</v>
      </c>
      <c r="Z37" s="164">
        <v>2</v>
      </c>
      <c r="AA37" s="164">
        <v>1076</v>
      </c>
      <c r="AB37" s="164">
        <v>333</v>
      </c>
      <c r="AC37" s="164">
        <v>1409</v>
      </c>
    </row>
    <row r="38" spans="1:29" ht="24" customHeight="1">
      <c r="A38" s="188">
        <v>34</v>
      </c>
      <c r="B38" s="185" t="s">
        <v>48</v>
      </c>
      <c r="C38" s="164">
        <v>15</v>
      </c>
      <c r="D38" s="164">
        <v>3</v>
      </c>
      <c r="E38" s="164">
        <v>18</v>
      </c>
      <c r="F38" s="164">
        <v>0</v>
      </c>
      <c r="G38" s="164">
        <v>1</v>
      </c>
      <c r="H38" s="164">
        <v>1</v>
      </c>
      <c r="I38" s="164">
        <v>104</v>
      </c>
      <c r="J38" s="164">
        <v>114</v>
      </c>
      <c r="K38" s="164">
        <v>218</v>
      </c>
      <c r="L38" s="164">
        <v>343</v>
      </c>
      <c r="M38" s="164">
        <v>220</v>
      </c>
      <c r="N38" s="164">
        <v>563</v>
      </c>
      <c r="O38" s="164">
        <v>0</v>
      </c>
      <c r="P38" s="164">
        <v>2</v>
      </c>
      <c r="Q38" s="164">
        <v>2</v>
      </c>
      <c r="R38" s="164">
        <v>2</v>
      </c>
      <c r="S38" s="164">
        <v>2</v>
      </c>
      <c r="T38" s="164">
        <v>4</v>
      </c>
      <c r="U38" s="164">
        <v>1</v>
      </c>
      <c r="V38" s="164">
        <v>1</v>
      </c>
      <c r="W38" s="164">
        <v>2</v>
      </c>
      <c r="X38" s="164">
        <v>7</v>
      </c>
      <c r="Y38" s="164">
        <v>3</v>
      </c>
      <c r="Z38" s="164">
        <v>10</v>
      </c>
      <c r="AA38" s="164">
        <v>472</v>
      </c>
      <c r="AB38" s="164">
        <v>346</v>
      </c>
      <c r="AC38" s="164">
        <v>818</v>
      </c>
    </row>
    <row r="39" spans="1:29" ht="22.9" customHeight="1">
      <c r="A39" s="1070" t="s">
        <v>49</v>
      </c>
      <c r="B39" s="1071"/>
      <c r="C39" s="115">
        <v>1597</v>
      </c>
      <c r="D39" s="115">
        <v>433</v>
      </c>
      <c r="E39" s="115">
        <v>2030</v>
      </c>
      <c r="F39" s="115">
        <v>5</v>
      </c>
      <c r="G39" s="115">
        <v>15</v>
      </c>
      <c r="H39" s="115">
        <v>20</v>
      </c>
      <c r="I39" s="115">
        <v>4972</v>
      </c>
      <c r="J39" s="115">
        <v>2444</v>
      </c>
      <c r="K39" s="115">
        <v>7416</v>
      </c>
      <c r="L39" s="115">
        <v>23204</v>
      </c>
      <c r="M39" s="115">
        <v>11882</v>
      </c>
      <c r="N39" s="115">
        <v>35086</v>
      </c>
      <c r="O39" s="115">
        <v>52</v>
      </c>
      <c r="P39" s="115">
        <v>35</v>
      </c>
      <c r="Q39" s="115">
        <v>87</v>
      </c>
      <c r="R39" s="115">
        <v>707</v>
      </c>
      <c r="S39" s="115">
        <v>635</v>
      </c>
      <c r="T39" s="115">
        <v>1342</v>
      </c>
      <c r="U39" s="115">
        <v>31</v>
      </c>
      <c r="V39" s="115">
        <v>15</v>
      </c>
      <c r="W39" s="115">
        <v>46</v>
      </c>
      <c r="X39" s="115">
        <v>440</v>
      </c>
      <c r="Y39" s="115">
        <v>411</v>
      </c>
      <c r="Z39" s="115">
        <v>851</v>
      </c>
      <c r="AA39" s="115">
        <v>31008</v>
      </c>
      <c r="AB39" s="115">
        <v>15870</v>
      </c>
      <c r="AC39" s="115">
        <v>46878</v>
      </c>
    </row>
  </sheetData>
  <mergeCells count="15">
    <mergeCell ref="A39:B39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70866141732283472" right="0.39370078740157483" top="0.51181102362204722" bottom="0.51181102362204722" header="0.31496062992125984" footer="0.31496062992125984"/>
  <pageSetup paperSize="9" scale="81" firstPageNumber="60" orientation="portrait" useFirstPageNumber="1" r:id="rId1"/>
  <headerFooter>
    <oddFooter>&amp;LAISHE 2021-22&amp;CT-17</oddFooter>
  </headerFooter>
  <colBreaks count="2" manualBreakCount="2">
    <brk id="11" max="1048575" man="1"/>
    <brk id="2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E149"/>
  <sheetViews>
    <sheetView view="pageBreakPreview" topLeftCell="A106" zoomScaleSheetLayoutView="100" workbookViewId="0"/>
  </sheetViews>
  <sheetFormatPr defaultColWidth="9.28515625" defaultRowHeight="15"/>
  <cols>
    <col min="1" max="1" width="6.28515625" style="265" bestFit="1" customWidth="1"/>
    <col min="2" max="2" width="95.28515625" style="258" customWidth="1"/>
    <col min="3" max="5" width="9.7109375" style="256" customWidth="1"/>
    <col min="6" max="16384" width="9.28515625" style="256"/>
  </cols>
  <sheetData>
    <row r="1" spans="1:5" s="814" customFormat="1" ht="36.75" customHeight="1">
      <c r="A1" s="768" t="s">
        <v>132</v>
      </c>
      <c r="B1" s="1075" t="s">
        <v>899</v>
      </c>
      <c r="C1" s="1075"/>
      <c r="D1" s="1075"/>
      <c r="E1" s="1075"/>
    </row>
    <row r="2" spans="1:5" ht="27.75" customHeight="1">
      <c r="A2" s="260" t="s">
        <v>988</v>
      </c>
      <c r="B2" s="260" t="s">
        <v>1065</v>
      </c>
      <c r="C2" s="268" t="s">
        <v>771</v>
      </c>
      <c r="D2" s="268" t="s">
        <v>772</v>
      </c>
      <c r="E2" s="268" t="s">
        <v>12</v>
      </c>
    </row>
    <row r="3" spans="1:5" s="265" customFormat="1">
      <c r="A3" s="815">
        <v>1</v>
      </c>
      <c r="B3" s="815">
        <v>2</v>
      </c>
      <c r="C3" s="815">
        <v>3</v>
      </c>
      <c r="D3" s="815">
        <v>4</v>
      </c>
      <c r="E3" s="815">
        <v>5</v>
      </c>
    </row>
    <row r="4" spans="1:5" ht="20.25" customHeight="1">
      <c r="A4" s="761">
        <v>1</v>
      </c>
      <c r="B4" s="816" t="s">
        <v>355</v>
      </c>
      <c r="C4" s="148">
        <v>9222</v>
      </c>
      <c r="D4" s="148">
        <v>2239</v>
      </c>
      <c r="E4" s="148">
        <v>11461</v>
      </c>
    </row>
    <row r="5" spans="1:5" ht="20.25" customHeight="1">
      <c r="A5" s="761">
        <v>2</v>
      </c>
      <c r="B5" s="816" t="s">
        <v>360</v>
      </c>
      <c r="C5" s="148">
        <v>2166</v>
      </c>
      <c r="D5" s="148">
        <v>1180</v>
      </c>
      <c r="E5" s="148">
        <v>3346</v>
      </c>
    </row>
    <row r="6" spans="1:5" ht="20.25" customHeight="1">
      <c r="A6" s="761">
        <v>3</v>
      </c>
      <c r="B6" s="816" t="s">
        <v>353</v>
      </c>
      <c r="C6" s="148">
        <v>1914</v>
      </c>
      <c r="D6" s="148">
        <v>1375</v>
      </c>
      <c r="E6" s="148">
        <v>3289</v>
      </c>
    </row>
    <row r="7" spans="1:5" ht="20.25" customHeight="1">
      <c r="A7" s="761">
        <v>4</v>
      </c>
      <c r="B7" s="816" t="s">
        <v>357</v>
      </c>
      <c r="C7" s="148">
        <v>2386</v>
      </c>
      <c r="D7" s="148">
        <v>592</v>
      </c>
      <c r="E7" s="148">
        <v>2978</v>
      </c>
    </row>
    <row r="8" spans="1:5" ht="20.25" customHeight="1">
      <c r="A8" s="761">
        <v>5</v>
      </c>
      <c r="B8" s="816" t="s">
        <v>275</v>
      </c>
      <c r="C8" s="148">
        <v>1583</v>
      </c>
      <c r="D8" s="148">
        <v>429</v>
      </c>
      <c r="E8" s="148">
        <v>2012</v>
      </c>
    </row>
    <row r="9" spans="1:5" ht="20.25" customHeight="1">
      <c r="A9" s="761">
        <v>6</v>
      </c>
      <c r="B9" s="816" t="s">
        <v>363</v>
      </c>
      <c r="C9" s="148">
        <v>1330</v>
      </c>
      <c r="D9" s="148">
        <v>624</v>
      </c>
      <c r="E9" s="148">
        <v>1954</v>
      </c>
    </row>
    <row r="10" spans="1:5" ht="20.25" customHeight="1">
      <c r="A10" s="761">
        <v>7</v>
      </c>
      <c r="B10" s="816" t="s">
        <v>354</v>
      </c>
      <c r="C10" s="148">
        <v>1181</v>
      </c>
      <c r="D10" s="148">
        <v>754</v>
      </c>
      <c r="E10" s="148">
        <v>1935</v>
      </c>
    </row>
    <row r="11" spans="1:5" ht="20.25" customHeight="1">
      <c r="A11" s="761">
        <v>8</v>
      </c>
      <c r="B11" s="816" t="s">
        <v>352</v>
      </c>
      <c r="C11" s="148">
        <v>781</v>
      </c>
      <c r="D11" s="148">
        <v>1017</v>
      </c>
      <c r="E11" s="148">
        <v>1798</v>
      </c>
    </row>
    <row r="12" spans="1:5" ht="20.25" customHeight="1">
      <c r="A12" s="761">
        <v>9</v>
      </c>
      <c r="B12" s="816" t="s">
        <v>286</v>
      </c>
      <c r="C12" s="148">
        <v>1077</v>
      </c>
      <c r="D12" s="148">
        <v>640</v>
      </c>
      <c r="E12" s="148">
        <v>1717</v>
      </c>
    </row>
    <row r="13" spans="1:5" ht="20.25" customHeight="1">
      <c r="A13" s="761">
        <v>10</v>
      </c>
      <c r="B13" s="816" t="s">
        <v>361</v>
      </c>
      <c r="C13" s="148">
        <v>1263</v>
      </c>
      <c r="D13" s="148">
        <v>254</v>
      </c>
      <c r="E13" s="148">
        <v>1517</v>
      </c>
    </row>
    <row r="14" spans="1:5" ht="20.25" customHeight="1">
      <c r="A14" s="761">
        <v>11</v>
      </c>
      <c r="B14" s="816" t="s">
        <v>285</v>
      </c>
      <c r="C14" s="148">
        <v>867</v>
      </c>
      <c r="D14" s="148">
        <v>391</v>
      </c>
      <c r="E14" s="148">
        <v>1258</v>
      </c>
    </row>
    <row r="15" spans="1:5" ht="20.25" customHeight="1">
      <c r="A15" s="761">
        <v>12</v>
      </c>
      <c r="B15" s="816" t="s">
        <v>284</v>
      </c>
      <c r="C15" s="148">
        <v>705</v>
      </c>
      <c r="D15" s="148">
        <v>537</v>
      </c>
      <c r="E15" s="148">
        <v>1242</v>
      </c>
    </row>
    <row r="16" spans="1:5" ht="20.25" customHeight="1">
      <c r="A16" s="761">
        <v>13</v>
      </c>
      <c r="B16" s="816" t="s">
        <v>434</v>
      </c>
      <c r="C16" s="148">
        <v>640</v>
      </c>
      <c r="D16" s="148">
        <v>570</v>
      </c>
      <c r="E16" s="148">
        <v>1210</v>
      </c>
    </row>
    <row r="17" spans="1:5" ht="20.25" customHeight="1">
      <c r="A17" s="761">
        <v>14</v>
      </c>
      <c r="B17" s="816" t="s">
        <v>289</v>
      </c>
      <c r="C17" s="148">
        <v>869</v>
      </c>
      <c r="D17" s="148">
        <v>121</v>
      </c>
      <c r="E17" s="148">
        <v>990</v>
      </c>
    </row>
    <row r="18" spans="1:5" ht="20.25" customHeight="1">
      <c r="A18" s="761">
        <v>15</v>
      </c>
      <c r="B18" s="816" t="s">
        <v>365</v>
      </c>
      <c r="C18" s="148">
        <v>357</v>
      </c>
      <c r="D18" s="148">
        <v>483</v>
      </c>
      <c r="E18" s="148">
        <v>840</v>
      </c>
    </row>
    <row r="19" spans="1:5" ht="20.25" customHeight="1">
      <c r="A19" s="761">
        <v>16</v>
      </c>
      <c r="B19" s="816" t="s">
        <v>364</v>
      </c>
      <c r="C19" s="148">
        <v>70</v>
      </c>
      <c r="D19" s="148">
        <v>723</v>
      </c>
      <c r="E19" s="148">
        <v>793</v>
      </c>
    </row>
    <row r="20" spans="1:5" ht="20.25" customHeight="1">
      <c r="A20" s="761">
        <v>17</v>
      </c>
      <c r="B20" s="816" t="s">
        <v>356</v>
      </c>
      <c r="C20" s="148">
        <v>290</v>
      </c>
      <c r="D20" s="148">
        <v>410</v>
      </c>
      <c r="E20" s="148">
        <v>700</v>
      </c>
    </row>
    <row r="21" spans="1:5" ht="20.25" customHeight="1">
      <c r="A21" s="761">
        <v>18</v>
      </c>
      <c r="B21" s="816" t="s">
        <v>359</v>
      </c>
      <c r="C21" s="148">
        <v>368</v>
      </c>
      <c r="D21" s="148">
        <v>259</v>
      </c>
      <c r="E21" s="148">
        <v>627</v>
      </c>
    </row>
    <row r="22" spans="1:5" ht="20.25" customHeight="1">
      <c r="A22" s="761">
        <v>19</v>
      </c>
      <c r="B22" s="816" t="s">
        <v>362</v>
      </c>
      <c r="C22" s="148">
        <v>231</v>
      </c>
      <c r="D22" s="148">
        <v>279</v>
      </c>
      <c r="E22" s="148">
        <v>510</v>
      </c>
    </row>
    <row r="23" spans="1:5" ht="20.25" customHeight="1">
      <c r="A23" s="761">
        <v>20</v>
      </c>
      <c r="B23" s="816" t="s">
        <v>369</v>
      </c>
      <c r="C23" s="148">
        <v>198</v>
      </c>
      <c r="D23" s="148">
        <v>286</v>
      </c>
      <c r="E23" s="148">
        <v>484</v>
      </c>
    </row>
    <row r="24" spans="1:5" ht="20.25" customHeight="1">
      <c r="A24" s="761">
        <v>21</v>
      </c>
      <c r="B24" s="816" t="s">
        <v>366</v>
      </c>
      <c r="C24" s="148">
        <v>301</v>
      </c>
      <c r="D24" s="148">
        <v>118</v>
      </c>
      <c r="E24" s="148">
        <v>419</v>
      </c>
    </row>
    <row r="25" spans="1:5" ht="20.25" customHeight="1">
      <c r="A25" s="761">
        <v>22</v>
      </c>
      <c r="B25" s="816" t="s">
        <v>441</v>
      </c>
      <c r="C25" s="148">
        <v>172</v>
      </c>
      <c r="D25" s="148">
        <v>202</v>
      </c>
      <c r="E25" s="148">
        <v>374</v>
      </c>
    </row>
    <row r="26" spans="1:5" ht="20.25" customHeight="1">
      <c r="A26" s="761">
        <v>23</v>
      </c>
      <c r="B26" s="816" t="s">
        <v>392</v>
      </c>
      <c r="C26" s="148">
        <v>148</v>
      </c>
      <c r="D26" s="148">
        <v>225</v>
      </c>
      <c r="E26" s="148">
        <v>373</v>
      </c>
    </row>
    <row r="27" spans="1:5" ht="20.25" customHeight="1">
      <c r="A27" s="761">
        <v>24</v>
      </c>
      <c r="B27" s="816" t="s">
        <v>380</v>
      </c>
      <c r="C27" s="148">
        <v>84</v>
      </c>
      <c r="D27" s="148">
        <v>280</v>
      </c>
      <c r="E27" s="148">
        <v>364</v>
      </c>
    </row>
    <row r="28" spans="1:5" ht="20.25" customHeight="1">
      <c r="A28" s="761">
        <v>25</v>
      </c>
      <c r="B28" s="816" t="s">
        <v>295</v>
      </c>
      <c r="C28" s="148">
        <v>171</v>
      </c>
      <c r="D28" s="148">
        <v>146</v>
      </c>
      <c r="E28" s="148">
        <v>317</v>
      </c>
    </row>
    <row r="29" spans="1:5" ht="20.25" customHeight="1">
      <c r="A29" s="761">
        <v>26</v>
      </c>
      <c r="B29" s="816" t="s">
        <v>287</v>
      </c>
      <c r="C29" s="148">
        <v>193</v>
      </c>
      <c r="D29" s="148">
        <v>74</v>
      </c>
      <c r="E29" s="148">
        <v>267</v>
      </c>
    </row>
    <row r="30" spans="1:5" ht="20.25" customHeight="1">
      <c r="A30" s="761">
        <v>27</v>
      </c>
      <c r="B30" s="816" t="s">
        <v>290</v>
      </c>
      <c r="C30" s="148">
        <v>96</v>
      </c>
      <c r="D30" s="148">
        <v>137</v>
      </c>
      <c r="E30" s="148">
        <v>233</v>
      </c>
    </row>
    <row r="31" spans="1:5" ht="20.25" customHeight="1">
      <c r="A31" s="761">
        <v>28</v>
      </c>
      <c r="B31" s="816" t="s">
        <v>293</v>
      </c>
      <c r="C31" s="148">
        <v>161</v>
      </c>
      <c r="D31" s="148">
        <v>41</v>
      </c>
      <c r="E31" s="148">
        <v>202</v>
      </c>
    </row>
    <row r="32" spans="1:5" ht="20.25" customHeight="1">
      <c r="A32" s="761">
        <v>29</v>
      </c>
      <c r="B32" s="816" t="s">
        <v>294</v>
      </c>
      <c r="C32" s="148">
        <v>186</v>
      </c>
      <c r="D32" s="148">
        <v>14</v>
      </c>
      <c r="E32" s="148">
        <v>200</v>
      </c>
    </row>
    <row r="33" spans="1:5" ht="20.25" customHeight="1">
      <c r="A33" s="761">
        <v>30</v>
      </c>
      <c r="B33" s="816" t="s">
        <v>378</v>
      </c>
      <c r="C33" s="148">
        <v>115</v>
      </c>
      <c r="D33" s="148">
        <v>77</v>
      </c>
      <c r="E33" s="148">
        <v>192</v>
      </c>
    </row>
    <row r="34" spans="1:5" ht="20.25" customHeight="1">
      <c r="A34" s="761">
        <v>31</v>
      </c>
      <c r="B34" s="816" t="s">
        <v>374</v>
      </c>
      <c r="C34" s="148">
        <v>129</v>
      </c>
      <c r="D34" s="148">
        <v>52</v>
      </c>
      <c r="E34" s="148">
        <v>181</v>
      </c>
    </row>
    <row r="35" spans="1:5" ht="20.25" customHeight="1">
      <c r="A35" s="761">
        <v>32</v>
      </c>
      <c r="B35" s="816" t="s">
        <v>368</v>
      </c>
      <c r="C35" s="148">
        <v>57</v>
      </c>
      <c r="D35" s="148">
        <v>120</v>
      </c>
      <c r="E35" s="148">
        <v>177</v>
      </c>
    </row>
    <row r="36" spans="1:5" ht="20.25" customHeight="1">
      <c r="A36" s="761">
        <v>33</v>
      </c>
      <c r="B36" s="816" t="s">
        <v>288</v>
      </c>
      <c r="C36" s="148">
        <v>149</v>
      </c>
      <c r="D36" s="148">
        <v>20</v>
      </c>
      <c r="E36" s="148">
        <v>169</v>
      </c>
    </row>
    <row r="37" spans="1:5" ht="20.25" customHeight="1">
      <c r="A37" s="761">
        <v>34</v>
      </c>
      <c r="B37" s="816" t="s">
        <v>445</v>
      </c>
      <c r="C37" s="148">
        <v>80</v>
      </c>
      <c r="D37" s="148">
        <v>88</v>
      </c>
      <c r="E37" s="148">
        <v>168</v>
      </c>
    </row>
    <row r="38" spans="1:5" ht="20.25" customHeight="1">
      <c r="A38" s="761">
        <v>35</v>
      </c>
      <c r="B38" s="816" t="s">
        <v>358</v>
      </c>
      <c r="C38" s="148">
        <v>63</v>
      </c>
      <c r="D38" s="148">
        <v>64</v>
      </c>
      <c r="E38" s="148">
        <v>127</v>
      </c>
    </row>
    <row r="39" spans="1:5" ht="20.25" customHeight="1">
      <c r="A39" s="761">
        <v>36</v>
      </c>
      <c r="B39" s="816" t="s">
        <v>367</v>
      </c>
      <c r="C39" s="148">
        <v>56</v>
      </c>
      <c r="D39" s="148">
        <v>69</v>
      </c>
      <c r="E39" s="148">
        <v>125</v>
      </c>
    </row>
    <row r="40" spans="1:5" ht="20.25" customHeight="1">
      <c r="A40" s="761">
        <v>37</v>
      </c>
      <c r="B40" s="816" t="s">
        <v>388</v>
      </c>
      <c r="C40" s="148">
        <v>58</v>
      </c>
      <c r="D40" s="148">
        <v>56</v>
      </c>
      <c r="E40" s="148">
        <v>114</v>
      </c>
    </row>
    <row r="41" spans="1:5" ht="20.25" customHeight="1">
      <c r="A41" s="761">
        <v>38</v>
      </c>
      <c r="B41" s="816" t="s">
        <v>296</v>
      </c>
      <c r="C41" s="148">
        <v>76</v>
      </c>
      <c r="D41" s="148">
        <v>30</v>
      </c>
      <c r="E41" s="148">
        <v>106</v>
      </c>
    </row>
    <row r="42" spans="1:5" ht="20.25" customHeight="1">
      <c r="A42" s="761">
        <v>39</v>
      </c>
      <c r="B42" s="816" t="s">
        <v>317</v>
      </c>
      <c r="C42" s="148">
        <v>51</v>
      </c>
      <c r="D42" s="148">
        <v>36</v>
      </c>
      <c r="E42" s="148">
        <v>87</v>
      </c>
    </row>
    <row r="43" spans="1:5" ht="20.25" customHeight="1">
      <c r="A43" s="761">
        <v>40</v>
      </c>
      <c r="B43" s="816" t="s">
        <v>433</v>
      </c>
      <c r="C43" s="148">
        <v>52</v>
      </c>
      <c r="D43" s="148">
        <v>35</v>
      </c>
      <c r="E43" s="148">
        <v>87</v>
      </c>
    </row>
    <row r="44" spans="1:5" ht="20.25" customHeight="1">
      <c r="A44" s="761">
        <v>41</v>
      </c>
      <c r="B44" s="816" t="s">
        <v>451</v>
      </c>
      <c r="C44" s="148">
        <v>43</v>
      </c>
      <c r="D44" s="148">
        <v>36</v>
      </c>
      <c r="E44" s="148">
        <v>79</v>
      </c>
    </row>
    <row r="45" spans="1:5" ht="20.25" customHeight="1">
      <c r="A45" s="761">
        <v>42</v>
      </c>
      <c r="B45" s="816" t="s">
        <v>385</v>
      </c>
      <c r="C45" s="148">
        <v>63</v>
      </c>
      <c r="D45" s="148">
        <v>14</v>
      </c>
      <c r="E45" s="148">
        <v>77</v>
      </c>
    </row>
    <row r="46" spans="1:5" ht="20.25" customHeight="1">
      <c r="A46" s="761">
        <v>43</v>
      </c>
      <c r="B46" s="816" t="s">
        <v>306</v>
      </c>
      <c r="C46" s="148">
        <v>28</v>
      </c>
      <c r="D46" s="148">
        <v>44</v>
      </c>
      <c r="E46" s="148">
        <v>72</v>
      </c>
    </row>
    <row r="47" spans="1:5" ht="20.25" customHeight="1">
      <c r="A47" s="761">
        <v>44</v>
      </c>
      <c r="B47" s="816" t="s">
        <v>381</v>
      </c>
      <c r="C47" s="148">
        <v>20</v>
      </c>
      <c r="D47" s="148">
        <v>50</v>
      </c>
      <c r="E47" s="148">
        <v>70</v>
      </c>
    </row>
    <row r="48" spans="1:5" ht="20.25" customHeight="1">
      <c r="A48" s="761">
        <v>45</v>
      </c>
      <c r="B48" s="816" t="s">
        <v>444</v>
      </c>
      <c r="C48" s="148">
        <v>45</v>
      </c>
      <c r="D48" s="148">
        <v>22</v>
      </c>
      <c r="E48" s="148">
        <v>67</v>
      </c>
    </row>
    <row r="49" spans="1:5" ht="20.25" customHeight="1">
      <c r="A49" s="761">
        <v>46</v>
      </c>
      <c r="B49" s="816" t="s">
        <v>436</v>
      </c>
      <c r="C49" s="148">
        <v>11</v>
      </c>
      <c r="D49" s="148">
        <v>55</v>
      </c>
      <c r="E49" s="148">
        <v>66</v>
      </c>
    </row>
    <row r="50" spans="1:5" ht="20.25" customHeight="1">
      <c r="A50" s="761">
        <v>47</v>
      </c>
      <c r="B50" s="816" t="s">
        <v>437</v>
      </c>
      <c r="C50" s="148">
        <v>54</v>
      </c>
      <c r="D50" s="148">
        <v>10</v>
      </c>
      <c r="E50" s="148">
        <v>64</v>
      </c>
    </row>
    <row r="51" spans="1:5" ht="20.25" customHeight="1">
      <c r="A51" s="761">
        <v>48</v>
      </c>
      <c r="B51" s="816" t="s">
        <v>373</v>
      </c>
      <c r="C51" s="148">
        <v>48</v>
      </c>
      <c r="D51" s="148">
        <v>15</v>
      </c>
      <c r="E51" s="148">
        <v>63</v>
      </c>
    </row>
    <row r="52" spans="1:5" ht="20.25" customHeight="1">
      <c r="A52" s="761">
        <v>49</v>
      </c>
      <c r="B52" s="816" t="s">
        <v>304</v>
      </c>
      <c r="C52" s="148">
        <v>43</v>
      </c>
      <c r="D52" s="148">
        <v>19</v>
      </c>
      <c r="E52" s="148">
        <v>62</v>
      </c>
    </row>
    <row r="53" spans="1:5" ht="20.25" customHeight="1">
      <c r="A53" s="761">
        <v>50</v>
      </c>
      <c r="B53" s="816" t="s">
        <v>446</v>
      </c>
      <c r="C53" s="148">
        <v>42</v>
      </c>
      <c r="D53" s="148">
        <v>18</v>
      </c>
      <c r="E53" s="148">
        <v>60</v>
      </c>
    </row>
    <row r="54" spans="1:5" ht="20.25" customHeight="1">
      <c r="A54" s="761">
        <v>51</v>
      </c>
      <c r="B54" s="816" t="s">
        <v>384</v>
      </c>
      <c r="C54" s="148">
        <v>26</v>
      </c>
      <c r="D54" s="148">
        <v>31</v>
      </c>
      <c r="E54" s="148">
        <v>57</v>
      </c>
    </row>
    <row r="55" spans="1:5" ht="20.25" customHeight="1">
      <c r="A55" s="761">
        <v>52</v>
      </c>
      <c r="B55" s="816" t="s">
        <v>297</v>
      </c>
      <c r="C55" s="148">
        <v>28</v>
      </c>
      <c r="D55" s="148">
        <v>26</v>
      </c>
      <c r="E55" s="148">
        <v>54</v>
      </c>
    </row>
    <row r="56" spans="1:5" ht="20.25" customHeight="1">
      <c r="A56" s="761">
        <v>53</v>
      </c>
      <c r="B56" s="816" t="s">
        <v>448</v>
      </c>
      <c r="C56" s="148">
        <v>34</v>
      </c>
      <c r="D56" s="148">
        <v>18</v>
      </c>
      <c r="E56" s="148">
        <v>52</v>
      </c>
    </row>
    <row r="57" spans="1:5" ht="20.25" customHeight="1">
      <c r="A57" s="761">
        <v>54</v>
      </c>
      <c r="B57" s="816" t="s">
        <v>370</v>
      </c>
      <c r="C57" s="148">
        <v>20</v>
      </c>
      <c r="D57" s="148">
        <v>27</v>
      </c>
      <c r="E57" s="148">
        <v>47</v>
      </c>
    </row>
    <row r="58" spans="1:5" ht="20.25" customHeight="1">
      <c r="A58" s="761">
        <v>55</v>
      </c>
      <c r="B58" s="816" t="s">
        <v>440</v>
      </c>
      <c r="C58" s="148">
        <v>31</v>
      </c>
      <c r="D58" s="148">
        <v>15</v>
      </c>
      <c r="E58" s="148">
        <v>46</v>
      </c>
    </row>
    <row r="59" spans="1:5" ht="20.25" customHeight="1">
      <c r="A59" s="761">
        <v>56</v>
      </c>
      <c r="B59" s="816" t="s">
        <v>301</v>
      </c>
      <c r="C59" s="148">
        <v>4</v>
      </c>
      <c r="D59" s="148">
        <v>35</v>
      </c>
      <c r="E59" s="148">
        <v>39</v>
      </c>
    </row>
    <row r="60" spans="1:5" ht="20.25" customHeight="1">
      <c r="A60" s="761">
        <v>57</v>
      </c>
      <c r="B60" s="816" t="s">
        <v>396</v>
      </c>
      <c r="C60" s="148">
        <v>12</v>
      </c>
      <c r="D60" s="148">
        <v>25</v>
      </c>
      <c r="E60" s="148">
        <v>37</v>
      </c>
    </row>
    <row r="61" spans="1:5" ht="20.25" customHeight="1">
      <c r="A61" s="761">
        <v>58</v>
      </c>
      <c r="B61" s="816" t="s">
        <v>291</v>
      </c>
      <c r="C61" s="148">
        <v>16</v>
      </c>
      <c r="D61" s="148">
        <v>21</v>
      </c>
      <c r="E61" s="148">
        <v>37</v>
      </c>
    </row>
    <row r="62" spans="1:5" ht="20.25" customHeight="1">
      <c r="A62" s="761">
        <v>59</v>
      </c>
      <c r="B62" s="816" t="s">
        <v>325</v>
      </c>
      <c r="C62" s="148">
        <v>30</v>
      </c>
      <c r="D62" s="148">
        <v>5</v>
      </c>
      <c r="E62" s="148">
        <v>35</v>
      </c>
    </row>
    <row r="63" spans="1:5" ht="20.25" customHeight="1">
      <c r="A63" s="761">
        <v>60</v>
      </c>
      <c r="B63" s="816" t="s">
        <v>395</v>
      </c>
      <c r="C63" s="148">
        <v>20</v>
      </c>
      <c r="D63" s="148">
        <v>14</v>
      </c>
      <c r="E63" s="148">
        <v>34</v>
      </c>
    </row>
    <row r="64" spans="1:5" ht="20.25" customHeight="1">
      <c r="A64" s="761">
        <v>61</v>
      </c>
      <c r="B64" s="816" t="s">
        <v>303</v>
      </c>
      <c r="C64" s="148">
        <v>26</v>
      </c>
      <c r="D64" s="148">
        <v>6</v>
      </c>
      <c r="E64" s="148">
        <v>32</v>
      </c>
    </row>
    <row r="65" spans="1:5" ht="20.25" customHeight="1">
      <c r="A65" s="761">
        <v>62</v>
      </c>
      <c r="B65" s="816" t="s">
        <v>379</v>
      </c>
      <c r="C65" s="148">
        <v>30</v>
      </c>
      <c r="D65" s="148">
        <v>2</v>
      </c>
      <c r="E65" s="148">
        <v>32</v>
      </c>
    </row>
    <row r="66" spans="1:5" ht="20.25" customHeight="1">
      <c r="A66" s="761">
        <v>63</v>
      </c>
      <c r="B66" s="816" t="s">
        <v>320</v>
      </c>
      <c r="C66" s="148">
        <v>29</v>
      </c>
      <c r="D66" s="148">
        <v>3</v>
      </c>
      <c r="E66" s="148">
        <v>32</v>
      </c>
    </row>
    <row r="67" spans="1:5" ht="20.25" customHeight="1">
      <c r="A67" s="761">
        <v>64</v>
      </c>
      <c r="B67" s="816" t="s">
        <v>308</v>
      </c>
      <c r="C67" s="148">
        <v>17</v>
      </c>
      <c r="D67" s="148">
        <v>14</v>
      </c>
      <c r="E67" s="148">
        <v>31</v>
      </c>
    </row>
    <row r="68" spans="1:5" ht="20.25" customHeight="1">
      <c r="A68" s="761">
        <v>65</v>
      </c>
      <c r="B68" s="816" t="s">
        <v>399</v>
      </c>
      <c r="C68" s="148">
        <v>19</v>
      </c>
      <c r="D68" s="148">
        <v>12</v>
      </c>
      <c r="E68" s="148">
        <v>31</v>
      </c>
    </row>
    <row r="69" spans="1:5" ht="20.25" customHeight="1">
      <c r="A69" s="761">
        <v>66</v>
      </c>
      <c r="B69" s="816" t="s">
        <v>372</v>
      </c>
      <c r="C69" s="148">
        <v>6</v>
      </c>
      <c r="D69" s="148">
        <v>24</v>
      </c>
      <c r="E69" s="148">
        <v>30</v>
      </c>
    </row>
    <row r="70" spans="1:5" ht="20.25" customHeight="1">
      <c r="A70" s="761">
        <v>67</v>
      </c>
      <c r="B70" s="816" t="s">
        <v>402</v>
      </c>
      <c r="C70" s="148">
        <v>3</v>
      </c>
      <c r="D70" s="148">
        <v>27</v>
      </c>
      <c r="E70" s="148">
        <v>30</v>
      </c>
    </row>
    <row r="71" spans="1:5" ht="20.25" customHeight="1">
      <c r="A71" s="761">
        <v>68</v>
      </c>
      <c r="B71" s="816" t="s">
        <v>307</v>
      </c>
      <c r="C71" s="148">
        <v>19</v>
      </c>
      <c r="D71" s="148">
        <v>9</v>
      </c>
      <c r="E71" s="148">
        <v>28</v>
      </c>
    </row>
    <row r="72" spans="1:5" ht="20.25" customHeight="1">
      <c r="A72" s="761">
        <v>69</v>
      </c>
      <c r="B72" s="816" t="s">
        <v>387</v>
      </c>
      <c r="C72" s="148">
        <v>16</v>
      </c>
      <c r="D72" s="148">
        <v>12</v>
      </c>
      <c r="E72" s="148">
        <v>28</v>
      </c>
    </row>
    <row r="73" spans="1:5" ht="20.25" customHeight="1">
      <c r="A73" s="761">
        <v>70</v>
      </c>
      <c r="B73" s="816" t="s">
        <v>961</v>
      </c>
      <c r="C73" s="148">
        <v>22</v>
      </c>
      <c r="D73" s="148">
        <v>5</v>
      </c>
      <c r="E73" s="148">
        <v>27</v>
      </c>
    </row>
    <row r="74" spans="1:5" ht="20.25" customHeight="1">
      <c r="A74" s="761">
        <v>71</v>
      </c>
      <c r="B74" s="816" t="s">
        <v>298</v>
      </c>
      <c r="C74" s="148">
        <v>23</v>
      </c>
      <c r="D74" s="148">
        <v>3</v>
      </c>
      <c r="E74" s="148">
        <v>26</v>
      </c>
    </row>
    <row r="75" spans="1:5" ht="20.25" customHeight="1">
      <c r="A75" s="761">
        <v>72</v>
      </c>
      <c r="B75" s="816" t="s">
        <v>416</v>
      </c>
      <c r="C75" s="148">
        <v>19</v>
      </c>
      <c r="D75" s="148">
        <v>7</v>
      </c>
      <c r="E75" s="148">
        <v>26</v>
      </c>
    </row>
    <row r="76" spans="1:5" ht="20.25" customHeight="1">
      <c r="A76" s="761">
        <v>73</v>
      </c>
      <c r="B76" s="816" t="s">
        <v>382</v>
      </c>
      <c r="C76" s="148">
        <v>10</v>
      </c>
      <c r="D76" s="148">
        <v>14</v>
      </c>
      <c r="E76" s="148">
        <v>24</v>
      </c>
    </row>
    <row r="77" spans="1:5" ht="20.25" customHeight="1">
      <c r="A77" s="761">
        <v>74</v>
      </c>
      <c r="B77" s="816" t="s">
        <v>377</v>
      </c>
      <c r="C77" s="148">
        <v>12</v>
      </c>
      <c r="D77" s="148">
        <v>9</v>
      </c>
      <c r="E77" s="148">
        <v>21</v>
      </c>
    </row>
    <row r="78" spans="1:5" ht="20.25" customHeight="1">
      <c r="A78" s="761">
        <v>75</v>
      </c>
      <c r="B78" s="816" t="s">
        <v>331</v>
      </c>
      <c r="C78" s="148">
        <v>13</v>
      </c>
      <c r="D78" s="148">
        <v>7</v>
      </c>
      <c r="E78" s="148">
        <v>20</v>
      </c>
    </row>
    <row r="79" spans="1:5" ht="20.25" customHeight="1">
      <c r="A79" s="761">
        <v>76</v>
      </c>
      <c r="B79" s="816" t="s">
        <v>283</v>
      </c>
      <c r="C79" s="148">
        <v>5</v>
      </c>
      <c r="D79" s="148">
        <v>15</v>
      </c>
      <c r="E79" s="148">
        <v>20</v>
      </c>
    </row>
    <row r="80" spans="1:5" ht="20.25" customHeight="1">
      <c r="A80" s="761">
        <v>77</v>
      </c>
      <c r="B80" s="816" t="s">
        <v>292</v>
      </c>
      <c r="C80" s="148">
        <v>9</v>
      </c>
      <c r="D80" s="148">
        <v>10</v>
      </c>
      <c r="E80" s="148">
        <v>19</v>
      </c>
    </row>
    <row r="81" spans="1:5" ht="20.25" customHeight="1">
      <c r="A81" s="761">
        <v>78</v>
      </c>
      <c r="B81" s="816" t="s">
        <v>371</v>
      </c>
      <c r="C81" s="148">
        <v>11</v>
      </c>
      <c r="D81" s="148">
        <v>7</v>
      </c>
      <c r="E81" s="148">
        <v>18</v>
      </c>
    </row>
    <row r="82" spans="1:5" ht="20.25" customHeight="1">
      <c r="A82" s="761">
        <v>79</v>
      </c>
      <c r="B82" s="816" t="s">
        <v>798</v>
      </c>
      <c r="C82" s="148">
        <v>15</v>
      </c>
      <c r="D82" s="148">
        <v>2</v>
      </c>
      <c r="E82" s="148">
        <v>17</v>
      </c>
    </row>
    <row r="83" spans="1:5" ht="20.25" customHeight="1">
      <c r="A83" s="761">
        <v>80</v>
      </c>
      <c r="B83" s="816" t="s">
        <v>314</v>
      </c>
      <c r="C83" s="148">
        <v>11</v>
      </c>
      <c r="D83" s="148">
        <v>4</v>
      </c>
      <c r="E83" s="148">
        <v>15</v>
      </c>
    </row>
    <row r="84" spans="1:5" ht="20.25" customHeight="1">
      <c r="A84" s="761">
        <v>81</v>
      </c>
      <c r="B84" s="816" t="s">
        <v>447</v>
      </c>
      <c r="C84" s="148">
        <v>9</v>
      </c>
      <c r="D84" s="148">
        <v>6</v>
      </c>
      <c r="E84" s="148">
        <v>15</v>
      </c>
    </row>
    <row r="85" spans="1:5" ht="20.25" customHeight="1">
      <c r="A85" s="761">
        <v>82</v>
      </c>
      <c r="B85" s="816" t="s">
        <v>326</v>
      </c>
      <c r="C85" s="148">
        <v>9</v>
      </c>
      <c r="D85" s="148">
        <v>6</v>
      </c>
      <c r="E85" s="148">
        <v>15</v>
      </c>
    </row>
    <row r="86" spans="1:5" ht="20.25" customHeight="1">
      <c r="A86" s="761">
        <v>83</v>
      </c>
      <c r="B86" s="816" t="s">
        <v>450</v>
      </c>
      <c r="C86" s="148">
        <v>8</v>
      </c>
      <c r="D86" s="148">
        <v>6</v>
      </c>
      <c r="E86" s="148">
        <v>14</v>
      </c>
    </row>
    <row r="87" spans="1:5" ht="20.25" customHeight="1">
      <c r="A87" s="761">
        <v>84</v>
      </c>
      <c r="B87" s="816" t="s">
        <v>397</v>
      </c>
      <c r="C87" s="148">
        <v>5</v>
      </c>
      <c r="D87" s="148">
        <v>7</v>
      </c>
      <c r="E87" s="148">
        <v>12</v>
      </c>
    </row>
    <row r="88" spans="1:5" ht="20.25" customHeight="1">
      <c r="A88" s="761">
        <v>85</v>
      </c>
      <c r="B88" s="816" t="s">
        <v>375</v>
      </c>
      <c r="C88" s="148">
        <v>12</v>
      </c>
      <c r="D88" s="148">
        <v>0</v>
      </c>
      <c r="E88" s="148">
        <v>12</v>
      </c>
    </row>
    <row r="89" spans="1:5" ht="20.25" customHeight="1">
      <c r="A89" s="761">
        <v>86</v>
      </c>
      <c r="B89" s="816" t="s">
        <v>323</v>
      </c>
      <c r="C89" s="148">
        <v>4</v>
      </c>
      <c r="D89" s="148">
        <v>7</v>
      </c>
      <c r="E89" s="148">
        <v>11</v>
      </c>
    </row>
    <row r="90" spans="1:5" ht="20.25" customHeight="1">
      <c r="A90" s="761">
        <v>87</v>
      </c>
      <c r="B90" s="816" t="s">
        <v>312</v>
      </c>
      <c r="C90" s="148">
        <v>10</v>
      </c>
      <c r="D90" s="148">
        <v>1</v>
      </c>
      <c r="E90" s="148">
        <v>11</v>
      </c>
    </row>
    <row r="91" spans="1:5" ht="20.25" customHeight="1">
      <c r="A91" s="761">
        <v>88</v>
      </c>
      <c r="B91" s="816" t="s">
        <v>391</v>
      </c>
      <c r="C91" s="148">
        <v>4</v>
      </c>
      <c r="D91" s="148">
        <v>6</v>
      </c>
      <c r="E91" s="148">
        <v>10</v>
      </c>
    </row>
    <row r="92" spans="1:5" ht="20.25" customHeight="1">
      <c r="A92" s="761">
        <v>89</v>
      </c>
      <c r="B92" s="816" t="s">
        <v>315</v>
      </c>
      <c r="C92" s="148">
        <v>6</v>
      </c>
      <c r="D92" s="148">
        <v>4</v>
      </c>
      <c r="E92" s="148">
        <v>10</v>
      </c>
    </row>
    <row r="93" spans="1:5" ht="20.25" customHeight="1">
      <c r="A93" s="761">
        <v>90</v>
      </c>
      <c r="B93" s="816" t="s">
        <v>313</v>
      </c>
      <c r="C93" s="148">
        <v>4</v>
      </c>
      <c r="D93" s="148">
        <v>6</v>
      </c>
      <c r="E93" s="148">
        <v>10</v>
      </c>
    </row>
    <row r="94" spans="1:5" ht="20.25" customHeight="1">
      <c r="A94" s="761">
        <v>91</v>
      </c>
      <c r="B94" s="816" t="s">
        <v>401</v>
      </c>
      <c r="C94" s="148">
        <v>0</v>
      </c>
      <c r="D94" s="148">
        <v>8</v>
      </c>
      <c r="E94" s="148">
        <v>8</v>
      </c>
    </row>
    <row r="95" spans="1:5" ht="20.25" customHeight="1">
      <c r="A95" s="761">
        <v>92</v>
      </c>
      <c r="B95" s="816" t="s">
        <v>449</v>
      </c>
      <c r="C95" s="148">
        <v>5</v>
      </c>
      <c r="D95" s="148">
        <v>3</v>
      </c>
      <c r="E95" s="148">
        <v>8</v>
      </c>
    </row>
    <row r="96" spans="1:5" ht="20.25" customHeight="1">
      <c r="A96" s="761">
        <v>93</v>
      </c>
      <c r="B96" s="816" t="s">
        <v>300</v>
      </c>
      <c r="C96" s="148">
        <v>3</v>
      </c>
      <c r="D96" s="148">
        <v>5</v>
      </c>
      <c r="E96" s="148">
        <v>8</v>
      </c>
    </row>
    <row r="97" spans="1:5" ht="20.25" customHeight="1">
      <c r="A97" s="761">
        <v>94</v>
      </c>
      <c r="B97" s="816" t="s">
        <v>420</v>
      </c>
      <c r="C97" s="148">
        <v>7</v>
      </c>
      <c r="D97" s="148">
        <v>1</v>
      </c>
      <c r="E97" s="148">
        <v>8</v>
      </c>
    </row>
    <row r="98" spans="1:5" ht="20.25" customHeight="1">
      <c r="A98" s="761">
        <v>95</v>
      </c>
      <c r="B98" s="816" t="s">
        <v>442</v>
      </c>
      <c r="C98" s="148">
        <v>0</v>
      </c>
      <c r="D98" s="148">
        <v>7</v>
      </c>
      <c r="E98" s="148">
        <v>7</v>
      </c>
    </row>
    <row r="99" spans="1:5" ht="20.25" customHeight="1">
      <c r="A99" s="761">
        <v>96</v>
      </c>
      <c r="B99" s="816" t="s">
        <v>339</v>
      </c>
      <c r="C99" s="148">
        <v>3</v>
      </c>
      <c r="D99" s="148">
        <v>4</v>
      </c>
      <c r="E99" s="148">
        <v>7</v>
      </c>
    </row>
    <row r="100" spans="1:5" ht="20.25" customHeight="1">
      <c r="A100" s="761">
        <v>97</v>
      </c>
      <c r="B100" s="816" t="s">
        <v>302</v>
      </c>
      <c r="C100" s="148">
        <v>4</v>
      </c>
      <c r="D100" s="148">
        <v>3</v>
      </c>
      <c r="E100" s="148">
        <v>7</v>
      </c>
    </row>
    <row r="101" spans="1:5" ht="20.25" customHeight="1">
      <c r="A101" s="761">
        <v>98</v>
      </c>
      <c r="B101" s="816" t="s">
        <v>390</v>
      </c>
      <c r="C101" s="148">
        <v>6</v>
      </c>
      <c r="D101" s="148">
        <v>1</v>
      </c>
      <c r="E101" s="148">
        <v>7</v>
      </c>
    </row>
    <row r="102" spans="1:5" ht="20.25" customHeight="1">
      <c r="A102" s="761">
        <v>99</v>
      </c>
      <c r="B102" s="816" t="s">
        <v>277</v>
      </c>
      <c r="C102" s="148">
        <v>6</v>
      </c>
      <c r="D102" s="148">
        <v>0</v>
      </c>
      <c r="E102" s="148">
        <v>6</v>
      </c>
    </row>
    <row r="103" spans="1:5" ht="20.25" customHeight="1">
      <c r="A103" s="761">
        <v>100</v>
      </c>
      <c r="B103" s="816" t="s">
        <v>394</v>
      </c>
      <c r="C103" s="148">
        <v>2</v>
      </c>
      <c r="D103" s="148">
        <v>4</v>
      </c>
      <c r="E103" s="148">
        <v>6</v>
      </c>
    </row>
    <row r="104" spans="1:5" ht="20.25" customHeight="1">
      <c r="A104" s="761">
        <v>101</v>
      </c>
      <c r="B104" s="816" t="s">
        <v>413</v>
      </c>
      <c r="C104" s="148">
        <v>6</v>
      </c>
      <c r="D104" s="148">
        <v>0</v>
      </c>
      <c r="E104" s="148">
        <v>6</v>
      </c>
    </row>
    <row r="105" spans="1:5" ht="20.25" customHeight="1">
      <c r="A105" s="761">
        <v>102</v>
      </c>
      <c r="B105" s="816" t="s">
        <v>330</v>
      </c>
      <c r="C105" s="148">
        <v>0</v>
      </c>
      <c r="D105" s="148">
        <v>6</v>
      </c>
      <c r="E105" s="148">
        <v>6</v>
      </c>
    </row>
    <row r="106" spans="1:5" ht="20.25" customHeight="1">
      <c r="A106" s="761">
        <v>103</v>
      </c>
      <c r="B106" s="816" t="s">
        <v>405</v>
      </c>
      <c r="C106" s="148">
        <v>0</v>
      </c>
      <c r="D106" s="148">
        <v>6</v>
      </c>
      <c r="E106" s="148">
        <v>6</v>
      </c>
    </row>
    <row r="107" spans="1:5" ht="20.25" customHeight="1">
      <c r="A107" s="761">
        <v>104</v>
      </c>
      <c r="B107" s="816" t="s">
        <v>412</v>
      </c>
      <c r="C107" s="148">
        <v>3</v>
      </c>
      <c r="D107" s="148">
        <v>2</v>
      </c>
      <c r="E107" s="148">
        <v>5</v>
      </c>
    </row>
    <row r="108" spans="1:5" ht="20.25" customHeight="1">
      <c r="A108" s="761">
        <v>105</v>
      </c>
      <c r="B108" s="816" t="s">
        <v>409</v>
      </c>
      <c r="C108" s="148">
        <v>4</v>
      </c>
      <c r="D108" s="148">
        <v>1</v>
      </c>
      <c r="E108" s="148">
        <v>5</v>
      </c>
    </row>
    <row r="109" spans="1:5" ht="20.25" customHeight="1">
      <c r="A109" s="761">
        <v>106</v>
      </c>
      <c r="B109" s="816" t="s">
        <v>443</v>
      </c>
      <c r="C109" s="148">
        <v>0</v>
      </c>
      <c r="D109" s="148">
        <v>5</v>
      </c>
      <c r="E109" s="148">
        <v>5</v>
      </c>
    </row>
    <row r="110" spans="1:5" ht="20.25" customHeight="1">
      <c r="A110" s="761">
        <v>107</v>
      </c>
      <c r="B110" s="816" t="s">
        <v>407</v>
      </c>
      <c r="C110" s="148">
        <v>2</v>
      </c>
      <c r="D110" s="148">
        <v>3</v>
      </c>
      <c r="E110" s="148">
        <v>5</v>
      </c>
    </row>
    <row r="111" spans="1:5" ht="20.25" customHeight="1">
      <c r="A111" s="761">
        <v>108</v>
      </c>
      <c r="B111" s="816" t="s">
        <v>310</v>
      </c>
      <c r="C111" s="148">
        <v>5</v>
      </c>
      <c r="D111" s="148">
        <v>0</v>
      </c>
      <c r="E111" s="148">
        <v>5</v>
      </c>
    </row>
    <row r="112" spans="1:5" ht="20.25" customHeight="1">
      <c r="A112" s="761">
        <v>109</v>
      </c>
      <c r="B112" s="816" t="s">
        <v>404</v>
      </c>
      <c r="C112" s="148">
        <v>1</v>
      </c>
      <c r="D112" s="148">
        <v>3</v>
      </c>
      <c r="E112" s="148">
        <v>4</v>
      </c>
    </row>
    <row r="113" spans="1:5" ht="20.25" customHeight="1">
      <c r="A113" s="761">
        <v>110</v>
      </c>
      <c r="B113" s="816" t="s">
        <v>319</v>
      </c>
      <c r="C113" s="148">
        <v>2</v>
      </c>
      <c r="D113" s="148">
        <v>2</v>
      </c>
      <c r="E113" s="148">
        <v>4</v>
      </c>
    </row>
    <row r="114" spans="1:5" ht="20.25" customHeight="1">
      <c r="A114" s="761">
        <v>111</v>
      </c>
      <c r="B114" s="816" t="s">
        <v>282</v>
      </c>
      <c r="C114" s="148">
        <v>3</v>
      </c>
      <c r="D114" s="148">
        <v>1</v>
      </c>
      <c r="E114" s="148">
        <v>4</v>
      </c>
    </row>
    <row r="115" spans="1:5" ht="20.25" customHeight="1">
      <c r="A115" s="761">
        <v>112</v>
      </c>
      <c r="B115" s="816" t="s">
        <v>316</v>
      </c>
      <c r="C115" s="148">
        <v>2</v>
      </c>
      <c r="D115" s="148">
        <v>2</v>
      </c>
      <c r="E115" s="148">
        <v>4</v>
      </c>
    </row>
    <row r="116" spans="1:5" ht="20.25" customHeight="1">
      <c r="A116" s="761">
        <v>113</v>
      </c>
      <c r="B116" s="816" t="s">
        <v>279</v>
      </c>
      <c r="C116" s="148">
        <v>2</v>
      </c>
      <c r="D116" s="148">
        <v>2</v>
      </c>
      <c r="E116" s="148">
        <v>4</v>
      </c>
    </row>
    <row r="117" spans="1:5" ht="20.25" customHeight="1">
      <c r="A117" s="761">
        <v>114</v>
      </c>
      <c r="B117" s="816" t="s">
        <v>318</v>
      </c>
      <c r="C117" s="148">
        <v>3</v>
      </c>
      <c r="D117" s="148">
        <v>0</v>
      </c>
      <c r="E117" s="148">
        <v>3</v>
      </c>
    </row>
    <row r="118" spans="1:5" ht="20.25" customHeight="1">
      <c r="A118" s="761">
        <v>115</v>
      </c>
      <c r="B118" s="816" t="s">
        <v>423</v>
      </c>
      <c r="C118" s="148">
        <v>2</v>
      </c>
      <c r="D118" s="148">
        <v>1</v>
      </c>
      <c r="E118" s="148">
        <v>3</v>
      </c>
    </row>
    <row r="119" spans="1:5" ht="20.25" customHeight="1">
      <c r="A119" s="761">
        <v>116</v>
      </c>
      <c r="B119" s="816" t="s">
        <v>334</v>
      </c>
      <c r="C119" s="148">
        <v>1</v>
      </c>
      <c r="D119" s="148">
        <v>2</v>
      </c>
      <c r="E119" s="148">
        <v>3</v>
      </c>
    </row>
    <row r="120" spans="1:5" ht="20.25" customHeight="1">
      <c r="A120" s="761">
        <v>117</v>
      </c>
      <c r="B120" s="816" t="s">
        <v>344</v>
      </c>
      <c r="C120" s="148">
        <v>2</v>
      </c>
      <c r="D120" s="148">
        <v>1</v>
      </c>
      <c r="E120" s="148">
        <v>3</v>
      </c>
    </row>
    <row r="121" spans="1:5" ht="20.25" customHeight="1">
      <c r="A121" s="761">
        <v>118</v>
      </c>
      <c r="B121" s="816" t="s">
        <v>789</v>
      </c>
      <c r="C121" s="148">
        <v>2</v>
      </c>
      <c r="D121" s="148">
        <v>1</v>
      </c>
      <c r="E121" s="148">
        <v>3</v>
      </c>
    </row>
    <row r="122" spans="1:5" ht="20.25" customHeight="1">
      <c r="A122" s="761">
        <v>119</v>
      </c>
      <c r="B122" s="816" t="s">
        <v>309</v>
      </c>
      <c r="C122" s="148">
        <v>3</v>
      </c>
      <c r="D122" s="148">
        <v>0</v>
      </c>
      <c r="E122" s="148">
        <v>3</v>
      </c>
    </row>
    <row r="123" spans="1:5" ht="20.25" customHeight="1">
      <c r="A123" s="761">
        <v>120</v>
      </c>
      <c r="B123" s="816" t="s">
        <v>338</v>
      </c>
      <c r="C123" s="148">
        <v>2</v>
      </c>
      <c r="D123" s="148">
        <v>0</v>
      </c>
      <c r="E123" s="148">
        <v>2</v>
      </c>
    </row>
    <row r="124" spans="1:5" ht="20.25" customHeight="1">
      <c r="A124" s="761">
        <v>121</v>
      </c>
      <c r="B124" s="816" t="s">
        <v>337</v>
      </c>
      <c r="C124" s="148">
        <v>2</v>
      </c>
      <c r="D124" s="148">
        <v>0</v>
      </c>
      <c r="E124" s="148">
        <v>2</v>
      </c>
    </row>
    <row r="125" spans="1:5" ht="20.25" customHeight="1">
      <c r="A125" s="761">
        <v>122</v>
      </c>
      <c r="B125" s="816" t="s">
        <v>792</v>
      </c>
      <c r="C125" s="148">
        <v>2</v>
      </c>
      <c r="D125" s="148">
        <v>0</v>
      </c>
      <c r="E125" s="148">
        <v>2</v>
      </c>
    </row>
    <row r="126" spans="1:5" ht="20.25" customHeight="1">
      <c r="A126" s="761">
        <v>123</v>
      </c>
      <c r="B126" s="816" t="s">
        <v>962</v>
      </c>
      <c r="C126" s="148">
        <v>2</v>
      </c>
      <c r="D126" s="148">
        <v>0</v>
      </c>
      <c r="E126" s="148">
        <v>2</v>
      </c>
    </row>
    <row r="127" spans="1:5" ht="20.25" customHeight="1">
      <c r="A127" s="761">
        <v>124</v>
      </c>
      <c r="B127" s="816" t="s">
        <v>305</v>
      </c>
      <c r="C127" s="148">
        <v>2</v>
      </c>
      <c r="D127" s="148">
        <v>0</v>
      </c>
      <c r="E127" s="148">
        <v>2</v>
      </c>
    </row>
    <row r="128" spans="1:5" ht="20.25" customHeight="1">
      <c r="A128" s="761">
        <v>125</v>
      </c>
      <c r="B128" s="816" t="s">
        <v>278</v>
      </c>
      <c r="C128" s="148">
        <v>2</v>
      </c>
      <c r="D128" s="148">
        <v>0</v>
      </c>
      <c r="E128" s="148">
        <v>2</v>
      </c>
    </row>
    <row r="129" spans="1:5" ht="20.25" customHeight="1">
      <c r="A129" s="761">
        <v>126</v>
      </c>
      <c r="B129" s="816" t="s">
        <v>408</v>
      </c>
      <c r="C129" s="148">
        <v>2</v>
      </c>
      <c r="D129" s="148">
        <v>0</v>
      </c>
      <c r="E129" s="148">
        <v>2</v>
      </c>
    </row>
    <row r="130" spans="1:5" ht="20.25" customHeight="1">
      <c r="A130" s="761">
        <v>127</v>
      </c>
      <c r="B130" s="816" t="s">
        <v>801</v>
      </c>
      <c r="C130" s="148">
        <v>0</v>
      </c>
      <c r="D130" s="148">
        <v>2</v>
      </c>
      <c r="E130" s="148">
        <v>2</v>
      </c>
    </row>
    <row r="131" spans="1:5" ht="20.25" customHeight="1">
      <c r="A131" s="761">
        <v>128</v>
      </c>
      <c r="B131" s="816" t="s">
        <v>410</v>
      </c>
      <c r="C131" s="148">
        <v>1</v>
      </c>
      <c r="D131" s="148">
        <v>1</v>
      </c>
      <c r="E131" s="148">
        <v>2</v>
      </c>
    </row>
    <row r="132" spans="1:5" ht="20.25" customHeight="1">
      <c r="A132" s="761">
        <v>129</v>
      </c>
      <c r="B132" s="816" t="s">
        <v>336</v>
      </c>
      <c r="C132" s="148">
        <v>2</v>
      </c>
      <c r="D132" s="148">
        <v>0</v>
      </c>
      <c r="E132" s="148">
        <v>2</v>
      </c>
    </row>
    <row r="133" spans="1:5" ht="20.25" customHeight="1">
      <c r="A133" s="761">
        <v>130</v>
      </c>
      <c r="B133" s="816" t="s">
        <v>963</v>
      </c>
      <c r="C133" s="148">
        <v>1</v>
      </c>
      <c r="D133" s="148">
        <v>1</v>
      </c>
      <c r="E133" s="148">
        <v>2</v>
      </c>
    </row>
    <row r="134" spans="1:5" ht="20.25" customHeight="1">
      <c r="A134" s="761">
        <v>131</v>
      </c>
      <c r="B134" s="816" t="s">
        <v>322</v>
      </c>
      <c r="C134" s="148">
        <v>1</v>
      </c>
      <c r="D134" s="148">
        <v>0</v>
      </c>
      <c r="E134" s="148">
        <v>1</v>
      </c>
    </row>
    <row r="135" spans="1:5" ht="20.25" customHeight="1">
      <c r="A135" s="761">
        <v>132</v>
      </c>
      <c r="B135" s="816" t="s">
        <v>299</v>
      </c>
      <c r="C135" s="148">
        <v>1</v>
      </c>
      <c r="D135" s="148">
        <v>0</v>
      </c>
      <c r="E135" s="148">
        <v>1</v>
      </c>
    </row>
    <row r="136" spans="1:5" ht="20.25" customHeight="1">
      <c r="A136" s="761">
        <v>133</v>
      </c>
      <c r="B136" s="816" t="s">
        <v>964</v>
      </c>
      <c r="C136" s="148">
        <v>0</v>
      </c>
      <c r="D136" s="148">
        <v>1</v>
      </c>
      <c r="E136" s="148">
        <v>1</v>
      </c>
    </row>
    <row r="137" spans="1:5" ht="20.25" customHeight="1">
      <c r="A137" s="761">
        <v>134</v>
      </c>
      <c r="B137" s="816" t="s">
        <v>398</v>
      </c>
      <c r="C137" s="148">
        <v>1</v>
      </c>
      <c r="D137" s="148">
        <v>0</v>
      </c>
      <c r="E137" s="148">
        <v>1</v>
      </c>
    </row>
    <row r="138" spans="1:5" ht="20.25" customHeight="1">
      <c r="A138" s="761">
        <v>135</v>
      </c>
      <c r="B138" s="816" t="s">
        <v>403</v>
      </c>
      <c r="C138" s="148">
        <v>1</v>
      </c>
      <c r="D138" s="148">
        <v>0</v>
      </c>
      <c r="E138" s="148">
        <v>1</v>
      </c>
    </row>
    <row r="139" spans="1:5" ht="20.25" customHeight="1">
      <c r="A139" s="761">
        <v>136</v>
      </c>
      <c r="B139" s="816" t="s">
        <v>376</v>
      </c>
      <c r="C139" s="148">
        <v>1</v>
      </c>
      <c r="D139" s="148">
        <v>0</v>
      </c>
      <c r="E139" s="148">
        <v>1</v>
      </c>
    </row>
    <row r="140" spans="1:5" ht="20.25" customHeight="1">
      <c r="A140" s="761">
        <v>137</v>
      </c>
      <c r="B140" s="816" t="s">
        <v>799</v>
      </c>
      <c r="C140" s="148">
        <v>1</v>
      </c>
      <c r="D140" s="148">
        <v>0</v>
      </c>
      <c r="E140" s="148">
        <v>1</v>
      </c>
    </row>
    <row r="141" spans="1:5" ht="20.25" customHeight="1">
      <c r="A141" s="761">
        <v>138</v>
      </c>
      <c r="B141" s="816" t="s">
        <v>414</v>
      </c>
      <c r="C141" s="148">
        <v>1</v>
      </c>
      <c r="D141" s="148">
        <v>0</v>
      </c>
      <c r="E141" s="148">
        <v>1</v>
      </c>
    </row>
    <row r="142" spans="1:5" ht="20.25" customHeight="1">
      <c r="A142" s="761">
        <v>139</v>
      </c>
      <c r="B142" s="816" t="s">
        <v>386</v>
      </c>
      <c r="C142" s="148">
        <v>1</v>
      </c>
      <c r="D142" s="148">
        <v>0</v>
      </c>
      <c r="E142" s="148">
        <v>1</v>
      </c>
    </row>
    <row r="143" spans="1:5" ht="20.25" customHeight="1">
      <c r="A143" s="761">
        <v>140</v>
      </c>
      <c r="B143" s="816" t="s">
        <v>810</v>
      </c>
      <c r="C143" s="148">
        <v>1</v>
      </c>
      <c r="D143" s="148">
        <v>0</v>
      </c>
      <c r="E143" s="148">
        <v>1</v>
      </c>
    </row>
    <row r="144" spans="1:5" ht="20.25" customHeight="1">
      <c r="A144" s="761">
        <v>141</v>
      </c>
      <c r="B144" s="816" t="s">
        <v>797</v>
      </c>
      <c r="C144" s="148">
        <v>0</v>
      </c>
      <c r="D144" s="148">
        <v>1</v>
      </c>
      <c r="E144" s="148">
        <v>1</v>
      </c>
    </row>
    <row r="145" spans="1:5" ht="20.25" customHeight="1">
      <c r="A145" s="761">
        <v>142</v>
      </c>
      <c r="B145" s="816" t="s">
        <v>800</v>
      </c>
      <c r="C145" s="148">
        <v>0</v>
      </c>
      <c r="D145" s="148">
        <v>1</v>
      </c>
      <c r="E145" s="148">
        <v>1</v>
      </c>
    </row>
    <row r="146" spans="1:5" ht="20.25" customHeight="1">
      <c r="A146" s="761">
        <v>143</v>
      </c>
      <c r="B146" s="816" t="s">
        <v>452</v>
      </c>
      <c r="C146" s="148">
        <v>1</v>
      </c>
      <c r="D146" s="148">
        <v>0</v>
      </c>
      <c r="E146" s="148">
        <v>1</v>
      </c>
    </row>
    <row r="147" spans="1:5" ht="20.25" customHeight="1">
      <c r="A147" s="761">
        <v>144</v>
      </c>
      <c r="B147" s="816" t="s">
        <v>280</v>
      </c>
      <c r="C147" s="148">
        <v>0</v>
      </c>
      <c r="D147" s="148">
        <v>1</v>
      </c>
      <c r="E147" s="148">
        <v>1</v>
      </c>
    </row>
    <row r="148" spans="1:5" ht="20.25" customHeight="1">
      <c r="A148" s="761">
        <v>145</v>
      </c>
      <c r="B148" s="816" t="s">
        <v>276</v>
      </c>
      <c r="C148" s="148">
        <v>1</v>
      </c>
      <c r="D148" s="148">
        <v>0</v>
      </c>
      <c r="E148" s="148">
        <v>1</v>
      </c>
    </row>
    <row r="149" spans="1:5" s="265" customFormat="1" ht="19.5" customHeight="1">
      <c r="A149" s="1076" t="s">
        <v>60</v>
      </c>
      <c r="B149" s="1077"/>
      <c r="C149" s="163">
        <v>31008</v>
      </c>
      <c r="D149" s="163">
        <v>15870</v>
      </c>
      <c r="E149" s="163">
        <v>46878</v>
      </c>
    </row>
  </sheetData>
  <mergeCells count="2">
    <mergeCell ref="B1:E1"/>
    <mergeCell ref="A149:B149"/>
  </mergeCells>
  <pageMargins left="0.51181102362204722" right="0.33" top="0.51181102362204722" bottom="0.51181102362204722" header="0.31496062992125984" footer="0.31496062992125984"/>
  <pageSetup paperSize="9" scale="70" firstPageNumber="63" orientation="portrait" useFirstPageNumber="1" r:id="rId1"/>
  <headerFooter>
    <oddFooter>&amp;LAISHE 2021-22&amp;CT-18</oddFooter>
  </headerFooter>
  <rowBreaks count="2" manualBreakCount="2">
    <brk id="53" max="4" man="1"/>
    <brk id="103" max="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42"/>
  <sheetViews>
    <sheetView view="pageBreakPreview" topLeftCell="A22" zoomScaleSheetLayoutView="100" workbookViewId="0">
      <selection activeCell="G32" sqref="G32"/>
    </sheetView>
  </sheetViews>
  <sheetFormatPr defaultColWidth="9.28515625" defaultRowHeight="14.25"/>
  <cols>
    <col min="1" max="1" width="26.5703125" style="26" customWidth="1"/>
    <col min="2" max="2" width="13.42578125" style="26" customWidth="1"/>
    <col min="3" max="4" width="11.28515625" style="26" customWidth="1"/>
    <col min="5" max="6" width="13.42578125" style="26" customWidth="1"/>
    <col min="7" max="9" width="11.7109375" style="26" customWidth="1"/>
    <col min="10" max="10" width="14.42578125" style="26" customWidth="1"/>
    <col min="11" max="11" width="11.7109375" style="26" customWidth="1"/>
    <col min="12" max="16384" width="9.28515625" style="26"/>
  </cols>
  <sheetData>
    <row r="1" spans="1:13" s="6" customFormat="1" ht="27" customHeight="1">
      <c r="A1" s="52" t="s">
        <v>53</v>
      </c>
      <c r="B1" s="53" t="s">
        <v>79</v>
      </c>
      <c r="G1" s="53" t="s">
        <v>67</v>
      </c>
    </row>
    <row r="2" spans="1:13" s="31" customFormat="1" ht="36" customHeight="1">
      <c r="A2" s="40" t="s">
        <v>2</v>
      </c>
      <c r="B2" s="30" t="s">
        <v>61</v>
      </c>
      <c r="C2" s="30" t="s">
        <v>62</v>
      </c>
      <c r="D2" s="30" t="s">
        <v>63</v>
      </c>
      <c r="E2" s="30" t="s">
        <v>64</v>
      </c>
      <c r="F2" s="30" t="s">
        <v>12</v>
      </c>
      <c r="G2" s="30" t="s">
        <v>61</v>
      </c>
      <c r="H2" s="30" t="s">
        <v>62</v>
      </c>
      <c r="I2" s="30" t="s">
        <v>63</v>
      </c>
      <c r="J2" s="30" t="s">
        <v>64</v>
      </c>
      <c r="K2" s="30" t="s">
        <v>12</v>
      </c>
    </row>
    <row r="3" spans="1:13" s="27" customFormat="1" ht="18" customHeight="1">
      <c r="A3" s="32" t="s">
        <v>55</v>
      </c>
      <c r="B3" s="33">
        <v>0</v>
      </c>
      <c r="C3" s="33">
        <v>0</v>
      </c>
      <c r="D3" s="33">
        <f>B3+C3</f>
        <v>0</v>
      </c>
      <c r="E3" s="33">
        <v>5</v>
      </c>
      <c r="F3" s="28">
        <f>D3+E3</f>
        <v>5</v>
      </c>
      <c r="G3" s="33">
        <v>0</v>
      </c>
      <c r="H3" s="33">
        <v>0</v>
      </c>
      <c r="I3" s="33">
        <f>G3+H3</f>
        <v>0</v>
      </c>
      <c r="J3" s="33">
        <v>2458</v>
      </c>
      <c r="K3" s="28">
        <f>I3+J3</f>
        <v>2458</v>
      </c>
      <c r="M3" s="41">
        <f>B3/F3%</f>
        <v>0</v>
      </c>
    </row>
    <row r="4" spans="1:13" s="27" customFormat="1" ht="18" customHeight="1">
      <c r="A4" s="28" t="s">
        <v>15</v>
      </c>
      <c r="B4" s="33">
        <v>2916</v>
      </c>
      <c r="C4" s="33">
        <v>261</v>
      </c>
      <c r="D4" s="33">
        <f t="shared" ref="D4:D36" si="0">B4+C4</f>
        <v>3177</v>
      </c>
      <c r="E4" s="33">
        <v>434</v>
      </c>
      <c r="F4" s="28">
        <f t="shared" ref="F4:F36" si="1">D4+E4</f>
        <v>3611</v>
      </c>
      <c r="G4" s="33">
        <v>1348119</v>
      </c>
      <c r="H4" s="33">
        <v>186649</v>
      </c>
      <c r="I4" s="33">
        <f t="shared" ref="I4:I36" si="2">G4+H4</f>
        <v>1534768</v>
      </c>
      <c r="J4" s="33">
        <v>245824</v>
      </c>
      <c r="K4" s="28">
        <f t="shared" ref="K4:K36" si="3">I4+J4</f>
        <v>1780592</v>
      </c>
      <c r="M4" s="41">
        <f t="shared" ref="M4:M37" si="4">B4/F4%</f>
        <v>80.753253946275265</v>
      </c>
    </row>
    <row r="5" spans="1:13" s="27" customFormat="1" ht="18" customHeight="1">
      <c r="A5" s="32" t="s">
        <v>16</v>
      </c>
      <c r="B5" s="33">
        <v>3</v>
      </c>
      <c r="C5" s="33">
        <v>0</v>
      </c>
      <c r="D5" s="33">
        <f t="shared" si="0"/>
        <v>3</v>
      </c>
      <c r="E5" s="33">
        <v>6</v>
      </c>
      <c r="F5" s="28">
        <f t="shared" si="1"/>
        <v>9</v>
      </c>
      <c r="G5" s="33">
        <v>1722</v>
      </c>
      <c r="H5" s="33">
        <v>0</v>
      </c>
      <c r="I5" s="33">
        <f t="shared" si="2"/>
        <v>1722</v>
      </c>
      <c r="J5" s="33">
        <v>15762</v>
      </c>
      <c r="K5" s="28">
        <f t="shared" si="3"/>
        <v>17484</v>
      </c>
      <c r="M5" s="41">
        <f t="shared" si="4"/>
        <v>33.333333333333336</v>
      </c>
    </row>
    <row r="6" spans="1:13" s="27" customFormat="1" ht="18" customHeight="1">
      <c r="A6" s="28" t="s">
        <v>17</v>
      </c>
      <c r="B6" s="33">
        <v>21</v>
      </c>
      <c r="C6" s="33">
        <v>9</v>
      </c>
      <c r="D6" s="33">
        <f t="shared" si="0"/>
        <v>30</v>
      </c>
      <c r="E6" s="33">
        <v>142</v>
      </c>
      <c r="F6" s="28">
        <f t="shared" si="1"/>
        <v>172</v>
      </c>
      <c r="G6" s="33">
        <v>5011</v>
      </c>
      <c r="H6" s="33">
        <v>3590</v>
      </c>
      <c r="I6" s="33">
        <f t="shared" si="2"/>
        <v>8601</v>
      </c>
      <c r="J6" s="33">
        <v>164997</v>
      </c>
      <c r="K6" s="28">
        <f t="shared" si="3"/>
        <v>173598</v>
      </c>
      <c r="M6" s="41">
        <f t="shared" si="4"/>
        <v>12.209302325581396</v>
      </c>
    </row>
    <row r="7" spans="1:13" s="27" customFormat="1" ht="18" customHeight="1">
      <c r="A7" s="28" t="s">
        <v>18</v>
      </c>
      <c r="B7" s="33">
        <v>27</v>
      </c>
      <c r="C7" s="33">
        <v>38</v>
      </c>
      <c r="D7" s="33">
        <f t="shared" si="0"/>
        <v>65</v>
      </c>
      <c r="E7" s="33">
        <v>459</v>
      </c>
      <c r="F7" s="28">
        <f t="shared" si="1"/>
        <v>524</v>
      </c>
      <c r="G7" s="33">
        <v>30625</v>
      </c>
      <c r="H7" s="33">
        <v>111021</v>
      </c>
      <c r="I7" s="33">
        <f t="shared" si="2"/>
        <v>141646</v>
      </c>
      <c r="J7" s="33">
        <v>798597</v>
      </c>
      <c r="K7" s="28">
        <f t="shared" si="3"/>
        <v>940243</v>
      </c>
      <c r="M7" s="41">
        <f t="shared" si="4"/>
        <v>5.1526717557251906</v>
      </c>
    </row>
    <row r="8" spans="1:13" s="27" customFormat="1" ht="18" customHeight="1">
      <c r="A8" s="28" t="s">
        <v>19</v>
      </c>
      <c r="B8" s="33">
        <v>1</v>
      </c>
      <c r="C8" s="33">
        <v>3</v>
      </c>
      <c r="D8" s="33">
        <f t="shared" si="0"/>
        <v>4</v>
      </c>
      <c r="E8" s="33">
        <v>9</v>
      </c>
      <c r="F8" s="28">
        <f t="shared" si="1"/>
        <v>13</v>
      </c>
      <c r="G8" s="33">
        <v>18</v>
      </c>
      <c r="H8" s="33">
        <v>2468</v>
      </c>
      <c r="I8" s="33">
        <f t="shared" si="2"/>
        <v>2486</v>
      </c>
      <c r="J8" s="33">
        <v>7985</v>
      </c>
      <c r="K8" s="28">
        <f t="shared" si="3"/>
        <v>10471</v>
      </c>
      <c r="M8" s="41">
        <f t="shared" si="4"/>
        <v>7.6923076923076916</v>
      </c>
    </row>
    <row r="9" spans="1:13" s="27" customFormat="1" ht="18" customHeight="1">
      <c r="A9" s="28" t="s">
        <v>56</v>
      </c>
      <c r="B9" s="33">
        <v>161</v>
      </c>
      <c r="C9" s="33">
        <v>47</v>
      </c>
      <c r="D9" s="33">
        <f t="shared" si="0"/>
        <v>208</v>
      </c>
      <c r="E9" s="33">
        <v>200</v>
      </c>
      <c r="F9" s="28">
        <f t="shared" si="1"/>
        <v>408</v>
      </c>
      <c r="G9" s="33">
        <v>78702</v>
      </c>
      <c r="H9" s="33">
        <v>35478</v>
      </c>
      <c r="I9" s="33">
        <f t="shared" si="2"/>
        <v>114180</v>
      </c>
      <c r="J9" s="33">
        <v>149298</v>
      </c>
      <c r="K9" s="28">
        <f t="shared" si="3"/>
        <v>263478</v>
      </c>
      <c r="M9" s="41">
        <f t="shared" si="4"/>
        <v>39.46078431372549</v>
      </c>
    </row>
    <row r="10" spans="1:13" s="27" customFormat="1" ht="18" customHeight="1">
      <c r="A10" s="32" t="s">
        <v>21</v>
      </c>
      <c r="B10" s="33">
        <v>1</v>
      </c>
      <c r="C10" s="33">
        <v>0</v>
      </c>
      <c r="D10" s="33">
        <f t="shared" si="0"/>
        <v>1</v>
      </c>
      <c r="E10" s="33">
        <v>0</v>
      </c>
      <c r="F10" s="28">
        <f t="shared" si="1"/>
        <v>1</v>
      </c>
      <c r="G10" s="33">
        <v>223</v>
      </c>
      <c r="H10" s="33">
        <v>0</v>
      </c>
      <c r="I10" s="33">
        <f t="shared" si="2"/>
        <v>223</v>
      </c>
      <c r="J10" s="33">
        <v>0</v>
      </c>
      <c r="K10" s="28">
        <f t="shared" si="3"/>
        <v>223</v>
      </c>
      <c r="M10" s="41">
        <f t="shared" si="4"/>
        <v>100</v>
      </c>
    </row>
    <row r="11" spans="1:13" s="27" customFormat="1" ht="18" customHeight="1">
      <c r="A11" s="28" t="s">
        <v>22</v>
      </c>
      <c r="B11" s="33">
        <v>1</v>
      </c>
      <c r="C11" s="33">
        <v>1</v>
      </c>
      <c r="D11" s="33">
        <f t="shared" si="0"/>
        <v>2</v>
      </c>
      <c r="E11" s="33">
        <v>1</v>
      </c>
      <c r="F11" s="28">
        <f t="shared" si="1"/>
        <v>3</v>
      </c>
      <c r="G11" s="33">
        <v>172</v>
      </c>
      <c r="H11" s="33">
        <v>59</v>
      </c>
      <c r="I11" s="33">
        <f t="shared" si="2"/>
        <v>231</v>
      </c>
      <c r="J11" s="33">
        <v>581</v>
      </c>
      <c r="K11" s="28">
        <f t="shared" si="3"/>
        <v>812</v>
      </c>
      <c r="M11" s="41">
        <f t="shared" si="4"/>
        <v>33.333333333333336</v>
      </c>
    </row>
    <row r="12" spans="1:13" s="27" customFormat="1" ht="18" customHeight="1">
      <c r="A12" s="28" t="s">
        <v>23</v>
      </c>
      <c r="B12" s="33">
        <v>59</v>
      </c>
      <c r="C12" s="33">
        <v>11</v>
      </c>
      <c r="D12" s="33">
        <f t="shared" si="0"/>
        <v>70</v>
      </c>
      <c r="E12" s="33">
        <v>69</v>
      </c>
      <c r="F12" s="28">
        <f t="shared" si="1"/>
        <v>139</v>
      </c>
      <c r="G12" s="33">
        <v>33406</v>
      </c>
      <c r="H12" s="33">
        <v>16576</v>
      </c>
      <c r="I12" s="33">
        <f t="shared" si="2"/>
        <v>49982</v>
      </c>
      <c r="J12" s="33">
        <v>100341</v>
      </c>
      <c r="K12" s="28">
        <f t="shared" si="3"/>
        <v>150323</v>
      </c>
      <c r="M12" s="41">
        <f t="shared" si="4"/>
        <v>42.446043165467628</v>
      </c>
    </row>
    <row r="13" spans="1:13" s="27" customFormat="1" ht="18" customHeight="1">
      <c r="A13" s="28" t="s">
        <v>24</v>
      </c>
      <c r="B13" s="33">
        <v>5</v>
      </c>
      <c r="C13" s="33">
        <v>14</v>
      </c>
      <c r="D13" s="33">
        <f t="shared" si="0"/>
        <v>19</v>
      </c>
      <c r="E13" s="33">
        <v>14</v>
      </c>
      <c r="F13" s="28">
        <f t="shared" si="1"/>
        <v>33</v>
      </c>
      <c r="G13" s="33">
        <v>1851</v>
      </c>
      <c r="H13" s="33">
        <v>12391</v>
      </c>
      <c r="I13" s="33">
        <f t="shared" si="2"/>
        <v>14242</v>
      </c>
      <c r="J13" s="33">
        <v>9016</v>
      </c>
      <c r="K13" s="28">
        <f t="shared" si="3"/>
        <v>23258</v>
      </c>
      <c r="M13" s="41">
        <f t="shared" si="4"/>
        <v>15.15151515151515</v>
      </c>
    </row>
    <row r="14" spans="1:13" s="27" customFormat="1" ht="18" customHeight="1">
      <c r="A14" s="28" t="s">
        <v>25</v>
      </c>
      <c r="B14" s="33">
        <v>623</v>
      </c>
      <c r="C14" s="33">
        <v>372</v>
      </c>
      <c r="D14" s="33">
        <f t="shared" si="0"/>
        <v>995</v>
      </c>
      <c r="E14" s="33">
        <v>562</v>
      </c>
      <c r="F14" s="28">
        <f t="shared" si="1"/>
        <v>1557</v>
      </c>
      <c r="G14" s="33">
        <v>236280</v>
      </c>
      <c r="H14" s="33">
        <v>288224</v>
      </c>
      <c r="I14" s="33">
        <f t="shared" si="2"/>
        <v>524504</v>
      </c>
      <c r="J14" s="33">
        <v>446937</v>
      </c>
      <c r="K14" s="28">
        <f t="shared" si="3"/>
        <v>971441</v>
      </c>
      <c r="M14" s="41">
        <f t="shared" si="4"/>
        <v>40.012845215157355</v>
      </c>
    </row>
    <row r="15" spans="1:13" s="27" customFormat="1" ht="18" customHeight="1">
      <c r="A15" s="28" t="s">
        <v>26</v>
      </c>
      <c r="B15" s="33">
        <v>160</v>
      </c>
      <c r="C15" s="33">
        <v>45</v>
      </c>
      <c r="D15" s="33">
        <f t="shared" si="0"/>
        <v>205</v>
      </c>
      <c r="E15" s="33">
        <v>61</v>
      </c>
      <c r="F15" s="28">
        <f t="shared" si="1"/>
        <v>266</v>
      </c>
      <c r="G15" s="33">
        <v>62144</v>
      </c>
      <c r="H15" s="33">
        <v>83273</v>
      </c>
      <c r="I15" s="33">
        <f t="shared" si="2"/>
        <v>145417</v>
      </c>
      <c r="J15" s="33">
        <v>58417</v>
      </c>
      <c r="K15" s="28">
        <f t="shared" si="3"/>
        <v>203834</v>
      </c>
      <c r="M15" s="41">
        <f t="shared" si="4"/>
        <v>60.150375939849624</v>
      </c>
    </row>
    <row r="16" spans="1:13" s="27" customFormat="1" ht="18" customHeight="1">
      <c r="A16" s="28" t="s">
        <v>27</v>
      </c>
      <c r="B16" s="33">
        <v>107</v>
      </c>
      <c r="C16" s="33">
        <v>17</v>
      </c>
      <c r="D16" s="33">
        <f t="shared" si="0"/>
        <v>124</v>
      </c>
      <c r="E16" s="33">
        <v>110</v>
      </c>
      <c r="F16" s="28">
        <f t="shared" si="1"/>
        <v>234</v>
      </c>
      <c r="G16" s="33">
        <v>20103</v>
      </c>
      <c r="H16" s="33">
        <v>7483</v>
      </c>
      <c r="I16" s="33">
        <f t="shared" si="2"/>
        <v>27586</v>
      </c>
      <c r="J16" s="33">
        <v>97600</v>
      </c>
      <c r="K16" s="28">
        <f t="shared" si="3"/>
        <v>125186</v>
      </c>
      <c r="M16" s="41">
        <f t="shared" si="4"/>
        <v>45.726495726495727</v>
      </c>
    </row>
    <row r="17" spans="1:13" s="27" customFormat="1" ht="18" customHeight="1">
      <c r="A17" s="32" t="s">
        <v>57</v>
      </c>
      <c r="B17" s="33">
        <v>44</v>
      </c>
      <c r="C17" s="33">
        <v>4</v>
      </c>
      <c r="D17" s="33">
        <f t="shared" si="0"/>
        <v>48</v>
      </c>
      <c r="E17" s="33">
        <v>70</v>
      </c>
      <c r="F17" s="28">
        <f t="shared" si="1"/>
        <v>118</v>
      </c>
      <c r="G17" s="33">
        <v>20897</v>
      </c>
      <c r="H17" s="33">
        <v>1306</v>
      </c>
      <c r="I17" s="33">
        <f t="shared" si="2"/>
        <v>22203</v>
      </c>
      <c r="J17" s="33">
        <v>142073</v>
      </c>
      <c r="K17" s="28">
        <f t="shared" si="3"/>
        <v>164276</v>
      </c>
      <c r="M17" s="41">
        <f t="shared" si="4"/>
        <v>37.288135593220339</v>
      </c>
    </row>
    <row r="18" spans="1:13" s="27" customFormat="1" ht="18" customHeight="1">
      <c r="A18" s="28" t="s">
        <v>29</v>
      </c>
      <c r="B18" s="33">
        <v>5</v>
      </c>
      <c r="C18" s="33">
        <v>6</v>
      </c>
      <c r="D18" s="33">
        <f t="shared" si="0"/>
        <v>11</v>
      </c>
      <c r="E18" s="33">
        <v>26</v>
      </c>
      <c r="F18" s="28">
        <f t="shared" si="1"/>
        <v>37</v>
      </c>
      <c r="G18" s="33">
        <v>3585</v>
      </c>
      <c r="H18" s="33">
        <v>12643</v>
      </c>
      <c r="I18" s="33">
        <f t="shared" si="2"/>
        <v>16228</v>
      </c>
      <c r="J18" s="33">
        <v>71698</v>
      </c>
      <c r="K18" s="28">
        <f t="shared" si="3"/>
        <v>87926</v>
      </c>
      <c r="M18" s="41">
        <f t="shared" si="4"/>
        <v>13.513513513513514</v>
      </c>
    </row>
    <row r="19" spans="1:13" s="27" customFormat="1" ht="18" customHeight="1">
      <c r="A19" s="28" t="s">
        <v>30</v>
      </c>
      <c r="B19" s="33">
        <v>1886</v>
      </c>
      <c r="C19" s="33">
        <v>384</v>
      </c>
      <c r="D19" s="33">
        <f t="shared" si="0"/>
        <v>2270</v>
      </c>
      <c r="E19" s="33">
        <v>574</v>
      </c>
      <c r="F19" s="28">
        <f t="shared" si="1"/>
        <v>2844</v>
      </c>
      <c r="G19" s="33">
        <v>546886</v>
      </c>
      <c r="H19" s="33">
        <v>295778</v>
      </c>
      <c r="I19" s="33">
        <f t="shared" si="2"/>
        <v>842664</v>
      </c>
      <c r="J19" s="33">
        <v>335489</v>
      </c>
      <c r="K19" s="28">
        <f t="shared" si="3"/>
        <v>1178153</v>
      </c>
      <c r="M19" s="41">
        <f t="shared" si="4"/>
        <v>66.31504922644163</v>
      </c>
    </row>
    <row r="20" spans="1:13" s="27" customFormat="1" ht="18" customHeight="1">
      <c r="A20" s="28" t="s">
        <v>31</v>
      </c>
      <c r="B20" s="33">
        <v>298</v>
      </c>
      <c r="C20" s="33">
        <v>133</v>
      </c>
      <c r="D20" s="33">
        <f t="shared" si="0"/>
        <v>431</v>
      </c>
      <c r="E20" s="33">
        <v>125</v>
      </c>
      <c r="F20" s="28">
        <f t="shared" si="1"/>
        <v>556</v>
      </c>
      <c r="G20" s="33">
        <v>115737</v>
      </c>
      <c r="H20" s="33">
        <v>134459</v>
      </c>
      <c r="I20" s="33">
        <f t="shared" si="2"/>
        <v>250196</v>
      </c>
      <c r="J20" s="33">
        <v>59638</v>
      </c>
      <c r="K20" s="28">
        <f t="shared" si="3"/>
        <v>309834</v>
      </c>
      <c r="M20" s="41">
        <f t="shared" si="4"/>
        <v>53.597122302158276</v>
      </c>
    </row>
    <row r="21" spans="1:13" s="27" customFormat="1" ht="18" customHeight="1">
      <c r="A21" s="28" t="s">
        <v>33</v>
      </c>
      <c r="B21" s="33">
        <v>234</v>
      </c>
      <c r="C21" s="33">
        <v>31</v>
      </c>
      <c r="D21" s="33">
        <f t="shared" si="0"/>
        <v>265</v>
      </c>
      <c r="E21" s="33">
        <v>131</v>
      </c>
      <c r="F21" s="28">
        <f t="shared" si="1"/>
        <v>396</v>
      </c>
      <c r="G21" s="33">
        <v>61264</v>
      </c>
      <c r="H21" s="33">
        <v>19798</v>
      </c>
      <c r="I21" s="33">
        <f t="shared" si="2"/>
        <v>81062</v>
      </c>
      <c r="J21" s="33">
        <v>160956</v>
      </c>
      <c r="K21" s="28">
        <f t="shared" si="3"/>
        <v>242018</v>
      </c>
      <c r="M21" s="41">
        <f t="shared" si="4"/>
        <v>59.090909090909093</v>
      </c>
    </row>
    <row r="22" spans="1:13" s="27" customFormat="1" ht="18" customHeight="1">
      <c r="A22" s="28" t="s">
        <v>34</v>
      </c>
      <c r="B22" s="33">
        <v>688</v>
      </c>
      <c r="C22" s="33">
        <v>407</v>
      </c>
      <c r="D22" s="33">
        <f t="shared" si="0"/>
        <v>1095</v>
      </c>
      <c r="E22" s="33">
        <v>429</v>
      </c>
      <c r="F22" s="28">
        <f t="shared" si="1"/>
        <v>1524</v>
      </c>
      <c r="G22" s="33">
        <v>278442</v>
      </c>
      <c r="H22" s="33">
        <v>527178</v>
      </c>
      <c r="I22" s="33">
        <f t="shared" si="2"/>
        <v>805620</v>
      </c>
      <c r="J22" s="33">
        <v>346119</v>
      </c>
      <c r="K22" s="28">
        <f t="shared" si="3"/>
        <v>1151739</v>
      </c>
      <c r="M22" s="41">
        <f t="shared" si="4"/>
        <v>45.14435695538058</v>
      </c>
    </row>
    <row r="23" spans="1:13" s="27" customFormat="1" ht="18" customHeight="1">
      <c r="A23" s="28" t="s">
        <v>35</v>
      </c>
      <c r="B23" s="33">
        <v>2</v>
      </c>
      <c r="C23" s="33">
        <v>5</v>
      </c>
      <c r="D23" s="33">
        <f t="shared" si="0"/>
        <v>7</v>
      </c>
      <c r="E23" s="33">
        <v>12</v>
      </c>
      <c r="F23" s="28">
        <f t="shared" si="1"/>
        <v>19</v>
      </c>
      <c r="G23" s="33">
        <v>1956</v>
      </c>
      <c r="H23" s="33">
        <v>6080</v>
      </c>
      <c r="I23" s="33">
        <f t="shared" si="2"/>
        <v>8036</v>
      </c>
      <c r="J23" s="33">
        <v>26079</v>
      </c>
      <c r="K23" s="28">
        <f t="shared" si="3"/>
        <v>34115</v>
      </c>
      <c r="M23" s="41">
        <f t="shared" si="4"/>
        <v>10.526315789473685</v>
      </c>
    </row>
    <row r="24" spans="1:13" s="27" customFormat="1" ht="18" customHeight="1">
      <c r="A24" s="28" t="s">
        <v>36</v>
      </c>
      <c r="B24" s="33">
        <v>6</v>
      </c>
      <c r="C24" s="33">
        <v>11</v>
      </c>
      <c r="D24" s="33">
        <f t="shared" si="0"/>
        <v>17</v>
      </c>
      <c r="E24" s="33">
        <v>7</v>
      </c>
      <c r="F24" s="28">
        <f t="shared" si="1"/>
        <v>24</v>
      </c>
      <c r="G24" s="33">
        <v>3689</v>
      </c>
      <c r="H24" s="33">
        <v>18666</v>
      </c>
      <c r="I24" s="33">
        <f t="shared" si="2"/>
        <v>22355</v>
      </c>
      <c r="J24" s="33">
        <v>4207</v>
      </c>
      <c r="K24" s="28">
        <f t="shared" si="3"/>
        <v>26562</v>
      </c>
      <c r="M24" s="41">
        <f t="shared" si="4"/>
        <v>25</v>
      </c>
    </row>
    <row r="25" spans="1:13" s="27" customFormat="1" ht="18" customHeight="1">
      <c r="A25" s="28" t="s">
        <v>37</v>
      </c>
      <c r="B25" s="33">
        <v>1</v>
      </c>
      <c r="C25" s="33">
        <v>1</v>
      </c>
      <c r="D25" s="33">
        <f t="shared" si="0"/>
        <v>2</v>
      </c>
      <c r="E25" s="33">
        <v>26</v>
      </c>
      <c r="F25" s="28">
        <f t="shared" si="1"/>
        <v>28</v>
      </c>
      <c r="G25" s="33">
        <v>54</v>
      </c>
      <c r="H25" s="33">
        <v>254</v>
      </c>
      <c r="I25" s="33">
        <f t="shared" si="2"/>
        <v>308</v>
      </c>
      <c r="J25" s="33">
        <v>19239</v>
      </c>
      <c r="K25" s="28">
        <f t="shared" si="3"/>
        <v>19547</v>
      </c>
      <c r="M25" s="41">
        <f t="shared" si="4"/>
        <v>3.5714285714285712</v>
      </c>
    </row>
    <row r="26" spans="1:13" s="27" customFormat="1" ht="18" customHeight="1">
      <c r="A26" s="28" t="s">
        <v>38</v>
      </c>
      <c r="B26" s="33">
        <v>13</v>
      </c>
      <c r="C26" s="33">
        <v>19</v>
      </c>
      <c r="D26" s="33">
        <f t="shared" si="0"/>
        <v>32</v>
      </c>
      <c r="E26" s="33">
        <v>20</v>
      </c>
      <c r="F26" s="28">
        <f t="shared" si="1"/>
        <v>52</v>
      </c>
      <c r="G26" s="33">
        <v>10532</v>
      </c>
      <c r="H26" s="33">
        <v>15003</v>
      </c>
      <c r="I26" s="33">
        <f t="shared" si="2"/>
        <v>25535</v>
      </c>
      <c r="J26" s="33">
        <v>14276</v>
      </c>
      <c r="K26" s="28">
        <f t="shared" si="3"/>
        <v>39811</v>
      </c>
      <c r="M26" s="41">
        <f t="shared" si="4"/>
        <v>25</v>
      </c>
    </row>
    <row r="27" spans="1:13" s="27" customFormat="1" ht="18" customHeight="1">
      <c r="A27" s="28" t="s">
        <v>39</v>
      </c>
      <c r="B27" s="33">
        <v>122</v>
      </c>
      <c r="C27" s="33">
        <v>128</v>
      </c>
      <c r="D27" s="33">
        <f t="shared" si="0"/>
        <v>250</v>
      </c>
      <c r="E27" s="33">
        <v>140</v>
      </c>
      <c r="F27" s="28">
        <f t="shared" si="1"/>
        <v>390</v>
      </c>
      <c r="G27" s="33">
        <v>63072</v>
      </c>
      <c r="H27" s="33">
        <v>85537</v>
      </c>
      <c r="I27" s="33">
        <f t="shared" si="2"/>
        <v>148609</v>
      </c>
      <c r="J27" s="33">
        <v>85392</v>
      </c>
      <c r="K27" s="28">
        <f t="shared" si="3"/>
        <v>234001</v>
      </c>
      <c r="M27" s="41">
        <f t="shared" si="4"/>
        <v>31.282051282051281</v>
      </c>
    </row>
    <row r="28" spans="1:13" s="27" customFormat="1" ht="18" customHeight="1">
      <c r="A28" s="28" t="s">
        <v>40</v>
      </c>
      <c r="B28" s="33">
        <v>48</v>
      </c>
      <c r="C28" s="33">
        <v>2</v>
      </c>
      <c r="D28" s="33">
        <f t="shared" si="0"/>
        <v>50</v>
      </c>
      <c r="E28" s="33">
        <v>21</v>
      </c>
      <c r="F28" s="28">
        <f t="shared" si="1"/>
        <v>71</v>
      </c>
      <c r="G28" s="33">
        <v>18674</v>
      </c>
      <c r="H28" s="33">
        <v>1712</v>
      </c>
      <c r="I28" s="33">
        <f t="shared" si="2"/>
        <v>20386</v>
      </c>
      <c r="J28" s="33">
        <v>13881</v>
      </c>
      <c r="K28" s="28">
        <f t="shared" si="3"/>
        <v>34267</v>
      </c>
      <c r="M28" s="41">
        <f t="shared" si="4"/>
        <v>67.605633802816911</v>
      </c>
    </row>
    <row r="29" spans="1:13" s="27" customFormat="1" ht="18" customHeight="1">
      <c r="A29" s="28" t="s">
        <v>41</v>
      </c>
      <c r="B29" s="33">
        <v>169</v>
      </c>
      <c r="C29" s="33">
        <v>16</v>
      </c>
      <c r="D29" s="33">
        <f t="shared" si="0"/>
        <v>185</v>
      </c>
      <c r="E29" s="33">
        <v>47</v>
      </c>
      <c r="F29" s="28">
        <f t="shared" si="1"/>
        <v>232</v>
      </c>
      <c r="G29" s="33">
        <v>83079</v>
      </c>
      <c r="H29" s="33">
        <v>17599</v>
      </c>
      <c r="I29" s="33">
        <f t="shared" si="2"/>
        <v>100678</v>
      </c>
      <c r="J29" s="33">
        <v>67193</v>
      </c>
      <c r="K29" s="28">
        <f t="shared" si="3"/>
        <v>167871</v>
      </c>
      <c r="M29" s="41">
        <f t="shared" si="4"/>
        <v>72.844827586206904</v>
      </c>
    </row>
    <row r="30" spans="1:13" s="27" customFormat="1" ht="18" customHeight="1">
      <c r="A30" s="28" t="s">
        <v>42</v>
      </c>
      <c r="B30" s="33">
        <v>503</v>
      </c>
      <c r="C30" s="33">
        <v>38</v>
      </c>
      <c r="D30" s="33">
        <f t="shared" si="0"/>
        <v>541</v>
      </c>
      <c r="E30" s="33">
        <v>172</v>
      </c>
      <c r="F30" s="28">
        <f t="shared" si="1"/>
        <v>713</v>
      </c>
      <c r="G30" s="33">
        <v>171766</v>
      </c>
      <c r="H30" s="33">
        <v>37032</v>
      </c>
      <c r="I30" s="33">
        <f t="shared" si="2"/>
        <v>208798</v>
      </c>
      <c r="J30" s="33">
        <v>308043</v>
      </c>
      <c r="K30" s="28">
        <f t="shared" si="3"/>
        <v>516841</v>
      </c>
      <c r="M30" s="41">
        <f t="shared" si="4"/>
        <v>70.546984572230016</v>
      </c>
    </row>
    <row r="31" spans="1:13" s="27" customFormat="1" ht="18" customHeight="1">
      <c r="A31" s="28" t="s">
        <v>43</v>
      </c>
      <c r="B31" s="33">
        <v>4</v>
      </c>
      <c r="C31" s="33">
        <v>0</v>
      </c>
      <c r="D31" s="33">
        <f t="shared" si="0"/>
        <v>4</v>
      </c>
      <c r="E31" s="33">
        <v>5</v>
      </c>
      <c r="F31" s="28">
        <f t="shared" si="1"/>
        <v>9</v>
      </c>
      <c r="G31" s="33">
        <v>682</v>
      </c>
      <c r="H31" s="33">
        <v>0</v>
      </c>
      <c r="I31" s="33">
        <f t="shared" si="2"/>
        <v>682</v>
      </c>
      <c r="J31" s="33">
        <v>6643</v>
      </c>
      <c r="K31" s="28">
        <f t="shared" si="3"/>
        <v>7325</v>
      </c>
      <c r="M31" s="41">
        <f t="shared" si="4"/>
        <v>44.444444444444443</v>
      </c>
    </row>
    <row r="32" spans="1:13" s="27" customFormat="1" ht="18" customHeight="1">
      <c r="A32" s="28" t="s">
        <v>44</v>
      </c>
      <c r="B32" s="33">
        <v>912</v>
      </c>
      <c r="C32" s="33">
        <v>58</v>
      </c>
      <c r="D32" s="33">
        <f t="shared" si="0"/>
        <v>970</v>
      </c>
      <c r="E32" s="33">
        <v>60</v>
      </c>
      <c r="F32" s="28">
        <f t="shared" si="1"/>
        <v>1030</v>
      </c>
      <c r="G32" s="33">
        <v>465980</v>
      </c>
      <c r="H32" s="33">
        <v>67877</v>
      </c>
      <c r="I32" s="33">
        <f t="shared" si="2"/>
        <v>533857</v>
      </c>
      <c r="J32" s="33">
        <v>57245</v>
      </c>
      <c r="K32" s="28">
        <f t="shared" si="3"/>
        <v>591102</v>
      </c>
      <c r="M32" s="41">
        <f t="shared" si="4"/>
        <v>88.543689320388339</v>
      </c>
    </row>
    <row r="33" spans="1:13" s="27" customFormat="1" ht="18" customHeight="1">
      <c r="A33" s="28" t="s">
        <v>45</v>
      </c>
      <c r="B33" s="33">
        <v>4</v>
      </c>
      <c r="C33" s="33">
        <v>1</v>
      </c>
      <c r="D33" s="33">
        <f t="shared" si="0"/>
        <v>5</v>
      </c>
      <c r="E33" s="33">
        <v>30</v>
      </c>
      <c r="F33" s="28">
        <f t="shared" si="1"/>
        <v>35</v>
      </c>
      <c r="G33" s="33">
        <v>1131</v>
      </c>
      <c r="H33" s="33">
        <v>497</v>
      </c>
      <c r="I33" s="33">
        <f t="shared" si="2"/>
        <v>1628</v>
      </c>
      <c r="J33" s="33">
        <v>36366</v>
      </c>
      <c r="K33" s="28">
        <f t="shared" si="3"/>
        <v>37994</v>
      </c>
      <c r="M33" s="41">
        <f t="shared" si="4"/>
        <v>11.428571428571429</v>
      </c>
    </row>
    <row r="34" spans="1:13" s="27" customFormat="1" ht="18" customHeight="1">
      <c r="A34" s="28" t="s">
        <v>47</v>
      </c>
      <c r="B34" s="33">
        <v>506</v>
      </c>
      <c r="C34" s="33">
        <v>184</v>
      </c>
      <c r="D34" s="33">
        <f t="shared" si="0"/>
        <v>690</v>
      </c>
      <c r="E34" s="33">
        <v>223</v>
      </c>
      <c r="F34" s="28">
        <f t="shared" si="1"/>
        <v>913</v>
      </c>
      <c r="G34" s="33">
        <v>502837</v>
      </c>
      <c r="H34" s="33">
        <v>494157</v>
      </c>
      <c r="I34" s="33">
        <f t="shared" si="2"/>
        <v>996994</v>
      </c>
      <c r="J34" s="33">
        <v>236652</v>
      </c>
      <c r="K34" s="28">
        <f t="shared" si="3"/>
        <v>1233646</v>
      </c>
      <c r="M34" s="41">
        <f t="shared" si="4"/>
        <v>55.421686746987945</v>
      </c>
    </row>
    <row r="35" spans="1:13" s="27" customFormat="1" ht="18" customHeight="1">
      <c r="A35" s="28" t="s">
        <v>58</v>
      </c>
      <c r="B35" s="33">
        <v>71</v>
      </c>
      <c r="C35" s="33">
        <v>12</v>
      </c>
      <c r="D35" s="33">
        <f t="shared" si="0"/>
        <v>83</v>
      </c>
      <c r="E35" s="33">
        <v>82</v>
      </c>
      <c r="F35" s="28">
        <f t="shared" si="1"/>
        <v>165</v>
      </c>
      <c r="G35" s="33">
        <v>32058</v>
      </c>
      <c r="H35" s="33">
        <v>52516</v>
      </c>
      <c r="I35" s="33">
        <f t="shared" si="2"/>
        <v>84574</v>
      </c>
      <c r="J35" s="33">
        <v>117373</v>
      </c>
      <c r="K35" s="28">
        <f t="shared" si="3"/>
        <v>201947</v>
      </c>
      <c r="M35" s="41">
        <f t="shared" si="4"/>
        <v>43.030303030303031</v>
      </c>
    </row>
    <row r="36" spans="1:13" s="27" customFormat="1" ht="18" customHeight="1">
      <c r="A36" s="28" t="s">
        <v>48</v>
      </c>
      <c r="B36" s="33">
        <v>134</v>
      </c>
      <c r="C36" s="33">
        <v>86</v>
      </c>
      <c r="D36" s="33">
        <f t="shared" si="0"/>
        <v>220</v>
      </c>
      <c r="E36" s="33">
        <v>148</v>
      </c>
      <c r="F36" s="28">
        <f t="shared" si="1"/>
        <v>368</v>
      </c>
      <c r="G36" s="33">
        <v>75757</v>
      </c>
      <c r="H36" s="33">
        <v>211790</v>
      </c>
      <c r="I36" s="33">
        <f t="shared" si="2"/>
        <v>287547</v>
      </c>
      <c r="J36" s="33">
        <v>321593</v>
      </c>
      <c r="K36" s="28">
        <f t="shared" si="3"/>
        <v>609140</v>
      </c>
      <c r="M36" s="41">
        <f t="shared" si="4"/>
        <v>36.413043478260867</v>
      </c>
    </row>
    <row r="37" spans="1:13" s="29" customFormat="1" ht="18" customHeight="1">
      <c r="A37" s="34" t="s">
        <v>49</v>
      </c>
      <c r="B37" s="35">
        <f>SUM(B3:B36)</f>
        <v>9735</v>
      </c>
      <c r="C37" s="35">
        <f t="shared" ref="C37:K37" si="5">SUM(C3:C36)</f>
        <v>2344</v>
      </c>
      <c r="D37" s="35">
        <f t="shared" si="5"/>
        <v>12079</v>
      </c>
      <c r="E37" s="35">
        <f t="shared" si="5"/>
        <v>4420</v>
      </c>
      <c r="F37" s="35">
        <f t="shared" si="5"/>
        <v>16499</v>
      </c>
      <c r="G37" s="35">
        <f t="shared" si="5"/>
        <v>4276454</v>
      </c>
      <c r="H37" s="35">
        <f t="shared" si="5"/>
        <v>2747094</v>
      </c>
      <c r="I37" s="35">
        <f t="shared" si="5"/>
        <v>7023548</v>
      </c>
      <c r="J37" s="35">
        <f t="shared" si="5"/>
        <v>4527968</v>
      </c>
      <c r="K37" s="35">
        <f t="shared" si="5"/>
        <v>11551516</v>
      </c>
      <c r="M37" s="41">
        <f t="shared" si="4"/>
        <v>59.003575974301469</v>
      </c>
    </row>
    <row r="38" spans="1:13" s="36" customFormat="1"/>
    <row r="40" spans="1:13" ht="28.5">
      <c r="B40" s="37" t="str">
        <f>B2</f>
        <v>Private Un-Aided</v>
      </c>
      <c r="C40" s="37" t="str">
        <f>C2</f>
        <v>Private Aided</v>
      </c>
      <c r="D40" s="37" t="str">
        <f>E2</f>
        <v>Government</v>
      </c>
      <c r="E40" s="38"/>
      <c r="F40" s="38"/>
      <c r="G40" s="38"/>
    </row>
    <row r="41" spans="1:13">
      <c r="A41" s="26" t="s">
        <v>65</v>
      </c>
      <c r="B41" s="39">
        <f>B37/$F$37%</f>
        <v>59.003575974301469</v>
      </c>
      <c r="C41" s="39">
        <f>C37/$F$37%</f>
        <v>14.206921631614037</v>
      </c>
      <c r="D41" s="39">
        <f>E37/$F$37%</f>
        <v>26.78950239408449</v>
      </c>
    </row>
    <row r="42" spans="1:13">
      <c r="A42" s="26" t="s">
        <v>66</v>
      </c>
      <c r="B42" s="39">
        <f>G37/$K$37%</f>
        <v>37.020716588195</v>
      </c>
      <c r="C42" s="39">
        <f>H37/$K$37%</f>
        <v>23.781242219635931</v>
      </c>
      <c r="D42" s="39">
        <f>J37/$K$37%</f>
        <v>39.198041192169065</v>
      </c>
    </row>
  </sheetData>
  <conditionalFormatting sqref="M3:M37">
    <cfRule type="top10" dxfId="0" priority="1" rank="5"/>
  </conditionalFormatting>
  <pageMargins left="0.7" right="0.33" top="0.75" bottom="0.75" header="0.3" footer="0.3"/>
  <pageSetup paperSize="9" pageOrder="overThenDown" orientation="portrait" r:id="rId1"/>
  <rowBreaks count="1" manualBreakCount="1">
    <brk id="37" max="10" man="1"/>
  </rowBreaks>
  <colBreaks count="1" manualBreakCount="1">
    <brk id="6" max="58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38"/>
  <sheetViews>
    <sheetView showZeros="0" view="pageBreakPreview" zoomScaleSheetLayoutView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3" sqref="J3"/>
    </sheetView>
  </sheetViews>
  <sheetFormatPr defaultColWidth="9.28515625" defaultRowHeight="15.75"/>
  <cols>
    <col min="1" max="1" width="22.7109375" style="6" customWidth="1"/>
    <col min="2" max="9" width="8.5703125" style="6" customWidth="1"/>
    <col min="10" max="12" width="16.28515625" style="6" customWidth="1"/>
    <col min="13" max="13" width="6.7109375" style="6" customWidth="1"/>
    <col min="14" max="16384" width="9.28515625" style="6"/>
  </cols>
  <sheetData>
    <row r="1" spans="1:12" ht="24" customHeight="1">
      <c r="A1" s="22" t="s">
        <v>53</v>
      </c>
      <c r="B1" s="11" t="s">
        <v>54</v>
      </c>
      <c r="C1" s="9"/>
      <c r="D1" s="9"/>
      <c r="E1" s="9"/>
      <c r="F1" s="9"/>
      <c r="G1" s="9"/>
      <c r="H1" s="9"/>
      <c r="I1" s="9"/>
      <c r="J1" s="13" t="s">
        <v>50</v>
      </c>
      <c r="K1" s="12"/>
      <c r="L1" s="5"/>
    </row>
    <row r="2" spans="1:12" ht="72.75" customHeight="1">
      <c r="A2" s="10" t="s">
        <v>2</v>
      </c>
      <c r="B2" s="14" t="s">
        <v>5</v>
      </c>
      <c r="C2" s="14" t="s">
        <v>6</v>
      </c>
      <c r="D2" s="14" t="s">
        <v>7</v>
      </c>
      <c r="E2" s="14" t="s">
        <v>8</v>
      </c>
      <c r="F2" s="14" t="s">
        <v>9</v>
      </c>
      <c r="G2" s="14" t="s">
        <v>10</v>
      </c>
      <c r="H2" s="14" t="s">
        <v>11</v>
      </c>
      <c r="I2" s="14" t="s">
        <v>12</v>
      </c>
      <c r="J2" s="7" t="s">
        <v>12</v>
      </c>
      <c r="K2" s="7" t="s">
        <v>52</v>
      </c>
      <c r="L2" s="7" t="s">
        <v>51</v>
      </c>
    </row>
    <row r="3" spans="1:12" ht="18.75" customHeight="1">
      <c r="A3" s="8" t="s">
        <v>14</v>
      </c>
      <c r="B3" s="15">
        <f>Paste!C5</f>
        <v>0</v>
      </c>
      <c r="C3" s="15">
        <f>Paste!D5</f>
        <v>0</v>
      </c>
      <c r="D3" s="15">
        <f>Paste!E5</f>
        <v>0</v>
      </c>
      <c r="E3" s="15">
        <f>Paste!F5</f>
        <v>0</v>
      </c>
      <c r="F3" s="15">
        <f>Paste!G5</f>
        <v>0</v>
      </c>
      <c r="G3" s="15">
        <f>Paste!H5</f>
        <v>0</v>
      </c>
      <c r="H3" s="15">
        <f>Paste!I5</f>
        <v>0</v>
      </c>
      <c r="I3" s="16">
        <f>SUM(B3:H3)</f>
        <v>0</v>
      </c>
      <c r="J3" s="17">
        <f>Paste!S5</f>
        <v>5</v>
      </c>
      <c r="K3" s="17">
        <f>Paste!T5</f>
        <v>0</v>
      </c>
      <c r="L3" s="18">
        <f>IF(J3=0,0,K3/J3%)</f>
        <v>0</v>
      </c>
    </row>
    <row r="4" spans="1:12" ht="18.75" customHeight="1">
      <c r="A4" s="8" t="s">
        <v>15</v>
      </c>
      <c r="B4" s="15">
        <f>Paste!C6</f>
        <v>26</v>
      </c>
      <c r="C4" s="15">
        <f>Paste!D6</f>
        <v>2</v>
      </c>
      <c r="D4" s="15">
        <f>Paste!E6</f>
        <v>2</v>
      </c>
      <c r="E4" s="15">
        <f>Paste!F6</f>
        <v>2</v>
      </c>
      <c r="F4" s="15">
        <f>Paste!G6</f>
        <v>6</v>
      </c>
      <c r="G4" s="15">
        <f>Paste!H6</f>
        <v>1</v>
      </c>
      <c r="H4" s="15">
        <f>Paste!I6</f>
        <v>6</v>
      </c>
      <c r="I4" s="16">
        <f>SUM(B4:H4)</f>
        <v>45</v>
      </c>
      <c r="J4" s="17">
        <f>Paste!S6</f>
        <v>3618</v>
      </c>
      <c r="K4" s="17">
        <f>Paste!T6</f>
        <v>332</v>
      </c>
      <c r="L4" s="18">
        <f t="shared" ref="L4:L38" si="0">IF(J4=0,0,K4/J4%)</f>
        <v>9.1763405196241017</v>
      </c>
    </row>
    <row r="5" spans="1:12" ht="18.75" customHeight="1">
      <c r="A5" s="8" t="s">
        <v>16</v>
      </c>
      <c r="B5" s="15">
        <f>Paste!C7</f>
        <v>3</v>
      </c>
      <c r="C5" s="15">
        <f>Paste!D7</f>
        <v>0</v>
      </c>
      <c r="D5" s="15">
        <f>Paste!E7</f>
        <v>0</v>
      </c>
      <c r="E5" s="15">
        <f>Paste!F7</f>
        <v>0</v>
      </c>
      <c r="F5" s="15">
        <f>Paste!G7</f>
        <v>0</v>
      </c>
      <c r="G5" s="15">
        <f>Paste!H7</f>
        <v>0</v>
      </c>
      <c r="H5" s="15">
        <f>Paste!I7</f>
        <v>0</v>
      </c>
      <c r="I5" s="16">
        <f t="shared" ref="I5:I37" si="1">SUM(B5:H5)</f>
        <v>3</v>
      </c>
      <c r="J5" s="17">
        <f>Paste!S7</f>
        <v>9</v>
      </c>
      <c r="K5" s="17">
        <f>Paste!T7</f>
        <v>0</v>
      </c>
      <c r="L5" s="18">
        <f t="shared" si="0"/>
        <v>0</v>
      </c>
    </row>
    <row r="6" spans="1:12" ht="18.75" customHeight="1">
      <c r="A6" s="8" t="s">
        <v>17</v>
      </c>
      <c r="B6" s="15">
        <f>Paste!C8</f>
        <v>6</v>
      </c>
      <c r="C6" s="15">
        <f>Paste!D8</f>
        <v>1</v>
      </c>
      <c r="D6" s="15">
        <f>Paste!E8</f>
        <v>0</v>
      </c>
      <c r="E6" s="15">
        <f>Paste!F8</f>
        <v>0</v>
      </c>
      <c r="F6" s="15">
        <f>Paste!G8</f>
        <v>2</v>
      </c>
      <c r="G6" s="15">
        <f>Paste!H8</f>
        <v>0</v>
      </c>
      <c r="H6" s="15">
        <f>Paste!I8</f>
        <v>0</v>
      </c>
      <c r="I6" s="16">
        <f t="shared" si="1"/>
        <v>9</v>
      </c>
      <c r="J6" s="17">
        <f>Paste!S8</f>
        <v>174</v>
      </c>
      <c r="K6" s="17">
        <f>Paste!T8</f>
        <v>10</v>
      </c>
      <c r="L6" s="19">
        <f t="shared" si="0"/>
        <v>5.7471264367816088</v>
      </c>
    </row>
    <row r="7" spans="1:12" ht="18.75" customHeight="1">
      <c r="A7" s="8" t="s">
        <v>18</v>
      </c>
      <c r="B7" s="15">
        <f>Paste!C9</f>
        <v>12</v>
      </c>
      <c r="C7" s="15">
        <f>Paste!D9</f>
        <v>2</v>
      </c>
      <c r="D7" s="15">
        <f>Paste!E9</f>
        <v>1</v>
      </c>
      <c r="E7" s="15">
        <f>Paste!F9</f>
        <v>1</v>
      </c>
      <c r="F7" s="15">
        <f>Paste!G9</f>
        <v>1</v>
      </c>
      <c r="G7" s="15">
        <f>Paste!H9</f>
        <v>0</v>
      </c>
      <c r="H7" s="15">
        <f>Paste!I9</f>
        <v>3</v>
      </c>
      <c r="I7" s="16">
        <f t="shared" si="1"/>
        <v>20</v>
      </c>
      <c r="J7" s="17">
        <f>Paste!S9</f>
        <v>531</v>
      </c>
      <c r="K7" s="17">
        <f>Paste!T9</f>
        <v>43</v>
      </c>
      <c r="L7" s="19">
        <f t="shared" si="0"/>
        <v>8.0979284369114879</v>
      </c>
    </row>
    <row r="8" spans="1:12" ht="18.75" customHeight="1">
      <c r="A8" s="8" t="s">
        <v>19</v>
      </c>
      <c r="B8" s="15">
        <f>Paste!C10</f>
        <v>1</v>
      </c>
      <c r="C8" s="15">
        <f>Paste!D10</f>
        <v>0</v>
      </c>
      <c r="D8" s="15">
        <f>Paste!E10</f>
        <v>0</v>
      </c>
      <c r="E8" s="15">
        <f>Paste!F10</f>
        <v>0</v>
      </c>
      <c r="F8" s="15">
        <f>Paste!G10</f>
        <v>1</v>
      </c>
      <c r="G8" s="15">
        <f>Paste!H10</f>
        <v>0</v>
      </c>
      <c r="H8" s="15">
        <f>Paste!I10</f>
        <v>0</v>
      </c>
      <c r="I8" s="16">
        <f t="shared" si="1"/>
        <v>2</v>
      </c>
      <c r="J8" s="17">
        <f>Paste!S10</f>
        <v>13</v>
      </c>
      <c r="K8" s="17">
        <f>Paste!T10</f>
        <v>5</v>
      </c>
      <c r="L8" s="19">
        <f t="shared" si="0"/>
        <v>38.46153846153846</v>
      </c>
    </row>
    <row r="9" spans="1:12" ht="18.75" customHeight="1">
      <c r="A9" s="8" t="s">
        <v>20</v>
      </c>
      <c r="B9" s="15">
        <f>Paste!C11</f>
        <v>7</v>
      </c>
      <c r="C9" s="15">
        <f>Paste!D11</f>
        <v>1</v>
      </c>
      <c r="D9" s="15">
        <f>Paste!E11</f>
        <v>1</v>
      </c>
      <c r="E9" s="15">
        <f>Paste!F11</f>
        <v>1</v>
      </c>
      <c r="F9" s="15">
        <f>Paste!G11</f>
        <v>2</v>
      </c>
      <c r="G9" s="15">
        <f>Paste!H11</f>
        <v>0</v>
      </c>
      <c r="H9" s="15">
        <f>Paste!I11</f>
        <v>3</v>
      </c>
      <c r="I9" s="16">
        <f t="shared" si="1"/>
        <v>15</v>
      </c>
      <c r="J9" s="17">
        <f>Paste!S11</f>
        <v>430</v>
      </c>
      <c r="K9" s="17">
        <f>Paste!T11</f>
        <v>34</v>
      </c>
      <c r="L9" s="19">
        <f t="shared" si="0"/>
        <v>7.9069767441860472</v>
      </c>
    </row>
    <row r="10" spans="1:12" ht="18.75" customHeight="1">
      <c r="A10" s="8" t="s">
        <v>21</v>
      </c>
      <c r="B10" s="15">
        <f>Paste!C12</f>
        <v>0</v>
      </c>
      <c r="C10" s="15">
        <f>Paste!D12</f>
        <v>0</v>
      </c>
      <c r="D10" s="15">
        <f>Paste!E12</f>
        <v>0</v>
      </c>
      <c r="E10" s="15">
        <f>Paste!F12</f>
        <v>0</v>
      </c>
      <c r="F10" s="15">
        <f>Paste!G12</f>
        <v>0</v>
      </c>
      <c r="G10" s="15">
        <f>Paste!H12</f>
        <v>0</v>
      </c>
      <c r="H10" s="15">
        <f>Paste!I12</f>
        <v>0</v>
      </c>
      <c r="I10" s="16">
        <f t="shared" si="1"/>
        <v>0</v>
      </c>
      <c r="J10" s="17">
        <f>Paste!S12</f>
        <v>2</v>
      </c>
      <c r="K10" s="17">
        <f>Paste!T12</f>
        <v>0</v>
      </c>
      <c r="L10" s="19">
        <f t="shared" si="0"/>
        <v>0</v>
      </c>
    </row>
    <row r="11" spans="1:12" ht="18.75" customHeight="1">
      <c r="A11" s="8" t="s">
        <v>22</v>
      </c>
      <c r="B11" s="15">
        <f>Paste!C13</f>
        <v>0</v>
      </c>
      <c r="C11" s="15">
        <f>Paste!D13</f>
        <v>0</v>
      </c>
      <c r="D11" s="15">
        <f>Paste!E13</f>
        <v>0</v>
      </c>
      <c r="E11" s="15">
        <f>Paste!F13</f>
        <v>0</v>
      </c>
      <c r="F11" s="15">
        <f>Paste!G13</f>
        <v>0</v>
      </c>
      <c r="G11" s="15">
        <f>Paste!H13</f>
        <v>0</v>
      </c>
      <c r="H11" s="15">
        <f>Paste!I13</f>
        <v>0</v>
      </c>
      <c r="I11" s="16">
        <f t="shared" si="1"/>
        <v>0</v>
      </c>
      <c r="J11" s="17">
        <f>Paste!S13</f>
        <v>3</v>
      </c>
      <c r="K11" s="17">
        <f>Paste!T13</f>
        <v>0</v>
      </c>
      <c r="L11" s="19">
        <f t="shared" si="0"/>
        <v>0</v>
      </c>
    </row>
    <row r="12" spans="1:12" ht="18.75" customHeight="1">
      <c r="A12" s="8" t="s">
        <v>23</v>
      </c>
      <c r="B12" s="15">
        <f>Paste!C14</f>
        <v>9</v>
      </c>
      <c r="C12" s="15">
        <f>Paste!D14</f>
        <v>1</v>
      </c>
      <c r="D12" s="15">
        <f>Paste!E14</f>
        <v>1</v>
      </c>
      <c r="E12" s="15">
        <f>Paste!F14</f>
        <v>2</v>
      </c>
      <c r="F12" s="15">
        <f>Paste!G14</f>
        <v>3</v>
      </c>
      <c r="G12" s="15">
        <f>Paste!H14</f>
        <v>0</v>
      </c>
      <c r="H12" s="15">
        <f>Paste!I14</f>
        <v>5</v>
      </c>
      <c r="I12" s="16">
        <f t="shared" si="1"/>
        <v>21</v>
      </c>
      <c r="J12" s="17">
        <f>Paste!S14</f>
        <v>142</v>
      </c>
      <c r="K12" s="17">
        <f>Paste!T14</f>
        <v>22</v>
      </c>
      <c r="L12" s="19">
        <f t="shared" si="0"/>
        <v>15.492957746478874</v>
      </c>
    </row>
    <row r="13" spans="1:12" ht="18.75" customHeight="1">
      <c r="A13" s="8" t="s">
        <v>24</v>
      </c>
      <c r="B13" s="15">
        <f>Paste!C15</f>
        <v>1</v>
      </c>
      <c r="C13" s="15">
        <f>Paste!D15</f>
        <v>0</v>
      </c>
      <c r="D13" s="15">
        <f>Paste!E15</f>
        <v>0</v>
      </c>
      <c r="E13" s="15">
        <f>Paste!F15</f>
        <v>0</v>
      </c>
      <c r="F13" s="15">
        <f>Paste!G15</f>
        <v>1</v>
      </c>
      <c r="G13" s="15">
        <f>Paste!H15</f>
        <v>0</v>
      </c>
      <c r="H13" s="15">
        <f>Paste!I15</f>
        <v>0</v>
      </c>
      <c r="I13" s="16">
        <f t="shared" si="1"/>
        <v>2</v>
      </c>
      <c r="J13" s="17">
        <f>Paste!S15</f>
        <v>33</v>
      </c>
      <c r="K13" s="17">
        <f>Paste!T15</f>
        <v>1</v>
      </c>
      <c r="L13" s="19">
        <f t="shared" si="0"/>
        <v>3.0303030303030303</v>
      </c>
    </row>
    <row r="14" spans="1:12" ht="18.75" customHeight="1">
      <c r="A14" s="8" t="s">
        <v>25</v>
      </c>
      <c r="B14" s="15">
        <f>Paste!C16</f>
        <v>22</v>
      </c>
      <c r="C14" s="15">
        <f>Paste!D16</f>
        <v>3</v>
      </c>
      <c r="D14" s="15">
        <f>Paste!E16</f>
        <v>1</v>
      </c>
      <c r="E14" s="15">
        <f>Paste!F16</f>
        <v>1</v>
      </c>
      <c r="F14" s="15">
        <f>Paste!G16</f>
        <v>3</v>
      </c>
      <c r="G14" s="15">
        <f>Paste!H16</f>
        <v>0</v>
      </c>
      <c r="H14" s="15">
        <f>Paste!I16</f>
        <v>6</v>
      </c>
      <c r="I14" s="16">
        <f t="shared" si="1"/>
        <v>36</v>
      </c>
      <c r="J14" s="17">
        <f>Paste!S16</f>
        <v>1623</v>
      </c>
      <c r="K14" s="17">
        <f>Paste!T16</f>
        <v>138</v>
      </c>
      <c r="L14" s="19">
        <f t="shared" si="0"/>
        <v>8.502772643253234</v>
      </c>
    </row>
    <row r="15" spans="1:12" ht="18.75" customHeight="1">
      <c r="A15" s="8" t="s">
        <v>26</v>
      </c>
      <c r="B15" s="15">
        <f>Paste!C17</f>
        <v>11</v>
      </c>
      <c r="C15" s="15">
        <f>Paste!D17</f>
        <v>2</v>
      </c>
      <c r="D15" s="15">
        <f>Paste!E17</f>
        <v>1</v>
      </c>
      <c r="E15" s="15">
        <f>Paste!F17</f>
        <v>0</v>
      </c>
      <c r="F15" s="15">
        <f>Paste!G17</f>
        <v>4</v>
      </c>
      <c r="G15" s="15">
        <f>Paste!H17</f>
        <v>1</v>
      </c>
      <c r="H15" s="15">
        <f>Paste!I17</f>
        <v>2</v>
      </c>
      <c r="I15" s="16">
        <f t="shared" si="1"/>
        <v>21</v>
      </c>
      <c r="J15" s="17">
        <f>Paste!S17</f>
        <v>266</v>
      </c>
      <c r="K15" s="17">
        <f>Paste!T17</f>
        <v>38</v>
      </c>
      <c r="L15" s="19">
        <f t="shared" si="0"/>
        <v>14.285714285714285</v>
      </c>
    </row>
    <row r="16" spans="1:12" ht="18.75" customHeight="1">
      <c r="A16" s="8" t="s">
        <v>27</v>
      </c>
      <c r="B16" s="15">
        <f>Paste!C18</f>
        <v>11</v>
      </c>
      <c r="C16" s="15">
        <f>Paste!D18</f>
        <v>2</v>
      </c>
      <c r="D16" s="15">
        <f>Paste!E18</f>
        <v>0</v>
      </c>
      <c r="E16" s="15">
        <f>Paste!F18</f>
        <v>0</v>
      </c>
      <c r="F16" s="15">
        <f>Paste!G18</f>
        <v>3</v>
      </c>
      <c r="G16" s="15">
        <f>Paste!H18</f>
        <v>0</v>
      </c>
      <c r="H16" s="15">
        <f>Paste!I18</f>
        <v>1</v>
      </c>
      <c r="I16" s="16">
        <f t="shared" si="1"/>
        <v>17</v>
      </c>
      <c r="J16" s="17">
        <f>Paste!S18</f>
        <v>236</v>
      </c>
      <c r="K16" s="17">
        <f>Paste!T18</f>
        <v>14</v>
      </c>
      <c r="L16" s="19">
        <f t="shared" si="0"/>
        <v>5.9322033898305087</v>
      </c>
    </row>
    <row r="17" spans="1:12" ht="18.75" customHeight="1">
      <c r="A17" s="8" t="s">
        <v>28</v>
      </c>
      <c r="B17" s="15">
        <f>Paste!C19</f>
        <v>5</v>
      </c>
      <c r="C17" s="15">
        <f>Paste!D19</f>
        <v>1</v>
      </c>
      <c r="D17" s="15">
        <f>Paste!E19</f>
        <v>0</v>
      </c>
      <c r="E17" s="15">
        <f>Paste!F19</f>
        <v>0</v>
      </c>
      <c r="F17" s="15">
        <f>Paste!G19</f>
        <v>2</v>
      </c>
      <c r="G17" s="15">
        <f>Paste!H19</f>
        <v>0</v>
      </c>
      <c r="H17" s="15">
        <f>Paste!I19</f>
        <v>0</v>
      </c>
      <c r="I17" s="16">
        <f t="shared" si="1"/>
        <v>8</v>
      </c>
      <c r="J17" s="17">
        <f>Paste!S19</f>
        <v>119</v>
      </c>
      <c r="K17" s="17">
        <f>Paste!T19</f>
        <v>10</v>
      </c>
      <c r="L17" s="19">
        <f t="shared" si="0"/>
        <v>8.4033613445378155</v>
      </c>
    </row>
    <row r="18" spans="1:12" ht="18.75" customHeight="1">
      <c r="A18" s="8" t="s">
        <v>29</v>
      </c>
      <c r="B18" s="15">
        <f>Paste!C20</f>
        <v>5</v>
      </c>
      <c r="C18" s="15">
        <f>Paste!D20</f>
        <v>0</v>
      </c>
      <c r="D18" s="15">
        <f>Paste!E20</f>
        <v>0</v>
      </c>
      <c r="E18" s="15">
        <f>Paste!F20</f>
        <v>1</v>
      </c>
      <c r="F18" s="15">
        <f>Paste!G20</f>
        <v>3</v>
      </c>
      <c r="G18" s="15">
        <f>Paste!H20</f>
        <v>0</v>
      </c>
      <c r="H18" s="15">
        <f>Paste!I20</f>
        <v>0</v>
      </c>
      <c r="I18" s="16">
        <f t="shared" si="1"/>
        <v>9</v>
      </c>
      <c r="J18" s="17">
        <f>Paste!S20</f>
        <v>38</v>
      </c>
      <c r="K18" s="17">
        <f>Paste!T20</f>
        <v>3</v>
      </c>
      <c r="L18" s="19">
        <f t="shared" si="0"/>
        <v>7.8947368421052628</v>
      </c>
    </row>
    <row r="19" spans="1:12" ht="18.75" customHeight="1">
      <c r="A19" s="8" t="s">
        <v>30</v>
      </c>
      <c r="B19" s="15">
        <f>Paste!C21</f>
        <v>21</v>
      </c>
      <c r="C19" s="15">
        <f>Paste!D21</f>
        <v>3</v>
      </c>
      <c r="D19" s="15">
        <f>Paste!E21</f>
        <v>6</v>
      </c>
      <c r="E19" s="15">
        <f>Paste!F21</f>
        <v>2</v>
      </c>
      <c r="F19" s="15">
        <f>Paste!G21</f>
        <v>3</v>
      </c>
      <c r="G19" s="15">
        <f>Paste!H21</f>
        <v>1</v>
      </c>
      <c r="H19" s="15">
        <f>Paste!I21</f>
        <v>7</v>
      </c>
      <c r="I19" s="16">
        <f t="shared" si="1"/>
        <v>43</v>
      </c>
      <c r="J19" s="17">
        <f>Paste!S21</f>
        <v>3004</v>
      </c>
      <c r="K19" s="17">
        <f>Paste!T21</f>
        <v>190</v>
      </c>
      <c r="L19" s="19">
        <f t="shared" si="0"/>
        <v>6.3249001331557926</v>
      </c>
    </row>
    <row r="20" spans="1:12" ht="18.75" customHeight="1">
      <c r="A20" s="8" t="s">
        <v>31</v>
      </c>
      <c r="B20" s="15">
        <f>Paste!C22</f>
        <v>6</v>
      </c>
      <c r="C20" s="15">
        <f>Paste!D22</f>
        <v>1</v>
      </c>
      <c r="D20" s="15">
        <f>Paste!E22</f>
        <v>0</v>
      </c>
      <c r="E20" s="15">
        <f>Paste!F22</f>
        <v>1</v>
      </c>
      <c r="F20" s="15">
        <f>Paste!G22</f>
        <v>1</v>
      </c>
      <c r="G20" s="15">
        <f>Paste!H22</f>
        <v>1</v>
      </c>
      <c r="H20" s="15">
        <f>Paste!I22</f>
        <v>6</v>
      </c>
      <c r="I20" s="16">
        <f t="shared" si="1"/>
        <v>16</v>
      </c>
      <c r="J20" s="17">
        <f>Paste!S22</f>
        <v>580</v>
      </c>
      <c r="K20" s="17">
        <f>Paste!T22</f>
        <v>41</v>
      </c>
      <c r="L20" s="19">
        <f t="shared" si="0"/>
        <v>7.0689655172413799</v>
      </c>
    </row>
    <row r="21" spans="1:12" ht="18.75" customHeight="1">
      <c r="A21" s="8" t="s">
        <v>32</v>
      </c>
      <c r="B21" s="15">
        <f>Paste!C23</f>
        <v>0</v>
      </c>
      <c r="C21" s="15">
        <f>Paste!D23</f>
        <v>0</v>
      </c>
      <c r="D21" s="15">
        <f>Paste!E23</f>
        <v>0</v>
      </c>
      <c r="E21" s="15">
        <f>Paste!F23</f>
        <v>0</v>
      </c>
      <c r="F21" s="15">
        <f>Paste!G23</f>
        <v>0</v>
      </c>
      <c r="G21" s="15">
        <f>Paste!H23</f>
        <v>0</v>
      </c>
      <c r="H21" s="15">
        <f>Paste!I23</f>
        <v>0</v>
      </c>
      <c r="I21" s="16">
        <f t="shared" si="1"/>
        <v>0</v>
      </c>
      <c r="J21" s="17">
        <f>Paste!S23</f>
        <v>0</v>
      </c>
      <c r="K21" s="17">
        <f>Paste!T23</f>
        <v>0</v>
      </c>
      <c r="L21" s="19">
        <f t="shared" si="0"/>
        <v>0</v>
      </c>
    </row>
    <row r="22" spans="1:12" ht="18.75" customHeight="1">
      <c r="A22" s="8" t="s">
        <v>33</v>
      </c>
      <c r="B22" s="15">
        <f>Paste!C24</f>
        <v>8</v>
      </c>
      <c r="C22" s="15">
        <f>Paste!D24</f>
        <v>1</v>
      </c>
      <c r="D22" s="15">
        <f>Paste!E24</f>
        <v>0</v>
      </c>
      <c r="E22" s="15">
        <f>Paste!F24</f>
        <v>1</v>
      </c>
      <c r="F22" s="15">
        <f>Paste!G24</f>
        <v>6</v>
      </c>
      <c r="G22" s="15">
        <f>Paste!H24</f>
        <v>0</v>
      </c>
      <c r="H22" s="15">
        <f>Paste!I24</f>
        <v>9</v>
      </c>
      <c r="I22" s="16">
        <f t="shared" si="1"/>
        <v>25</v>
      </c>
      <c r="J22" s="17">
        <f>Paste!S24</f>
        <v>400</v>
      </c>
      <c r="K22" s="17">
        <f>Paste!T24</f>
        <v>28</v>
      </c>
      <c r="L22" s="19">
        <f t="shared" si="0"/>
        <v>7</v>
      </c>
    </row>
    <row r="23" spans="1:12" ht="18.75" customHeight="1">
      <c r="A23" s="8" t="s">
        <v>34</v>
      </c>
      <c r="B23" s="15">
        <f>Paste!C25</f>
        <v>19</v>
      </c>
      <c r="C23" s="15">
        <f>Paste!D25</f>
        <v>4</v>
      </c>
      <c r="D23" s="15">
        <f>Paste!E25</f>
        <v>6</v>
      </c>
      <c r="E23" s="15">
        <f>Paste!F25</f>
        <v>0</v>
      </c>
      <c r="F23" s="15">
        <f>Paste!G25</f>
        <v>4</v>
      </c>
      <c r="G23" s="15">
        <f>Paste!H25</f>
        <v>0</v>
      </c>
      <c r="H23" s="15">
        <f>Paste!I25</f>
        <v>11</v>
      </c>
      <c r="I23" s="16">
        <f t="shared" si="1"/>
        <v>44</v>
      </c>
      <c r="J23" s="17">
        <f>Paste!S25</f>
        <v>1705</v>
      </c>
      <c r="K23" s="17">
        <f>Paste!T25</f>
        <v>99</v>
      </c>
      <c r="L23" s="19">
        <f t="shared" si="0"/>
        <v>5.806451612903226</v>
      </c>
    </row>
    <row r="24" spans="1:12" ht="18.75" customHeight="1">
      <c r="A24" s="8" t="s">
        <v>35</v>
      </c>
      <c r="B24" s="15">
        <f>Paste!C26</f>
        <v>1</v>
      </c>
      <c r="C24" s="15">
        <f>Paste!D26</f>
        <v>1</v>
      </c>
      <c r="D24" s="15">
        <f>Paste!E26</f>
        <v>0</v>
      </c>
      <c r="E24" s="15">
        <f>Paste!F26</f>
        <v>0</v>
      </c>
      <c r="F24" s="15">
        <f>Paste!G26</f>
        <v>1</v>
      </c>
      <c r="G24" s="15">
        <f>Paste!H26</f>
        <v>0</v>
      </c>
      <c r="H24" s="15">
        <f>Paste!I26</f>
        <v>0</v>
      </c>
      <c r="I24" s="16">
        <f t="shared" si="1"/>
        <v>3</v>
      </c>
      <c r="J24" s="17">
        <f>Paste!S26</f>
        <v>20</v>
      </c>
      <c r="K24" s="17">
        <f>Paste!T26</f>
        <v>1</v>
      </c>
      <c r="L24" s="19">
        <f t="shared" si="0"/>
        <v>5</v>
      </c>
    </row>
    <row r="25" spans="1:12" ht="18.75" customHeight="1">
      <c r="A25" s="8" t="s">
        <v>36</v>
      </c>
      <c r="B25" s="15">
        <f>Paste!C27</f>
        <v>3</v>
      </c>
      <c r="C25" s="15">
        <f>Paste!D27</f>
        <v>0</v>
      </c>
      <c r="D25" s="15">
        <f>Paste!E27</f>
        <v>0</v>
      </c>
      <c r="E25" s="15">
        <f>Paste!F27</f>
        <v>0</v>
      </c>
      <c r="F25" s="15">
        <f>Paste!G27</f>
        <v>2</v>
      </c>
      <c r="G25" s="15">
        <f>Paste!H27</f>
        <v>0</v>
      </c>
      <c r="H25" s="15">
        <f>Paste!I27</f>
        <v>0</v>
      </c>
      <c r="I25" s="16">
        <f t="shared" si="1"/>
        <v>5</v>
      </c>
      <c r="J25" s="17">
        <f>Paste!S27</f>
        <v>25</v>
      </c>
      <c r="K25" s="17">
        <f>Paste!T27</f>
        <v>4</v>
      </c>
      <c r="L25" s="19">
        <f t="shared" si="0"/>
        <v>16</v>
      </c>
    </row>
    <row r="26" spans="1:12" ht="18.75" customHeight="1">
      <c r="A26" s="8" t="s">
        <v>37</v>
      </c>
      <c r="B26" s="15">
        <f>Paste!C28</f>
        <v>3</v>
      </c>
      <c r="C26" s="15">
        <f>Paste!D28</f>
        <v>0</v>
      </c>
      <c r="D26" s="15">
        <f>Paste!E28</f>
        <v>0</v>
      </c>
      <c r="E26" s="15">
        <f>Paste!F28</f>
        <v>0</v>
      </c>
      <c r="F26" s="15">
        <f>Paste!G28</f>
        <v>0</v>
      </c>
      <c r="G26" s="15">
        <f>Paste!H28</f>
        <v>0</v>
      </c>
      <c r="H26" s="15">
        <f>Paste!I28</f>
        <v>0</v>
      </c>
      <c r="I26" s="16">
        <f t="shared" si="1"/>
        <v>3</v>
      </c>
      <c r="J26" s="17">
        <f>Paste!S28</f>
        <v>28</v>
      </c>
      <c r="K26" s="17">
        <f>Paste!T28</f>
        <v>0</v>
      </c>
      <c r="L26" s="19">
        <f t="shared" si="0"/>
        <v>0</v>
      </c>
    </row>
    <row r="27" spans="1:12" ht="18.75" customHeight="1">
      <c r="A27" s="8" t="s">
        <v>38</v>
      </c>
      <c r="B27" s="15">
        <f>Paste!C29</f>
        <v>3</v>
      </c>
      <c r="C27" s="15">
        <f>Paste!D29</f>
        <v>0</v>
      </c>
      <c r="D27" s="15">
        <f>Paste!E29</f>
        <v>0</v>
      </c>
      <c r="E27" s="15">
        <f>Paste!F29</f>
        <v>0</v>
      </c>
      <c r="F27" s="15">
        <f>Paste!G29</f>
        <v>1</v>
      </c>
      <c r="G27" s="15">
        <f>Paste!H29</f>
        <v>0</v>
      </c>
      <c r="H27" s="15">
        <f>Paste!I29</f>
        <v>0</v>
      </c>
      <c r="I27" s="16">
        <f t="shared" si="1"/>
        <v>4</v>
      </c>
      <c r="J27" s="17">
        <f>Paste!S29</f>
        <v>55</v>
      </c>
      <c r="K27" s="17">
        <f>Paste!T29</f>
        <v>2</v>
      </c>
      <c r="L27" s="19">
        <f t="shared" si="0"/>
        <v>3.6363636363636362</v>
      </c>
    </row>
    <row r="28" spans="1:12" ht="18.75" customHeight="1">
      <c r="A28" s="8" t="s">
        <v>39</v>
      </c>
      <c r="B28" s="15">
        <f>Paste!C30</f>
        <v>10</v>
      </c>
      <c r="C28" s="15">
        <f>Paste!D30</f>
        <v>1</v>
      </c>
      <c r="D28" s="15">
        <f>Paste!E30</f>
        <v>0</v>
      </c>
      <c r="E28" s="15">
        <f>Paste!F30</f>
        <v>1</v>
      </c>
      <c r="F28" s="15">
        <f>Paste!G30</f>
        <v>3</v>
      </c>
      <c r="G28" s="15">
        <f>Paste!H30</f>
        <v>0</v>
      </c>
      <c r="H28" s="15">
        <f>Paste!I30</f>
        <v>3</v>
      </c>
      <c r="I28" s="16">
        <f t="shared" si="1"/>
        <v>18</v>
      </c>
      <c r="J28" s="17">
        <f>Paste!S30</f>
        <v>391</v>
      </c>
      <c r="K28" s="17">
        <f>Paste!T30</f>
        <v>30</v>
      </c>
      <c r="L28" s="19">
        <f t="shared" si="0"/>
        <v>7.6726342710997439</v>
      </c>
    </row>
    <row r="29" spans="1:12" ht="18.75" customHeight="1">
      <c r="A29" s="8" t="s">
        <v>40</v>
      </c>
      <c r="B29" s="15">
        <f>Paste!C31</f>
        <v>1</v>
      </c>
      <c r="C29" s="15">
        <f>Paste!D31</f>
        <v>0</v>
      </c>
      <c r="D29" s="15">
        <f>Paste!E31</f>
        <v>0</v>
      </c>
      <c r="E29" s="15">
        <f>Paste!F31</f>
        <v>0</v>
      </c>
      <c r="F29" s="15">
        <f>Paste!G31</f>
        <v>1</v>
      </c>
      <c r="G29" s="15">
        <f>Paste!H31</f>
        <v>0</v>
      </c>
      <c r="H29" s="15">
        <f>Paste!I31</f>
        <v>0</v>
      </c>
      <c r="I29" s="16">
        <f t="shared" si="1"/>
        <v>2</v>
      </c>
      <c r="J29" s="17">
        <f>Paste!S31</f>
        <v>72</v>
      </c>
      <c r="K29" s="17">
        <f>Paste!T31</f>
        <v>8</v>
      </c>
      <c r="L29" s="19">
        <f t="shared" si="0"/>
        <v>11.111111111111111</v>
      </c>
    </row>
    <row r="30" spans="1:12" ht="18.75" customHeight="1">
      <c r="A30" s="8" t="s">
        <v>41</v>
      </c>
      <c r="B30" s="15">
        <f>Paste!C32</f>
        <v>5</v>
      </c>
      <c r="C30" s="15">
        <f>Paste!D32</f>
        <v>1</v>
      </c>
      <c r="D30" s="15">
        <f>Paste!E32</f>
        <v>1</v>
      </c>
      <c r="E30" s="15">
        <f>Paste!F32</f>
        <v>1</v>
      </c>
      <c r="F30" s="15">
        <f>Paste!G32</f>
        <v>5</v>
      </c>
      <c r="G30" s="15">
        <f>Paste!H32</f>
        <v>1</v>
      </c>
      <c r="H30" s="15">
        <f>Paste!I32</f>
        <v>2</v>
      </c>
      <c r="I30" s="16">
        <f t="shared" si="1"/>
        <v>16</v>
      </c>
      <c r="J30" s="17">
        <f>Paste!S32</f>
        <v>232</v>
      </c>
      <c r="K30" s="17">
        <f>Paste!T32</f>
        <v>20</v>
      </c>
      <c r="L30" s="19">
        <f t="shared" si="0"/>
        <v>8.6206896551724146</v>
      </c>
    </row>
    <row r="31" spans="1:12" ht="18.75" customHeight="1">
      <c r="A31" s="8" t="s">
        <v>42</v>
      </c>
      <c r="B31" s="15">
        <f>Paste!C33</f>
        <v>19</v>
      </c>
      <c r="C31" s="15">
        <f>Paste!D33</f>
        <v>0</v>
      </c>
      <c r="D31" s="15">
        <f>Paste!E33</f>
        <v>2</v>
      </c>
      <c r="E31" s="15">
        <f>Paste!F33</f>
        <v>0</v>
      </c>
      <c r="F31" s="15">
        <f>Paste!G33</f>
        <v>5</v>
      </c>
      <c r="G31" s="15">
        <f>Paste!H33</f>
        <v>1</v>
      </c>
      <c r="H31" s="15">
        <f>Paste!I33</f>
        <v>1</v>
      </c>
      <c r="I31" s="16">
        <f t="shared" si="1"/>
        <v>28</v>
      </c>
      <c r="J31" s="17">
        <f>Paste!S33</f>
        <v>715</v>
      </c>
      <c r="K31" s="17">
        <f>Paste!T33</f>
        <v>173</v>
      </c>
      <c r="L31" s="19">
        <f t="shared" si="0"/>
        <v>24.195804195804193</v>
      </c>
    </row>
    <row r="32" spans="1:12" ht="18.75" customHeight="1">
      <c r="A32" s="8" t="s">
        <v>43</v>
      </c>
      <c r="B32" s="15">
        <f>Paste!C34</f>
        <v>2</v>
      </c>
      <c r="C32" s="15">
        <f>Paste!D34</f>
        <v>0</v>
      </c>
      <c r="D32" s="15">
        <f>Paste!E34</f>
        <v>0</v>
      </c>
      <c r="E32" s="15">
        <f>Paste!F34</f>
        <v>0</v>
      </c>
      <c r="F32" s="15">
        <f>Paste!G34</f>
        <v>1</v>
      </c>
      <c r="G32" s="15">
        <f>Paste!H34</f>
        <v>0</v>
      </c>
      <c r="H32" s="15">
        <f>Paste!I34</f>
        <v>1</v>
      </c>
      <c r="I32" s="16">
        <f t="shared" si="1"/>
        <v>4</v>
      </c>
      <c r="J32" s="17">
        <f>Paste!S34</f>
        <v>13</v>
      </c>
      <c r="K32" s="17">
        <f>Paste!T34</f>
        <v>1</v>
      </c>
      <c r="L32" s="19">
        <f t="shared" si="0"/>
        <v>7.6923076923076916</v>
      </c>
    </row>
    <row r="33" spans="1:12" ht="18.75" customHeight="1">
      <c r="A33" s="8" t="s">
        <v>44</v>
      </c>
      <c r="B33" s="15">
        <f>Paste!C35</f>
        <v>29</v>
      </c>
      <c r="C33" s="15">
        <f>Paste!D35</f>
        <v>1</v>
      </c>
      <c r="D33" s="15">
        <f>Paste!E35</f>
        <v>1</v>
      </c>
      <c r="E33" s="15">
        <f>Paste!F35</f>
        <v>1</v>
      </c>
      <c r="F33" s="15">
        <f>Paste!G35</f>
        <v>14</v>
      </c>
      <c r="G33" s="15">
        <f>Paste!H35</f>
        <v>1</v>
      </c>
      <c r="H33" s="15">
        <f>Paste!I35</f>
        <v>8</v>
      </c>
      <c r="I33" s="16">
        <f t="shared" si="1"/>
        <v>55</v>
      </c>
      <c r="J33" s="17">
        <f>Paste!S35</f>
        <v>1050</v>
      </c>
      <c r="K33" s="17">
        <f>Paste!T35</f>
        <v>140</v>
      </c>
      <c r="L33" s="19">
        <f t="shared" si="0"/>
        <v>13.333333333333334</v>
      </c>
    </row>
    <row r="34" spans="1:12" ht="18.75" customHeight="1">
      <c r="A34" s="8" t="s">
        <v>45</v>
      </c>
      <c r="B34" s="15">
        <f>Paste!C36</f>
        <v>2</v>
      </c>
      <c r="C34" s="15">
        <f>Paste!D36</f>
        <v>0</v>
      </c>
      <c r="D34" s="15">
        <f>Paste!E36</f>
        <v>0</v>
      </c>
      <c r="E34" s="15">
        <f>Paste!F36</f>
        <v>0</v>
      </c>
      <c r="F34" s="15">
        <f>Paste!G36</f>
        <v>1</v>
      </c>
      <c r="G34" s="15">
        <f>Paste!H36</f>
        <v>0</v>
      </c>
      <c r="H34" s="15">
        <f>Paste!I36</f>
        <v>0</v>
      </c>
      <c r="I34" s="16">
        <f t="shared" si="1"/>
        <v>3</v>
      </c>
      <c r="J34" s="17">
        <f>Paste!S36</f>
        <v>35</v>
      </c>
      <c r="K34" s="17">
        <f>Paste!T36</f>
        <v>2</v>
      </c>
      <c r="L34" s="19">
        <f t="shared" si="0"/>
        <v>5.7142857142857144</v>
      </c>
    </row>
    <row r="35" spans="1:12" ht="18.75" customHeight="1">
      <c r="A35" s="8" t="s">
        <v>46</v>
      </c>
      <c r="B35" s="15">
        <f>Paste!C37</f>
        <v>27</v>
      </c>
      <c r="C35" s="15">
        <f>Paste!D37</f>
        <v>3</v>
      </c>
      <c r="D35" s="15">
        <f>Paste!E37</f>
        <v>0</v>
      </c>
      <c r="E35" s="15">
        <f>Paste!F37</f>
        <v>1</v>
      </c>
      <c r="F35" s="15">
        <f>Paste!G37</f>
        <v>5</v>
      </c>
      <c r="G35" s="15">
        <f>Paste!H37</f>
        <v>2</v>
      </c>
      <c r="H35" s="15">
        <f>Paste!I37</f>
        <v>3</v>
      </c>
      <c r="I35" s="16">
        <f t="shared" si="1"/>
        <v>41</v>
      </c>
      <c r="J35" s="17">
        <f>Paste!S37</f>
        <v>919</v>
      </c>
      <c r="K35" s="17">
        <f>Paste!T37</f>
        <v>106</v>
      </c>
      <c r="L35" s="19">
        <f t="shared" si="0"/>
        <v>11.534276387377584</v>
      </c>
    </row>
    <row r="36" spans="1:12" ht="18.75" customHeight="1">
      <c r="A36" s="8" t="s">
        <v>47</v>
      </c>
      <c r="B36" s="15">
        <f>Paste!C38</f>
        <v>9</v>
      </c>
      <c r="C36" s="15">
        <f>Paste!D38</f>
        <v>1</v>
      </c>
      <c r="D36" s="15">
        <f>Paste!E38</f>
        <v>1</v>
      </c>
      <c r="E36" s="15">
        <f>Paste!F38</f>
        <v>0</v>
      </c>
      <c r="F36" s="15">
        <f>Paste!G38</f>
        <v>2</v>
      </c>
      <c r="G36" s="15">
        <f>Paste!H38</f>
        <v>0</v>
      </c>
      <c r="H36" s="15">
        <f>Paste!I38</f>
        <v>1</v>
      </c>
      <c r="I36" s="16">
        <f t="shared" si="1"/>
        <v>14</v>
      </c>
      <c r="J36" s="17">
        <f>Paste!S38</f>
        <v>165</v>
      </c>
      <c r="K36" s="17">
        <f>Paste!T38</f>
        <v>12</v>
      </c>
      <c r="L36" s="19">
        <f t="shared" si="0"/>
        <v>7.2727272727272734</v>
      </c>
    </row>
    <row r="37" spans="1:12" ht="18.75" customHeight="1">
      <c r="A37" s="8" t="s">
        <v>48</v>
      </c>
      <c r="B37" s="15">
        <f>Paste!C39</f>
        <v>13</v>
      </c>
      <c r="C37" s="15">
        <f>Paste!D39</f>
        <v>2</v>
      </c>
      <c r="D37" s="15">
        <f>Paste!E39</f>
        <v>1</v>
      </c>
      <c r="E37" s="15">
        <f>Paste!F39</f>
        <v>1</v>
      </c>
      <c r="F37" s="15">
        <f>Paste!G39</f>
        <v>3</v>
      </c>
      <c r="G37" s="15">
        <f>Paste!H39</f>
        <v>0</v>
      </c>
      <c r="H37" s="15">
        <f>Paste!I39</f>
        <v>2</v>
      </c>
      <c r="I37" s="16">
        <f t="shared" si="1"/>
        <v>22</v>
      </c>
      <c r="J37" s="17">
        <f>Paste!S39</f>
        <v>372</v>
      </c>
      <c r="K37" s="17">
        <f>Paste!T39</f>
        <v>43</v>
      </c>
      <c r="L37" s="19">
        <f t="shared" si="0"/>
        <v>11.559139784946236</v>
      </c>
    </row>
    <row r="38" spans="1:12" ht="18.75" customHeight="1">
      <c r="A38" s="7" t="s">
        <v>49</v>
      </c>
      <c r="B38" s="16">
        <f t="shared" ref="B38:H38" si="2">SUM(B3:B37)</f>
        <v>300</v>
      </c>
      <c r="C38" s="16">
        <f t="shared" si="2"/>
        <v>34</v>
      </c>
      <c r="D38" s="16">
        <f t="shared" si="2"/>
        <v>25</v>
      </c>
      <c r="E38" s="16">
        <f t="shared" si="2"/>
        <v>17</v>
      </c>
      <c r="F38" s="16">
        <f t="shared" si="2"/>
        <v>89</v>
      </c>
      <c r="G38" s="16">
        <f t="shared" si="2"/>
        <v>9</v>
      </c>
      <c r="H38" s="16">
        <f t="shared" si="2"/>
        <v>80</v>
      </c>
      <c r="I38" s="16">
        <f>SUM(I3:I37)</f>
        <v>554</v>
      </c>
      <c r="J38" s="20">
        <f>SUM(J3:J37)</f>
        <v>17023</v>
      </c>
      <c r="K38" s="20">
        <f>SUM(K3:K37)</f>
        <v>1550</v>
      </c>
      <c r="L38" s="21">
        <f t="shared" si="0"/>
        <v>9.1053280855313403</v>
      </c>
    </row>
  </sheetData>
  <printOptions horizontalCentered="1"/>
  <pageMargins left="0.5" right="0.27777777777777801" top="0.42" bottom="0.47" header="0.26" footer="0.25"/>
  <pageSetup paperSize="9" pageOrder="overThenDown" orientation="portrait" horizontalDpi="300" verticalDpi="3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K41"/>
  <sheetViews>
    <sheetView view="pageBreakPreview" zoomScaleSheetLayoutView="100" workbookViewId="0">
      <pane ySplit="3" topLeftCell="A4" activePane="bottomLeft" state="frozen"/>
      <selection activeCell="F15" sqref="F15"/>
      <selection pane="bottomLeft" activeCell="M15" sqref="M15"/>
    </sheetView>
  </sheetViews>
  <sheetFormatPr defaultColWidth="8.7109375" defaultRowHeight="15.75"/>
  <cols>
    <col min="1" max="1" width="5.7109375" style="480" bestFit="1" customWidth="1"/>
    <col min="2" max="2" width="22.28515625" style="291" bestFit="1" customWidth="1"/>
    <col min="3" max="11" width="8.5703125" style="291" customWidth="1"/>
    <col min="12" max="16384" width="8.7109375" style="291"/>
  </cols>
  <sheetData>
    <row r="1" spans="1:11" ht="24" customHeight="1">
      <c r="A1" s="1078" t="s">
        <v>1101</v>
      </c>
      <c r="B1" s="1079"/>
      <c r="C1" s="1079"/>
      <c r="D1" s="1079"/>
      <c r="E1" s="1079"/>
      <c r="F1" s="1079"/>
      <c r="G1" s="1079"/>
      <c r="H1" s="1079"/>
      <c r="I1" s="1079"/>
      <c r="J1" s="1079"/>
      <c r="K1" s="1079"/>
    </row>
    <row r="2" spans="1:11" s="293" customFormat="1" ht="25.5" customHeight="1">
      <c r="A2" s="1080" t="s">
        <v>988</v>
      </c>
      <c r="B2" s="1080" t="s">
        <v>168</v>
      </c>
      <c r="C2" s="1080" t="s">
        <v>136</v>
      </c>
      <c r="D2" s="1080"/>
      <c r="E2" s="1080"/>
      <c r="F2" s="1080" t="s">
        <v>460</v>
      </c>
      <c r="G2" s="1080"/>
      <c r="H2" s="1080"/>
      <c r="I2" s="1080" t="s">
        <v>242</v>
      </c>
      <c r="J2" s="1080"/>
      <c r="K2" s="1080"/>
    </row>
    <row r="3" spans="1:11" s="293" customFormat="1" ht="25.5" customHeight="1">
      <c r="A3" s="1080"/>
      <c r="B3" s="1080"/>
      <c r="C3" s="292" t="s">
        <v>87</v>
      </c>
      <c r="D3" s="292" t="s">
        <v>88</v>
      </c>
      <c r="E3" s="292" t="s">
        <v>12</v>
      </c>
      <c r="F3" s="292" t="s">
        <v>87</v>
      </c>
      <c r="G3" s="292" t="s">
        <v>88</v>
      </c>
      <c r="H3" s="292" t="s">
        <v>12</v>
      </c>
      <c r="I3" s="292" t="s">
        <v>87</v>
      </c>
      <c r="J3" s="292" t="s">
        <v>88</v>
      </c>
      <c r="K3" s="292" t="s">
        <v>12</v>
      </c>
    </row>
    <row r="4" spans="1:11" s="293" customFormat="1" ht="15">
      <c r="A4" s="476">
        <v>1</v>
      </c>
      <c r="B4" s="476">
        <v>2</v>
      </c>
      <c r="C4" s="476">
        <v>3</v>
      </c>
      <c r="D4" s="476">
        <v>4</v>
      </c>
      <c r="E4" s="476">
        <v>5</v>
      </c>
      <c r="F4" s="476">
        <v>6</v>
      </c>
      <c r="G4" s="476">
        <v>7</v>
      </c>
      <c r="H4" s="476">
        <v>8</v>
      </c>
      <c r="I4" s="476">
        <v>9</v>
      </c>
      <c r="J4" s="476">
        <v>10</v>
      </c>
      <c r="K4" s="476">
        <v>11</v>
      </c>
    </row>
    <row r="5" spans="1:11" s="166" customFormat="1" ht="24.75" customHeight="1">
      <c r="A5" s="478">
        <v>1</v>
      </c>
      <c r="B5" s="818" t="s">
        <v>1061</v>
      </c>
      <c r="C5" s="198">
        <v>19.8</v>
      </c>
      <c r="D5" s="198">
        <v>25.7</v>
      </c>
      <c r="E5" s="198">
        <v>22.6</v>
      </c>
      <c r="F5" s="198">
        <v>0</v>
      </c>
      <c r="G5" s="198">
        <v>0</v>
      </c>
      <c r="H5" s="198">
        <v>0</v>
      </c>
      <c r="I5" s="198">
        <v>10.4</v>
      </c>
      <c r="J5" s="198">
        <v>16.100000000000001</v>
      </c>
      <c r="K5" s="198">
        <v>13.2</v>
      </c>
    </row>
    <row r="6" spans="1:11" s="166" customFormat="1" ht="20.100000000000001" customHeight="1">
      <c r="A6" s="478">
        <v>2</v>
      </c>
      <c r="B6" s="819" t="s">
        <v>15</v>
      </c>
      <c r="C6" s="198">
        <v>37.700000000000003</v>
      </c>
      <c r="D6" s="198">
        <v>35.200000000000003</v>
      </c>
      <c r="E6" s="198">
        <v>36.5</v>
      </c>
      <c r="F6" s="198">
        <v>35</v>
      </c>
      <c r="G6" s="198">
        <v>33.9</v>
      </c>
      <c r="H6" s="198">
        <v>34.5</v>
      </c>
      <c r="I6" s="198">
        <v>35.700000000000003</v>
      </c>
      <c r="J6" s="198">
        <v>31.5</v>
      </c>
      <c r="K6" s="198">
        <v>33.6</v>
      </c>
    </row>
    <row r="7" spans="1:11" s="166" customFormat="1" ht="20.100000000000001" customHeight="1">
      <c r="A7" s="478">
        <v>3</v>
      </c>
      <c r="B7" s="819" t="s">
        <v>16</v>
      </c>
      <c r="C7" s="198">
        <v>38.4</v>
      </c>
      <c r="D7" s="198">
        <v>34.5</v>
      </c>
      <c r="E7" s="198">
        <v>36.5</v>
      </c>
      <c r="F7" s="198">
        <v>0</v>
      </c>
      <c r="G7" s="198">
        <v>0</v>
      </c>
      <c r="H7" s="198">
        <v>0</v>
      </c>
      <c r="I7" s="198">
        <v>42.2</v>
      </c>
      <c r="J7" s="198">
        <v>37.799999999999997</v>
      </c>
      <c r="K7" s="198">
        <v>39.9</v>
      </c>
    </row>
    <row r="8" spans="1:11" s="166" customFormat="1" ht="20.100000000000001" customHeight="1">
      <c r="A8" s="478">
        <v>4</v>
      </c>
      <c r="B8" s="818" t="s">
        <v>17</v>
      </c>
      <c r="C8" s="198">
        <v>16.2</v>
      </c>
      <c r="D8" s="198">
        <v>17.600000000000001</v>
      </c>
      <c r="E8" s="198">
        <v>16.899999999999999</v>
      </c>
      <c r="F8" s="198">
        <v>18.2</v>
      </c>
      <c r="G8" s="198">
        <v>19.5</v>
      </c>
      <c r="H8" s="198">
        <v>18.8</v>
      </c>
      <c r="I8" s="198">
        <v>25.4</v>
      </c>
      <c r="J8" s="198">
        <v>26.3</v>
      </c>
      <c r="K8" s="198">
        <v>25.8</v>
      </c>
    </row>
    <row r="9" spans="1:11" s="166" customFormat="1" ht="20.100000000000001" customHeight="1">
      <c r="A9" s="478">
        <v>5</v>
      </c>
      <c r="B9" s="818" t="s">
        <v>18</v>
      </c>
      <c r="C9" s="198">
        <v>17.8</v>
      </c>
      <c r="D9" s="198">
        <v>16.3</v>
      </c>
      <c r="E9" s="198">
        <v>17.100000000000001</v>
      </c>
      <c r="F9" s="198">
        <v>19</v>
      </c>
      <c r="G9" s="198">
        <v>13.6</v>
      </c>
      <c r="H9" s="198">
        <v>16.399999999999999</v>
      </c>
      <c r="I9" s="198">
        <v>38</v>
      </c>
      <c r="J9" s="198">
        <v>31</v>
      </c>
      <c r="K9" s="198">
        <v>34.6</v>
      </c>
    </row>
    <row r="10" spans="1:11" s="166" customFormat="1" ht="20.100000000000001" customHeight="1">
      <c r="A10" s="478">
        <v>6</v>
      </c>
      <c r="B10" s="819" t="s">
        <v>19</v>
      </c>
      <c r="C10" s="198">
        <v>56.8</v>
      </c>
      <c r="D10" s="198">
        <v>75.400000000000006</v>
      </c>
      <c r="E10" s="198">
        <v>64.8</v>
      </c>
      <c r="F10" s="198">
        <v>53.7</v>
      </c>
      <c r="G10" s="198">
        <v>52.9</v>
      </c>
      <c r="H10" s="198">
        <v>53.4</v>
      </c>
      <c r="I10" s="198">
        <v>0</v>
      </c>
      <c r="J10" s="198">
        <v>0</v>
      </c>
      <c r="K10" s="198">
        <v>0</v>
      </c>
    </row>
    <row r="11" spans="1:11" s="166" customFormat="1" ht="20.100000000000001" customHeight="1">
      <c r="A11" s="478">
        <v>7</v>
      </c>
      <c r="B11" s="819" t="s">
        <v>56</v>
      </c>
      <c r="C11" s="198">
        <v>17.600000000000001</v>
      </c>
      <c r="D11" s="198">
        <v>21.6</v>
      </c>
      <c r="E11" s="198">
        <v>19.600000000000001</v>
      </c>
      <c r="F11" s="198">
        <v>19.100000000000001</v>
      </c>
      <c r="G11" s="198">
        <v>21.7</v>
      </c>
      <c r="H11" s="198">
        <v>20.3</v>
      </c>
      <c r="I11" s="198">
        <v>10.8</v>
      </c>
      <c r="J11" s="198">
        <v>15.3</v>
      </c>
      <c r="K11" s="198">
        <v>13.1</v>
      </c>
    </row>
    <row r="12" spans="1:11" s="166" customFormat="1" ht="20.100000000000001" customHeight="1">
      <c r="A12" s="478">
        <v>8</v>
      </c>
      <c r="B12" s="819" t="s">
        <v>23</v>
      </c>
      <c r="C12" s="198">
        <v>48.3</v>
      </c>
      <c r="D12" s="198">
        <v>49.7</v>
      </c>
      <c r="E12" s="198">
        <v>49</v>
      </c>
      <c r="F12" s="198">
        <v>36.6</v>
      </c>
      <c r="G12" s="198">
        <v>35.6</v>
      </c>
      <c r="H12" s="198">
        <v>36.1</v>
      </c>
      <c r="I12" s="198">
        <v>0</v>
      </c>
      <c r="J12" s="198">
        <v>0</v>
      </c>
      <c r="K12" s="198">
        <v>0</v>
      </c>
    </row>
    <row r="13" spans="1:11" s="166" customFormat="1" ht="20.100000000000001" customHeight="1">
      <c r="A13" s="478">
        <v>9</v>
      </c>
      <c r="B13" s="819" t="s">
        <v>24</v>
      </c>
      <c r="C13" s="198">
        <v>36</v>
      </c>
      <c r="D13" s="198">
        <v>35.5</v>
      </c>
      <c r="E13" s="198">
        <v>35.799999999999997</v>
      </c>
      <c r="F13" s="198">
        <v>45.4</v>
      </c>
      <c r="G13" s="198">
        <v>33.5</v>
      </c>
      <c r="H13" s="198">
        <v>39.5</v>
      </c>
      <c r="I13" s="198">
        <v>23.7</v>
      </c>
      <c r="J13" s="198">
        <v>31.6</v>
      </c>
      <c r="K13" s="198">
        <v>27.6</v>
      </c>
    </row>
    <row r="14" spans="1:11" s="166" customFormat="1" ht="20.100000000000001" customHeight="1">
      <c r="A14" s="478">
        <v>10</v>
      </c>
      <c r="B14" s="819" t="s">
        <v>25</v>
      </c>
      <c r="C14" s="198">
        <v>25.2</v>
      </c>
      <c r="D14" s="198">
        <v>22.7</v>
      </c>
      <c r="E14" s="198">
        <v>24</v>
      </c>
      <c r="F14" s="198">
        <v>33.6</v>
      </c>
      <c r="G14" s="198">
        <v>30.8</v>
      </c>
      <c r="H14" s="198">
        <v>32.299999999999997</v>
      </c>
      <c r="I14" s="198">
        <v>19.899999999999999</v>
      </c>
      <c r="J14" s="198">
        <v>21</v>
      </c>
      <c r="K14" s="198">
        <v>20.399999999999999</v>
      </c>
    </row>
    <row r="15" spans="1:11" s="166" customFormat="1" ht="20.100000000000001" customHeight="1">
      <c r="A15" s="478">
        <v>11</v>
      </c>
      <c r="B15" s="819" t="s">
        <v>26</v>
      </c>
      <c r="C15" s="198">
        <v>30.3</v>
      </c>
      <c r="D15" s="198">
        <v>37</v>
      </c>
      <c r="E15" s="198">
        <v>33.299999999999997</v>
      </c>
      <c r="F15" s="198">
        <v>24.2</v>
      </c>
      <c r="G15" s="198">
        <v>29.2</v>
      </c>
      <c r="H15" s="198">
        <v>26.5</v>
      </c>
      <c r="I15" s="198">
        <v>0</v>
      </c>
      <c r="J15" s="198">
        <v>0</v>
      </c>
      <c r="K15" s="198">
        <v>0</v>
      </c>
    </row>
    <row r="16" spans="1:11" s="166" customFormat="1" ht="20.100000000000001" customHeight="1">
      <c r="A16" s="478">
        <v>12</v>
      </c>
      <c r="B16" s="819" t="s">
        <v>27</v>
      </c>
      <c r="C16" s="198">
        <v>37.299999999999997</v>
      </c>
      <c r="D16" s="198">
        <v>49.7</v>
      </c>
      <c r="E16" s="198">
        <v>43.1</v>
      </c>
      <c r="F16" s="198">
        <v>29.4</v>
      </c>
      <c r="G16" s="198">
        <v>39.9</v>
      </c>
      <c r="H16" s="198">
        <v>34.4</v>
      </c>
      <c r="I16" s="198">
        <v>38.700000000000003</v>
      </c>
      <c r="J16" s="198">
        <v>50.6</v>
      </c>
      <c r="K16" s="198">
        <v>44.5</v>
      </c>
    </row>
    <row r="17" spans="1:11" s="166" customFormat="1" ht="20.100000000000001" customHeight="1">
      <c r="A17" s="478">
        <v>13</v>
      </c>
      <c r="B17" s="819" t="s">
        <v>57</v>
      </c>
      <c r="C17" s="198">
        <v>22.6</v>
      </c>
      <c r="D17" s="198">
        <v>27.2</v>
      </c>
      <c r="E17" s="198">
        <v>24.8</v>
      </c>
      <c r="F17" s="198">
        <v>18.600000000000001</v>
      </c>
      <c r="G17" s="198">
        <v>22.5</v>
      </c>
      <c r="H17" s="198">
        <v>20.399999999999999</v>
      </c>
      <c r="I17" s="198">
        <v>19.899999999999999</v>
      </c>
      <c r="J17" s="198">
        <v>17.8</v>
      </c>
      <c r="K17" s="198">
        <v>18.899999999999999</v>
      </c>
    </row>
    <row r="18" spans="1:11" s="166" customFormat="1" ht="20.100000000000001" customHeight="1">
      <c r="A18" s="478">
        <v>14</v>
      </c>
      <c r="B18" s="819" t="s">
        <v>29</v>
      </c>
      <c r="C18" s="198">
        <v>18.600000000000001</v>
      </c>
      <c r="D18" s="198">
        <v>18.7</v>
      </c>
      <c r="E18" s="198">
        <v>18.600000000000001</v>
      </c>
      <c r="F18" s="198">
        <v>15.8</v>
      </c>
      <c r="G18" s="198">
        <v>13.7</v>
      </c>
      <c r="H18" s="198">
        <v>14.8</v>
      </c>
      <c r="I18" s="198">
        <v>13.1</v>
      </c>
      <c r="J18" s="198">
        <v>14.7</v>
      </c>
      <c r="K18" s="198">
        <v>13.9</v>
      </c>
    </row>
    <row r="19" spans="1:11" s="166" customFormat="1" ht="20.100000000000001" customHeight="1">
      <c r="A19" s="478">
        <v>15</v>
      </c>
      <c r="B19" s="819" t="s">
        <v>30</v>
      </c>
      <c r="C19" s="198">
        <v>36.1</v>
      </c>
      <c r="D19" s="198">
        <v>36.299999999999997</v>
      </c>
      <c r="E19" s="198">
        <v>36.200000000000003</v>
      </c>
      <c r="F19" s="198">
        <v>28.8</v>
      </c>
      <c r="G19" s="198">
        <v>26.8</v>
      </c>
      <c r="H19" s="198">
        <v>27.8</v>
      </c>
      <c r="I19" s="198">
        <v>26.4</v>
      </c>
      <c r="J19" s="198">
        <v>25</v>
      </c>
      <c r="K19" s="198">
        <v>25.8</v>
      </c>
    </row>
    <row r="20" spans="1:11" s="166" customFormat="1" ht="20.100000000000001" customHeight="1">
      <c r="A20" s="478">
        <v>16</v>
      </c>
      <c r="B20" s="819" t="s">
        <v>31</v>
      </c>
      <c r="C20" s="198">
        <v>34.1</v>
      </c>
      <c r="D20" s="198">
        <v>49</v>
      </c>
      <c r="E20" s="198">
        <v>41.3</v>
      </c>
      <c r="F20" s="198">
        <v>20.399999999999999</v>
      </c>
      <c r="G20" s="198">
        <v>36.799999999999997</v>
      </c>
      <c r="H20" s="198">
        <v>28.3</v>
      </c>
      <c r="I20" s="198">
        <v>24</v>
      </c>
      <c r="J20" s="198">
        <v>33.799999999999997</v>
      </c>
      <c r="K20" s="198">
        <v>28.9</v>
      </c>
    </row>
    <row r="21" spans="1:11" s="166" customFormat="1" ht="20.100000000000001" customHeight="1">
      <c r="A21" s="478">
        <v>17</v>
      </c>
      <c r="B21" s="140" t="s">
        <v>154</v>
      </c>
      <c r="C21" s="198">
        <v>7.5</v>
      </c>
      <c r="D21" s="198">
        <v>16.399999999999999</v>
      </c>
      <c r="E21" s="198">
        <v>11.5</v>
      </c>
      <c r="F21" s="198">
        <v>22.6</v>
      </c>
      <c r="G21" s="198">
        <v>335.4</v>
      </c>
      <c r="H21" s="198">
        <v>42.3</v>
      </c>
      <c r="I21" s="198">
        <v>10.1</v>
      </c>
      <c r="J21" s="198">
        <v>17</v>
      </c>
      <c r="K21" s="198">
        <v>13.6</v>
      </c>
    </row>
    <row r="22" spans="1:11" s="166" customFormat="1" ht="20.100000000000001" customHeight="1">
      <c r="A22" s="478">
        <v>18</v>
      </c>
      <c r="B22" s="819" t="s">
        <v>32</v>
      </c>
      <c r="C22" s="198">
        <v>0.3</v>
      </c>
      <c r="D22" s="198">
        <v>1.9</v>
      </c>
      <c r="E22" s="198">
        <v>1.1000000000000001</v>
      </c>
      <c r="F22" s="198">
        <v>0</v>
      </c>
      <c r="G22" s="198">
        <v>0</v>
      </c>
      <c r="H22" s="198">
        <v>0</v>
      </c>
      <c r="I22" s="198">
        <v>0.4</v>
      </c>
      <c r="J22" s="198">
        <v>2</v>
      </c>
      <c r="K22" s="198">
        <v>1.2</v>
      </c>
    </row>
    <row r="23" spans="1:11" s="166" customFormat="1" ht="20.100000000000001" customHeight="1">
      <c r="A23" s="478">
        <v>19</v>
      </c>
      <c r="B23" s="819" t="s">
        <v>33</v>
      </c>
      <c r="C23" s="198">
        <v>29.7</v>
      </c>
      <c r="D23" s="198">
        <v>28</v>
      </c>
      <c r="E23" s="198">
        <v>28.9</v>
      </c>
      <c r="F23" s="198">
        <v>27.3</v>
      </c>
      <c r="G23" s="198">
        <v>26.7</v>
      </c>
      <c r="H23" s="198">
        <v>27</v>
      </c>
      <c r="I23" s="198">
        <v>17.8</v>
      </c>
      <c r="J23" s="198">
        <v>17.2</v>
      </c>
      <c r="K23" s="198">
        <v>17.5</v>
      </c>
    </row>
    <row r="24" spans="1:11" s="166" customFormat="1" ht="20.100000000000001" customHeight="1">
      <c r="A24" s="478">
        <v>20</v>
      </c>
      <c r="B24" s="819" t="s">
        <v>34</v>
      </c>
      <c r="C24" s="198">
        <v>37.1</v>
      </c>
      <c r="D24" s="198">
        <v>33.299999999999997</v>
      </c>
      <c r="E24" s="198">
        <v>35.299999999999997</v>
      </c>
      <c r="F24" s="198">
        <v>37.6</v>
      </c>
      <c r="G24" s="198">
        <v>34.9</v>
      </c>
      <c r="H24" s="198">
        <v>36.299999999999997</v>
      </c>
      <c r="I24" s="198">
        <v>19.399999999999999</v>
      </c>
      <c r="J24" s="198">
        <v>15.2</v>
      </c>
      <c r="K24" s="198">
        <v>17.3</v>
      </c>
    </row>
    <row r="25" spans="1:11" s="166" customFormat="1" ht="20.100000000000001" customHeight="1">
      <c r="A25" s="478">
        <v>21</v>
      </c>
      <c r="B25" s="819" t="s">
        <v>35</v>
      </c>
      <c r="C25" s="198">
        <v>35.299999999999997</v>
      </c>
      <c r="D25" s="198">
        <v>35.5</v>
      </c>
      <c r="E25" s="198">
        <v>35.4</v>
      </c>
      <c r="F25" s="198">
        <v>60.3</v>
      </c>
      <c r="G25" s="198">
        <v>61</v>
      </c>
      <c r="H25" s="198">
        <v>60.6</v>
      </c>
      <c r="I25" s="198">
        <v>22</v>
      </c>
      <c r="J25" s="198">
        <v>24.2</v>
      </c>
      <c r="K25" s="198">
        <v>23</v>
      </c>
    </row>
    <row r="26" spans="1:11" s="166" customFormat="1" ht="20.100000000000001" customHeight="1">
      <c r="A26" s="478">
        <v>22</v>
      </c>
      <c r="B26" s="819" t="s">
        <v>36</v>
      </c>
      <c r="C26" s="198">
        <v>22.7</v>
      </c>
      <c r="D26" s="198">
        <v>28.1</v>
      </c>
      <c r="E26" s="198">
        <v>25.4</v>
      </c>
      <c r="F26" s="198">
        <v>101.9</v>
      </c>
      <c r="G26" s="198">
        <v>119.4</v>
      </c>
      <c r="H26" s="198">
        <v>110</v>
      </c>
      <c r="I26" s="198">
        <v>20.2</v>
      </c>
      <c r="J26" s="198">
        <v>26.4</v>
      </c>
      <c r="K26" s="198">
        <v>23.3</v>
      </c>
    </row>
    <row r="27" spans="1:11" s="528" customFormat="1" ht="20.100000000000001" customHeight="1">
      <c r="A27" s="822">
        <v>23</v>
      </c>
      <c r="B27" s="823" t="s">
        <v>37</v>
      </c>
      <c r="C27" s="824">
        <v>31.4</v>
      </c>
      <c r="D27" s="824">
        <v>33.200000000000003</v>
      </c>
      <c r="E27" s="824">
        <v>32.299999999999997</v>
      </c>
      <c r="F27" s="824">
        <v>206.5</v>
      </c>
      <c r="G27" s="824">
        <v>304.8</v>
      </c>
      <c r="H27" s="824">
        <v>241.1</v>
      </c>
      <c r="I27" s="824">
        <v>31.8</v>
      </c>
      <c r="J27" s="824">
        <v>33.299999999999997</v>
      </c>
      <c r="K27" s="824">
        <v>32.5</v>
      </c>
    </row>
    <row r="28" spans="1:11" s="166" customFormat="1" ht="20.100000000000001" customHeight="1">
      <c r="A28" s="478">
        <v>24</v>
      </c>
      <c r="B28" s="819" t="s">
        <v>38</v>
      </c>
      <c r="C28" s="198">
        <v>16.5</v>
      </c>
      <c r="D28" s="198">
        <v>21.2</v>
      </c>
      <c r="E28" s="198">
        <v>18.8</v>
      </c>
      <c r="F28" s="198">
        <v>0</v>
      </c>
      <c r="G28" s="198">
        <v>0</v>
      </c>
      <c r="H28" s="198">
        <v>0</v>
      </c>
      <c r="I28" s="198">
        <v>17.2</v>
      </c>
      <c r="J28" s="198">
        <v>21.5</v>
      </c>
      <c r="K28" s="198">
        <v>19.3</v>
      </c>
    </row>
    <row r="29" spans="1:11" s="166" customFormat="1" ht="20.100000000000001" customHeight="1">
      <c r="A29" s="478">
        <v>25</v>
      </c>
      <c r="B29" s="819" t="s">
        <v>39</v>
      </c>
      <c r="C29" s="198">
        <v>23.5</v>
      </c>
      <c r="D29" s="198">
        <v>20.6</v>
      </c>
      <c r="E29" s="198">
        <v>22.1</v>
      </c>
      <c r="F29" s="198">
        <v>25.2</v>
      </c>
      <c r="G29" s="198">
        <v>19.899999999999999</v>
      </c>
      <c r="H29" s="198">
        <v>22.6</v>
      </c>
      <c r="I29" s="198">
        <v>16.7</v>
      </c>
      <c r="J29" s="198">
        <v>14.3</v>
      </c>
      <c r="K29" s="198">
        <v>15.5</v>
      </c>
    </row>
    <row r="30" spans="1:11" s="166" customFormat="1" ht="20.100000000000001" customHeight="1">
      <c r="A30" s="478">
        <v>26</v>
      </c>
      <c r="B30" s="819" t="s">
        <v>40</v>
      </c>
      <c r="C30" s="198">
        <v>61</v>
      </c>
      <c r="D30" s="198">
        <v>62.1</v>
      </c>
      <c r="E30" s="198">
        <v>61.5</v>
      </c>
      <c r="F30" s="198">
        <v>43</v>
      </c>
      <c r="G30" s="198">
        <v>43.4</v>
      </c>
      <c r="H30" s="198">
        <v>43.2</v>
      </c>
      <c r="I30" s="198">
        <v>0</v>
      </c>
      <c r="J30" s="198">
        <v>0</v>
      </c>
      <c r="K30" s="198">
        <v>0</v>
      </c>
    </row>
    <row r="31" spans="1:11" s="166" customFormat="1" ht="20.100000000000001" customHeight="1">
      <c r="A31" s="478">
        <v>27</v>
      </c>
      <c r="B31" s="819" t="s">
        <v>41</v>
      </c>
      <c r="C31" s="198">
        <v>25.2</v>
      </c>
      <c r="D31" s="198">
        <v>30.1</v>
      </c>
      <c r="E31" s="198">
        <v>27.4</v>
      </c>
      <c r="F31" s="198">
        <v>16.2</v>
      </c>
      <c r="G31" s="198">
        <v>22.8</v>
      </c>
      <c r="H31" s="198">
        <v>19.2</v>
      </c>
      <c r="I31" s="198">
        <v>0</v>
      </c>
      <c r="J31" s="198">
        <v>0</v>
      </c>
      <c r="K31" s="198">
        <v>0</v>
      </c>
    </row>
    <row r="32" spans="1:11" s="166" customFormat="1" ht="20.100000000000001" customHeight="1">
      <c r="A32" s="478">
        <v>28</v>
      </c>
      <c r="B32" s="818" t="s">
        <v>42</v>
      </c>
      <c r="C32" s="198">
        <v>29</v>
      </c>
      <c r="D32" s="198">
        <v>28.1</v>
      </c>
      <c r="E32" s="198">
        <v>28.6</v>
      </c>
      <c r="F32" s="198">
        <v>27.2</v>
      </c>
      <c r="G32" s="198">
        <v>26.1</v>
      </c>
      <c r="H32" s="198">
        <v>26.7</v>
      </c>
      <c r="I32" s="198">
        <v>28.9</v>
      </c>
      <c r="J32" s="198">
        <v>27.6</v>
      </c>
      <c r="K32" s="198">
        <v>28.2</v>
      </c>
    </row>
    <row r="33" spans="1:11" s="166" customFormat="1" ht="20.100000000000001" customHeight="1">
      <c r="A33" s="478">
        <v>29</v>
      </c>
      <c r="B33" s="820" t="s">
        <v>43</v>
      </c>
      <c r="C33" s="198">
        <v>35.1</v>
      </c>
      <c r="D33" s="198">
        <v>42.5</v>
      </c>
      <c r="E33" s="198">
        <v>38.6</v>
      </c>
      <c r="F33" s="198">
        <v>46.6</v>
      </c>
      <c r="G33" s="198">
        <v>39.1</v>
      </c>
      <c r="H33" s="198">
        <v>42.8</v>
      </c>
      <c r="I33" s="198">
        <v>29.6</v>
      </c>
      <c r="J33" s="198">
        <v>42.1</v>
      </c>
      <c r="K33" s="198">
        <v>35.799999999999997</v>
      </c>
    </row>
    <row r="34" spans="1:11" s="166" customFormat="1" ht="20.100000000000001" customHeight="1">
      <c r="A34" s="478">
        <v>30</v>
      </c>
      <c r="B34" s="818" t="s">
        <v>44</v>
      </c>
      <c r="C34" s="198">
        <v>46.8</v>
      </c>
      <c r="D34" s="198">
        <v>47.3</v>
      </c>
      <c r="E34" s="198">
        <v>47</v>
      </c>
      <c r="F34" s="198">
        <v>38.4</v>
      </c>
      <c r="G34" s="198">
        <v>40.4</v>
      </c>
      <c r="H34" s="198">
        <v>39.4</v>
      </c>
      <c r="I34" s="198">
        <v>50.2</v>
      </c>
      <c r="J34" s="198">
        <v>37.6</v>
      </c>
      <c r="K34" s="198">
        <v>43.9</v>
      </c>
    </row>
    <row r="35" spans="1:11" s="166" customFormat="1" ht="20.100000000000001" customHeight="1">
      <c r="A35" s="478">
        <v>31</v>
      </c>
      <c r="B35" s="818" t="s">
        <v>131</v>
      </c>
      <c r="C35" s="198">
        <v>38.5</v>
      </c>
      <c r="D35" s="198">
        <v>41.6</v>
      </c>
      <c r="E35" s="198">
        <v>40</v>
      </c>
      <c r="F35" s="198">
        <v>35.6</v>
      </c>
      <c r="G35" s="198">
        <v>42.9</v>
      </c>
      <c r="H35" s="198">
        <v>39.200000000000003</v>
      </c>
      <c r="I35" s="198">
        <v>39.1</v>
      </c>
      <c r="J35" s="198">
        <v>36.9</v>
      </c>
      <c r="K35" s="198">
        <v>38</v>
      </c>
    </row>
    <row r="36" spans="1:11" s="166" customFormat="1" ht="28.5">
      <c r="A36" s="478">
        <v>32</v>
      </c>
      <c r="B36" s="818" t="s">
        <v>1062</v>
      </c>
      <c r="C36" s="198">
        <v>8.6</v>
      </c>
      <c r="D36" s="198">
        <v>16.600000000000001</v>
      </c>
      <c r="E36" s="198">
        <v>11.2</v>
      </c>
      <c r="F36" s="198">
        <v>24.8</v>
      </c>
      <c r="G36" s="198">
        <v>31.7</v>
      </c>
      <c r="H36" s="198">
        <v>27.8</v>
      </c>
      <c r="I36" s="198">
        <v>6.9</v>
      </c>
      <c r="J36" s="198">
        <v>8.1</v>
      </c>
      <c r="K36" s="198">
        <v>7.5</v>
      </c>
    </row>
    <row r="37" spans="1:11" s="166" customFormat="1" ht="20.100000000000001" customHeight="1">
      <c r="A37" s="478">
        <v>33</v>
      </c>
      <c r="B37" s="818" t="s">
        <v>45</v>
      </c>
      <c r="C37" s="198">
        <v>21.9</v>
      </c>
      <c r="D37" s="198">
        <v>19.5</v>
      </c>
      <c r="E37" s="198">
        <v>20.7</v>
      </c>
      <c r="F37" s="198">
        <v>21.2</v>
      </c>
      <c r="G37" s="198">
        <v>18.8</v>
      </c>
      <c r="H37" s="198">
        <v>20</v>
      </c>
      <c r="I37" s="198">
        <v>17.3</v>
      </c>
      <c r="J37" s="198">
        <v>14.6</v>
      </c>
      <c r="K37" s="198">
        <v>15.9</v>
      </c>
    </row>
    <row r="38" spans="1:11" s="166" customFormat="1" ht="20.100000000000001" customHeight="1">
      <c r="A38" s="478">
        <v>34</v>
      </c>
      <c r="B38" s="819" t="s">
        <v>47</v>
      </c>
      <c r="C38" s="198">
        <v>23.9</v>
      </c>
      <c r="D38" s="198">
        <v>24.4</v>
      </c>
      <c r="E38" s="198">
        <v>24.1</v>
      </c>
      <c r="F38" s="198">
        <v>21</v>
      </c>
      <c r="G38" s="198">
        <v>22.6</v>
      </c>
      <c r="H38" s="198">
        <v>21.8</v>
      </c>
      <c r="I38" s="198">
        <v>41.4</v>
      </c>
      <c r="J38" s="198">
        <v>37.4</v>
      </c>
      <c r="K38" s="198">
        <v>39.4</v>
      </c>
    </row>
    <row r="39" spans="1:11" s="166" customFormat="1" ht="20.100000000000001" customHeight="1">
      <c r="A39" s="478">
        <v>35</v>
      </c>
      <c r="B39" s="819" t="s">
        <v>58</v>
      </c>
      <c r="C39" s="198">
        <v>40.1</v>
      </c>
      <c r="D39" s="198">
        <v>43.7</v>
      </c>
      <c r="E39" s="198">
        <v>41.8</v>
      </c>
      <c r="F39" s="198">
        <v>29.1</v>
      </c>
      <c r="G39" s="198">
        <v>35.6</v>
      </c>
      <c r="H39" s="198">
        <v>32.200000000000003</v>
      </c>
      <c r="I39" s="198">
        <v>42.1</v>
      </c>
      <c r="J39" s="198">
        <v>42</v>
      </c>
      <c r="K39" s="198">
        <v>42.1</v>
      </c>
    </row>
    <row r="40" spans="1:11" s="166" customFormat="1" ht="20.100000000000001" customHeight="1">
      <c r="A40" s="479">
        <v>36</v>
      </c>
      <c r="B40" s="821" t="s">
        <v>48</v>
      </c>
      <c r="C40" s="198">
        <v>25.9</v>
      </c>
      <c r="D40" s="198">
        <v>26.8</v>
      </c>
      <c r="E40" s="198">
        <v>26.3</v>
      </c>
      <c r="F40" s="198">
        <v>23.4</v>
      </c>
      <c r="G40" s="198">
        <v>22.4</v>
      </c>
      <c r="H40" s="198">
        <v>22.9</v>
      </c>
      <c r="I40" s="198">
        <v>15</v>
      </c>
      <c r="J40" s="198">
        <v>15.7</v>
      </c>
      <c r="K40" s="198">
        <v>15.3</v>
      </c>
    </row>
    <row r="41" spans="1:11" s="295" customFormat="1" ht="20.100000000000001" customHeight="1">
      <c r="A41" s="957" t="s">
        <v>49</v>
      </c>
      <c r="B41" s="958"/>
      <c r="C41" s="199">
        <v>28.3</v>
      </c>
      <c r="D41" s="199">
        <v>28.5</v>
      </c>
      <c r="E41" s="199">
        <v>28.4</v>
      </c>
      <c r="F41" s="199">
        <v>25.8</v>
      </c>
      <c r="G41" s="199">
        <v>26</v>
      </c>
      <c r="H41" s="199">
        <v>25.9</v>
      </c>
      <c r="I41" s="199">
        <v>21.4</v>
      </c>
      <c r="J41" s="199">
        <v>20.9</v>
      </c>
      <c r="K41" s="817">
        <v>21.2</v>
      </c>
    </row>
  </sheetData>
  <mergeCells count="7">
    <mergeCell ref="A41:B41"/>
    <mergeCell ref="A1:K1"/>
    <mergeCell ref="A2:A3"/>
    <mergeCell ref="B2:B3"/>
    <mergeCell ref="C2:E2"/>
    <mergeCell ref="F2:H2"/>
    <mergeCell ref="I2:K2"/>
  </mergeCells>
  <printOptions horizontalCentered="1"/>
  <pageMargins left="0.39370078740157483" right="0.19685039370078741" top="0.47244094488188981" bottom="0.62992125984251968" header="0.27559055118110237" footer="0.31496062992125984"/>
  <pageSetup paperSize="9" scale="90" firstPageNumber="23" orientation="portrait" useFirstPageNumber="1" r:id="rId1"/>
  <headerFooter alignWithMargins="0">
    <oddFooter>&amp;L&amp;"Arial,Italic"&amp;9AISHE 2021-22&amp;CT-19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H41"/>
  <sheetViews>
    <sheetView view="pageBreakPreview" zoomScaleSheetLayoutView="100" workbookViewId="0">
      <selection activeCell="F15" sqref="F15"/>
    </sheetView>
  </sheetViews>
  <sheetFormatPr defaultRowHeight="15"/>
  <cols>
    <col min="1" max="1" width="7" style="472" customWidth="1"/>
    <col min="2" max="2" width="31.42578125" style="304" customWidth="1"/>
    <col min="3" max="5" width="19.7109375" style="304" customWidth="1"/>
    <col min="6" max="6" width="7.7109375" style="304" customWidth="1"/>
    <col min="7" max="7" width="10.5703125" style="304" bestFit="1" customWidth="1"/>
    <col min="8" max="250" width="8.7109375" style="304"/>
    <col min="251" max="251" width="5.28515625" style="304" customWidth="1"/>
    <col min="252" max="252" width="22.5703125" style="304" customWidth="1"/>
    <col min="253" max="253" width="17.7109375" style="304" customWidth="1"/>
    <col min="254" max="254" width="19" style="304" customWidth="1"/>
    <col min="255" max="255" width="22.28515625" style="304" customWidth="1"/>
    <col min="256" max="506" width="8.7109375" style="304"/>
    <col min="507" max="507" width="5.28515625" style="304" customWidth="1"/>
    <col min="508" max="508" width="22.5703125" style="304" customWidth="1"/>
    <col min="509" max="509" width="17.7109375" style="304" customWidth="1"/>
    <col min="510" max="510" width="19" style="304" customWidth="1"/>
    <col min="511" max="511" width="22.28515625" style="304" customWidth="1"/>
    <col min="512" max="762" width="8.7109375" style="304"/>
    <col min="763" max="763" width="5.28515625" style="304" customWidth="1"/>
    <col min="764" max="764" width="22.5703125" style="304" customWidth="1"/>
    <col min="765" max="765" width="17.7109375" style="304" customWidth="1"/>
    <col min="766" max="766" width="19" style="304" customWidth="1"/>
    <col min="767" max="767" width="22.28515625" style="304" customWidth="1"/>
    <col min="768" max="1018" width="8.7109375" style="304"/>
    <col min="1019" max="1019" width="5.28515625" style="304" customWidth="1"/>
    <col min="1020" max="1020" width="22.5703125" style="304" customWidth="1"/>
    <col min="1021" max="1021" width="17.7109375" style="304" customWidth="1"/>
    <col min="1022" max="1022" width="19" style="304" customWidth="1"/>
    <col min="1023" max="1023" width="22.28515625" style="304" customWidth="1"/>
    <col min="1024" max="1274" width="8.7109375" style="304"/>
    <col min="1275" max="1275" width="5.28515625" style="304" customWidth="1"/>
    <col min="1276" max="1276" width="22.5703125" style="304" customWidth="1"/>
    <col min="1277" max="1277" width="17.7109375" style="304" customWidth="1"/>
    <col min="1278" max="1278" width="19" style="304" customWidth="1"/>
    <col min="1279" max="1279" width="22.28515625" style="304" customWidth="1"/>
    <col min="1280" max="1530" width="8.7109375" style="304"/>
    <col min="1531" max="1531" width="5.28515625" style="304" customWidth="1"/>
    <col min="1532" max="1532" width="22.5703125" style="304" customWidth="1"/>
    <col min="1533" max="1533" width="17.7109375" style="304" customWidth="1"/>
    <col min="1534" max="1534" width="19" style="304" customWidth="1"/>
    <col min="1535" max="1535" width="22.28515625" style="304" customWidth="1"/>
    <col min="1536" max="1786" width="8.7109375" style="304"/>
    <col min="1787" max="1787" width="5.28515625" style="304" customWidth="1"/>
    <col min="1788" max="1788" width="22.5703125" style="304" customWidth="1"/>
    <col min="1789" max="1789" width="17.7109375" style="304" customWidth="1"/>
    <col min="1790" max="1790" width="19" style="304" customWidth="1"/>
    <col min="1791" max="1791" width="22.28515625" style="304" customWidth="1"/>
    <col min="1792" max="2042" width="8.7109375" style="304"/>
    <col min="2043" max="2043" width="5.28515625" style="304" customWidth="1"/>
    <col min="2044" max="2044" width="22.5703125" style="304" customWidth="1"/>
    <col min="2045" max="2045" width="17.7109375" style="304" customWidth="1"/>
    <col min="2046" max="2046" width="19" style="304" customWidth="1"/>
    <col min="2047" max="2047" width="22.28515625" style="304" customWidth="1"/>
    <col min="2048" max="2298" width="8.7109375" style="304"/>
    <col min="2299" max="2299" width="5.28515625" style="304" customWidth="1"/>
    <col min="2300" max="2300" width="22.5703125" style="304" customWidth="1"/>
    <col min="2301" max="2301" width="17.7109375" style="304" customWidth="1"/>
    <col min="2302" max="2302" width="19" style="304" customWidth="1"/>
    <col min="2303" max="2303" width="22.28515625" style="304" customWidth="1"/>
    <col min="2304" max="2554" width="8.7109375" style="304"/>
    <col min="2555" max="2555" width="5.28515625" style="304" customWidth="1"/>
    <col min="2556" max="2556" width="22.5703125" style="304" customWidth="1"/>
    <col min="2557" max="2557" width="17.7109375" style="304" customWidth="1"/>
    <col min="2558" max="2558" width="19" style="304" customWidth="1"/>
    <col min="2559" max="2559" width="22.28515625" style="304" customWidth="1"/>
    <col min="2560" max="2810" width="8.7109375" style="304"/>
    <col min="2811" max="2811" width="5.28515625" style="304" customWidth="1"/>
    <col min="2812" max="2812" width="22.5703125" style="304" customWidth="1"/>
    <col min="2813" max="2813" width="17.7109375" style="304" customWidth="1"/>
    <col min="2814" max="2814" width="19" style="304" customWidth="1"/>
    <col min="2815" max="2815" width="22.28515625" style="304" customWidth="1"/>
    <col min="2816" max="3066" width="8.7109375" style="304"/>
    <col min="3067" max="3067" width="5.28515625" style="304" customWidth="1"/>
    <col min="3068" max="3068" width="22.5703125" style="304" customWidth="1"/>
    <col min="3069" max="3069" width="17.7109375" style="304" customWidth="1"/>
    <col min="3070" max="3070" width="19" style="304" customWidth="1"/>
    <col min="3071" max="3071" width="22.28515625" style="304" customWidth="1"/>
    <col min="3072" max="3322" width="8.7109375" style="304"/>
    <col min="3323" max="3323" width="5.28515625" style="304" customWidth="1"/>
    <col min="3324" max="3324" width="22.5703125" style="304" customWidth="1"/>
    <col min="3325" max="3325" width="17.7109375" style="304" customWidth="1"/>
    <col min="3326" max="3326" width="19" style="304" customWidth="1"/>
    <col min="3327" max="3327" width="22.28515625" style="304" customWidth="1"/>
    <col min="3328" max="3578" width="8.7109375" style="304"/>
    <col min="3579" max="3579" width="5.28515625" style="304" customWidth="1"/>
    <col min="3580" max="3580" width="22.5703125" style="304" customWidth="1"/>
    <col min="3581" max="3581" width="17.7109375" style="304" customWidth="1"/>
    <col min="3582" max="3582" width="19" style="304" customWidth="1"/>
    <col min="3583" max="3583" width="22.28515625" style="304" customWidth="1"/>
    <col min="3584" max="3834" width="8.7109375" style="304"/>
    <col min="3835" max="3835" width="5.28515625" style="304" customWidth="1"/>
    <col min="3836" max="3836" width="22.5703125" style="304" customWidth="1"/>
    <col min="3837" max="3837" width="17.7109375" style="304" customWidth="1"/>
    <col min="3838" max="3838" width="19" style="304" customWidth="1"/>
    <col min="3839" max="3839" width="22.28515625" style="304" customWidth="1"/>
    <col min="3840" max="4090" width="8.7109375" style="304"/>
    <col min="4091" max="4091" width="5.28515625" style="304" customWidth="1"/>
    <col min="4092" max="4092" width="22.5703125" style="304" customWidth="1"/>
    <col min="4093" max="4093" width="17.7109375" style="304" customWidth="1"/>
    <col min="4094" max="4094" width="19" style="304" customWidth="1"/>
    <col min="4095" max="4095" width="22.28515625" style="304" customWidth="1"/>
    <col min="4096" max="4346" width="8.7109375" style="304"/>
    <col min="4347" max="4347" width="5.28515625" style="304" customWidth="1"/>
    <col min="4348" max="4348" width="22.5703125" style="304" customWidth="1"/>
    <col min="4349" max="4349" width="17.7109375" style="304" customWidth="1"/>
    <col min="4350" max="4350" width="19" style="304" customWidth="1"/>
    <col min="4351" max="4351" width="22.28515625" style="304" customWidth="1"/>
    <col min="4352" max="4602" width="8.7109375" style="304"/>
    <col min="4603" max="4603" width="5.28515625" style="304" customWidth="1"/>
    <col min="4604" max="4604" width="22.5703125" style="304" customWidth="1"/>
    <col min="4605" max="4605" width="17.7109375" style="304" customWidth="1"/>
    <col min="4606" max="4606" width="19" style="304" customWidth="1"/>
    <col min="4607" max="4607" width="22.28515625" style="304" customWidth="1"/>
    <col min="4608" max="4858" width="8.7109375" style="304"/>
    <col min="4859" max="4859" width="5.28515625" style="304" customWidth="1"/>
    <col min="4860" max="4860" width="22.5703125" style="304" customWidth="1"/>
    <col min="4861" max="4861" width="17.7109375" style="304" customWidth="1"/>
    <col min="4862" max="4862" width="19" style="304" customWidth="1"/>
    <col min="4863" max="4863" width="22.28515625" style="304" customWidth="1"/>
    <col min="4864" max="5114" width="8.7109375" style="304"/>
    <col min="5115" max="5115" width="5.28515625" style="304" customWidth="1"/>
    <col min="5116" max="5116" width="22.5703125" style="304" customWidth="1"/>
    <col min="5117" max="5117" width="17.7109375" style="304" customWidth="1"/>
    <col min="5118" max="5118" width="19" style="304" customWidth="1"/>
    <col min="5119" max="5119" width="22.28515625" style="304" customWidth="1"/>
    <col min="5120" max="5370" width="8.7109375" style="304"/>
    <col min="5371" max="5371" width="5.28515625" style="304" customWidth="1"/>
    <col min="5372" max="5372" width="22.5703125" style="304" customWidth="1"/>
    <col min="5373" max="5373" width="17.7109375" style="304" customWidth="1"/>
    <col min="5374" max="5374" width="19" style="304" customWidth="1"/>
    <col min="5375" max="5375" width="22.28515625" style="304" customWidth="1"/>
    <col min="5376" max="5626" width="8.7109375" style="304"/>
    <col min="5627" max="5627" width="5.28515625" style="304" customWidth="1"/>
    <col min="5628" max="5628" width="22.5703125" style="304" customWidth="1"/>
    <col min="5629" max="5629" width="17.7109375" style="304" customWidth="1"/>
    <col min="5630" max="5630" width="19" style="304" customWidth="1"/>
    <col min="5631" max="5631" width="22.28515625" style="304" customWidth="1"/>
    <col min="5632" max="5882" width="8.7109375" style="304"/>
    <col min="5883" max="5883" width="5.28515625" style="304" customWidth="1"/>
    <col min="5884" max="5884" width="22.5703125" style="304" customWidth="1"/>
    <col min="5885" max="5885" width="17.7109375" style="304" customWidth="1"/>
    <col min="5886" max="5886" width="19" style="304" customWidth="1"/>
    <col min="5887" max="5887" width="22.28515625" style="304" customWidth="1"/>
    <col min="5888" max="6138" width="8.7109375" style="304"/>
    <col min="6139" max="6139" width="5.28515625" style="304" customWidth="1"/>
    <col min="6140" max="6140" width="22.5703125" style="304" customWidth="1"/>
    <col min="6141" max="6141" width="17.7109375" style="304" customWidth="1"/>
    <col min="6142" max="6142" width="19" style="304" customWidth="1"/>
    <col min="6143" max="6143" width="22.28515625" style="304" customWidth="1"/>
    <col min="6144" max="6394" width="8.7109375" style="304"/>
    <col min="6395" max="6395" width="5.28515625" style="304" customWidth="1"/>
    <col min="6396" max="6396" width="22.5703125" style="304" customWidth="1"/>
    <col min="6397" max="6397" width="17.7109375" style="304" customWidth="1"/>
    <col min="6398" max="6398" width="19" style="304" customWidth="1"/>
    <col min="6399" max="6399" width="22.28515625" style="304" customWidth="1"/>
    <col min="6400" max="6650" width="8.7109375" style="304"/>
    <col min="6651" max="6651" width="5.28515625" style="304" customWidth="1"/>
    <col min="6652" max="6652" width="22.5703125" style="304" customWidth="1"/>
    <col min="6653" max="6653" width="17.7109375" style="304" customWidth="1"/>
    <col min="6654" max="6654" width="19" style="304" customWidth="1"/>
    <col min="6655" max="6655" width="22.28515625" style="304" customWidth="1"/>
    <col min="6656" max="6906" width="8.7109375" style="304"/>
    <col min="6907" max="6907" width="5.28515625" style="304" customWidth="1"/>
    <col min="6908" max="6908" width="22.5703125" style="304" customWidth="1"/>
    <col min="6909" max="6909" width="17.7109375" style="304" customWidth="1"/>
    <col min="6910" max="6910" width="19" style="304" customWidth="1"/>
    <col min="6911" max="6911" width="22.28515625" style="304" customWidth="1"/>
    <col min="6912" max="7162" width="8.7109375" style="304"/>
    <col min="7163" max="7163" width="5.28515625" style="304" customWidth="1"/>
    <col min="7164" max="7164" width="22.5703125" style="304" customWidth="1"/>
    <col min="7165" max="7165" width="17.7109375" style="304" customWidth="1"/>
    <col min="7166" max="7166" width="19" style="304" customWidth="1"/>
    <col min="7167" max="7167" width="22.28515625" style="304" customWidth="1"/>
    <col min="7168" max="7418" width="8.7109375" style="304"/>
    <col min="7419" max="7419" width="5.28515625" style="304" customWidth="1"/>
    <col min="7420" max="7420" width="22.5703125" style="304" customWidth="1"/>
    <col min="7421" max="7421" width="17.7109375" style="304" customWidth="1"/>
    <col min="7422" max="7422" width="19" style="304" customWidth="1"/>
    <col min="7423" max="7423" width="22.28515625" style="304" customWidth="1"/>
    <col min="7424" max="7674" width="8.7109375" style="304"/>
    <col min="7675" max="7675" width="5.28515625" style="304" customWidth="1"/>
    <col min="7676" max="7676" width="22.5703125" style="304" customWidth="1"/>
    <col min="7677" max="7677" width="17.7109375" style="304" customWidth="1"/>
    <col min="7678" max="7678" width="19" style="304" customWidth="1"/>
    <col min="7679" max="7679" width="22.28515625" style="304" customWidth="1"/>
    <col min="7680" max="7930" width="8.7109375" style="304"/>
    <col min="7931" max="7931" width="5.28515625" style="304" customWidth="1"/>
    <col min="7932" max="7932" width="22.5703125" style="304" customWidth="1"/>
    <col min="7933" max="7933" width="17.7109375" style="304" customWidth="1"/>
    <col min="7934" max="7934" width="19" style="304" customWidth="1"/>
    <col min="7935" max="7935" width="22.28515625" style="304" customWidth="1"/>
    <col min="7936" max="8186" width="8.7109375" style="304"/>
    <col min="8187" max="8187" width="5.28515625" style="304" customWidth="1"/>
    <col min="8188" max="8188" width="22.5703125" style="304" customWidth="1"/>
    <col min="8189" max="8189" width="17.7109375" style="304" customWidth="1"/>
    <col min="8190" max="8190" width="19" style="304" customWidth="1"/>
    <col min="8191" max="8191" width="22.28515625" style="304" customWidth="1"/>
    <col min="8192" max="8442" width="8.7109375" style="304"/>
    <col min="8443" max="8443" width="5.28515625" style="304" customWidth="1"/>
    <col min="8444" max="8444" width="22.5703125" style="304" customWidth="1"/>
    <col min="8445" max="8445" width="17.7109375" style="304" customWidth="1"/>
    <col min="8446" max="8446" width="19" style="304" customWidth="1"/>
    <col min="8447" max="8447" width="22.28515625" style="304" customWidth="1"/>
    <col min="8448" max="8698" width="8.7109375" style="304"/>
    <col min="8699" max="8699" width="5.28515625" style="304" customWidth="1"/>
    <col min="8700" max="8700" width="22.5703125" style="304" customWidth="1"/>
    <col min="8701" max="8701" width="17.7109375" style="304" customWidth="1"/>
    <col min="8702" max="8702" width="19" style="304" customWidth="1"/>
    <col min="8703" max="8703" width="22.28515625" style="304" customWidth="1"/>
    <col min="8704" max="8954" width="8.7109375" style="304"/>
    <col min="8955" max="8955" width="5.28515625" style="304" customWidth="1"/>
    <col min="8956" max="8956" width="22.5703125" style="304" customWidth="1"/>
    <col min="8957" max="8957" width="17.7109375" style="304" customWidth="1"/>
    <col min="8958" max="8958" width="19" style="304" customWidth="1"/>
    <col min="8959" max="8959" width="22.28515625" style="304" customWidth="1"/>
    <col min="8960" max="9210" width="8.7109375" style="304"/>
    <col min="9211" max="9211" width="5.28515625" style="304" customWidth="1"/>
    <col min="9212" max="9212" width="22.5703125" style="304" customWidth="1"/>
    <col min="9213" max="9213" width="17.7109375" style="304" customWidth="1"/>
    <col min="9214" max="9214" width="19" style="304" customWidth="1"/>
    <col min="9215" max="9215" width="22.28515625" style="304" customWidth="1"/>
    <col min="9216" max="9466" width="8.7109375" style="304"/>
    <col min="9467" max="9467" width="5.28515625" style="304" customWidth="1"/>
    <col min="9468" max="9468" width="22.5703125" style="304" customWidth="1"/>
    <col min="9469" max="9469" width="17.7109375" style="304" customWidth="1"/>
    <col min="9470" max="9470" width="19" style="304" customWidth="1"/>
    <col min="9471" max="9471" width="22.28515625" style="304" customWidth="1"/>
    <col min="9472" max="9722" width="8.7109375" style="304"/>
    <col min="9723" max="9723" width="5.28515625" style="304" customWidth="1"/>
    <col min="9724" max="9724" width="22.5703125" style="304" customWidth="1"/>
    <col min="9725" max="9725" width="17.7109375" style="304" customWidth="1"/>
    <col min="9726" max="9726" width="19" style="304" customWidth="1"/>
    <col min="9727" max="9727" width="22.28515625" style="304" customWidth="1"/>
    <col min="9728" max="9978" width="8.7109375" style="304"/>
    <col min="9979" max="9979" width="5.28515625" style="304" customWidth="1"/>
    <col min="9980" max="9980" width="22.5703125" style="304" customWidth="1"/>
    <col min="9981" max="9981" width="17.7109375" style="304" customWidth="1"/>
    <col min="9982" max="9982" width="19" style="304" customWidth="1"/>
    <col min="9983" max="9983" width="22.28515625" style="304" customWidth="1"/>
    <col min="9984" max="10234" width="8.7109375" style="304"/>
    <col min="10235" max="10235" width="5.28515625" style="304" customWidth="1"/>
    <col min="10236" max="10236" width="22.5703125" style="304" customWidth="1"/>
    <col min="10237" max="10237" width="17.7109375" style="304" customWidth="1"/>
    <col min="10238" max="10238" width="19" style="304" customWidth="1"/>
    <col min="10239" max="10239" width="22.28515625" style="304" customWidth="1"/>
    <col min="10240" max="10490" width="8.7109375" style="304"/>
    <col min="10491" max="10491" width="5.28515625" style="304" customWidth="1"/>
    <col min="10492" max="10492" width="22.5703125" style="304" customWidth="1"/>
    <col min="10493" max="10493" width="17.7109375" style="304" customWidth="1"/>
    <col min="10494" max="10494" width="19" style="304" customWidth="1"/>
    <col min="10495" max="10495" width="22.28515625" style="304" customWidth="1"/>
    <col min="10496" max="10746" width="8.7109375" style="304"/>
    <col min="10747" max="10747" width="5.28515625" style="304" customWidth="1"/>
    <col min="10748" max="10748" width="22.5703125" style="304" customWidth="1"/>
    <col min="10749" max="10749" width="17.7109375" style="304" customWidth="1"/>
    <col min="10750" max="10750" width="19" style="304" customWidth="1"/>
    <col min="10751" max="10751" width="22.28515625" style="304" customWidth="1"/>
    <col min="10752" max="11002" width="8.7109375" style="304"/>
    <col min="11003" max="11003" width="5.28515625" style="304" customWidth="1"/>
    <col min="11004" max="11004" width="22.5703125" style="304" customWidth="1"/>
    <col min="11005" max="11005" width="17.7109375" style="304" customWidth="1"/>
    <col min="11006" max="11006" width="19" style="304" customWidth="1"/>
    <col min="11007" max="11007" width="22.28515625" style="304" customWidth="1"/>
    <col min="11008" max="11258" width="8.7109375" style="304"/>
    <col min="11259" max="11259" width="5.28515625" style="304" customWidth="1"/>
    <col min="11260" max="11260" width="22.5703125" style="304" customWidth="1"/>
    <col min="11261" max="11261" width="17.7109375" style="304" customWidth="1"/>
    <col min="11262" max="11262" width="19" style="304" customWidth="1"/>
    <col min="11263" max="11263" width="22.28515625" style="304" customWidth="1"/>
    <col min="11264" max="11514" width="8.7109375" style="304"/>
    <col min="11515" max="11515" width="5.28515625" style="304" customWidth="1"/>
    <col min="11516" max="11516" width="22.5703125" style="304" customWidth="1"/>
    <col min="11517" max="11517" width="17.7109375" style="304" customWidth="1"/>
    <col min="11518" max="11518" width="19" style="304" customWidth="1"/>
    <col min="11519" max="11519" width="22.28515625" style="304" customWidth="1"/>
    <col min="11520" max="11770" width="8.7109375" style="304"/>
    <col min="11771" max="11771" width="5.28515625" style="304" customWidth="1"/>
    <col min="11772" max="11772" width="22.5703125" style="304" customWidth="1"/>
    <col min="11773" max="11773" width="17.7109375" style="304" customWidth="1"/>
    <col min="11774" max="11774" width="19" style="304" customWidth="1"/>
    <col min="11775" max="11775" width="22.28515625" style="304" customWidth="1"/>
    <col min="11776" max="12026" width="8.7109375" style="304"/>
    <col min="12027" max="12027" width="5.28515625" style="304" customWidth="1"/>
    <col min="12028" max="12028" width="22.5703125" style="304" customWidth="1"/>
    <col min="12029" max="12029" width="17.7109375" style="304" customWidth="1"/>
    <col min="12030" max="12030" width="19" style="304" customWidth="1"/>
    <col min="12031" max="12031" width="22.28515625" style="304" customWidth="1"/>
    <col min="12032" max="12282" width="8.7109375" style="304"/>
    <col min="12283" max="12283" width="5.28515625" style="304" customWidth="1"/>
    <col min="12284" max="12284" width="22.5703125" style="304" customWidth="1"/>
    <col min="12285" max="12285" width="17.7109375" style="304" customWidth="1"/>
    <col min="12286" max="12286" width="19" style="304" customWidth="1"/>
    <col min="12287" max="12287" width="22.28515625" style="304" customWidth="1"/>
    <col min="12288" max="12538" width="8.7109375" style="304"/>
    <col min="12539" max="12539" width="5.28515625" style="304" customWidth="1"/>
    <col min="12540" max="12540" width="22.5703125" style="304" customWidth="1"/>
    <col min="12541" max="12541" width="17.7109375" style="304" customWidth="1"/>
    <col min="12542" max="12542" width="19" style="304" customWidth="1"/>
    <col min="12543" max="12543" width="22.28515625" style="304" customWidth="1"/>
    <col min="12544" max="12794" width="8.7109375" style="304"/>
    <col min="12795" max="12795" width="5.28515625" style="304" customWidth="1"/>
    <col min="12796" max="12796" width="22.5703125" style="304" customWidth="1"/>
    <col min="12797" max="12797" width="17.7109375" style="304" customWidth="1"/>
    <col min="12798" max="12798" width="19" style="304" customWidth="1"/>
    <col min="12799" max="12799" width="22.28515625" style="304" customWidth="1"/>
    <col min="12800" max="13050" width="8.7109375" style="304"/>
    <col min="13051" max="13051" width="5.28515625" style="304" customWidth="1"/>
    <col min="13052" max="13052" width="22.5703125" style="304" customWidth="1"/>
    <col min="13053" max="13053" width="17.7109375" style="304" customWidth="1"/>
    <col min="13054" max="13054" width="19" style="304" customWidth="1"/>
    <col min="13055" max="13055" width="22.28515625" style="304" customWidth="1"/>
    <col min="13056" max="13306" width="8.7109375" style="304"/>
    <col min="13307" max="13307" width="5.28515625" style="304" customWidth="1"/>
    <col min="13308" max="13308" width="22.5703125" style="304" customWidth="1"/>
    <col min="13309" max="13309" width="17.7109375" style="304" customWidth="1"/>
    <col min="13310" max="13310" width="19" style="304" customWidth="1"/>
    <col min="13311" max="13311" width="22.28515625" style="304" customWidth="1"/>
    <col min="13312" max="13562" width="8.7109375" style="304"/>
    <col min="13563" max="13563" width="5.28515625" style="304" customWidth="1"/>
    <col min="13564" max="13564" width="22.5703125" style="304" customWidth="1"/>
    <col min="13565" max="13565" width="17.7109375" style="304" customWidth="1"/>
    <col min="13566" max="13566" width="19" style="304" customWidth="1"/>
    <col min="13567" max="13567" width="22.28515625" style="304" customWidth="1"/>
    <col min="13568" max="13818" width="8.7109375" style="304"/>
    <col min="13819" max="13819" width="5.28515625" style="304" customWidth="1"/>
    <col min="13820" max="13820" width="22.5703125" style="304" customWidth="1"/>
    <col min="13821" max="13821" width="17.7109375" style="304" customWidth="1"/>
    <col min="13822" max="13822" width="19" style="304" customWidth="1"/>
    <col min="13823" max="13823" width="22.28515625" style="304" customWidth="1"/>
    <col min="13824" max="14074" width="8.7109375" style="304"/>
    <col min="14075" max="14075" width="5.28515625" style="304" customWidth="1"/>
    <col min="14076" max="14076" width="22.5703125" style="304" customWidth="1"/>
    <col min="14077" max="14077" width="17.7109375" style="304" customWidth="1"/>
    <col min="14078" max="14078" width="19" style="304" customWidth="1"/>
    <col min="14079" max="14079" width="22.28515625" style="304" customWidth="1"/>
    <col min="14080" max="14330" width="8.7109375" style="304"/>
    <col min="14331" max="14331" width="5.28515625" style="304" customWidth="1"/>
    <col min="14332" max="14332" width="22.5703125" style="304" customWidth="1"/>
    <col min="14333" max="14333" width="17.7109375" style="304" customWidth="1"/>
    <col min="14334" max="14334" width="19" style="304" customWidth="1"/>
    <col min="14335" max="14335" width="22.28515625" style="304" customWidth="1"/>
    <col min="14336" max="14586" width="8.7109375" style="304"/>
    <col min="14587" max="14587" width="5.28515625" style="304" customWidth="1"/>
    <col min="14588" max="14588" width="22.5703125" style="304" customWidth="1"/>
    <col min="14589" max="14589" width="17.7109375" style="304" customWidth="1"/>
    <col min="14590" max="14590" width="19" style="304" customWidth="1"/>
    <col min="14591" max="14591" width="22.28515625" style="304" customWidth="1"/>
    <col min="14592" max="14842" width="8.7109375" style="304"/>
    <col min="14843" max="14843" width="5.28515625" style="304" customWidth="1"/>
    <col min="14844" max="14844" width="22.5703125" style="304" customWidth="1"/>
    <col min="14845" max="14845" width="17.7109375" style="304" customWidth="1"/>
    <col min="14846" max="14846" width="19" style="304" customWidth="1"/>
    <col min="14847" max="14847" width="22.28515625" style="304" customWidth="1"/>
    <col min="14848" max="15098" width="8.7109375" style="304"/>
    <col min="15099" max="15099" width="5.28515625" style="304" customWidth="1"/>
    <col min="15100" max="15100" width="22.5703125" style="304" customWidth="1"/>
    <col min="15101" max="15101" width="17.7109375" style="304" customWidth="1"/>
    <col min="15102" max="15102" width="19" style="304" customWidth="1"/>
    <col min="15103" max="15103" width="22.28515625" style="304" customWidth="1"/>
    <col min="15104" max="15354" width="8.7109375" style="304"/>
    <col min="15355" max="15355" width="5.28515625" style="304" customWidth="1"/>
    <col min="15356" max="15356" width="22.5703125" style="304" customWidth="1"/>
    <col min="15357" max="15357" width="17.7109375" style="304" customWidth="1"/>
    <col min="15358" max="15358" width="19" style="304" customWidth="1"/>
    <col min="15359" max="15359" width="22.28515625" style="304" customWidth="1"/>
    <col min="15360" max="15610" width="8.7109375" style="304"/>
    <col min="15611" max="15611" width="5.28515625" style="304" customWidth="1"/>
    <col min="15612" max="15612" width="22.5703125" style="304" customWidth="1"/>
    <col min="15613" max="15613" width="17.7109375" style="304" customWidth="1"/>
    <col min="15614" max="15614" width="19" style="304" customWidth="1"/>
    <col min="15615" max="15615" width="22.28515625" style="304" customWidth="1"/>
    <col min="15616" max="15866" width="8.7109375" style="304"/>
    <col min="15867" max="15867" width="5.28515625" style="304" customWidth="1"/>
    <col min="15868" max="15868" width="22.5703125" style="304" customWidth="1"/>
    <col min="15869" max="15869" width="17.7109375" style="304" customWidth="1"/>
    <col min="15870" max="15870" width="19" style="304" customWidth="1"/>
    <col min="15871" max="15871" width="22.28515625" style="304" customWidth="1"/>
    <col min="15872" max="16122" width="8.7109375" style="304"/>
    <col min="16123" max="16123" width="5.28515625" style="304" customWidth="1"/>
    <col min="16124" max="16124" width="22.5703125" style="304" customWidth="1"/>
    <col min="16125" max="16125" width="17.7109375" style="304" customWidth="1"/>
    <col min="16126" max="16126" width="19" style="304" customWidth="1"/>
    <col min="16127" max="16127" width="22.28515625" style="304" customWidth="1"/>
    <col min="16128" max="16378" width="8.7109375" style="304"/>
    <col min="16379" max="16384" width="8.7109375" style="304" customWidth="1"/>
  </cols>
  <sheetData>
    <row r="1" spans="1:8" s="296" customFormat="1" ht="21.75" customHeight="1">
      <c r="A1" s="1081" t="s">
        <v>912</v>
      </c>
      <c r="B1" s="1081"/>
      <c r="C1" s="1081"/>
      <c r="D1" s="1081"/>
      <c r="E1" s="1081"/>
    </row>
    <row r="2" spans="1:8" s="300" customFormat="1" ht="39" customHeight="1">
      <c r="A2" s="297" t="s">
        <v>988</v>
      </c>
      <c r="B2" s="297" t="s">
        <v>137</v>
      </c>
      <c r="C2" s="298" t="s">
        <v>136</v>
      </c>
      <c r="D2" s="299" t="s">
        <v>460</v>
      </c>
      <c r="E2" s="299" t="s">
        <v>242</v>
      </c>
    </row>
    <row r="3" spans="1:8" s="300" customFormat="1">
      <c r="A3" s="473">
        <v>1</v>
      </c>
      <c r="B3" s="473">
        <v>2</v>
      </c>
      <c r="C3" s="474">
        <v>3</v>
      </c>
      <c r="D3" s="475">
        <v>4</v>
      </c>
      <c r="E3" s="475">
        <v>5</v>
      </c>
    </row>
    <row r="4" spans="1:8" s="301" customFormat="1" ht="20.100000000000001" customHeight="1">
      <c r="A4" s="469">
        <v>1</v>
      </c>
      <c r="B4" s="825" t="s">
        <v>1061</v>
      </c>
      <c r="C4" s="200">
        <v>1.2979797979797978</v>
      </c>
      <c r="D4" s="200"/>
      <c r="E4" s="200">
        <v>1.5480769230769231</v>
      </c>
      <c r="F4" s="762"/>
      <c r="G4" s="762"/>
      <c r="H4" s="762"/>
    </row>
    <row r="5" spans="1:8" s="301" customFormat="1" ht="20.100000000000001" customHeight="1">
      <c r="A5" s="469">
        <v>2</v>
      </c>
      <c r="B5" s="825" t="s">
        <v>15</v>
      </c>
      <c r="C5" s="200">
        <v>0.93368700265251992</v>
      </c>
      <c r="D5" s="200">
        <v>0.96857142857142853</v>
      </c>
      <c r="E5" s="200">
        <v>0.88235294117647056</v>
      </c>
      <c r="F5" s="762"/>
      <c r="G5" s="762"/>
      <c r="H5" s="762"/>
    </row>
    <row r="6" spans="1:8" s="301" customFormat="1" ht="20.100000000000001" customHeight="1">
      <c r="A6" s="469">
        <v>3</v>
      </c>
      <c r="B6" s="825" t="s">
        <v>16</v>
      </c>
      <c r="C6" s="200">
        <v>0.8984375</v>
      </c>
      <c r="D6" s="200"/>
      <c r="E6" s="200">
        <v>0.89573459715639803</v>
      </c>
      <c r="F6" s="762"/>
      <c r="G6" s="762"/>
      <c r="H6" s="762"/>
    </row>
    <row r="7" spans="1:8" s="301" customFormat="1" ht="20.100000000000001" customHeight="1">
      <c r="A7" s="469">
        <v>4</v>
      </c>
      <c r="B7" s="826" t="s">
        <v>17</v>
      </c>
      <c r="C7" s="200">
        <v>1.0864197530864199</v>
      </c>
      <c r="D7" s="200">
        <v>1.0714285714285714</v>
      </c>
      <c r="E7" s="200">
        <v>1.0354330708661419</v>
      </c>
      <c r="F7" s="762"/>
      <c r="G7" s="762"/>
      <c r="H7" s="762"/>
    </row>
    <row r="8" spans="1:8" s="301" customFormat="1" ht="20.100000000000001" customHeight="1">
      <c r="A8" s="469">
        <v>5</v>
      </c>
      <c r="B8" s="826" t="s">
        <v>18</v>
      </c>
      <c r="C8" s="200">
        <v>0.9157303370786517</v>
      </c>
      <c r="D8" s="200">
        <v>0.71578947368421053</v>
      </c>
      <c r="E8" s="200">
        <v>0.81578947368421051</v>
      </c>
      <c r="F8" s="762"/>
      <c r="G8" s="762"/>
      <c r="H8" s="762"/>
    </row>
    <row r="9" spans="1:8" s="301" customFormat="1" ht="20.100000000000001" customHeight="1">
      <c r="A9" s="469">
        <v>6</v>
      </c>
      <c r="B9" s="825" t="s">
        <v>19</v>
      </c>
      <c r="C9" s="200">
        <v>1.3274647887323945</v>
      </c>
      <c r="D9" s="200">
        <v>0.98510242085661071</v>
      </c>
      <c r="E9" s="200"/>
      <c r="F9" s="762"/>
      <c r="G9" s="762"/>
      <c r="H9" s="762"/>
    </row>
    <row r="10" spans="1:8" s="301" customFormat="1" ht="20.100000000000001" customHeight="1">
      <c r="A10" s="469">
        <v>7</v>
      </c>
      <c r="B10" s="825" t="s">
        <v>56</v>
      </c>
      <c r="C10" s="200">
        <v>1.2272727272727273</v>
      </c>
      <c r="D10" s="200">
        <v>1.1361256544502616</v>
      </c>
      <c r="E10" s="200">
        <v>1.4166666666666667</v>
      </c>
      <c r="F10" s="762"/>
      <c r="G10" s="762"/>
      <c r="H10" s="762"/>
    </row>
    <row r="11" spans="1:8" s="301" customFormat="1" ht="20.100000000000001" customHeight="1">
      <c r="A11" s="469">
        <v>8</v>
      </c>
      <c r="B11" s="825" t="s">
        <v>23</v>
      </c>
      <c r="C11" s="200">
        <v>1.0289855072463769</v>
      </c>
      <c r="D11" s="200">
        <v>0.97267759562841527</v>
      </c>
      <c r="E11" s="200"/>
      <c r="F11" s="762"/>
      <c r="G11" s="762"/>
      <c r="H11" s="762"/>
    </row>
    <row r="12" spans="1:8" s="301" customFormat="1" ht="20.100000000000001" customHeight="1">
      <c r="A12" s="469">
        <v>9</v>
      </c>
      <c r="B12" s="825" t="s">
        <v>24</v>
      </c>
      <c r="C12" s="200">
        <v>0.98611111111111116</v>
      </c>
      <c r="D12" s="200">
        <v>0.73788546255506615</v>
      </c>
      <c r="E12" s="200">
        <v>1.3333333333333335</v>
      </c>
      <c r="F12" s="762"/>
      <c r="G12" s="762"/>
      <c r="H12" s="762"/>
    </row>
    <row r="13" spans="1:8" s="301" customFormat="1" ht="20.100000000000001" customHeight="1">
      <c r="A13" s="469">
        <v>10</v>
      </c>
      <c r="B13" s="825" t="s">
        <v>25</v>
      </c>
      <c r="C13" s="200">
        <v>0.90079365079365081</v>
      </c>
      <c r="D13" s="200">
        <v>0.91666666666666663</v>
      </c>
      <c r="E13" s="200">
        <v>1.0552763819095479</v>
      </c>
      <c r="F13" s="762"/>
      <c r="G13" s="762"/>
      <c r="H13" s="762"/>
    </row>
    <row r="14" spans="1:8" s="301" customFormat="1" ht="20.100000000000001" customHeight="1">
      <c r="A14" s="469">
        <v>11</v>
      </c>
      <c r="B14" s="825" t="s">
        <v>26</v>
      </c>
      <c r="C14" s="200">
        <v>1.221122112211221</v>
      </c>
      <c r="D14" s="200">
        <v>1.2066115702479339</v>
      </c>
      <c r="E14" s="200"/>
      <c r="F14" s="762"/>
      <c r="G14" s="762"/>
      <c r="H14" s="762"/>
    </row>
    <row r="15" spans="1:8" s="301" customFormat="1" ht="20.100000000000001" customHeight="1">
      <c r="A15" s="469">
        <v>12</v>
      </c>
      <c r="B15" s="825" t="s">
        <v>27</v>
      </c>
      <c r="C15" s="200">
        <v>1.3324396782841825</v>
      </c>
      <c r="D15" s="200">
        <v>1.3571428571428572</v>
      </c>
      <c r="E15" s="200">
        <v>1.3074935400516796</v>
      </c>
      <c r="F15" s="762"/>
      <c r="G15" s="762"/>
      <c r="H15" s="762"/>
    </row>
    <row r="16" spans="1:8" s="301" customFormat="1" ht="20.100000000000001" customHeight="1">
      <c r="A16" s="469">
        <v>13</v>
      </c>
      <c r="B16" s="825" t="s">
        <v>57</v>
      </c>
      <c r="C16" s="200">
        <v>1.2035398230088494</v>
      </c>
      <c r="D16" s="200">
        <v>1.2096774193548385</v>
      </c>
      <c r="E16" s="200">
        <v>0.89447236180904532</v>
      </c>
      <c r="F16" s="762"/>
      <c r="G16" s="762"/>
      <c r="H16" s="762"/>
    </row>
    <row r="17" spans="1:8" s="301" customFormat="1" ht="20.100000000000001" customHeight="1">
      <c r="A17" s="469">
        <v>14</v>
      </c>
      <c r="B17" s="825" t="s">
        <v>29</v>
      </c>
      <c r="C17" s="200">
        <v>1.0053763440860215</v>
      </c>
      <c r="D17" s="200">
        <v>0.86708860759493667</v>
      </c>
      <c r="E17" s="200">
        <v>1.1221374045801527</v>
      </c>
      <c r="F17" s="762"/>
      <c r="G17" s="762"/>
      <c r="H17" s="762"/>
    </row>
    <row r="18" spans="1:8" s="301" customFormat="1" ht="20.100000000000001" customHeight="1">
      <c r="A18" s="469">
        <v>15</v>
      </c>
      <c r="B18" s="825" t="s">
        <v>30</v>
      </c>
      <c r="C18" s="200">
        <v>1.0055401662049861</v>
      </c>
      <c r="D18" s="200">
        <v>0.93055555555555558</v>
      </c>
      <c r="E18" s="200">
        <v>0.94696969696969702</v>
      </c>
      <c r="F18" s="762"/>
      <c r="G18" s="762"/>
      <c r="H18" s="762"/>
    </row>
    <row r="19" spans="1:8" s="301" customFormat="1" ht="20.100000000000001" customHeight="1">
      <c r="A19" s="469">
        <v>16</v>
      </c>
      <c r="B19" s="825" t="s">
        <v>31</v>
      </c>
      <c r="C19" s="200">
        <v>1.4369501466275658</v>
      </c>
      <c r="D19" s="200">
        <v>1.803921568627451</v>
      </c>
      <c r="E19" s="200">
        <v>1.4083333333333332</v>
      </c>
      <c r="F19" s="762"/>
      <c r="G19" s="762"/>
      <c r="H19" s="762"/>
    </row>
    <row r="20" spans="1:8" s="301" customFormat="1" ht="20.100000000000001" customHeight="1">
      <c r="A20" s="469">
        <v>17</v>
      </c>
      <c r="B20" s="140" t="s">
        <v>154</v>
      </c>
      <c r="C20" s="200">
        <v>2.1866666666666665</v>
      </c>
      <c r="D20" s="200">
        <v>14.840707964601767</v>
      </c>
      <c r="E20" s="200">
        <v>1.6831683168316833</v>
      </c>
      <c r="F20" s="762"/>
      <c r="G20" s="762"/>
      <c r="H20" s="762"/>
    </row>
    <row r="21" spans="1:8" s="301" customFormat="1" ht="20.100000000000001" customHeight="1">
      <c r="A21" s="469">
        <v>18</v>
      </c>
      <c r="B21" s="825" t="s">
        <v>135</v>
      </c>
      <c r="C21" s="200">
        <v>6.333333333333333</v>
      </c>
      <c r="D21" s="200"/>
      <c r="E21" s="200">
        <v>5</v>
      </c>
      <c r="F21" s="762"/>
      <c r="G21" s="762"/>
      <c r="H21" s="762"/>
    </row>
    <row r="22" spans="1:8" s="301" customFormat="1" ht="20.100000000000001" customHeight="1">
      <c r="A22" s="469">
        <v>19</v>
      </c>
      <c r="B22" s="825" t="s">
        <v>33</v>
      </c>
      <c r="C22" s="200">
        <v>0.9427609427609428</v>
      </c>
      <c r="D22" s="200">
        <v>0.97802197802197799</v>
      </c>
      <c r="E22" s="200">
        <v>0.96629213483146059</v>
      </c>
      <c r="F22" s="762"/>
      <c r="G22" s="762"/>
      <c r="H22" s="762"/>
    </row>
    <row r="23" spans="1:8" s="301" customFormat="1" ht="20.100000000000001" customHeight="1">
      <c r="A23" s="469">
        <v>20</v>
      </c>
      <c r="B23" s="825" t="s">
        <v>34</v>
      </c>
      <c r="C23" s="200">
        <v>0.89757412398921821</v>
      </c>
      <c r="D23" s="200">
        <v>0.92819148936170204</v>
      </c>
      <c r="E23" s="200">
        <v>0.78350515463917525</v>
      </c>
      <c r="F23" s="762"/>
      <c r="G23" s="762"/>
      <c r="H23" s="762"/>
    </row>
    <row r="24" spans="1:8" s="301" customFormat="1" ht="20.100000000000001" customHeight="1">
      <c r="A24" s="469">
        <v>21</v>
      </c>
      <c r="B24" s="825" t="s">
        <v>35</v>
      </c>
      <c r="C24" s="200">
        <v>1.0056657223796035</v>
      </c>
      <c r="D24" s="200">
        <v>1.0116086235489221</v>
      </c>
      <c r="E24" s="200">
        <v>1.0999999999999999</v>
      </c>
      <c r="F24" s="762"/>
      <c r="G24" s="762"/>
      <c r="H24" s="762"/>
    </row>
    <row r="25" spans="1:8" s="301" customFormat="1" ht="20.100000000000001" customHeight="1">
      <c r="A25" s="469">
        <v>22</v>
      </c>
      <c r="B25" s="825" t="s">
        <v>36</v>
      </c>
      <c r="C25" s="200">
        <v>1.2378854625550662</v>
      </c>
      <c r="D25" s="200">
        <v>1.1717369970559373</v>
      </c>
      <c r="E25" s="200">
        <v>1.306930693069307</v>
      </c>
      <c r="F25" s="762"/>
      <c r="G25" s="762"/>
      <c r="H25" s="762"/>
    </row>
    <row r="26" spans="1:8" s="834" customFormat="1" ht="20.100000000000001" customHeight="1">
      <c r="A26" s="830">
        <v>23</v>
      </c>
      <c r="B26" s="831" t="s">
        <v>37</v>
      </c>
      <c r="C26" s="832">
        <v>1.0573248407643314</v>
      </c>
      <c r="D26" s="832">
        <v>1.4760290556900726</v>
      </c>
      <c r="E26" s="832">
        <v>1.0471698113207546</v>
      </c>
      <c r="F26" s="833"/>
      <c r="G26" s="833"/>
      <c r="H26" s="833"/>
    </row>
    <row r="27" spans="1:8" s="301" customFormat="1" ht="20.100000000000001" customHeight="1">
      <c r="A27" s="469">
        <v>24</v>
      </c>
      <c r="B27" s="825" t="s">
        <v>38</v>
      </c>
      <c r="C27" s="200">
        <v>1.2848484848484849</v>
      </c>
      <c r="D27" s="200"/>
      <c r="E27" s="200">
        <v>1.25</v>
      </c>
      <c r="F27" s="762"/>
      <c r="G27" s="762"/>
      <c r="H27" s="762"/>
    </row>
    <row r="28" spans="1:8" s="301" customFormat="1" ht="20.100000000000001" customHeight="1">
      <c r="A28" s="469">
        <v>25</v>
      </c>
      <c r="B28" s="825" t="s">
        <v>39</v>
      </c>
      <c r="C28" s="200">
        <v>0.87659574468085111</v>
      </c>
      <c r="D28" s="200">
        <v>0.78968253968253965</v>
      </c>
      <c r="E28" s="200">
        <v>0.85628742514970069</v>
      </c>
      <c r="F28" s="762"/>
      <c r="G28" s="762"/>
      <c r="H28" s="762"/>
    </row>
    <row r="29" spans="1:8" s="301" customFormat="1" ht="20.100000000000001" customHeight="1">
      <c r="A29" s="469">
        <v>26</v>
      </c>
      <c r="B29" s="827" t="s">
        <v>40</v>
      </c>
      <c r="C29" s="200">
        <v>1.0180327868852459</v>
      </c>
      <c r="D29" s="200">
        <v>1.0093023255813953</v>
      </c>
      <c r="E29" s="200"/>
      <c r="F29" s="762"/>
      <c r="G29" s="762"/>
      <c r="H29" s="762"/>
    </row>
    <row r="30" spans="1:8" s="301" customFormat="1" ht="20.100000000000001" customHeight="1">
      <c r="A30" s="469">
        <v>27</v>
      </c>
      <c r="B30" s="825" t="s">
        <v>41</v>
      </c>
      <c r="C30" s="200">
        <v>1.1944444444444446</v>
      </c>
      <c r="D30" s="200">
        <v>1.4074074074074074</v>
      </c>
      <c r="E30" s="200"/>
      <c r="F30" s="762"/>
      <c r="G30" s="762"/>
      <c r="H30" s="762"/>
    </row>
    <row r="31" spans="1:8" s="301" customFormat="1" ht="20.100000000000001" customHeight="1">
      <c r="A31" s="469">
        <v>28</v>
      </c>
      <c r="B31" s="828" t="s">
        <v>42</v>
      </c>
      <c r="C31" s="200">
        <v>0.96896551724137936</v>
      </c>
      <c r="D31" s="200">
        <v>0.9595588235294118</v>
      </c>
      <c r="E31" s="200">
        <v>0.95501730103806237</v>
      </c>
      <c r="F31" s="762"/>
      <c r="G31" s="762"/>
      <c r="H31" s="762"/>
    </row>
    <row r="32" spans="1:8" s="301" customFormat="1" ht="20.100000000000001" customHeight="1">
      <c r="A32" s="469">
        <v>29</v>
      </c>
      <c r="B32" s="820" t="s">
        <v>43</v>
      </c>
      <c r="C32" s="200">
        <v>1.2108262108262107</v>
      </c>
      <c r="D32" s="200">
        <v>0.83905579399141628</v>
      </c>
      <c r="E32" s="200">
        <v>1.4222972972972974</v>
      </c>
      <c r="F32" s="762"/>
      <c r="G32" s="762"/>
      <c r="H32" s="762"/>
    </row>
    <row r="33" spans="1:8" s="301" customFormat="1" ht="20.100000000000001" customHeight="1">
      <c r="A33" s="469">
        <v>30</v>
      </c>
      <c r="B33" s="818" t="s">
        <v>44</v>
      </c>
      <c r="C33" s="200">
        <v>1.0106837606837606</v>
      </c>
      <c r="D33" s="200">
        <v>1.0520833333333333</v>
      </c>
      <c r="E33" s="200">
        <v>0.74900398406374502</v>
      </c>
      <c r="F33" s="762"/>
      <c r="G33" s="762"/>
      <c r="H33" s="762"/>
    </row>
    <row r="34" spans="1:8" s="301" customFormat="1" ht="20.100000000000001" customHeight="1">
      <c r="A34" s="469">
        <v>31</v>
      </c>
      <c r="B34" s="828" t="s">
        <v>131</v>
      </c>
      <c r="C34" s="200">
        <v>1.0805194805194807</v>
      </c>
      <c r="D34" s="200">
        <v>1.2050561797752808</v>
      </c>
      <c r="E34" s="200">
        <v>0.94373401534526846</v>
      </c>
      <c r="F34" s="762"/>
      <c r="G34" s="762"/>
      <c r="H34" s="762"/>
    </row>
    <row r="35" spans="1:8" s="301" customFormat="1" ht="24.75" customHeight="1">
      <c r="A35" s="469">
        <v>32</v>
      </c>
      <c r="B35" s="818" t="s">
        <v>1062</v>
      </c>
      <c r="C35" s="200">
        <v>1.9302325581395352</v>
      </c>
      <c r="D35" s="200">
        <v>1.2782258064516128</v>
      </c>
      <c r="E35" s="200">
        <v>1.1739130434782608</v>
      </c>
      <c r="F35" s="762"/>
      <c r="G35" s="762"/>
      <c r="H35" s="762"/>
    </row>
    <row r="36" spans="1:8" s="301" customFormat="1" ht="20.100000000000001" customHeight="1">
      <c r="A36" s="469">
        <v>33</v>
      </c>
      <c r="B36" s="828" t="s">
        <v>45</v>
      </c>
      <c r="C36" s="200">
        <v>0.8904109589041096</v>
      </c>
      <c r="D36" s="200">
        <v>0.8867924528301887</v>
      </c>
      <c r="E36" s="200">
        <v>0.8439306358381502</v>
      </c>
      <c r="F36" s="762"/>
      <c r="G36" s="762"/>
      <c r="H36" s="762"/>
    </row>
    <row r="37" spans="1:8" s="301" customFormat="1" ht="20.100000000000001" customHeight="1">
      <c r="A37" s="469">
        <v>34</v>
      </c>
      <c r="B37" s="825" t="s">
        <v>47</v>
      </c>
      <c r="C37" s="200">
        <v>1.0209205020920502</v>
      </c>
      <c r="D37" s="200">
        <v>1.0761904761904764</v>
      </c>
      <c r="E37" s="200">
        <v>0.90338164251207731</v>
      </c>
      <c r="F37" s="762"/>
      <c r="G37" s="762"/>
      <c r="H37" s="762"/>
    </row>
    <row r="38" spans="1:8" s="301" customFormat="1" ht="20.100000000000001" customHeight="1">
      <c r="A38" s="469">
        <v>35</v>
      </c>
      <c r="B38" s="825" t="s">
        <v>58</v>
      </c>
      <c r="C38" s="200">
        <v>1.0897755610972568</v>
      </c>
      <c r="D38" s="200">
        <v>1.2233676975945018</v>
      </c>
      <c r="E38" s="200">
        <v>0.99762470308788598</v>
      </c>
      <c r="F38" s="762"/>
      <c r="G38" s="762"/>
      <c r="H38" s="762"/>
    </row>
    <row r="39" spans="1:8" s="301" customFormat="1" ht="20.100000000000001" customHeight="1">
      <c r="A39" s="470">
        <v>36</v>
      </c>
      <c r="B39" s="829" t="s">
        <v>48</v>
      </c>
      <c r="C39" s="200">
        <v>1.0347490347490349</v>
      </c>
      <c r="D39" s="200">
        <v>0.95726495726495731</v>
      </c>
      <c r="E39" s="200">
        <v>1.0466666666666666</v>
      </c>
      <c r="F39" s="762"/>
      <c r="G39" s="762"/>
      <c r="H39" s="762"/>
    </row>
    <row r="40" spans="1:8" s="302" customFormat="1" ht="20.100000000000001" customHeight="1">
      <c r="A40" s="1082" t="s">
        <v>49</v>
      </c>
      <c r="B40" s="1083"/>
      <c r="C40" s="201">
        <v>1.0070671378091873</v>
      </c>
      <c r="D40" s="201">
        <v>1.0077519379844961</v>
      </c>
      <c r="E40" s="201">
        <v>0.97663551401869164</v>
      </c>
      <c r="F40" s="762"/>
      <c r="G40" s="762"/>
      <c r="H40" s="762"/>
    </row>
    <row r="41" spans="1:8" s="303" customFormat="1" ht="16.149999999999999" customHeight="1">
      <c r="A41" s="471"/>
      <c r="C41" s="304"/>
    </row>
  </sheetData>
  <mergeCells count="2">
    <mergeCell ref="A1:E1"/>
    <mergeCell ref="A40:B40"/>
  </mergeCells>
  <printOptions horizontalCentered="1"/>
  <pageMargins left="0.62992125984251968" right="0.33" top="0.59055118110236227" bottom="0.59055118110236227" header="0.31496062992125984" footer="0.23622047244094491"/>
  <pageSetup paperSize="9" scale="92" firstPageNumber="24" orientation="portrait" useFirstPageNumber="1" r:id="rId1"/>
  <headerFooter alignWithMargins="0">
    <oddFooter>&amp;L&amp;"Arial,Italic"&amp;9AISHE 2021-22&amp;CT-20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Z63"/>
  <sheetViews>
    <sheetView view="pageBreakPreview" zoomScaleSheetLayoutView="100" workbookViewId="0">
      <pane xSplit="2" ySplit="3" topLeftCell="C4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"/>
  <cols>
    <col min="1" max="1" width="6.140625" style="431" bestFit="1" customWidth="1"/>
    <col min="2" max="2" width="20.28515625" style="128" bestFit="1" customWidth="1"/>
    <col min="3" max="3" width="7.7109375" style="128" customWidth="1"/>
    <col min="4" max="4" width="7.85546875" style="128" bestFit="1" customWidth="1"/>
    <col min="5" max="5" width="9" style="128" bestFit="1" customWidth="1"/>
    <col min="6" max="6" width="6.7109375" style="128" bestFit="1" customWidth="1"/>
    <col min="7" max="7" width="7.85546875" style="128" bestFit="1" customWidth="1"/>
    <col min="8" max="8" width="7.7109375" style="128" customWidth="1"/>
    <col min="9" max="9" width="6.7109375" style="128" bestFit="1" customWidth="1"/>
    <col min="10" max="10" width="7.85546875" style="128" bestFit="1" customWidth="1"/>
    <col min="11" max="11" width="6.7109375" style="128" bestFit="1" customWidth="1"/>
    <col min="12" max="14" width="7.85546875" style="128" bestFit="1" customWidth="1"/>
    <col min="15" max="23" width="10" style="128" customWidth="1"/>
    <col min="24" max="16384" width="9.28515625" style="128"/>
  </cols>
  <sheetData>
    <row r="1" spans="1:23" s="124" customFormat="1" ht="33" customHeight="1">
      <c r="A1" s="431"/>
      <c r="B1" s="835" t="s">
        <v>773</v>
      </c>
      <c r="C1" s="1085" t="s">
        <v>1091</v>
      </c>
      <c r="D1" s="1086"/>
      <c r="E1" s="1086"/>
      <c r="F1" s="1086"/>
      <c r="G1" s="1086"/>
      <c r="H1" s="1086"/>
      <c r="I1" s="1086"/>
      <c r="J1" s="1086"/>
      <c r="K1" s="1086"/>
      <c r="L1" s="1086"/>
      <c r="M1" s="1086"/>
      <c r="N1" s="1086"/>
      <c r="O1" s="1085" t="s">
        <v>1092</v>
      </c>
      <c r="P1" s="1086"/>
      <c r="Q1" s="1086"/>
      <c r="R1" s="1086"/>
      <c r="S1" s="1086"/>
      <c r="T1" s="1086"/>
      <c r="U1" s="1086"/>
      <c r="V1" s="1086"/>
      <c r="W1" s="1086"/>
    </row>
    <row r="2" spans="1:23" s="836" customFormat="1" ht="29.25" customHeight="1">
      <c r="A2" s="967" t="s">
        <v>988</v>
      </c>
      <c r="B2" s="1087" t="s">
        <v>137</v>
      </c>
      <c r="C2" s="1060" t="s">
        <v>136</v>
      </c>
      <c r="D2" s="1061"/>
      <c r="E2" s="1062"/>
      <c r="F2" s="1060" t="s">
        <v>460</v>
      </c>
      <c r="G2" s="1061"/>
      <c r="H2" s="1062"/>
      <c r="I2" s="1060" t="s">
        <v>242</v>
      </c>
      <c r="J2" s="1061"/>
      <c r="K2" s="1062"/>
      <c r="L2" s="1060" t="s">
        <v>243</v>
      </c>
      <c r="M2" s="1061"/>
      <c r="N2" s="1062"/>
      <c r="O2" s="1063" t="s">
        <v>105</v>
      </c>
      <c r="P2" s="1064"/>
      <c r="Q2" s="1065"/>
      <c r="R2" s="1063" t="s">
        <v>106</v>
      </c>
      <c r="S2" s="1064"/>
      <c r="T2" s="1065"/>
      <c r="U2" s="1060" t="s">
        <v>107</v>
      </c>
      <c r="V2" s="1061"/>
      <c r="W2" s="1062"/>
    </row>
    <row r="3" spans="1:23" s="836" customFormat="1" ht="21.75" customHeight="1">
      <c r="A3" s="967"/>
      <c r="B3" s="1015"/>
      <c r="C3" s="760" t="s">
        <v>87</v>
      </c>
      <c r="D3" s="760" t="s">
        <v>88</v>
      </c>
      <c r="E3" s="760" t="s">
        <v>12</v>
      </c>
      <c r="F3" s="760" t="s">
        <v>87</v>
      </c>
      <c r="G3" s="760" t="s">
        <v>88</v>
      </c>
      <c r="H3" s="760" t="s">
        <v>12</v>
      </c>
      <c r="I3" s="760" t="s">
        <v>87</v>
      </c>
      <c r="J3" s="760" t="s">
        <v>88</v>
      </c>
      <c r="K3" s="760" t="s">
        <v>12</v>
      </c>
      <c r="L3" s="760" t="s">
        <v>87</v>
      </c>
      <c r="M3" s="760" t="s">
        <v>88</v>
      </c>
      <c r="N3" s="760" t="s">
        <v>12</v>
      </c>
      <c r="O3" s="760" t="s">
        <v>87</v>
      </c>
      <c r="P3" s="760" t="s">
        <v>88</v>
      </c>
      <c r="Q3" s="760" t="s">
        <v>12</v>
      </c>
      <c r="R3" s="760" t="s">
        <v>87</v>
      </c>
      <c r="S3" s="760" t="s">
        <v>88</v>
      </c>
      <c r="T3" s="760" t="s">
        <v>12</v>
      </c>
      <c r="U3" s="760" t="s">
        <v>87</v>
      </c>
      <c r="V3" s="760" t="s">
        <v>88</v>
      </c>
      <c r="W3" s="760" t="s">
        <v>12</v>
      </c>
    </row>
    <row r="4" spans="1:23" s="838" customFormat="1">
      <c r="A4" s="837">
        <v>1</v>
      </c>
      <c r="B4" s="837">
        <v>2</v>
      </c>
      <c r="C4" s="837">
        <v>3</v>
      </c>
      <c r="D4" s="837">
        <v>4</v>
      </c>
      <c r="E4" s="837">
        <v>5</v>
      </c>
      <c r="F4" s="837">
        <v>6</v>
      </c>
      <c r="G4" s="837">
        <v>7</v>
      </c>
      <c r="H4" s="837">
        <v>8</v>
      </c>
      <c r="I4" s="837">
        <v>9</v>
      </c>
      <c r="J4" s="837">
        <v>10</v>
      </c>
      <c r="K4" s="837">
        <v>11</v>
      </c>
      <c r="L4" s="837">
        <v>12</v>
      </c>
      <c r="M4" s="837">
        <v>13</v>
      </c>
      <c r="N4" s="837">
        <v>14</v>
      </c>
      <c r="O4" s="837">
        <v>15</v>
      </c>
      <c r="P4" s="837">
        <v>16</v>
      </c>
      <c r="Q4" s="837">
        <v>17</v>
      </c>
      <c r="R4" s="837">
        <v>18</v>
      </c>
      <c r="S4" s="837">
        <v>19</v>
      </c>
      <c r="T4" s="837">
        <v>20</v>
      </c>
      <c r="U4" s="837">
        <v>21</v>
      </c>
      <c r="V4" s="837">
        <v>22</v>
      </c>
      <c r="W4" s="837">
        <v>23</v>
      </c>
    </row>
    <row r="5" spans="1:23" ht="32.25" customHeight="1">
      <c r="A5" s="125">
        <v>1</v>
      </c>
      <c r="B5" s="159" t="s">
        <v>1061</v>
      </c>
      <c r="C5" s="325">
        <v>247</v>
      </c>
      <c r="D5" s="325">
        <v>205</v>
      </c>
      <c r="E5" s="325">
        <v>452</v>
      </c>
      <c r="F5" s="325">
        <v>12</v>
      </c>
      <c r="G5" s="325">
        <v>3</v>
      </c>
      <c r="H5" s="325">
        <v>15</v>
      </c>
      <c r="I5" s="325">
        <v>3</v>
      </c>
      <c r="J5" s="325">
        <v>10</v>
      </c>
      <c r="K5" s="325">
        <v>13</v>
      </c>
      <c r="L5" s="325">
        <v>43</v>
      </c>
      <c r="M5" s="325">
        <v>48</v>
      </c>
      <c r="N5" s="325">
        <v>91</v>
      </c>
      <c r="O5" s="325" t="s">
        <v>925</v>
      </c>
      <c r="P5" s="325" t="s">
        <v>925</v>
      </c>
      <c r="Q5" s="325" t="s">
        <v>925</v>
      </c>
      <c r="R5" s="325">
        <v>8</v>
      </c>
      <c r="S5" s="325">
        <v>12</v>
      </c>
      <c r="T5" s="325">
        <v>20</v>
      </c>
      <c r="U5" s="325">
        <v>31</v>
      </c>
      <c r="V5" s="325">
        <v>39</v>
      </c>
      <c r="W5" s="325">
        <v>70</v>
      </c>
    </row>
    <row r="6" spans="1:23" ht="24.75" customHeight="1">
      <c r="A6" s="125">
        <v>2</v>
      </c>
      <c r="B6" s="159" t="s">
        <v>15</v>
      </c>
      <c r="C6" s="325">
        <v>65930</v>
      </c>
      <c r="D6" s="325">
        <v>40608</v>
      </c>
      <c r="E6" s="325">
        <v>106538</v>
      </c>
      <c r="F6" s="325">
        <v>8669</v>
      </c>
      <c r="G6" s="325">
        <v>6899</v>
      </c>
      <c r="H6" s="325">
        <v>15568</v>
      </c>
      <c r="I6" s="325">
        <v>1210</v>
      </c>
      <c r="J6" s="325">
        <v>597</v>
      </c>
      <c r="K6" s="325">
        <v>1807</v>
      </c>
      <c r="L6" s="325">
        <v>24660</v>
      </c>
      <c r="M6" s="325">
        <v>14030</v>
      </c>
      <c r="N6" s="325">
        <v>38690</v>
      </c>
      <c r="O6" s="325">
        <v>500</v>
      </c>
      <c r="P6" s="325">
        <v>207</v>
      </c>
      <c r="Q6" s="325">
        <v>707</v>
      </c>
      <c r="R6" s="325">
        <v>3213</v>
      </c>
      <c r="S6" s="325">
        <v>1842</v>
      </c>
      <c r="T6" s="325">
        <v>5055</v>
      </c>
      <c r="U6" s="325">
        <v>2041</v>
      </c>
      <c r="V6" s="325">
        <v>2668</v>
      </c>
      <c r="W6" s="325">
        <v>4709</v>
      </c>
    </row>
    <row r="7" spans="1:23" ht="24.75" customHeight="1">
      <c r="A7" s="125">
        <v>3</v>
      </c>
      <c r="B7" s="159" t="s">
        <v>16</v>
      </c>
      <c r="C7" s="325">
        <v>1276</v>
      </c>
      <c r="D7" s="325">
        <v>1017</v>
      </c>
      <c r="E7" s="325">
        <v>2293</v>
      </c>
      <c r="F7" s="325">
        <v>62</v>
      </c>
      <c r="G7" s="325">
        <v>20</v>
      </c>
      <c r="H7" s="325">
        <v>82</v>
      </c>
      <c r="I7" s="325">
        <v>548</v>
      </c>
      <c r="J7" s="325">
        <v>704</v>
      </c>
      <c r="K7" s="325">
        <v>1252</v>
      </c>
      <c r="L7" s="325">
        <v>167</v>
      </c>
      <c r="M7" s="325">
        <v>61</v>
      </c>
      <c r="N7" s="325">
        <v>228</v>
      </c>
      <c r="O7" s="325">
        <v>14</v>
      </c>
      <c r="P7" s="325">
        <v>3</v>
      </c>
      <c r="Q7" s="325">
        <v>17</v>
      </c>
      <c r="R7" s="325">
        <v>46</v>
      </c>
      <c r="S7" s="325">
        <v>13</v>
      </c>
      <c r="T7" s="325">
        <v>59</v>
      </c>
      <c r="U7" s="325">
        <v>513</v>
      </c>
      <c r="V7" s="325">
        <v>652</v>
      </c>
      <c r="W7" s="325">
        <v>1165</v>
      </c>
    </row>
    <row r="8" spans="1:23" ht="24.75" customHeight="1">
      <c r="A8" s="125">
        <v>4</v>
      </c>
      <c r="B8" s="159" t="s">
        <v>17</v>
      </c>
      <c r="C8" s="325">
        <v>13385</v>
      </c>
      <c r="D8" s="325">
        <v>9951</v>
      </c>
      <c r="E8" s="325">
        <v>23336</v>
      </c>
      <c r="F8" s="325">
        <v>885</v>
      </c>
      <c r="G8" s="325">
        <v>639</v>
      </c>
      <c r="H8" s="325">
        <v>1524</v>
      </c>
      <c r="I8" s="325">
        <v>1743</v>
      </c>
      <c r="J8" s="325">
        <v>1579</v>
      </c>
      <c r="K8" s="325">
        <v>3322</v>
      </c>
      <c r="L8" s="325">
        <v>3103</v>
      </c>
      <c r="M8" s="325">
        <v>2564</v>
      </c>
      <c r="N8" s="325">
        <v>5667</v>
      </c>
      <c r="O8" s="325">
        <v>91</v>
      </c>
      <c r="P8" s="325">
        <v>42</v>
      </c>
      <c r="Q8" s="325">
        <v>133</v>
      </c>
      <c r="R8" s="325">
        <v>2164</v>
      </c>
      <c r="S8" s="325">
        <v>690</v>
      </c>
      <c r="T8" s="325">
        <v>2854</v>
      </c>
      <c r="U8" s="325">
        <v>326</v>
      </c>
      <c r="V8" s="325">
        <v>430</v>
      </c>
      <c r="W8" s="325">
        <v>756</v>
      </c>
    </row>
    <row r="9" spans="1:23" ht="24.75" customHeight="1">
      <c r="A9" s="125">
        <v>5</v>
      </c>
      <c r="B9" s="159" t="s">
        <v>18</v>
      </c>
      <c r="C9" s="325">
        <v>28896</v>
      </c>
      <c r="D9" s="325">
        <v>9256</v>
      </c>
      <c r="E9" s="325">
        <v>38152</v>
      </c>
      <c r="F9" s="325">
        <v>1765</v>
      </c>
      <c r="G9" s="325">
        <v>380</v>
      </c>
      <c r="H9" s="325">
        <v>2145</v>
      </c>
      <c r="I9" s="325">
        <v>136</v>
      </c>
      <c r="J9" s="325">
        <v>120</v>
      </c>
      <c r="K9" s="325">
        <v>256</v>
      </c>
      <c r="L9" s="325">
        <v>10891</v>
      </c>
      <c r="M9" s="325">
        <v>2998</v>
      </c>
      <c r="N9" s="325">
        <v>13889</v>
      </c>
      <c r="O9" s="325">
        <v>263</v>
      </c>
      <c r="P9" s="325">
        <v>61</v>
      </c>
      <c r="Q9" s="325">
        <v>324</v>
      </c>
      <c r="R9" s="325">
        <v>2705</v>
      </c>
      <c r="S9" s="325">
        <v>674</v>
      </c>
      <c r="T9" s="325">
        <v>3379</v>
      </c>
      <c r="U9" s="325">
        <v>212</v>
      </c>
      <c r="V9" s="325">
        <v>365</v>
      </c>
      <c r="W9" s="325">
        <v>577</v>
      </c>
    </row>
    <row r="10" spans="1:23" ht="24.75" customHeight="1">
      <c r="A10" s="125">
        <v>6</v>
      </c>
      <c r="B10" s="159" t="s">
        <v>19</v>
      </c>
      <c r="C10" s="325">
        <v>1564</v>
      </c>
      <c r="D10" s="325">
        <v>2170</v>
      </c>
      <c r="E10" s="325">
        <v>3734</v>
      </c>
      <c r="F10" s="325">
        <v>212</v>
      </c>
      <c r="G10" s="325">
        <v>108</v>
      </c>
      <c r="H10" s="325">
        <v>320</v>
      </c>
      <c r="I10" s="325">
        <v>21</v>
      </c>
      <c r="J10" s="325">
        <v>14</v>
      </c>
      <c r="K10" s="325">
        <v>35</v>
      </c>
      <c r="L10" s="325">
        <v>152</v>
      </c>
      <c r="M10" s="325">
        <v>84</v>
      </c>
      <c r="N10" s="325">
        <v>236</v>
      </c>
      <c r="O10" s="325">
        <v>17</v>
      </c>
      <c r="P10" s="325">
        <v>5</v>
      </c>
      <c r="Q10" s="325">
        <v>22</v>
      </c>
      <c r="R10" s="325">
        <v>16</v>
      </c>
      <c r="S10" s="325">
        <v>12</v>
      </c>
      <c r="T10" s="325">
        <v>28</v>
      </c>
      <c r="U10" s="325">
        <v>291</v>
      </c>
      <c r="V10" s="325">
        <v>577</v>
      </c>
      <c r="W10" s="325">
        <v>868</v>
      </c>
    </row>
    <row r="11" spans="1:23" ht="24.75" customHeight="1">
      <c r="A11" s="125">
        <v>7</v>
      </c>
      <c r="B11" s="159" t="s">
        <v>20</v>
      </c>
      <c r="C11" s="325">
        <v>11873</v>
      </c>
      <c r="D11" s="325">
        <v>11722</v>
      </c>
      <c r="E11" s="325">
        <v>23595</v>
      </c>
      <c r="F11" s="325">
        <v>1229</v>
      </c>
      <c r="G11" s="325">
        <v>868</v>
      </c>
      <c r="H11" s="325">
        <v>2097</v>
      </c>
      <c r="I11" s="325">
        <v>780</v>
      </c>
      <c r="J11" s="325">
        <v>899</v>
      </c>
      <c r="K11" s="325">
        <v>1679</v>
      </c>
      <c r="L11" s="325">
        <v>3799</v>
      </c>
      <c r="M11" s="325">
        <v>3427</v>
      </c>
      <c r="N11" s="325">
        <v>7226</v>
      </c>
      <c r="O11" s="325">
        <v>76</v>
      </c>
      <c r="P11" s="325">
        <v>45</v>
      </c>
      <c r="Q11" s="325">
        <v>121</v>
      </c>
      <c r="R11" s="325">
        <v>265</v>
      </c>
      <c r="S11" s="325">
        <v>324</v>
      </c>
      <c r="T11" s="325">
        <v>589</v>
      </c>
      <c r="U11" s="325">
        <v>524</v>
      </c>
      <c r="V11" s="325">
        <v>1093</v>
      </c>
      <c r="W11" s="325">
        <v>1617</v>
      </c>
    </row>
    <row r="12" spans="1:23" ht="24.75" customHeight="1">
      <c r="A12" s="125">
        <v>8</v>
      </c>
      <c r="B12" s="159" t="s">
        <v>23</v>
      </c>
      <c r="C12" s="325">
        <v>10580</v>
      </c>
      <c r="D12" s="325">
        <v>12349</v>
      </c>
      <c r="E12" s="325">
        <v>22929</v>
      </c>
      <c r="F12" s="325">
        <v>1234</v>
      </c>
      <c r="G12" s="325">
        <v>902</v>
      </c>
      <c r="H12" s="325">
        <v>2136</v>
      </c>
      <c r="I12" s="325">
        <v>390</v>
      </c>
      <c r="J12" s="325">
        <v>284</v>
      </c>
      <c r="K12" s="325">
        <v>674</v>
      </c>
      <c r="L12" s="325">
        <v>1497</v>
      </c>
      <c r="M12" s="325">
        <v>1005</v>
      </c>
      <c r="N12" s="325">
        <v>2502</v>
      </c>
      <c r="O12" s="325">
        <v>216</v>
      </c>
      <c r="P12" s="325">
        <v>94</v>
      </c>
      <c r="Q12" s="325">
        <v>310</v>
      </c>
      <c r="R12" s="325">
        <v>959</v>
      </c>
      <c r="S12" s="325">
        <v>487</v>
      </c>
      <c r="T12" s="325">
        <v>1446</v>
      </c>
      <c r="U12" s="325">
        <v>570</v>
      </c>
      <c r="V12" s="325">
        <v>1064</v>
      </c>
      <c r="W12" s="325">
        <v>1634</v>
      </c>
    </row>
    <row r="13" spans="1:23" ht="24.75" customHeight="1">
      <c r="A13" s="125">
        <v>9</v>
      </c>
      <c r="B13" s="159" t="s">
        <v>24</v>
      </c>
      <c r="C13" s="325">
        <v>1756</v>
      </c>
      <c r="D13" s="325">
        <v>2147</v>
      </c>
      <c r="E13" s="325">
        <v>3903</v>
      </c>
      <c r="F13" s="325">
        <v>28</v>
      </c>
      <c r="G13" s="325">
        <v>13</v>
      </c>
      <c r="H13" s="325">
        <v>41</v>
      </c>
      <c r="I13" s="325">
        <v>65</v>
      </c>
      <c r="J13" s="325">
        <v>62</v>
      </c>
      <c r="K13" s="325">
        <v>127</v>
      </c>
      <c r="L13" s="325">
        <v>185</v>
      </c>
      <c r="M13" s="325">
        <v>236</v>
      </c>
      <c r="N13" s="325">
        <v>421</v>
      </c>
      <c r="O13" s="325">
        <v>9</v>
      </c>
      <c r="P13" s="325">
        <v>9</v>
      </c>
      <c r="Q13" s="325">
        <v>18</v>
      </c>
      <c r="R13" s="325">
        <v>27</v>
      </c>
      <c r="S13" s="325">
        <v>53</v>
      </c>
      <c r="T13" s="325">
        <v>80</v>
      </c>
      <c r="U13" s="325">
        <v>311</v>
      </c>
      <c r="V13" s="325">
        <v>634</v>
      </c>
      <c r="W13" s="325">
        <v>945</v>
      </c>
    </row>
    <row r="14" spans="1:23" ht="24.75" customHeight="1">
      <c r="A14" s="125">
        <v>10</v>
      </c>
      <c r="B14" s="159" t="s">
        <v>25</v>
      </c>
      <c r="C14" s="325">
        <v>35328</v>
      </c>
      <c r="D14" s="325">
        <v>26475</v>
      </c>
      <c r="E14" s="325">
        <v>61803</v>
      </c>
      <c r="F14" s="325">
        <v>2380</v>
      </c>
      <c r="G14" s="325">
        <v>1620</v>
      </c>
      <c r="H14" s="325">
        <v>4000</v>
      </c>
      <c r="I14" s="325">
        <v>1704</v>
      </c>
      <c r="J14" s="325">
        <v>1393</v>
      </c>
      <c r="K14" s="325">
        <v>3097</v>
      </c>
      <c r="L14" s="325">
        <v>7433</v>
      </c>
      <c r="M14" s="325">
        <v>4719</v>
      </c>
      <c r="N14" s="325">
        <v>12152</v>
      </c>
      <c r="O14" s="325">
        <v>251</v>
      </c>
      <c r="P14" s="325">
        <v>175</v>
      </c>
      <c r="Q14" s="325">
        <v>426</v>
      </c>
      <c r="R14" s="325">
        <v>1036</v>
      </c>
      <c r="S14" s="325">
        <v>697</v>
      </c>
      <c r="T14" s="325">
        <v>1733</v>
      </c>
      <c r="U14" s="325">
        <v>1008</v>
      </c>
      <c r="V14" s="325">
        <v>1176</v>
      </c>
      <c r="W14" s="325">
        <v>2184</v>
      </c>
    </row>
    <row r="15" spans="1:23" ht="24.75" customHeight="1">
      <c r="A15" s="125">
        <v>11</v>
      </c>
      <c r="B15" s="159" t="s">
        <v>26</v>
      </c>
      <c r="C15" s="325">
        <v>19012</v>
      </c>
      <c r="D15" s="325">
        <v>22086</v>
      </c>
      <c r="E15" s="325">
        <v>41098</v>
      </c>
      <c r="F15" s="325">
        <v>1676</v>
      </c>
      <c r="G15" s="325">
        <v>1147</v>
      </c>
      <c r="H15" s="325">
        <v>2823</v>
      </c>
      <c r="I15" s="325">
        <v>29</v>
      </c>
      <c r="J15" s="325">
        <v>21</v>
      </c>
      <c r="K15" s="325">
        <v>50</v>
      </c>
      <c r="L15" s="325">
        <v>2452</v>
      </c>
      <c r="M15" s="325">
        <v>2518</v>
      </c>
      <c r="N15" s="325">
        <v>4970</v>
      </c>
      <c r="O15" s="325">
        <v>178</v>
      </c>
      <c r="P15" s="325">
        <v>134</v>
      </c>
      <c r="Q15" s="325">
        <v>312</v>
      </c>
      <c r="R15" s="325">
        <v>554</v>
      </c>
      <c r="S15" s="325">
        <v>194</v>
      </c>
      <c r="T15" s="325">
        <v>748</v>
      </c>
      <c r="U15" s="325">
        <v>667</v>
      </c>
      <c r="V15" s="325">
        <v>1069</v>
      </c>
      <c r="W15" s="325">
        <v>1736</v>
      </c>
    </row>
    <row r="16" spans="1:23" ht="24.75" customHeight="1">
      <c r="A16" s="125">
        <v>12</v>
      </c>
      <c r="B16" s="159" t="s">
        <v>27</v>
      </c>
      <c r="C16" s="325">
        <v>5522</v>
      </c>
      <c r="D16" s="325">
        <v>5373</v>
      </c>
      <c r="E16" s="325">
        <v>10895</v>
      </c>
      <c r="F16" s="325">
        <v>565</v>
      </c>
      <c r="G16" s="325">
        <v>460</v>
      </c>
      <c r="H16" s="325">
        <v>1025</v>
      </c>
      <c r="I16" s="325">
        <v>223</v>
      </c>
      <c r="J16" s="325">
        <v>181</v>
      </c>
      <c r="K16" s="325">
        <v>404</v>
      </c>
      <c r="L16" s="325">
        <v>342</v>
      </c>
      <c r="M16" s="325">
        <v>343</v>
      </c>
      <c r="N16" s="325">
        <v>685</v>
      </c>
      <c r="O16" s="325">
        <v>57</v>
      </c>
      <c r="P16" s="325">
        <v>25</v>
      </c>
      <c r="Q16" s="325">
        <v>82</v>
      </c>
      <c r="R16" s="325">
        <v>55</v>
      </c>
      <c r="S16" s="325">
        <v>40</v>
      </c>
      <c r="T16" s="325">
        <v>95</v>
      </c>
      <c r="U16" s="325">
        <v>200</v>
      </c>
      <c r="V16" s="325">
        <v>184</v>
      </c>
      <c r="W16" s="325">
        <v>384</v>
      </c>
    </row>
    <row r="17" spans="1:23" ht="24.75" customHeight="1">
      <c r="A17" s="125">
        <v>13</v>
      </c>
      <c r="B17" s="159" t="s">
        <v>57</v>
      </c>
      <c r="C17" s="325">
        <v>6638</v>
      </c>
      <c r="D17" s="325">
        <v>4725</v>
      </c>
      <c r="E17" s="325">
        <v>11363</v>
      </c>
      <c r="F17" s="325">
        <v>304</v>
      </c>
      <c r="G17" s="325">
        <v>258</v>
      </c>
      <c r="H17" s="325">
        <v>562</v>
      </c>
      <c r="I17" s="325">
        <v>186</v>
      </c>
      <c r="J17" s="325">
        <v>65</v>
      </c>
      <c r="K17" s="325">
        <v>251</v>
      </c>
      <c r="L17" s="325">
        <v>295</v>
      </c>
      <c r="M17" s="325">
        <v>126</v>
      </c>
      <c r="N17" s="325">
        <v>421</v>
      </c>
      <c r="O17" s="325">
        <v>85</v>
      </c>
      <c r="P17" s="325">
        <v>38</v>
      </c>
      <c r="Q17" s="325">
        <v>123</v>
      </c>
      <c r="R17" s="325">
        <v>4448</v>
      </c>
      <c r="S17" s="325">
        <v>2137</v>
      </c>
      <c r="T17" s="325">
        <v>6585</v>
      </c>
      <c r="U17" s="325">
        <v>199</v>
      </c>
      <c r="V17" s="325">
        <v>313</v>
      </c>
      <c r="W17" s="325">
        <v>512</v>
      </c>
    </row>
    <row r="18" spans="1:23" ht="24.75" customHeight="1">
      <c r="A18" s="125">
        <v>14</v>
      </c>
      <c r="B18" s="159" t="s">
        <v>29</v>
      </c>
      <c r="C18" s="325">
        <v>9932</v>
      </c>
      <c r="D18" s="325">
        <v>5157</v>
      </c>
      <c r="E18" s="325">
        <v>15089</v>
      </c>
      <c r="F18" s="325">
        <v>546</v>
      </c>
      <c r="G18" s="325">
        <v>182</v>
      </c>
      <c r="H18" s="325">
        <v>728</v>
      </c>
      <c r="I18" s="325">
        <v>571</v>
      </c>
      <c r="J18" s="325">
        <v>1072</v>
      </c>
      <c r="K18" s="325">
        <v>1643</v>
      </c>
      <c r="L18" s="325">
        <v>3020</v>
      </c>
      <c r="M18" s="325">
        <v>1113</v>
      </c>
      <c r="N18" s="325">
        <v>4133</v>
      </c>
      <c r="O18" s="325">
        <v>81</v>
      </c>
      <c r="P18" s="325">
        <v>22</v>
      </c>
      <c r="Q18" s="325">
        <v>103</v>
      </c>
      <c r="R18" s="325">
        <v>692</v>
      </c>
      <c r="S18" s="325">
        <v>286</v>
      </c>
      <c r="T18" s="325">
        <v>978</v>
      </c>
      <c r="U18" s="325">
        <v>486</v>
      </c>
      <c r="V18" s="325">
        <v>1050</v>
      </c>
      <c r="W18" s="325">
        <v>1536</v>
      </c>
    </row>
    <row r="19" spans="1:23" ht="26.25" customHeight="1">
      <c r="A19" s="125">
        <v>15</v>
      </c>
      <c r="B19" s="159" t="s">
        <v>30</v>
      </c>
      <c r="C19" s="325">
        <v>79227</v>
      </c>
      <c r="D19" s="325">
        <v>71658</v>
      </c>
      <c r="E19" s="325">
        <v>150885</v>
      </c>
      <c r="F19" s="325">
        <v>8405</v>
      </c>
      <c r="G19" s="325">
        <v>4687</v>
      </c>
      <c r="H19" s="325">
        <v>13092</v>
      </c>
      <c r="I19" s="325">
        <v>2256</v>
      </c>
      <c r="J19" s="325">
        <v>1159</v>
      </c>
      <c r="K19" s="325">
        <v>3415</v>
      </c>
      <c r="L19" s="325">
        <v>29913</v>
      </c>
      <c r="M19" s="325">
        <v>26514</v>
      </c>
      <c r="N19" s="325">
        <v>56427</v>
      </c>
      <c r="O19" s="325">
        <v>654</v>
      </c>
      <c r="P19" s="325">
        <v>442</v>
      </c>
      <c r="Q19" s="325">
        <v>1096</v>
      </c>
      <c r="R19" s="325">
        <v>4813</v>
      </c>
      <c r="S19" s="325">
        <v>4479</v>
      </c>
      <c r="T19" s="325">
        <v>9292</v>
      </c>
      <c r="U19" s="325">
        <v>4376</v>
      </c>
      <c r="V19" s="325">
        <v>9026</v>
      </c>
      <c r="W19" s="325">
        <v>13402</v>
      </c>
    </row>
    <row r="20" spans="1:23" ht="24.75" customHeight="1">
      <c r="A20" s="125">
        <v>16</v>
      </c>
      <c r="B20" s="159" t="s">
        <v>31</v>
      </c>
      <c r="C20" s="325">
        <v>23516</v>
      </c>
      <c r="D20" s="325">
        <v>39339</v>
      </c>
      <c r="E20" s="325">
        <v>62855</v>
      </c>
      <c r="F20" s="325">
        <v>980</v>
      </c>
      <c r="G20" s="325">
        <v>1521</v>
      </c>
      <c r="H20" s="325">
        <v>2501</v>
      </c>
      <c r="I20" s="325">
        <v>97</v>
      </c>
      <c r="J20" s="325">
        <v>108</v>
      </c>
      <c r="K20" s="325">
        <v>205</v>
      </c>
      <c r="L20" s="325">
        <v>9202</v>
      </c>
      <c r="M20" s="325">
        <v>15471</v>
      </c>
      <c r="N20" s="325">
        <v>24673</v>
      </c>
      <c r="O20" s="325">
        <v>205</v>
      </c>
      <c r="P20" s="325">
        <v>158</v>
      </c>
      <c r="Q20" s="325">
        <v>363</v>
      </c>
      <c r="R20" s="325">
        <v>4200</v>
      </c>
      <c r="S20" s="325">
        <v>4414</v>
      </c>
      <c r="T20" s="325">
        <v>8614</v>
      </c>
      <c r="U20" s="325">
        <v>6932</v>
      </c>
      <c r="V20" s="325">
        <v>12590</v>
      </c>
      <c r="W20" s="325">
        <v>19522</v>
      </c>
    </row>
    <row r="21" spans="1:23" ht="24.75" customHeight="1">
      <c r="A21" s="125">
        <v>17</v>
      </c>
      <c r="B21" s="159" t="s">
        <v>154</v>
      </c>
      <c r="C21" s="325">
        <v>159</v>
      </c>
      <c r="D21" s="325">
        <v>115</v>
      </c>
      <c r="E21" s="325">
        <v>274</v>
      </c>
      <c r="F21" s="325">
        <v>2</v>
      </c>
      <c r="G21" s="325">
        <v>1</v>
      </c>
      <c r="H21" s="325">
        <v>3</v>
      </c>
      <c r="I21" s="325">
        <v>126</v>
      </c>
      <c r="J21" s="325">
        <v>111</v>
      </c>
      <c r="K21" s="325">
        <v>237</v>
      </c>
      <c r="L21" s="325">
        <v>0</v>
      </c>
      <c r="M21" s="325">
        <v>0</v>
      </c>
      <c r="N21" s="325">
        <v>0</v>
      </c>
      <c r="O21" s="325">
        <v>1</v>
      </c>
      <c r="P21" s="325" t="s">
        <v>925</v>
      </c>
      <c r="Q21" s="325">
        <v>1</v>
      </c>
      <c r="R21" s="325">
        <v>87</v>
      </c>
      <c r="S21" s="325">
        <v>35</v>
      </c>
      <c r="T21" s="325">
        <v>122</v>
      </c>
      <c r="U21" s="325">
        <v>60</v>
      </c>
      <c r="V21" s="325">
        <v>77</v>
      </c>
      <c r="W21" s="325">
        <v>137</v>
      </c>
    </row>
    <row r="22" spans="1:23" ht="24.75" customHeight="1">
      <c r="A22" s="125">
        <v>18</v>
      </c>
      <c r="B22" s="159" t="s">
        <v>32</v>
      </c>
      <c r="C22" s="325">
        <v>5</v>
      </c>
      <c r="D22" s="325">
        <v>5</v>
      </c>
      <c r="E22" s="325">
        <v>10</v>
      </c>
      <c r="F22" s="325">
        <v>1</v>
      </c>
      <c r="G22" s="325">
        <v>2</v>
      </c>
      <c r="H22" s="325">
        <v>3</v>
      </c>
      <c r="I22" s="325">
        <v>4</v>
      </c>
      <c r="J22" s="325">
        <v>2</v>
      </c>
      <c r="K22" s="325">
        <v>6</v>
      </c>
      <c r="L22" s="325">
        <v>0</v>
      </c>
      <c r="M22" s="325">
        <v>1</v>
      </c>
      <c r="N22" s="325">
        <v>1</v>
      </c>
      <c r="O22" s="325" t="s">
        <v>925</v>
      </c>
      <c r="P22" s="325" t="s">
        <v>925</v>
      </c>
      <c r="Q22" s="325" t="s">
        <v>925</v>
      </c>
      <c r="R22" s="325">
        <v>4</v>
      </c>
      <c r="S22" s="325">
        <v>2</v>
      </c>
      <c r="T22" s="325">
        <v>6</v>
      </c>
      <c r="U22" s="325" t="s">
        <v>925</v>
      </c>
      <c r="V22" s="325" t="s">
        <v>925</v>
      </c>
      <c r="W22" s="325" t="s">
        <v>925</v>
      </c>
    </row>
    <row r="23" spans="1:23" ht="24.75" customHeight="1">
      <c r="A23" s="125">
        <v>19</v>
      </c>
      <c r="B23" s="159" t="s">
        <v>33</v>
      </c>
      <c r="C23" s="325">
        <v>47319</v>
      </c>
      <c r="D23" s="325">
        <v>35142</v>
      </c>
      <c r="E23" s="325">
        <v>82461</v>
      </c>
      <c r="F23" s="325">
        <v>3875</v>
      </c>
      <c r="G23" s="325">
        <v>2260</v>
      </c>
      <c r="H23" s="325">
        <v>6135</v>
      </c>
      <c r="I23" s="325">
        <v>1286</v>
      </c>
      <c r="J23" s="325">
        <v>950</v>
      </c>
      <c r="K23" s="325">
        <v>2236</v>
      </c>
      <c r="L23" s="325">
        <v>11900</v>
      </c>
      <c r="M23" s="325">
        <v>7965</v>
      </c>
      <c r="N23" s="325">
        <v>19865</v>
      </c>
      <c r="O23" s="325">
        <v>506</v>
      </c>
      <c r="P23" s="325">
        <v>267</v>
      </c>
      <c r="Q23" s="325">
        <v>773</v>
      </c>
      <c r="R23" s="325">
        <v>1992</v>
      </c>
      <c r="S23" s="325">
        <v>1494</v>
      </c>
      <c r="T23" s="325">
        <v>3486</v>
      </c>
      <c r="U23" s="325">
        <v>1564</v>
      </c>
      <c r="V23" s="325">
        <v>2251</v>
      </c>
      <c r="W23" s="325">
        <v>3815</v>
      </c>
    </row>
    <row r="24" spans="1:23" ht="24.75" customHeight="1">
      <c r="A24" s="125">
        <v>20</v>
      </c>
      <c r="B24" s="159" t="s">
        <v>34</v>
      </c>
      <c r="C24" s="325">
        <v>95779</v>
      </c>
      <c r="D24" s="325">
        <v>71913</v>
      </c>
      <c r="E24" s="325">
        <v>167692</v>
      </c>
      <c r="F24" s="325">
        <v>12149</v>
      </c>
      <c r="G24" s="325">
        <v>7403</v>
      </c>
      <c r="H24" s="325">
        <v>19552</v>
      </c>
      <c r="I24" s="325">
        <v>1998</v>
      </c>
      <c r="J24" s="325">
        <v>891</v>
      </c>
      <c r="K24" s="325">
        <v>2889</v>
      </c>
      <c r="L24" s="325">
        <v>22762</v>
      </c>
      <c r="M24" s="325">
        <v>14736</v>
      </c>
      <c r="N24" s="325">
        <v>37498</v>
      </c>
      <c r="O24" s="325">
        <v>704</v>
      </c>
      <c r="P24" s="325">
        <v>385</v>
      </c>
      <c r="Q24" s="325">
        <v>1089</v>
      </c>
      <c r="R24" s="325">
        <v>4942</v>
      </c>
      <c r="S24" s="325">
        <v>3546</v>
      </c>
      <c r="T24" s="325">
        <v>8488</v>
      </c>
      <c r="U24" s="325">
        <v>6930</v>
      </c>
      <c r="V24" s="325">
        <v>6183</v>
      </c>
      <c r="W24" s="325">
        <v>13113</v>
      </c>
    </row>
    <row r="25" spans="1:23" ht="24.75" customHeight="1">
      <c r="A25" s="125">
        <v>21</v>
      </c>
      <c r="B25" s="159" t="s">
        <v>35</v>
      </c>
      <c r="C25" s="325">
        <v>3103</v>
      </c>
      <c r="D25" s="325">
        <v>3167</v>
      </c>
      <c r="E25" s="325">
        <v>6270</v>
      </c>
      <c r="F25" s="325">
        <v>226</v>
      </c>
      <c r="G25" s="325">
        <v>148</v>
      </c>
      <c r="H25" s="325">
        <v>374</v>
      </c>
      <c r="I25" s="325">
        <v>454</v>
      </c>
      <c r="J25" s="325">
        <v>490</v>
      </c>
      <c r="K25" s="325">
        <v>944</v>
      </c>
      <c r="L25" s="325">
        <v>663</v>
      </c>
      <c r="M25" s="325">
        <v>607</v>
      </c>
      <c r="N25" s="325">
        <v>1270</v>
      </c>
      <c r="O25" s="325">
        <v>15</v>
      </c>
      <c r="P25" s="325">
        <v>17</v>
      </c>
      <c r="Q25" s="325">
        <v>32</v>
      </c>
      <c r="R25" s="325">
        <v>109</v>
      </c>
      <c r="S25" s="325">
        <v>33</v>
      </c>
      <c r="T25" s="325">
        <v>142</v>
      </c>
      <c r="U25" s="325">
        <v>613</v>
      </c>
      <c r="V25" s="325">
        <v>583</v>
      </c>
      <c r="W25" s="325">
        <v>1196</v>
      </c>
    </row>
    <row r="26" spans="1:23" ht="24.75" customHeight="1">
      <c r="A26" s="125">
        <v>22</v>
      </c>
      <c r="B26" s="159" t="s">
        <v>36</v>
      </c>
      <c r="C26" s="325">
        <v>1630</v>
      </c>
      <c r="D26" s="325">
        <v>2175</v>
      </c>
      <c r="E26" s="325">
        <v>3805</v>
      </c>
      <c r="F26" s="325">
        <v>51</v>
      </c>
      <c r="G26" s="325">
        <v>37</v>
      </c>
      <c r="H26" s="325">
        <v>88</v>
      </c>
      <c r="I26" s="325">
        <v>951</v>
      </c>
      <c r="J26" s="325">
        <v>1730</v>
      </c>
      <c r="K26" s="325">
        <v>2681</v>
      </c>
      <c r="L26" s="325">
        <v>85</v>
      </c>
      <c r="M26" s="325">
        <v>45</v>
      </c>
      <c r="N26" s="325">
        <v>130</v>
      </c>
      <c r="O26" s="325">
        <v>13</v>
      </c>
      <c r="P26" s="325">
        <v>4</v>
      </c>
      <c r="Q26" s="325">
        <v>17</v>
      </c>
      <c r="R26" s="325">
        <v>102</v>
      </c>
      <c r="S26" s="325">
        <v>58</v>
      </c>
      <c r="T26" s="325">
        <v>160</v>
      </c>
      <c r="U26" s="325">
        <v>952</v>
      </c>
      <c r="V26" s="325">
        <v>1742</v>
      </c>
      <c r="W26" s="325">
        <v>2694</v>
      </c>
    </row>
    <row r="27" spans="1:23" ht="24.75" customHeight="1">
      <c r="A27" s="125">
        <v>23</v>
      </c>
      <c r="B27" s="159" t="s">
        <v>37</v>
      </c>
      <c r="C27" s="325">
        <v>1168</v>
      </c>
      <c r="D27" s="325">
        <v>1042</v>
      </c>
      <c r="E27" s="325">
        <v>2210</v>
      </c>
      <c r="F27" s="325">
        <v>39</v>
      </c>
      <c r="G27" s="325">
        <v>13</v>
      </c>
      <c r="H27" s="325">
        <v>52</v>
      </c>
      <c r="I27" s="325">
        <v>873</v>
      </c>
      <c r="J27" s="325">
        <v>979</v>
      </c>
      <c r="K27" s="325">
        <v>1852</v>
      </c>
      <c r="L27" s="325">
        <v>79</v>
      </c>
      <c r="M27" s="325">
        <v>13</v>
      </c>
      <c r="N27" s="325">
        <v>92</v>
      </c>
      <c r="O27" s="325">
        <v>3</v>
      </c>
      <c r="P27" s="325">
        <v>1</v>
      </c>
      <c r="Q27" s="325">
        <v>4</v>
      </c>
      <c r="R27" s="325">
        <v>16</v>
      </c>
      <c r="S27" s="325">
        <v>2</v>
      </c>
      <c r="T27" s="325">
        <v>18</v>
      </c>
      <c r="U27" s="325">
        <v>877</v>
      </c>
      <c r="V27" s="325">
        <v>986</v>
      </c>
      <c r="W27" s="325">
        <v>1863</v>
      </c>
    </row>
    <row r="28" spans="1:23" ht="24.75" customHeight="1">
      <c r="A28" s="125">
        <v>24</v>
      </c>
      <c r="B28" s="159" t="s">
        <v>38</v>
      </c>
      <c r="C28" s="325">
        <v>1087</v>
      </c>
      <c r="D28" s="325">
        <v>1452</v>
      </c>
      <c r="E28" s="325">
        <v>2539</v>
      </c>
      <c r="F28" s="325">
        <v>37</v>
      </c>
      <c r="G28" s="325">
        <v>13</v>
      </c>
      <c r="H28" s="325">
        <v>50</v>
      </c>
      <c r="I28" s="325">
        <v>750</v>
      </c>
      <c r="J28" s="325">
        <v>1337</v>
      </c>
      <c r="K28" s="325">
        <v>2087</v>
      </c>
      <c r="L28" s="325">
        <v>89</v>
      </c>
      <c r="M28" s="325">
        <v>35</v>
      </c>
      <c r="N28" s="325">
        <v>124</v>
      </c>
      <c r="O28" s="325">
        <v>2</v>
      </c>
      <c r="P28" s="325">
        <v>3</v>
      </c>
      <c r="Q28" s="325">
        <v>5</v>
      </c>
      <c r="R28" s="325">
        <v>21</v>
      </c>
      <c r="S28" s="325">
        <v>3</v>
      </c>
      <c r="T28" s="325">
        <v>24</v>
      </c>
      <c r="U28" s="325">
        <v>809</v>
      </c>
      <c r="V28" s="325">
        <v>1368</v>
      </c>
      <c r="W28" s="325">
        <v>2177</v>
      </c>
    </row>
    <row r="29" spans="1:23" ht="24.75" customHeight="1">
      <c r="A29" s="125">
        <v>25</v>
      </c>
      <c r="B29" s="159" t="s">
        <v>39</v>
      </c>
      <c r="C29" s="325">
        <v>26664</v>
      </c>
      <c r="D29" s="325">
        <v>17066</v>
      </c>
      <c r="E29" s="325">
        <v>43730</v>
      </c>
      <c r="F29" s="325">
        <v>1495</v>
      </c>
      <c r="G29" s="325">
        <v>895</v>
      </c>
      <c r="H29" s="325">
        <v>2390</v>
      </c>
      <c r="I29" s="325">
        <v>703</v>
      </c>
      <c r="J29" s="325">
        <v>702</v>
      </c>
      <c r="K29" s="325">
        <v>1405</v>
      </c>
      <c r="L29" s="325">
        <v>4227</v>
      </c>
      <c r="M29" s="325">
        <v>2219</v>
      </c>
      <c r="N29" s="325">
        <v>6446</v>
      </c>
      <c r="O29" s="325">
        <v>174</v>
      </c>
      <c r="P29" s="325">
        <v>87</v>
      </c>
      <c r="Q29" s="325">
        <v>261</v>
      </c>
      <c r="R29" s="325">
        <v>284</v>
      </c>
      <c r="S29" s="325">
        <v>155</v>
      </c>
      <c r="T29" s="325">
        <v>439</v>
      </c>
      <c r="U29" s="325">
        <v>248</v>
      </c>
      <c r="V29" s="325">
        <v>385</v>
      </c>
      <c r="W29" s="325">
        <v>633</v>
      </c>
    </row>
    <row r="30" spans="1:23" ht="24.75" customHeight="1">
      <c r="A30" s="125">
        <v>26</v>
      </c>
      <c r="B30" s="159" t="s">
        <v>40</v>
      </c>
      <c r="C30" s="325">
        <v>3562</v>
      </c>
      <c r="D30" s="325">
        <v>3032</v>
      </c>
      <c r="E30" s="325">
        <v>6594</v>
      </c>
      <c r="F30" s="325">
        <v>405</v>
      </c>
      <c r="G30" s="325">
        <v>297</v>
      </c>
      <c r="H30" s="325">
        <v>702</v>
      </c>
      <c r="I30" s="325">
        <v>30</v>
      </c>
      <c r="J30" s="325">
        <v>14</v>
      </c>
      <c r="K30" s="325">
        <v>44</v>
      </c>
      <c r="L30" s="325">
        <v>2029</v>
      </c>
      <c r="M30" s="325">
        <v>1895</v>
      </c>
      <c r="N30" s="325">
        <v>3924</v>
      </c>
      <c r="O30" s="325">
        <v>40</v>
      </c>
      <c r="P30" s="325">
        <v>7</v>
      </c>
      <c r="Q30" s="325">
        <v>47</v>
      </c>
      <c r="R30" s="325">
        <v>96</v>
      </c>
      <c r="S30" s="325">
        <v>63</v>
      </c>
      <c r="T30" s="325">
        <v>159</v>
      </c>
      <c r="U30" s="325">
        <v>272</v>
      </c>
      <c r="V30" s="325">
        <v>305</v>
      </c>
      <c r="W30" s="325">
        <v>577</v>
      </c>
    </row>
    <row r="31" spans="1:23" ht="24.75" customHeight="1">
      <c r="A31" s="125">
        <v>27</v>
      </c>
      <c r="B31" s="159" t="s">
        <v>41</v>
      </c>
      <c r="C31" s="325">
        <v>20185</v>
      </c>
      <c r="D31" s="325">
        <v>30807</v>
      </c>
      <c r="E31" s="325">
        <v>50992</v>
      </c>
      <c r="F31" s="325">
        <v>1676</v>
      </c>
      <c r="G31" s="325">
        <v>2309</v>
      </c>
      <c r="H31" s="325">
        <v>3985</v>
      </c>
      <c r="I31" s="325">
        <v>36</v>
      </c>
      <c r="J31" s="325">
        <v>29</v>
      </c>
      <c r="K31" s="325">
        <v>65</v>
      </c>
      <c r="L31" s="325">
        <v>1244</v>
      </c>
      <c r="M31" s="325">
        <v>1598</v>
      </c>
      <c r="N31" s="325">
        <v>2842</v>
      </c>
      <c r="O31" s="325">
        <v>135</v>
      </c>
      <c r="P31" s="325">
        <v>146</v>
      </c>
      <c r="Q31" s="325">
        <v>281</v>
      </c>
      <c r="R31" s="325">
        <v>527</v>
      </c>
      <c r="S31" s="325">
        <v>236</v>
      </c>
      <c r="T31" s="325">
        <v>763</v>
      </c>
      <c r="U31" s="325">
        <v>8288</v>
      </c>
      <c r="V31" s="325">
        <v>16201</v>
      </c>
      <c r="W31" s="325">
        <v>24489</v>
      </c>
    </row>
    <row r="32" spans="1:23" ht="24.75" customHeight="1">
      <c r="A32" s="125">
        <v>28</v>
      </c>
      <c r="B32" s="159" t="s">
        <v>42</v>
      </c>
      <c r="C32" s="325">
        <v>53083</v>
      </c>
      <c r="D32" s="325">
        <v>30109</v>
      </c>
      <c r="E32" s="325">
        <v>83192</v>
      </c>
      <c r="F32" s="325">
        <v>5184</v>
      </c>
      <c r="G32" s="325">
        <v>1484</v>
      </c>
      <c r="H32" s="325">
        <v>6668</v>
      </c>
      <c r="I32" s="325">
        <v>2038</v>
      </c>
      <c r="J32" s="325">
        <v>664</v>
      </c>
      <c r="K32" s="325">
        <v>2702</v>
      </c>
      <c r="L32" s="325">
        <v>17985</v>
      </c>
      <c r="M32" s="325">
        <v>8372</v>
      </c>
      <c r="N32" s="325">
        <v>26357</v>
      </c>
      <c r="O32" s="325">
        <v>383</v>
      </c>
      <c r="P32" s="325">
        <v>131</v>
      </c>
      <c r="Q32" s="325">
        <v>514</v>
      </c>
      <c r="R32" s="325">
        <v>1778</v>
      </c>
      <c r="S32" s="325">
        <v>715</v>
      </c>
      <c r="T32" s="325">
        <v>2493</v>
      </c>
      <c r="U32" s="325">
        <v>1108</v>
      </c>
      <c r="V32" s="325">
        <v>1394</v>
      </c>
      <c r="W32" s="325">
        <v>2502</v>
      </c>
    </row>
    <row r="33" spans="1:26" ht="24.75" customHeight="1">
      <c r="A33" s="125">
        <v>29</v>
      </c>
      <c r="B33" s="159" t="s">
        <v>43</v>
      </c>
      <c r="C33" s="325">
        <v>891</v>
      </c>
      <c r="D33" s="325">
        <v>618</v>
      </c>
      <c r="E33" s="325">
        <v>1509</v>
      </c>
      <c r="F33" s="325">
        <v>54</v>
      </c>
      <c r="G33" s="325">
        <v>15</v>
      </c>
      <c r="H33" s="325">
        <v>69</v>
      </c>
      <c r="I33" s="325">
        <v>185</v>
      </c>
      <c r="J33" s="325">
        <v>229</v>
      </c>
      <c r="K33" s="325">
        <v>414</v>
      </c>
      <c r="L33" s="325">
        <v>158</v>
      </c>
      <c r="M33" s="325">
        <v>145</v>
      </c>
      <c r="N33" s="325">
        <v>303</v>
      </c>
      <c r="O33" s="325">
        <v>5</v>
      </c>
      <c r="P33" s="325">
        <v>2</v>
      </c>
      <c r="Q33" s="325">
        <v>7</v>
      </c>
      <c r="R33" s="325">
        <v>18</v>
      </c>
      <c r="S33" s="325">
        <v>4</v>
      </c>
      <c r="T33" s="325">
        <v>22</v>
      </c>
      <c r="U33" s="325">
        <v>185</v>
      </c>
      <c r="V33" s="325">
        <v>242</v>
      </c>
      <c r="W33" s="325">
        <v>427</v>
      </c>
    </row>
    <row r="34" spans="1:26" ht="24.75" customHeight="1">
      <c r="A34" s="125">
        <v>30</v>
      </c>
      <c r="B34" s="159" t="s">
        <v>44</v>
      </c>
      <c r="C34" s="325">
        <v>103416</v>
      </c>
      <c r="D34" s="325">
        <v>105320</v>
      </c>
      <c r="E34" s="325">
        <v>208736</v>
      </c>
      <c r="F34" s="325">
        <v>12835</v>
      </c>
      <c r="G34" s="325">
        <v>11158</v>
      </c>
      <c r="H34" s="325">
        <v>23993</v>
      </c>
      <c r="I34" s="325">
        <v>324</v>
      </c>
      <c r="J34" s="325">
        <v>229</v>
      </c>
      <c r="K34" s="325">
        <v>553</v>
      </c>
      <c r="L34" s="325">
        <v>71894</v>
      </c>
      <c r="M34" s="325">
        <v>75109</v>
      </c>
      <c r="N34" s="325">
        <v>147003</v>
      </c>
      <c r="O34" s="325">
        <v>685</v>
      </c>
      <c r="P34" s="325">
        <v>607</v>
      </c>
      <c r="Q34" s="325">
        <v>1292</v>
      </c>
      <c r="R34" s="325">
        <v>3501</v>
      </c>
      <c r="S34" s="325">
        <v>2733</v>
      </c>
      <c r="T34" s="325">
        <v>6234</v>
      </c>
      <c r="U34" s="325">
        <v>10208</v>
      </c>
      <c r="V34" s="325">
        <v>16704</v>
      </c>
      <c r="W34" s="325">
        <v>26912</v>
      </c>
    </row>
    <row r="35" spans="1:26" ht="24.75" customHeight="1">
      <c r="A35" s="125">
        <v>31</v>
      </c>
      <c r="B35" s="159" t="s">
        <v>131</v>
      </c>
      <c r="C35" s="325">
        <v>48570</v>
      </c>
      <c r="D35" s="325">
        <v>35516</v>
      </c>
      <c r="E35" s="325">
        <v>84086</v>
      </c>
      <c r="F35" s="325">
        <v>5474</v>
      </c>
      <c r="G35" s="325">
        <v>4075</v>
      </c>
      <c r="H35" s="325">
        <v>9549</v>
      </c>
      <c r="I35" s="325">
        <v>2276</v>
      </c>
      <c r="J35" s="325">
        <v>750</v>
      </c>
      <c r="K35" s="325">
        <v>3026</v>
      </c>
      <c r="L35" s="325">
        <v>21711</v>
      </c>
      <c r="M35" s="325">
        <v>14252</v>
      </c>
      <c r="N35" s="325">
        <v>35963</v>
      </c>
      <c r="O35" s="325">
        <v>269</v>
      </c>
      <c r="P35" s="325">
        <v>129</v>
      </c>
      <c r="Q35" s="325">
        <v>398</v>
      </c>
      <c r="R35" s="325">
        <v>3916</v>
      </c>
      <c r="S35" s="325">
        <v>3460</v>
      </c>
      <c r="T35" s="325">
        <v>7376</v>
      </c>
      <c r="U35" s="325">
        <v>1145</v>
      </c>
      <c r="V35" s="325">
        <v>2171</v>
      </c>
      <c r="W35" s="325">
        <v>3316</v>
      </c>
    </row>
    <row r="36" spans="1:26" ht="28.5">
      <c r="A36" s="125">
        <v>32</v>
      </c>
      <c r="B36" s="159" t="s">
        <v>1062</v>
      </c>
      <c r="C36" s="325">
        <v>354</v>
      </c>
      <c r="D36" s="325">
        <v>281</v>
      </c>
      <c r="E36" s="325">
        <v>635</v>
      </c>
      <c r="F36" s="325">
        <v>38</v>
      </c>
      <c r="G36" s="325">
        <v>11</v>
      </c>
      <c r="H36" s="325">
        <v>49</v>
      </c>
      <c r="I36" s="325">
        <v>25</v>
      </c>
      <c r="J36" s="325">
        <v>27</v>
      </c>
      <c r="K36" s="325">
        <v>52</v>
      </c>
      <c r="L36" s="325">
        <v>72</v>
      </c>
      <c r="M36" s="325">
        <v>38</v>
      </c>
      <c r="N36" s="325">
        <v>110</v>
      </c>
      <c r="O36" s="325">
        <v>7</v>
      </c>
      <c r="P36" s="325" t="s">
        <v>925</v>
      </c>
      <c r="Q36" s="325">
        <v>7</v>
      </c>
      <c r="R36" s="325">
        <v>11</v>
      </c>
      <c r="S36" s="325">
        <v>6</v>
      </c>
      <c r="T36" s="325">
        <v>17</v>
      </c>
      <c r="U36" s="325">
        <v>13</v>
      </c>
      <c r="V36" s="325">
        <v>23</v>
      </c>
      <c r="W36" s="325">
        <v>36</v>
      </c>
    </row>
    <row r="37" spans="1:26" ht="24.75" customHeight="1">
      <c r="A37" s="125">
        <v>33</v>
      </c>
      <c r="B37" s="839" t="s">
        <v>45</v>
      </c>
      <c r="C37" s="325">
        <v>1584</v>
      </c>
      <c r="D37" s="325">
        <v>921</v>
      </c>
      <c r="E37" s="325">
        <v>2505</v>
      </c>
      <c r="F37" s="325">
        <v>227</v>
      </c>
      <c r="G37" s="325">
        <v>106</v>
      </c>
      <c r="H37" s="325">
        <v>333</v>
      </c>
      <c r="I37" s="325">
        <v>225</v>
      </c>
      <c r="J37" s="325">
        <v>138</v>
      </c>
      <c r="K37" s="325">
        <v>363</v>
      </c>
      <c r="L37" s="325">
        <v>177</v>
      </c>
      <c r="M37" s="325">
        <v>95</v>
      </c>
      <c r="N37" s="325">
        <v>272</v>
      </c>
      <c r="O37" s="325">
        <v>7</v>
      </c>
      <c r="P37" s="325">
        <v>2</v>
      </c>
      <c r="Q37" s="325">
        <v>9</v>
      </c>
      <c r="R37" s="325">
        <v>21</v>
      </c>
      <c r="S37" s="325">
        <v>5</v>
      </c>
      <c r="T37" s="325">
        <v>26</v>
      </c>
      <c r="U37" s="325">
        <v>98</v>
      </c>
      <c r="V37" s="325">
        <v>67</v>
      </c>
      <c r="W37" s="325">
        <v>165</v>
      </c>
    </row>
    <row r="38" spans="1:26" ht="24.75" customHeight="1">
      <c r="A38" s="125">
        <v>34</v>
      </c>
      <c r="B38" s="159" t="s">
        <v>47</v>
      </c>
      <c r="C38" s="325">
        <v>121594</v>
      </c>
      <c r="D38" s="325">
        <v>56599</v>
      </c>
      <c r="E38" s="325">
        <v>178193</v>
      </c>
      <c r="F38" s="325">
        <v>12535</v>
      </c>
      <c r="G38" s="325">
        <v>3672</v>
      </c>
      <c r="H38" s="325">
        <v>16207</v>
      </c>
      <c r="I38" s="325">
        <v>335</v>
      </c>
      <c r="J38" s="325">
        <v>122</v>
      </c>
      <c r="K38" s="325">
        <v>457</v>
      </c>
      <c r="L38" s="325">
        <v>38392</v>
      </c>
      <c r="M38" s="325">
        <v>13410</v>
      </c>
      <c r="N38" s="325">
        <v>51802</v>
      </c>
      <c r="O38" s="325">
        <v>659</v>
      </c>
      <c r="P38" s="325">
        <v>222</v>
      </c>
      <c r="Q38" s="325">
        <v>881</v>
      </c>
      <c r="R38" s="325">
        <v>8045</v>
      </c>
      <c r="S38" s="325">
        <v>3551</v>
      </c>
      <c r="T38" s="325">
        <v>11596</v>
      </c>
      <c r="U38" s="325">
        <v>1353</v>
      </c>
      <c r="V38" s="325">
        <v>1706</v>
      </c>
      <c r="W38" s="325">
        <v>3059</v>
      </c>
    </row>
    <row r="39" spans="1:26" ht="24.75" customHeight="1">
      <c r="A39" s="125">
        <v>35</v>
      </c>
      <c r="B39" s="159" t="s">
        <v>46</v>
      </c>
      <c r="C39" s="325">
        <v>11718</v>
      </c>
      <c r="D39" s="325">
        <v>7800</v>
      </c>
      <c r="E39" s="325">
        <v>19518</v>
      </c>
      <c r="F39" s="325">
        <v>981</v>
      </c>
      <c r="G39" s="325">
        <v>487</v>
      </c>
      <c r="H39" s="325">
        <v>1468</v>
      </c>
      <c r="I39" s="325">
        <v>122</v>
      </c>
      <c r="J39" s="325">
        <v>73</v>
      </c>
      <c r="K39" s="325">
        <v>195</v>
      </c>
      <c r="L39" s="325">
        <v>1364</v>
      </c>
      <c r="M39" s="325">
        <v>763</v>
      </c>
      <c r="N39" s="325">
        <v>2127</v>
      </c>
      <c r="O39" s="325">
        <v>89</v>
      </c>
      <c r="P39" s="325">
        <v>37</v>
      </c>
      <c r="Q39" s="325">
        <v>126</v>
      </c>
      <c r="R39" s="325">
        <v>450</v>
      </c>
      <c r="S39" s="325">
        <v>242</v>
      </c>
      <c r="T39" s="325">
        <v>692</v>
      </c>
      <c r="U39" s="325">
        <v>201</v>
      </c>
      <c r="V39" s="325">
        <v>258</v>
      </c>
      <c r="W39" s="325">
        <v>459</v>
      </c>
    </row>
    <row r="40" spans="1:26" ht="24.75" customHeight="1">
      <c r="A40" s="125">
        <v>36</v>
      </c>
      <c r="B40" s="159" t="s">
        <v>48</v>
      </c>
      <c r="C40" s="325">
        <v>46970</v>
      </c>
      <c r="D40" s="325">
        <v>26847</v>
      </c>
      <c r="E40" s="325">
        <v>73817</v>
      </c>
      <c r="F40" s="325">
        <v>5989</v>
      </c>
      <c r="G40" s="325">
        <v>2317</v>
      </c>
      <c r="H40" s="325">
        <v>8306</v>
      </c>
      <c r="I40" s="325">
        <v>691</v>
      </c>
      <c r="J40" s="325">
        <v>478</v>
      </c>
      <c r="K40" s="325">
        <v>1169</v>
      </c>
      <c r="L40" s="325">
        <v>5616</v>
      </c>
      <c r="M40" s="325">
        <v>1944</v>
      </c>
      <c r="N40" s="325">
        <v>7560</v>
      </c>
      <c r="O40" s="325">
        <v>327</v>
      </c>
      <c r="P40" s="325">
        <v>101</v>
      </c>
      <c r="Q40" s="325">
        <v>428</v>
      </c>
      <c r="R40" s="325">
        <v>4549</v>
      </c>
      <c r="S40" s="325">
        <v>1403</v>
      </c>
      <c r="T40" s="325">
        <v>5952</v>
      </c>
      <c r="U40" s="325">
        <v>512</v>
      </c>
      <c r="V40" s="325">
        <v>506</v>
      </c>
      <c r="W40" s="325">
        <v>1018</v>
      </c>
    </row>
    <row r="41" spans="1:26" s="513" customFormat="1" ht="30.75" customHeight="1">
      <c r="A41" s="1084" t="s">
        <v>49</v>
      </c>
      <c r="B41" s="1084"/>
      <c r="C41" s="840">
        <v>903523</v>
      </c>
      <c r="D41" s="840">
        <v>694165</v>
      </c>
      <c r="E41" s="840">
        <v>1597688</v>
      </c>
      <c r="F41" s="840">
        <v>92225</v>
      </c>
      <c r="G41" s="840">
        <v>56410</v>
      </c>
      <c r="H41" s="840">
        <v>148635</v>
      </c>
      <c r="I41" s="840">
        <v>23394</v>
      </c>
      <c r="J41" s="840">
        <v>18213</v>
      </c>
      <c r="K41" s="840">
        <v>41607</v>
      </c>
      <c r="L41" s="840">
        <v>297601</v>
      </c>
      <c r="M41" s="840">
        <v>218499</v>
      </c>
      <c r="N41" s="840">
        <v>516100</v>
      </c>
      <c r="O41" s="840">
        <v>6721</v>
      </c>
      <c r="P41" s="840">
        <v>3608</v>
      </c>
      <c r="Q41" s="840">
        <v>10329</v>
      </c>
      <c r="R41" s="840">
        <v>55670</v>
      </c>
      <c r="S41" s="840">
        <v>34100</v>
      </c>
      <c r="T41" s="840">
        <v>89770</v>
      </c>
      <c r="U41" s="840">
        <v>54123</v>
      </c>
      <c r="V41" s="840">
        <v>86082</v>
      </c>
      <c r="W41" s="840">
        <v>140205</v>
      </c>
      <c r="X41" s="128"/>
      <c r="Y41" s="128"/>
      <c r="Z41" s="128"/>
    </row>
    <row r="42" spans="1:26">
      <c r="C42" s="730"/>
      <c r="D42" s="730"/>
      <c r="E42" s="409"/>
      <c r="F42" s="409"/>
      <c r="G42" s="409"/>
      <c r="H42" s="730"/>
      <c r="I42" s="409"/>
      <c r="J42" s="409"/>
      <c r="K42" s="730"/>
      <c r="L42" s="409"/>
      <c r="M42" s="409"/>
      <c r="N42" s="730"/>
      <c r="T42" s="730"/>
      <c r="W42" s="730"/>
    </row>
    <row r="43" spans="1:26">
      <c r="E43" s="841"/>
      <c r="H43" s="842"/>
    </row>
    <row r="46" spans="1:26">
      <c r="T46" s="730"/>
    </row>
    <row r="48" spans="1:26">
      <c r="U48" s="730"/>
    </row>
    <row r="63" spans="21:22">
      <c r="U63" s="843"/>
      <c r="V63" s="843"/>
    </row>
  </sheetData>
  <mergeCells count="12">
    <mergeCell ref="U2:W2"/>
    <mergeCell ref="A41:B41"/>
    <mergeCell ref="C1:N1"/>
    <mergeCell ref="O1:W1"/>
    <mergeCell ref="A2:A3"/>
    <mergeCell ref="B2:B3"/>
    <mergeCell ref="C2:E2"/>
    <mergeCell ref="F2:H2"/>
    <mergeCell ref="I2:K2"/>
    <mergeCell ref="L2:N2"/>
    <mergeCell ref="O2:Q2"/>
    <mergeCell ref="R2:T2"/>
  </mergeCells>
  <printOptions horizontalCentered="1"/>
  <pageMargins left="0.51181102362204722" right="0.39370078740157483" top="0.39370078740157483" bottom="0.39370078740157483" header="0.27559055118110237" footer="0.23622047244094491"/>
  <pageSetup paperSize="9" scale="75" firstPageNumber="2" pageOrder="overThenDown" orientation="portrait" useFirstPageNumber="1" r:id="rId1"/>
  <headerFooter>
    <oddFooter>&amp;LAISHE 2021-22&amp;CT-21a</oddFooter>
  </headerFooter>
  <colBreaks count="1" manualBreakCount="1">
    <brk id="14" max="39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W47"/>
  <sheetViews>
    <sheetView view="pageBreakPreview" zoomScaleSheetLayoutView="100" workbookViewId="0">
      <pane ySplit="3" topLeftCell="A22" activePane="bottomLeft" state="frozen"/>
      <selection activeCell="F15" sqref="F15"/>
      <selection pane="bottomLeft" activeCell="A5" sqref="A5:XFD5"/>
    </sheetView>
  </sheetViews>
  <sheetFormatPr defaultColWidth="9.28515625" defaultRowHeight="15"/>
  <cols>
    <col min="1" max="1" width="5.7109375" style="169" bestFit="1" customWidth="1"/>
    <col min="2" max="2" width="23.7109375" style="124" bestFit="1" customWidth="1"/>
    <col min="3" max="14" width="12.85546875" style="124" customWidth="1"/>
    <col min="15" max="23" width="8.85546875" style="124" customWidth="1"/>
    <col min="24" max="16384" width="9.28515625" style="124"/>
  </cols>
  <sheetData>
    <row r="1" spans="1:23" s="133" customFormat="1" ht="51" customHeight="1">
      <c r="A1" s="202"/>
      <c r="B1" s="844" t="s">
        <v>774</v>
      </c>
      <c r="C1" s="1094" t="s">
        <v>900</v>
      </c>
      <c r="D1" s="1094"/>
      <c r="E1" s="1094"/>
      <c r="F1" s="1094"/>
      <c r="G1" s="1094"/>
      <c r="H1" s="1094"/>
      <c r="I1" s="1094" t="str">
        <f>C1</f>
        <v>State &amp; Post-wise Number of Male &amp; Female Teachers 
(Based on Actual Response)</v>
      </c>
      <c r="J1" s="1094"/>
      <c r="K1" s="1094"/>
      <c r="L1" s="1094"/>
      <c r="M1" s="1094"/>
      <c r="N1" s="1094"/>
      <c r="O1" s="1094" t="str">
        <f>I1</f>
        <v>State &amp; Post-wise Number of Male &amp; Female Teachers 
(Based on Actual Response)</v>
      </c>
      <c r="P1" s="1094"/>
      <c r="Q1" s="1094"/>
      <c r="R1" s="1094"/>
      <c r="S1" s="1094"/>
      <c r="T1" s="1094"/>
      <c r="U1" s="1094"/>
      <c r="V1" s="1094"/>
      <c r="W1" s="1094"/>
    </row>
    <row r="2" spans="1:23" s="204" customFormat="1" ht="31.5" customHeight="1">
      <c r="A2" s="967" t="s">
        <v>988</v>
      </c>
      <c r="B2" s="1095" t="s">
        <v>168</v>
      </c>
      <c r="C2" s="1095" t="s">
        <v>263</v>
      </c>
      <c r="D2" s="1095"/>
      <c r="E2" s="1095"/>
      <c r="F2" s="1095" t="s">
        <v>264</v>
      </c>
      <c r="G2" s="1096"/>
      <c r="H2" s="1096"/>
      <c r="I2" s="1095" t="s">
        <v>265</v>
      </c>
      <c r="J2" s="1096"/>
      <c r="K2" s="1096"/>
      <c r="L2" s="1095" t="s">
        <v>266</v>
      </c>
      <c r="M2" s="1096"/>
      <c r="N2" s="1096"/>
      <c r="O2" s="1095" t="s">
        <v>775</v>
      </c>
      <c r="P2" s="1096"/>
      <c r="Q2" s="1096"/>
      <c r="R2" s="1088" t="s">
        <v>269</v>
      </c>
      <c r="S2" s="1089"/>
      <c r="T2" s="1089"/>
      <c r="U2" s="1090" t="s">
        <v>60</v>
      </c>
      <c r="V2" s="1091"/>
      <c r="W2" s="1092"/>
    </row>
    <row r="3" spans="1:23" s="205" customFormat="1" ht="21.75" customHeight="1">
      <c r="A3" s="967"/>
      <c r="B3" s="1095"/>
      <c r="C3" s="149" t="s">
        <v>87</v>
      </c>
      <c r="D3" s="149" t="s">
        <v>88</v>
      </c>
      <c r="E3" s="149" t="s">
        <v>12</v>
      </c>
      <c r="F3" s="149" t="s">
        <v>87</v>
      </c>
      <c r="G3" s="149" t="s">
        <v>88</v>
      </c>
      <c r="H3" s="149" t="s">
        <v>12</v>
      </c>
      <c r="I3" s="149" t="s">
        <v>87</v>
      </c>
      <c r="J3" s="149" t="s">
        <v>88</v>
      </c>
      <c r="K3" s="149" t="s">
        <v>12</v>
      </c>
      <c r="L3" s="149" t="s">
        <v>87</v>
      </c>
      <c r="M3" s="149" t="s">
        <v>88</v>
      </c>
      <c r="N3" s="149" t="s">
        <v>12</v>
      </c>
      <c r="O3" s="149" t="s">
        <v>87</v>
      </c>
      <c r="P3" s="149" t="s">
        <v>88</v>
      </c>
      <c r="Q3" s="149" t="s">
        <v>12</v>
      </c>
      <c r="R3" s="149" t="s">
        <v>87</v>
      </c>
      <c r="S3" s="149" t="s">
        <v>88</v>
      </c>
      <c r="T3" s="149" t="s">
        <v>12</v>
      </c>
      <c r="U3" s="156" t="s">
        <v>87</v>
      </c>
      <c r="V3" s="156" t="s">
        <v>88</v>
      </c>
      <c r="W3" s="156" t="s">
        <v>12</v>
      </c>
    </row>
    <row r="4" spans="1:23" s="468" customFormat="1" ht="12">
      <c r="A4" s="440">
        <v>1</v>
      </c>
      <c r="B4" s="440">
        <v>2</v>
      </c>
      <c r="C4" s="440">
        <v>3</v>
      </c>
      <c r="D4" s="440">
        <v>4</v>
      </c>
      <c r="E4" s="440">
        <v>5</v>
      </c>
      <c r="F4" s="440">
        <v>6</v>
      </c>
      <c r="G4" s="440">
        <v>7</v>
      </c>
      <c r="H4" s="440">
        <v>8</v>
      </c>
      <c r="I4" s="440">
        <v>9</v>
      </c>
      <c r="J4" s="440">
        <v>10</v>
      </c>
      <c r="K4" s="440">
        <v>11</v>
      </c>
      <c r="L4" s="440">
        <v>12</v>
      </c>
      <c r="M4" s="440">
        <v>13</v>
      </c>
      <c r="N4" s="440">
        <v>14</v>
      </c>
      <c r="O4" s="440">
        <v>15</v>
      </c>
      <c r="P4" s="440">
        <v>16</v>
      </c>
      <c r="Q4" s="440">
        <v>17</v>
      </c>
      <c r="R4" s="440">
        <v>18</v>
      </c>
      <c r="S4" s="440">
        <v>19</v>
      </c>
      <c r="T4" s="440">
        <v>20</v>
      </c>
      <c r="U4" s="440">
        <v>21</v>
      </c>
      <c r="V4" s="440">
        <v>22</v>
      </c>
      <c r="W4" s="440">
        <v>23</v>
      </c>
    </row>
    <row r="5" spans="1:23" ht="28.5" customHeight="1">
      <c r="A5" s="125">
        <v>1</v>
      </c>
      <c r="B5" s="159" t="s">
        <v>1061</v>
      </c>
      <c r="C5" s="158">
        <v>26</v>
      </c>
      <c r="D5" s="158">
        <v>2</v>
      </c>
      <c r="E5" s="158">
        <v>28</v>
      </c>
      <c r="F5" s="158">
        <v>51</v>
      </c>
      <c r="G5" s="158">
        <v>12</v>
      </c>
      <c r="H5" s="158">
        <v>63</v>
      </c>
      <c r="I5" s="158">
        <v>99</v>
      </c>
      <c r="J5" s="158">
        <v>48</v>
      </c>
      <c r="K5" s="158">
        <v>147</v>
      </c>
      <c r="L5" s="158">
        <v>12</v>
      </c>
      <c r="M5" s="158">
        <v>8</v>
      </c>
      <c r="N5" s="158">
        <v>20</v>
      </c>
      <c r="O5" s="158">
        <v>48</v>
      </c>
      <c r="P5" s="158">
        <v>112</v>
      </c>
      <c r="Q5" s="158">
        <v>160</v>
      </c>
      <c r="R5" s="158">
        <v>11</v>
      </c>
      <c r="S5" s="158">
        <v>23</v>
      </c>
      <c r="T5" s="158">
        <v>34</v>
      </c>
      <c r="U5" s="158">
        <v>247</v>
      </c>
      <c r="V5" s="158">
        <v>205</v>
      </c>
      <c r="W5" s="158">
        <v>452</v>
      </c>
    </row>
    <row r="6" spans="1:23" ht="24.75" customHeight="1">
      <c r="A6" s="125">
        <v>2</v>
      </c>
      <c r="B6" s="159" t="s">
        <v>15</v>
      </c>
      <c r="C6" s="158">
        <v>7337</v>
      </c>
      <c r="D6" s="158">
        <v>2310</v>
      </c>
      <c r="E6" s="158">
        <v>9647</v>
      </c>
      <c r="F6" s="158">
        <v>6601</v>
      </c>
      <c r="G6" s="158">
        <v>2808</v>
      </c>
      <c r="H6" s="158">
        <v>9409</v>
      </c>
      <c r="I6" s="158">
        <v>48610</v>
      </c>
      <c r="J6" s="158">
        <v>29183</v>
      </c>
      <c r="K6" s="158">
        <v>77793</v>
      </c>
      <c r="L6" s="158">
        <v>924</v>
      </c>
      <c r="M6" s="158">
        <v>4530</v>
      </c>
      <c r="N6" s="158">
        <v>5454</v>
      </c>
      <c r="O6" s="158">
        <v>2400</v>
      </c>
      <c r="P6" s="158">
        <v>1708</v>
      </c>
      <c r="Q6" s="158">
        <v>4108</v>
      </c>
      <c r="R6" s="158">
        <v>58</v>
      </c>
      <c r="S6" s="158">
        <v>69</v>
      </c>
      <c r="T6" s="158">
        <v>127</v>
      </c>
      <c r="U6" s="158">
        <v>65930</v>
      </c>
      <c r="V6" s="158">
        <v>40608</v>
      </c>
      <c r="W6" s="158">
        <v>106538</v>
      </c>
    </row>
    <row r="7" spans="1:23" ht="24.75" customHeight="1">
      <c r="A7" s="125">
        <v>3</v>
      </c>
      <c r="B7" s="159" t="s">
        <v>16</v>
      </c>
      <c r="C7" s="158">
        <v>181</v>
      </c>
      <c r="D7" s="158">
        <v>45</v>
      </c>
      <c r="E7" s="158">
        <v>226</v>
      </c>
      <c r="F7" s="158">
        <v>207</v>
      </c>
      <c r="G7" s="158">
        <v>63</v>
      </c>
      <c r="H7" s="158">
        <v>270</v>
      </c>
      <c r="I7" s="158">
        <v>828</v>
      </c>
      <c r="J7" s="158">
        <v>779</v>
      </c>
      <c r="K7" s="158">
        <v>1607</v>
      </c>
      <c r="L7" s="158">
        <v>16</v>
      </c>
      <c r="M7" s="158">
        <v>69</v>
      </c>
      <c r="N7" s="158">
        <v>85</v>
      </c>
      <c r="O7" s="158">
        <v>41</v>
      </c>
      <c r="P7" s="158">
        <v>58</v>
      </c>
      <c r="Q7" s="158">
        <v>99</v>
      </c>
      <c r="R7" s="158">
        <v>3</v>
      </c>
      <c r="S7" s="158">
        <v>3</v>
      </c>
      <c r="T7" s="158">
        <v>6</v>
      </c>
      <c r="U7" s="158">
        <v>1276</v>
      </c>
      <c r="V7" s="158">
        <v>1017</v>
      </c>
      <c r="W7" s="158">
        <v>2293</v>
      </c>
    </row>
    <row r="8" spans="1:23" ht="24.75" customHeight="1">
      <c r="A8" s="125">
        <v>4</v>
      </c>
      <c r="B8" s="159" t="s">
        <v>17</v>
      </c>
      <c r="C8" s="158">
        <v>1182</v>
      </c>
      <c r="D8" s="158">
        <v>384</v>
      </c>
      <c r="E8" s="158">
        <v>1566</v>
      </c>
      <c r="F8" s="158">
        <v>2092</v>
      </c>
      <c r="G8" s="158">
        <v>1207</v>
      </c>
      <c r="H8" s="158">
        <v>3299</v>
      </c>
      <c r="I8" s="158">
        <v>8903</v>
      </c>
      <c r="J8" s="158">
        <v>7001</v>
      </c>
      <c r="K8" s="158">
        <v>15904</v>
      </c>
      <c r="L8" s="158">
        <v>507</v>
      </c>
      <c r="M8" s="158">
        <v>500</v>
      </c>
      <c r="N8" s="158">
        <v>1007</v>
      </c>
      <c r="O8" s="158">
        <v>681</v>
      </c>
      <c r="P8" s="158">
        <v>843</v>
      </c>
      <c r="Q8" s="158">
        <v>1524</v>
      </c>
      <c r="R8" s="158">
        <v>20</v>
      </c>
      <c r="S8" s="158">
        <v>16</v>
      </c>
      <c r="T8" s="158">
        <v>36</v>
      </c>
      <c r="U8" s="158">
        <v>13385</v>
      </c>
      <c r="V8" s="158">
        <v>9951</v>
      </c>
      <c r="W8" s="158">
        <v>23336</v>
      </c>
    </row>
    <row r="9" spans="1:23" ht="24.75" customHeight="1">
      <c r="A9" s="125">
        <v>5</v>
      </c>
      <c r="B9" s="159" t="s">
        <v>18</v>
      </c>
      <c r="C9" s="158">
        <v>2169</v>
      </c>
      <c r="D9" s="158">
        <v>549</v>
      </c>
      <c r="E9" s="158">
        <v>2718</v>
      </c>
      <c r="F9" s="158">
        <v>2986</v>
      </c>
      <c r="G9" s="158">
        <v>705</v>
      </c>
      <c r="H9" s="158">
        <v>3691</v>
      </c>
      <c r="I9" s="158">
        <v>21030</v>
      </c>
      <c r="J9" s="158">
        <v>6157</v>
      </c>
      <c r="K9" s="158">
        <v>27187</v>
      </c>
      <c r="L9" s="158">
        <v>1286</v>
      </c>
      <c r="M9" s="158">
        <v>1297</v>
      </c>
      <c r="N9" s="158">
        <v>2583</v>
      </c>
      <c r="O9" s="158">
        <v>1227</v>
      </c>
      <c r="P9" s="158">
        <v>476</v>
      </c>
      <c r="Q9" s="158">
        <v>1703</v>
      </c>
      <c r="R9" s="158">
        <v>198</v>
      </c>
      <c r="S9" s="158">
        <v>72</v>
      </c>
      <c r="T9" s="158">
        <v>270</v>
      </c>
      <c r="U9" s="158">
        <v>28896</v>
      </c>
      <c r="V9" s="158">
        <v>9256</v>
      </c>
      <c r="W9" s="158">
        <v>38152</v>
      </c>
    </row>
    <row r="10" spans="1:23" ht="24.75" customHeight="1">
      <c r="A10" s="125">
        <v>6</v>
      </c>
      <c r="B10" s="159" t="s">
        <v>19</v>
      </c>
      <c r="C10" s="158">
        <v>427</v>
      </c>
      <c r="D10" s="158">
        <v>318</v>
      </c>
      <c r="E10" s="158">
        <v>745</v>
      </c>
      <c r="F10" s="158">
        <v>288</v>
      </c>
      <c r="G10" s="158">
        <v>313</v>
      </c>
      <c r="H10" s="158">
        <v>601</v>
      </c>
      <c r="I10" s="158">
        <v>764</v>
      </c>
      <c r="J10" s="158">
        <v>1308</v>
      </c>
      <c r="K10" s="158">
        <v>2072</v>
      </c>
      <c r="L10" s="158">
        <v>14</v>
      </c>
      <c r="M10" s="158">
        <v>9</v>
      </c>
      <c r="N10" s="158">
        <v>23</v>
      </c>
      <c r="O10" s="158">
        <v>62</v>
      </c>
      <c r="P10" s="158">
        <v>212</v>
      </c>
      <c r="Q10" s="158">
        <v>274</v>
      </c>
      <c r="R10" s="158">
        <v>9</v>
      </c>
      <c r="S10" s="158">
        <v>10</v>
      </c>
      <c r="T10" s="158">
        <v>19</v>
      </c>
      <c r="U10" s="158">
        <v>1564</v>
      </c>
      <c r="V10" s="158">
        <v>2170</v>
      </c>
      <c r="W10" s="158">
        <v>3734</v>
      </c>
    </row>
    <row r="11" spans="1:23" ht="24.75" customHeight="1">
      <c r="A11" s="125">
        <v>7</v>
      </c>
      <c r="B11" s="159" t="s">
        <v>20</v>
      </c>
      <c r="C11" s="158">
        <v>1281</v>
      </c>
      <c r="D11" s="158">
        <v>687</v>
      </c>
      <c r="E11" s="158">
        <v>1968</v>
      </c>
      <c r="F11" s="158">
        <v>976</v>
      </c>
      <c r="G11" s="158">
        <v>692</v>
      </c>
      <c r="H11" s="158">
        <v>1668</v>
      </c>
      <c r="I11" s="158">
        <v>7541</v>
      </c>
      <c r="J11" s="158">
        <v>7048</v>
      </c>
      <c r="K11" s="158">
        <v>14589</v>
      </c>
      <c r="L11" s="158">
        <v>556</v>
      </c>
      <c r="M11" s="158">
        <v>1848</v>
      </c>
      <c r="N11" s="158">
        <v>2404</v>
      </c>
      <c r="O11" s="158">
        <v>1470</v>
      </c>
      <c r="P11" s="158">
        <v>1380</v>
      </c>
      <c r="Q11" s="158">
        <v>2850</v>
      </c>
      <c r="R11" s="158">
        <v>49</v>
      </c>
      <c r="S11" s="158">
        <v>67</v>
      </c>
      <c r="T11" s="158">
        <v>116</v>
      </c>
      <c r="U11" s="158">
        <v>11873</v>
      </c>
      <c r="V11" s="158">
        <v>11722</v>
      </c>
      <c r="W11" s="158">
        <v>23595</v>
      </c>
    </row>
    <row r="12" spans="1:23" ht="24.75" customHeight="1">
      <c r="A12" s="125">
        <v>8</v>
      </c>
      <c r="B12" s="159" t="s">
        <v>23</v>
      </c>
      <c r="C12" s="158">
        <v>2497</v>
      </c>
      <c r="D12" s="158">
        <v>1579</v>
      </c>
      <c r="E12" s="158">
        <v>4076</v>
      </c>
      <c r="F12" s="158">
        <v>1929</v>
      </c>
      <c r="G12" s="158">
        <v>2638</v>
      </c>
      <c r="H12" s="158">
        <v>4567</v>
      </c>
      <c r="I12" s="158">
        <v>5235</v>
      </c>
      <c r="J12" s="158">
        <v>6793</v>
      </c>
      <c r="K12" s="158">
        <v>12028</v>
      </c>
      <c r="L12" s="158">
        <v>117</v>
      </c>
      <c r="M12" s="158">
        <v>399</v>
      </c>
      <c r="N12" s="158">
        <v>516</v>
      </c>
      <c r="O12" s="158">
        <v>700</v>
      </c>
      <c r="P12" s="158">
        <v>876</v>
      </c>
      <c r="Q12" s="158">
        <v>1576</v>
      </c>
      <c r="R12" s="158">
        <v>102</v>
      </c>
      <c r="S12" s="158">
        <v>64</v>
      </c>
      <c r="T12" s="158">
        <v>166</v>
      </c>
      <c r="U12" s="158">
        <v>10580</v>
      </c>
      <c r="V12" s="158">
        <v>12349</v>
      </c>
      <c r="W12" s="158">
        <v>22929</v>
      </c>
    </row>
    <row r="13" spans="1:23" ht="24.75" customHeight="1">
      <c r="A13" s="125">
        <v>9</v>
      </c>
      <c r="B13" s="159" t="s">
        <v>24</v>
      </c>
      <c r="C13" s="158">
        <v>230</v>
      </c>
      <c r="D13" s="158">
        <v>77</v>
      </c>
      <c r="E13" s="158">
        <v>307</v>
      </c>
      <c r="F13" s="158">
        <v>308</v>
      </c>
      <c r="G13" s="158">
        <v>299</v>
      </c>
      <c r="H13" s="158">
        <v>607</v>
      </c>
      <c r="I13" s="158">
        <v>1033</v>
      </c>
      <c r="J13" s="158">
        <v>1572</v>
      </c>
      <c r="K13" s="158">
        <v>2605</v>
      </c>
      <c r="L13" s="158">
        <v>23</v>
      </c>
      <c r="M13" s="158">
        <v>55</v>
      </c>
      <c r="N13" s="158">
        <v>78</v>
      </c>
      <c r="O13" s="158">
        <v>140</v>
      </c>
      <c r="P13" s="158">
        <v>84</v>
      </c>
      <c r="Q13" s="158">
        <v>224</v>
      </c>
      <c r="R13" s="158">
        <v>22</v>
      </c>
      <c r="S13" s="158">
        <v>60</v>
      </c>
      <c r="T13" s="158">
        <v>82</v>
      </c>
      <c r="U13" s="158">
        <v>1756</v>
      </c>
      <c r="V13" s="158">
        <v>2147</v>
      </c>
      <c r="W13" s="158">
        <v>3903</v>
      </c>
    </row>
    <row r="14" spans="1:23" ht="24.75" customHeight="1">
      <c r="A14" s="125">
        <v>10</v>
      </c>
      <c r="B14" s="159" t="s">
        <v>25</v>
      </c>
      <c r="C14" s="158">
        <v>4061</v>
      </c>
      <c r="D14" s="158">
        <v>1686</v>
      </c>
      <c r="E14" s="158">
        <v>5747</v>
      </c>
      <c r="F14" s="158">
        <v>5034</v>
      </c>
      <c r="G14" s="158">
        <v>2582</v>
      </c>
      <c r="H14" s="158">
        <v>7616</v>
      </c>
      <c r="I14" s="158">
        <v>21947</v>
      </c>
      <c r="J14" s="158">
        <v>15399</v>
      </c>
      <c r="K14" s="158">
        <v>37346</v>
      </c>
      <c r="L14" s="158">
        <v>1753</v>
      </c>
      <c r="M14" s="158">
        <v>4336</v>
      </c>
      <c r="N14" s="158">
        <v>6089</v>
      </c>
      <c r="O14" s="158">
        <v>1216</v>
      </c>
      <c r="P14" s="158">
        <v>1507</v>
      </c>
      <c r="Q14" s="158">
        <v>2723</v>
      </c>
      <c r="R14" s="158">
        <v>1317</v>
      </c>
      <c r="S14" s="158">
        <v>965</v>
      </c>
      <c r="T14" s="158">
        <v>2282</v>
      </c>
      <c r="U14" s="158">
        <v>35328</v>
      </c>
      <c r="V14" s="158">
        <v>26475</v>
      </c>
      <c r="W14" s="158">
        <v>61803</v>
      </c>
    </row>
    <row r="15" spans="1:23" ht="24.75" customHeight="1">
      <c r="A15" s="125">
        <v>11</v>
      </c>
      <c r="B15" s="159" t="s">
        <v>26</v>
      </c>
      <c r="C15" s="158">
        <v>2519</v>
      </c>
      <c r="D15" s="158">
        <v>1219</v>
      </c>
      <c r="E15" s="158">
        <v>3738</v>
      </c>
      <c r="F15" s="158">
        <v>2179</v>
      </c>
      <c r="G15" s="158">
        <v>2020</v>
      </c>
      <c r="H15" s="158">
        <v>4199</v>
      </c>
      <c r="I15" s="158">
        <v>12993</v>
      </c>
      <c r="J15" s="158">
        <v>15770</v>
      </c>
      <c r="K15" s="158">
        <v>28763</v>
      </c>
      <c r="L15" s="158">
        <v>313</v>
      </c>
      <c r="M15" s="158">
        <v>1371</v>
      </c>
      <c r="N15" s="158">
        <v>1684</v>
      </c>
      <c r="O15" s="158">
        <v>755</v>
      </c>
      <c r="P15" s="158">
        <v>1486</v>
      </c>
      <c r="Q15" s="158">
        <v>2241</v>
      </c>
      <c r="R15" s="158">
        <v>253</v>
      </c>
      <c r="S15" s="158">
        <v>220</v>
      </c>
      <c r="T15" s="158">
        <v>473</v>
      </c>
      <c r="U15" s="158">
        <v>19012</v>
      </c>
      <c r="V15" s="158">
        <v>22086</v>
      </c>
      <c r="W15" s="158">
        <v>41098</v>
      </c>
    </row>
    <row r="16" spans="1:23" ht="24.75" customHeight="1">
      <c r="A16" s="125">
        <v>12</v>
      </c>
      <c r="B16" s="159" t="s">
        <v>27</v>
      </c>
      <c r="C16" s="158">
        <v>845</v>
      </c>
      <c r="D16" s="158">
        <v>287</v>
      </c>
      <c r="E16" s="158">
        <v>1132</v>
      </c>
      <c r="F16" s="158">
        <v>772</v>
      </c>
      <c r="G16" s="158">
        <v>403</v>
      </c>
      <c r="H16" s="158">
        <v>1175</v>
      </c>
      <c r="I16" s="158">
        <v>3526</v>
      </c>
      <c r="J16" s="158">
        <v>3709</v>
      </c>
      <c r="K16" s="158">
        <v>7235</v>
      </c>
      <c r="L16" s="158">
        <v>224</v>
      </c>
      <c r="M16" s="158">
        <v>751</v>
      </c>
      <c r="N16" s="158">
        <v>975</v>
      </c>
      <c r="O16" s="158">
        <v>125</v>
      </c>
      <c r="P16" s="158">
        <v>203</v>
      </c>
      <c r="Q16" s="158">
        <v>328</v>
      </c>
      <c r="R16" s="158">
        <v>30</v>
      </c>
      <c r="S16" s="158">
        <v>20</v>
      </c>
      <c r="T16" s="158">
        <v>50</v>
      </c>
      <c r="U16" s="158">
        <v>5522</v>
      </c>
      <c r="V16" s="158">
        <v>5373</v>
      </c>
      <c r="W16" s="158">
        <v>10895</v>
      </c>
    </row>
    <row r="17" spans="1:23" ht="24.75" customHeight="1">
      <c r="A17" s="125">
        <v>13</v>
      </c>
      <c r="B17" s="159" t="s">
        <v>57</v>
      </c>
      <c r="C17" s="158">
        <v>811</v>
      </c>
      <c r="D17" s="158">
        <v>293</v>
      </c>
      <c r="E17" s="158">
        <v>1104</v>
      </c>
      <c r="F17" s="158">
        <v>633</v>
      </c>
      <c r="G17" s="158">
        <v>394</v>
      </c>
      <c r="H17" s="158">
        <v>1027</v>
      </c>
      <c r="I17" s="158">
        <v>4011</v>
      </c>
      <c r="J17" s="158">
        <v>2952</v>
      </c>
      <c r="K17" s="158">
        <v>6963</v>
      </c>
      <c r="L17" s="158">
        <v>344</v>
      </c>
      <c r="M17" s="158">
        <v>536</v>
      </c>
      <c r="N17" s="158">
        <v>880</v>
      </c>
      <c r="O17" s="158">
        <v>805</v>
      </c>
      <c r="P17" s="158">
        <v>521</v>
      </c>
      <c r="Q17" s="158">
        <v>1326</v>
      </c>
      <c r="R17" s="158">
        <v>34</v>
      </c>
      <c r="S17" s="158">
        <v>29</v>
      </c>
      <c r="T17" s="158">
        <v>63</v>
      </c>
      <c r="U17" s="158">
        <v>6638</v>
      </c>
      <c r="V17" s="158">
        <v>4725</v>
      </c>
      <c r="W17" s="158">
        <v>11363</v>
      </c>
    </row>
    <row r="18" spans="1:23" ht="24.75" customHeight="1">
      <c r="A18" s="125">
        <v>14</v>
      </c>
      <c r="B18" s="159" t="s">
        <v>29</v>
      </c>
      <c r="C18" s="158">
        <v>866</v>
      </c>
      <c r="D18" s="158">
        <v>237</v>
      </c>
      <c r="E18" s="158">
        <v>1103</v>
      </c>
      <c r="F18" s="158">
        <v>891</v>
      </c>
      <c r="G18" s="158">
        <v>291</v>
      </c>
      <c r="H18" s="158">
        <v>1182</v>
      </c>
      <c r="I18" s="158">
        <v>7186</v>
      </c>
      <c r="J18" s="158">
        <v>3566</v>
      </c>
      <c r="K18" s="158">
        <v>10752</v>
      </c>
      <c r="L18" s="158">
        <v>316</v>
      </c>
      <c r="M18" s="158">
        <v>646</v>
      </c>
      <c r="N18" s="158">
        <v>962</v>
      </c>
      <c r="O18" s="158">
        <v>608</v>
      </c>
      <c r="P18" s="158">
        <v>386</v>
      </c>
      <c r="Q18" s="158">
        <v>994</v>
      </c>
      <c r="R18" s="158">
        <v>65</v>
      </c>
      <c r="S18" s="158">
        <v>31</v>
      </c>
      <c r="T18" s="158">
        <v>96</v>
      </c>
      <c r="U18" s="158">
        <v>9932</v>
      </c>
      <c r="V18" s="158">
        <v>5157</v>
      </c>
      <c r="W18" s="158">
        <v>15089</v>
      </c>
    </row>
    <row r="19" spans="1:23" ht="24.75" customHeight="1">
      <c r="A19" s="125">
        <v>15</v>
      </c>
      <c r="B19" s="159" t="s">
        <v>30</v>
      </c>
      <c r="C19" s="158">
        <v>12372</v>
      </c>
      <c r="D19" s="158">
        <v>5264</v>
      </c>
      <c r="E19" s="158">
        <v>17636</v>
      </c>
      <c r="F19" s="158">
        <v>9702</v>
      </c>
      <c r="G19" s="158">
        <v>6456</v>
      </c>
      <c r="H19" s="158">
        <v>16158</v>
      </c>
      <c r="I19" s="158">
        <v>45288</v>
      </c>
      <c r="J19" s="158">
        <v>43741</v>
      </c>
      <c r="K19" s="158">
        <v>89029</v>
      </c>
      <c r="L19" s="158">
        <v>5301</v>
      </c>
      <c r="M19" s="158">
        <v>9911</v>
      </c>
      <c r="N19" s="158">
        <v>15212</v>
      </c>
      <c r="O19" s="158">
        <v>5773</v>
      </c>
      <c r="P19" s="158">
        <v>5576</v>
      </c>
      <c r="Q19" s="158">
        <v>11349</v>
      </c>
      <c r="R19" s="158">
        <v>791</v>
      </c>
      <c r="S19" s="158">
        <v>710</v>
      </c>
      <c r="T19" s="158">
        <v>1501</v>
      </c>
      <c r="U19" s="158">
        <v>79227</v>
      </c>
      <c r="V19" s="158">
        <v>71658</v>
      </c>
      <c r="W19" s="158">
        <v>150885</v>
      </c>
    </row>
    <row r="20" spans="1:23" ht="24.75" customHeight="1">
      <c r="A20" s="125">
        <v>16</v>
      </c>
      <c r="B20" s="159" t="s">
        <v>31</v>
      </c>
      <c r="C20" s="158">
        <v>3151</v>
      </c>
      <c r="D20" s="158">
        <v>2058</v>
      </c>
      <c r="E20" s="158">
        <v>5209</v>
      </c>
      <c r="F20" s="158">
        <v>2841</v>
      </c>
      <c r="G20" s="158">
        <v>2820</v>
      </c>
      <c r="H20" s="158">
        <v>5661</v>
      </c>
      <c r="I20" s="158">
        <v>15536</v>
      </c>
      <c r="J20" s="158">
        <v>29264</v>
      </c>
      <c r="K20" s="158">
        <v>44800</v>
      </c>
      <c r="L20" s="158">
        <v>903</v>
      </c>
      <c r="M20" s="158">
        <v>2231</v>
      </c>
      <c r="N20" s="158">
        <v>3134</v>
      </c>
      <c r="O20" s="158">
        <v>1041</v>
      </c>
      <c r="P20" s="158">
        <v>2915</v>
      </c>
      <c r="Q20" s="158">
        <v>3956</v>
      </c>
      <c r="R20" s="158">
        <v>44</v>
      </c>
      <c r="S20" s="158">
        <v>51</v>
      </c>
      <c r="T20" s="158">
        <v>95</v>
      </c>
      <c r="U20" s="158">
        <v>23516</v>
      </c>
      <c r="V20" s="158">
        <v>39339</v>
      </c>
      <c r="W20" s="158">
        <v>62855</v>
      </c>
    </row>
    <row r="21" spans="1:23" ht="24.75" customHeight="1">
      <c r="A21" s="125">
        <v>17</v>
      </c>
      <c r="B21" s="159" t="s">
        <v>154</v>
      </c>
      <c r="C21" s="158">
        <v>9</v>
      </c>
      <c r="D21" s="158">
        <v>4</v>
      </c>
      <c r="E21" s="158">
        <v>13</v>
      </c>
      <c r="F21" s="158">
        <v>3</v>
      </c>
      <c r="G21" s="158"/>
      <c r="H21" s="158">
        <v>3</v>
      </c>
      <c r="I21" s="158">
        <v>119</v>
      </c>
      <c r="J21" s="158">
        <v>77</v>
      </c>
      <c r="K21" s="158">
        <v>196</v>
      </c>
      <c r="L21" s="158">
        <v>9</v>
      </c>
      <c r="M21" s="158">
        <v>3</v>
      </c>
      <c r="N21" s="158">
        <v>12</v>
      </c>
      <c r="O21" s="158">
        <v>19</v>
      </c>
      <c r="P21" s="158">
        <v>31</v>
      </c>
      <c r="Q21" s="158">
        <v>50</v>
      </c>
      <c r="R21" s="158"/>
      <c r="S21" s="158"/>
      <c r="T21" s="158"/>
      <c r="U21" s="158">
        <v>159</v>
      </c>
      <c r="V21" s="158">
        <v>115</v>
      </c>
      <c r="W21" s="158">
        <v>274</v>
      </c>
    </row>
    <row r="22" spans="1:23" ht="24.75" customHeight="1">
      <c r="A22" s="125">
        <v>18</v>
      </c>
      <c r="B22" s="159" t="s">
        <v>32</v>
      </c>
      <c r="C22" s="158"/>
      <c r="D22" s="158">
        <v>1</v>
      </c>
      <c r="E22" s="158">
        <v>1</v>
      </c>
      <c r="F22" s="158"/>
      <c r="G22" s="158"/>
      <c r="H22" s="158"/>
      <c r="I22" s="158">
        <v>5</v>
      </c>
      <c r="J22" s="158">
        <v>4</v>
      </c>
      <c r="K22" s="158">
        <v>9</v>
      </c>
      <c r="L22" s="158"/>
      <c r="M22" s="158"/>
      <c r="N22" s="158"/>
      <c r="O22" s="158"/>
      <c r="P22" s="158"/>
      <c r="Q22" s="158"/>
      <c r="R22" s="158"/>
      <c r="S22" s="158"/>
      <c r="T22" s="158"/>
      <c r="U22" s="158">
        <v>5</v>
      </c>
      <c r="V22" s="158">
        <v>5</v>
      </c>
      <c r="W22" s="158">
        <v>10</v>
      </c>
    </row>
    <row r="23" spans="1:23" ht="24.75" customHeight="1">
      <c r="A23" s="125">
        <v>19</v>
      </c>
      <c r="B23" s="159" t="s">
        <v>33</v>
      </c>
      <c r="C23" s="158">
        <v>5781</v>
      </c>
      <c r="D23" s="158">
        <v>3136</v>
      </c>
      <c r="E23" s="158">
        <v>8917</v>
      </c>
      <c r="F23" s="158">
        <v>4546</v>
      </c>
      <c r="G23" s="158">
        <v>2792</v>
      </c>
      <c r="H23" s="158">
        <v>7338</v>
      </c>
      <c r="I23" s="158">
        <v>31473</v>
      </c>
      <c r="J23" s="158">
        <v>22239</v>
      </c>
      <c r="K23" s="158">
        <v>53712</v>
      </c>
      <c r="L23" s="158">
        <v>2385</v>
      </c>
      <c r="M23" s="158">
        <v>4171</v>
      </c>
      <c r="N23" s="158">
        <v>6556</v>
      </c>
      <c r="O23" s="158">
        <v>2831</v>
      </c>
      <c r="P23" s="158">
        <v>2575</v>
      </c>
      <c r="Q23" s="158">
        <v>5406</v>
      </c>
      <c r="R23" s="158">
        <v>303</v>
      </c>
      <c r="S23" s="158">
        <v>229</v>
      </c>
      <c r="T23" s="158">
        <v>532</v>
      </c>
      <c r="U23" s="158">
        <v>47319</v>
      </c>
      <c r="V23" s="158">
        <v>35142</v>
      </c>
      <c r="W23" s="158">
        <v>82461</v>
      </c>
    </row>
    <row r="24" spans="1:23" ht="24.75" customHeight="1">
      <c r="A24" s="125">
        <v>20</v>
      </c>
      <c r="B24" s="159" t="s">
        <v>34</v>
      </c>
      <c r="C24" s="158">
        <v>11443</v>
      </c>
      <c r="D24" s="158">
        <v>4745</v>
      </c>
      <c r="E24" s="158">
        <v>16188</v>
      </c>
      <c r="F24" s="158">
        <v>12023</v>
      </c>
      <c r="G24" s="158">
        <v>6242</v>
      </c>
      <c r="H24" s="158">
        <v>18265</v>
      </c>
      <c r="I24" s="158">
        <v>62690</v>
      </c>
      <c r="J24" s="158">
        <v>48957</v>
      </c>
      <c r="K24" s="158">
        <v>111647</v>
      </c>
      <c r="L24" s="158">
        <v>2790</v>
      </c>
      <c r="M24" s="158">
        <v>5200</v>
      </c>
      <c r="N24" s="158">
        <v>7990</v>
      </c>
      <c r="O24" s="158">
        <v>4949</v>
      </c>
      <c r="P24" s="158">
        <v>5055</v>
      </c>
      <c r="Q24" s="158">
        <v>10004</v>
      </c>
      <c r="R24" s="158">
        <v>1884</v>
      </c>
      <c r="S24" s="158">
        <v>1714</v>
      </c>
      <c r="T24" s="158">
        <v>3598</v>
      </c>
      <c r="U24" s="158">
        <v>95779</v>
      </c>
      <c r="V24" s="158">
        <v>71913</v>
      </c>
      <c r="W24" s="158">
        <v>167692</v>
      </c>
    </row>
    <row r="25" spans="1:23" ht="24.75" customHeight="1">
      <c r="A25" s="125">
        <v>21</v>
      </c>
      <c r="B25" s="159" t="s">
        <v>35</v>
      </c>
      <c r="C25" s="158">
        <v>282</v>
      </c>
      <c r="D25" s="158">
        <v>111</v>
      </c>
      <c r="E25" s="158">
        <v>393</v>
      </c>
      <c r="F25" s="158">
        <v>420</v>
      </c>
      <c r="G25" s="158">
        <v>305</v>
      </c>
      <c r="H25" s="158">
        <v>725</v>
      </c>
      <c r="I25" s="158">
        <v>2180</v>
      </c>
      <c r="J25" s="158">
        <v>2434</v>
      </c>
      <c r="K25" s="158">
        <v>4614</v>
      </c>
      <c r="L25" s="158">
        <v>23</v>
      </c>
      <c r="M25" s="158">
        <v>200</v>
      </c>
      <c r="N25" s="158">
        <v>223</v>
      </c>
      <c r="O25" s="158">
        <v>151</v>
      </c>
      <c r="P25" s="158">
        <v>107</v>
      </c>
      <c r="Q25" s="158">
        <v>258</v>
      </c>
      <c r="R25" s="158">
        <v>47</v>
      </c>
      <c r="S25" s="158">
        <v>10</v>
      </c>
      <c r="T25" s="158">
        <v>57</v>
      </c>
      <c r="U25" s="158">
        <v>3103</v>
      </c>
      <c r="V25" s="158">
        <v>3167</v>
      </c>
      <c r="W25" s="158">
        <v>6270</v>
      </c>
    </row>
    <row r="26" spans="1:23" ht="24.75" customHeight="1">
      <c r="A26" s="125">
        <v>22</v>
      </c>
      <c r="B26" s="159" t="s">
        <v>36</v>
      </c>
      <c r="C26" s="158">
        <v>188</v>
      </c>
      <c r="D26" s="158">
        <v>96</v>
      </c>
      <c r="E26" s="158">
        <v>284</v>
      </c>
      <c r="F26" s="158">
        <v>218</v>
      </c>
      <c r="G26" s="158">
        <v>211</v>
      </c>
      <c r="H26" s="158">
        <v>429</v>
      </c>
      <c r="I26" s="158">
        <v>1147</v>
      </c>
      <c r="J26" s="158">
        <v>1695</v>
      </c>
      <c r="K26" s="158">
        <v>2842</v>
      </c>
      <c r="L26" s="158">
        <v>34</v>
      </c>
      <c r="M26" s="158">
        <v>113</v>
      </c>
      <c r="N26" s="158">
        <v>147</v>
      </c>
      <c r="O26" s="158">
        <v>40</v>
      </c>
      <c r="P26" s="158">
        <v>48</v>
      </c>
      <c r="Q26" s="158">
        <v>88</v>
      </c>
      <c r="R26" s="158">
        <v>3</v>
      </c>
      <c r="S26" s="158">
        <v>12</v>
      </c>
      <c r="T26" s="158">
        <v>15</v>
      </c>
      <c r="U26" s="158">
        <v>1630</v>
      </c>
      <c r="V26" s="158">
        <v>2175</v>
      </c>
      <c r="W26" s="158">
        <v>3805</v>
      </c>
    </row>
    <row r="27" spans="1:23" ht="24.75" customHeight="1">
      <c r="A27" s="125">
        <v>23</v>
      </c>
      <c r="B27" s="159" t="s">
        <v>37</v>
      </c>
      <c r="C27" s="158">
        <v>138</v>
      </c>
      <c r="D27" s="158">
        <v>47</v>
      </c>
      <c r="E27" s="158">
        <v>185</v>
      </c>
      <c r="F27" s="158">
        <v>267</v>
      </c>
      <c r="G27" s="158">
        <v>214</v>
      </c>
      <c r="H27" s="158">
        <v>481</v>
      </c>
      <c r="I27" s="158">
        <v>580</v>
      </c>
      <c r="J27" s="158">
        <v>547</v>
      </c>
      <c r="K27" s="158">
        <v>1127</v>
      </c>
      <c r="L27" s="158">
        <v>40</v>
      </c>
      <c r="M27" s="158">
        <v>109</v>
      </c>
      <c r="N27" s="158">
        <v>149</v>
      </c>
      <c r="O27" s="158">
        <v>135</v>
      </c>
      <c r="P27" s="158">
        <v>121</v>
      </c>
      <c r="Q27" s="158">
        <v>256</v>
      </c>
      <c r="R27" s="158">
        <v>8</v>
      </c>
      <c r="S27" s="158">
        <v>4</v>
      </c>
      <c r="T27" s="158">
        <v>12</v>
      </c>
      <c r="U27" s="158">
        <v>1168</v>
      </c>
      <c r="V27" s="158">
        <v>1042</v>
      </c>
      <c r="W27" s="158">
        <v>2210</v>
      </c>
    </row>
    <row r="28" spans="1:23" ht="24.75" customHeight="1">
      <c r="A28" s="125">
        <v>24</v>
      </c>
      <c r="B28" s="159" t="s">
        <v>38</v>
      </c>
      <c r="C28" s="158">
        <v>106</v>
      </c>
      <c r="D28" s="158">
        <v>57</v>
      </c>
      <c r="E28" s="158">
        <v>163</v>
      </c>
      <c r="F28" s="158">
        <v>74</v>
      </c>
      <c r="G28" s="158">
        <v>95</v>
      </c>
      <c r="H28" s="158">
        <v>169</v>
      </c>
      <c r="I28" s="158">
        <v>840</v>
      </c>
      <c r="J28" s="158">
        <v>1198</v>
      </c>
      <c r="K28" s="158">
        <v>2038</v>
      </c>
      <c r="L28" s="158">
        <v>40</v>
      </c>
      <c r="M28" s="158">
        <v>62</v>
      </c>
      <c r="N28" s="158">
        <v>102</v>
      </c>
      <c r="O28" s="158">
        <v>18</v>
      </c>
      <c r="P28" s="158">
        <v>32</v>
      </c>
      <c r="Q28" s="158">
        <v>50</v>
      </c>
      <c r="R28" s="158">
        <v>9</v>
      </c>
      <c r="S28" s="158">
        <v>8</v>
      </c>
      <c r="T28" s="158">
        <v>17</v>
      </c>
      <c r="U28" s="158">
        <v>1087</v>
      </c>
      <c r="V28" s="158">
        <v>1452</v>
      </c>
      <c r="W28" s="158">
        <v>2539</v>
      </c>
    </row>
    <row r="29" spans="1:23" ht="24.75" customHeight="1">
      <c r="A29" s="125">
        <v>25</v>
      </c>
      <c r="B29" s="159" t="s">
        <v>39</v>
      </c>
      <c r="C29" s="158">
        <v>2657</v>
      </c>
      <c r="D29" s="158">
        <v>866</v>
      </c>
      <c r="E29" s="158">
        <v>3523</v>
      </c>
      <c r="F29" s="158">
        <v>3153</v>
      </c>
      <c r="G29" s="158">
        <v>1271</v>
      </c>
      <c r="H29" s="158">
        <v>4424</v>
      </c>
      <c r="I29" s="158">
        <v>18280</v>
      </c>
      <c r="J29" s="158">
        <v>11381</v>
      </c>
      <c r="K29" s="158">
        <v>29661</v>
      </c>
      <c r="L29" s="158">
        <v>1423</v>
      </c>
      <c r="M29" s="158">
        <v>2465</v>
      </c>
      <c r="N29" s="158">
        <v>3888</v>
      </c>
      <c r="O29" s="158">
        <v>1009</v>
      </c>
      <c r="P29" s="158">
        <v>978</v>
      </c>
      <c r="Q29" s="158">
        <v>1987</v>
      </c>
      <c r="R29" s="158">
        <v>142</v>
      </c>
      <c r="S29" s="158">
        <v>105</v>
      </c>
      <c r="T29" s="158">
        <v>247</v>
      </c>
      <c r="U29" s="158">
        <v>26664</v>
      </c>
      <c r="V29" s="158">
        <v>17066</v>
      </c>
      <c r="W29" s="158">
        <v>43730</v>
      </c>
    </row>
    <row r="30" spans="1:23" ht="24.75" customHeight="1">
      <c r="A30" s="125">
        <v>26</v>
      </c>
      <c r="B30" s="159" t="s">
        <v>40</v>
      </c>
      <c r="C30" s="158">
        <v>742</v>
      </c>
      <c r="D30" s="158">
        <v>333</v>
      </c>
      <c r="E30" s="158">
        <v>1075</v>
      </c>
      <c r="F30" s="158">
        <v>499</v>
      </c>
      <c r="G30" s="158">
        <v>351</v>
      </c>
      <c r="H30" s="158">
        <v>850</v>
      </c>
      <c r="I30" s="158">
        <v>1981</v>
      </c>
      <c r="J30" s="158">
        <v>1810</v>
      </c>
      <c r="K30" s="158">
        <v>3791</v>
      </c>
      <c r="L30" s="158">
        <v>282</v>
      </c>
      <c r="M30" s="158">
        <v>485</v>
      </c>
      <c r="N30" s="158">
        <v>767</v>
      </c>
      <c r="O30" s="158">
        <v>57</v>
      </c>
      <c r="P30" s="158">
        <v>53</v>
      </c>
      <c r="Q30" s="158">
        <v>110</v>
      </c>
      <c r="R30" s="158">
        <v>1</v>
      </c>
      <c r="S30" s="158"/>
      <c r="T30" s="158">
        <v>1</v>
      </c>
      <c r="U30" s="158">
        <v>3562</v>
      </c>
      <c r="V30" s="158">
        <v>3032</v>
      </c>
      <c r="W30" s="158">
        <v>6594</v>
      </c>
    </row>
    <row r="31" spans="1:23" ht="24.75" customHeight="1">
      <c r="A31" s="125">
        <v>27</v>
      </c>
      <c r="B31" s="159" t="s">
        <v>41</v>
      </c>
      <c r="C31" s="158">
        <v>2549</v>
      </c>
      <c r="D31" s="158">
        <v>1604</v>
      </c>
      <c r="E31" s="158">
        <v>4153</v>
      </c>
      <c r="F31" s="158">
        <v>2206</v>
      </c>
      <c r="G31" s="158">
        <v>2061</v>
      </c>
      <c r="H31" s="158">
        <v>4267</v>
      </c>
      <c r="I31" s="158">
        <v>14239</v>
      </c>
      <c r="J31" s="158">
        <v>21367</v>
      </c>
      <c r="K31" s="158">
        <v>35606</v>
      </c>
      <c r="L31" s="158">
        <v>538</v>
      </c>
      <c r="M31" s="158">
        <v>4204</v>
      </c>
      <c r="N31" s="158">
        <v>4742</v>
      </c>
      <c r="O31" s="158">
        <v>473</v>
      </c>
      <c r="P31" s="158">
        <v>1256</v>
      </c>
      <c r="Q31" s="158">
        <v>1729</v>
      </c>
      <c r="R31" s="158">
        <v>180</v>
      </c>
      <c r="S31" s="158">
        <v>315</v>
      </c>
      <c r="T31" s="158">
        <v>495</v>
      </c>
      <c r="U31" s="158">
        <v>20185</v>
      </c>
      <c r="V31" s="158">
        <v>30807</v>
      </c>
      <c r="W31" s="158">
        <v>50992</v>
      </c>
    </row>
    <row r="32" spans="1:23" ht="24.75" customHeight="1">
      <c r="A32" s="125">
        <v>28</v>
      </c>
      <c r="B32" s="159" t="s">
        <v>42</v>
      </c>
      <c r="C32" s="158">
        <v>5510</v>
      </c>
      <c r="D32" s="158">
        <v>2235</v>
      </c>
      <c r="E32" s="158">
        <v>7745</v>
      </c>
      <c r="F32" s="158">
        <v>4493</v>
      </c>
      <c r="G32" s="158">
        <v>2795</v>
      </c>
      <c r="H32" s="158">
        <v>7288</v>
      </c>
      <c r="I32" s="158">
        <v>39389</v>
      </c>
      <c r="J32" s="158">
        <v>23318</v>
      </c>
      <c r="K32" s="158">
        <v>62707</v>
      </c>
      <c r="L32" s="158">
        <v>2849</v>
      </c>
      <c r="M32" s="158">
        <v>1269</v>
      </c>
      <c r="N32" s="158">
        <v>4118</v>
      </c>
      <c r="O32" s="158">
        <v>668</v>
      </c>
      <c r="P32" s="158">
        <v>368</v>
      </c>
      <c r="Q32" s="158">
        <v>1036</v>
      </c>
      <c r="R32" s="158">
        <v>174</v>
      </c>
      <c r="S32" s="158">
        <v>124</v>
      </c>
      <c r="T32" s="158">
        <v>298</v>
      </c>
      <c r="U32" s="158">
        <v>53083</v>
      </c>
      <c r="V32" s="158">
        <v>30109</v>
      </c>
      <c r="W32" s="158">
        <v>83192</v>
      </c>
    </row>
    <row r="33" spans="1:23" ht="24.75" customHeight="1">
      <c r="A33" s="125">
        <v>29</v>
      </c>
      <c r="B33" s="159" t="s">
        <v>43</v>
      </c>
      <c r="C33" s="158">
        <v>77</v>
      </c>
      <c r="D33" s="158">
        <v>28</v>
      </c>
      <c r="E33" s="158">
        <v>105</v>
      </c>
      <c r="F33" s="158">
        <v>117</v>
      </c>
      <c r="G33" s="158">
        <v>54</v>
      </c>
      <c r="H33" s="158">
        <v>171</v>
      </c>
      <c r="I33" s="158">
        <v>665</v>
      </c>
      <c r="J33" s="158">
        <v>480</v>
      </c>
      <c r="K33" s="158">
        <v>1145</v>
      </c>
      <c r="L33" s="158">
        <v>25</v>
      </c>
      <c r="M33" s="158">
        <v>46</v>
      </c>
      <c r="N33" s="158">
        <v>71</v>
      </c>
      <c r="O33" s="158">
        <v>7</v>
      </c>
      <c r="P33" s="158">
        <v>9</v>
      </c>
      <c r="Q33" s="158">
        <v>16</v>
      </c>
      <c r="R33" s="158"/>
      <c r="S33" s="158">
        <v>1</v>
      </c>
      <c r="T33" s="158">
        <v>1</v>
      </c>
      <c r="U33" s="158">
        <v>891</v>
      </c>
      <c r="V33" s="158">
        <v>618</v>
      </c>
      <c r="W33" s="158">
        <v>1509</v>
      </c>
    </row>
    <row r="34" spans="1:23" ht="24.75" customHeight="1">
      <c r="A34" s="125">
        <v>30</v>
      </c>
      <c r="B34" s="159" t="s">
        <v>44</v>
      </c>
      <c r="C34" s="158">
        <v>11861</v>
      </c>
      <c r="D34" s="158">
        <v>6432</v>
      </c>
      <c r="E34" s="158">
        <v>18293</v>
      </c>
      <c r="F34" s="158">
        <v>12005</v>
      </c>
      <c r="G34" s="158">
        <v>9051</v>
      </c>
      <c r="H34" s="158">
        <v>21056</v>
      </c>
      <c r="I34" s="158">
        <v>74008</v>
      </c>
      <c r="J34" s="158">
        <v>80006</v>
      </c>
      <c r="K34" s="158">
        <v>154014</v>
      </c>
      <c r="L34" s="158">
        <v>2633</v>
      </c>
      <c r="M34" s="158">
        <v>6319</v>
      </c>
      <c r="N34" s="158">
        <v>8952</v>
      </c>
      <c r="O34" s="158">
        <v>2621</v>
      </c>
      <c r="P34" s="158">
        <v>3302</v>
      </c>
      <c r="Q34" s="158">
        <v>5923</v>
      </c>
      <c r="R34" s="158">
        <v>288</v>
      </c>
      <c r="S34" s="158">
        <v>210</v>
      </c>
      <c r="T34" s="158">
        <v>498</v>
      </c>
      <c r="U34" s="158">
        <v>103416</v>
      </c>
      <c r="V34" s="158">
        <v>105320</v>
      </c>
      <c r="W34" s="158">
        <v>208736</v>
      </c>
    </row>
    <row r="35" spans="1:23" ht="24.75" customHeight="1">
      <c r="A35" s="125">
        <v>31</v>
      </c>
      <c r="B35" s="160" t="s">
        <v>131</v>
      </c>
      <c r="C35" s="158">
        <v>5622</v>
      </c>
      <c r="D35" s="158">
        <v>1921</v>
      </c>
      <c r="E35" s="158">
        <v>7543</v>
      </c>
      <c r="F35" s="158">
        <v>5132</v>
      </c>
      <c r="G35" s="158">
        <v>2990</v>
      </c>
      <c r="H35" s="158">
        <v>8122</v>
      </c>
      <c r="I35" s="158">
        <v>35041</v>
      </c>
      <c r="J35" s="158">
        <v>26885</v>
      </c>
      <c r="K35" s="158">
        <v>61926</v>
      </c>
      <c r="L35" s="158">
        <v>1179</v>
      </c>
      <c r="M35" s="158">
        <v>2528</v>
      </c>
      <c r="N35" s="158">
        <v>3707</v>
      </c>
      <c r="O35" s="158">
        <v>1500</v>
      </c>
      <c r="P35" s="158">
        <v>1152</v>
      </c>
      <c r="Q35" s="158">
        <v>2652</v>
      </c>
      <c r="R35" s="158">
        <v>96</v>
      </c>
      <c r="S35" s="158">
        <v>40</v>
      </c>
      <c r="T35" s="158">
        <v>136</v>
      </c>
      <c r="U35" s="158">
        <v>48570</v>
      </c>
      <c r="V35" s="158">
        <v>35516</v>
      </c>
      <c r="W35" s="158">
        <v>84086</v>
      </c>
    </row>
    <row r="36" spans="1:23" ht="28.5">
      <c r="A36" s="125">
        <v>32</v>
      </c>
      <c r="B36" s="159" t="s">
        <v>1062</v>
      </c>
      <c r="C36" s="158">
        <v>26</v>
      </c>
      <c r="D36" s="158">
        <v>12</v>
      </c>
      <c r="E36" s="158">
        <v>38</v>
      </c>
      <c r="F36" s="158">
        <v>30</v>
      </c>
      <c r="G36" s="158">
        <v>14</v>
      </c>
      <c r="H36" s="158">
        <v>44</v>
      </c>
      <c r="I36" s="158">
        <v>231</v>
      </c>
      <c r="J36" s="158">
        <v>157</v>
      </c>
      <c r="K36" s="158">
        <v>388</v>
      </c>
      <c r="L36" s="158">
        <v>18</v>
      </c>
      <c r="M36" s="158">
        <v>60</v>
      </c>
      <c r="N36" s="158">
        <v>78</v>
      </c>
      <c r="O36" s="158">
        <v>36</v>
      </c>
      <c r="P36" s="158">
        <v>30</v>
      </c>
      <c r="Q36" s="158">
        <v>66</v>
      </c>
      <c r="R36" s="158">
        <v>13</v>
      </c>
      <c r="S36" s="158">
        <v>8</v>
      </c>
      <c r="T36" s="158">
        <v>21</v>
      </c>
      <c r="U36" s="158">
        <v>354</v>
      </c>
      <c r="V36" s="158">
        <v>281</v>
      </c>
      <c r="W36" s="158">
        <v>635</v>
      </c>
    </row>
    <row r="37" spans="1:23" ht="24.75" customHeight="1">
      <c r="A37" s="125">
        <v>33</v>
      </c>
      <c r="B37" s="159" t="s">
        <v>45</v>
      </c>
      <c r="C37" s="158">
        <v>125</v>
      </c>
      <c r="D37" s="158">
        <v>31</v>
      </c>
      <c r="E37" s="158">
        <v>156</v>
      </c>
      <c r="F37" s="158">
        <v>185</v>
      </c>
      <c r="G37" s="158">
        <v>79</v>
      </c>
      <c r="H37" s="158">
        <v>264</v>
      </c>
      <c r="I37" s="158">
        <v>900</v>
      </c>
      <c r="J37" s="158">
        <v>450</v>
      </c>
      <c r="K37" s="158">
        <v>1350</v>
      </c>
      <c r="L37" s="158">
        <v>212</v>
      </c>
      <c r="M37" s="158">
        <v>252</v>
      </c>
      <c r="N37" s="158">
        <v>464</v>
      </c>
      <c r="O37" s="158">
        <v>129</v>
      </c>
      <c r="P37" s="158">
        <v>84</v>
      </c>
      <c r="Q37" s="158">
        <v>213</v>
      </c>
      <c r="R37" s="158">
        <v>33</v>
      </c>
      <c r="S37" s="158">
        <v>25</v>
      </c>
      <c r="T37" s="158">
        <v>58</v>
      </c>
      <c r="U37" s="158">
        <v>1584</v>
      </c>
      <c r="V37" s="158">
        <v>921</v>
      </c>
      <c r="W37" s="158">
        <v>2505</v>
      </c>
    </row>
    <row r="38" spans="1:23" ht="24.75" customHeight="1">
      <c r="A38" s="125">
        <v>34</v>
      </c>
      <c r="B38" s="159" t="s">
        <v>47</v>
      </c>
      <c r="C38" s="158">
        <v>13046</v>
      </c>
      <c r="D38" s="158">
        <v>4083</v>
      </c>
      <c r="E38" s="158">
        <v>17129</v>
      </c>
      <c r="F38" s="158">
        <v>11010</v>
      </c>
      <c r="G38" s="158">
        <v>5235</v>
      </c>
      <c r="H38" s="158">
        <v>16245</v>
      </c>
      <c r="I38" s="158">
        <v>86238</v>
      </c>
      <c r="J38" s="158">
        <v>39659</v>
      </c>
      <c r="K38" s="158">
        <v>125897</v>
      </c>
      <c r="L38" s="158">
        <v>3295</v>
      </c>
      <c r="M38" s="158">
        <v>4410</v>
      </c>
      <c r="N38" s="158">
        <v>7705</v>
      </c>
      <c r="O38" s="158">
        <v>7653</v>
      </c>
      <c r="P38" s="158">
        <v>3043</v>
      </c>
      <c r="Q38" s="158">
        <v>10696</v>
      </c>
      <c r="R38" s="158">
        <v>352</v>
      </c>
      <c r="S38" s="158">
        <v>169</v>
      </c>
      <c r="T38" s="158">
        <v>521</v>
      </c>
      <c r="U38" s="158">
        <v>121594</v>
      </c>
      <c r="V38" s="158">
        <v>56599</v>
      </c>
      <c r="W38" s="158">
        <v>178193</v>
      </c>
    </row>
    <row r="39" spans="1:23" ht="24.75" customHeight="1">
      <c r="A39" s="125">
        <v>35</v>
      </c>
      <c r="B39" s="159" t="s">
        <v>46</v>
      </c>
      <c r="C39" s="158">
        <v>1893</v>
      </c>
      <c r="D39" s="158">
        <v>673</v>
      </c>
      <c r="E39" s="158">
        <v>2566</v>
      </c>
      <c r="F39" s="158">
        <v>1370</v>
      </c>
      <c r="G39" s="158">
        <v>748</v>
      </c>
      <c r="H39" s="158">
        <v>2118</v>
      </c>
      <c r="I39" s="158">
        <v>7413</v>
      </c>
      <c r="J39" s="158">
        <v>5218</v>
      </c>
      <c r="K39" s="158">
        <v>12631</v>
      </c>
      <c r="L39" s="158">
        <v>375</v>
      </c>
      <c r="M39" s="158">
        <v>663</v>
      </c>
      <c r="N39" s="158">
        <v>1038</v>
      </c>
      <c r="O39" s="158">
        <v>634</v>
      </c>
      <c r="P39" s="158">
        <v>475</v>
      </c>
      <c r="Q39" s="158">
        <v>1109</v>
      </c>
      <c r="R39" s="158">
        <v>33</v>
      </c>
      <c r="S39" s="158">
        <v>23</v>
      </c>
      <c r="T39" s="158">
        <v>56</v>
      </c>
      <c r="U39" s="158">
        <v>11718</v>
      </c>
      <c r="V39" s="158">
        <v>7800</v>
      </c>
      <c r="W39" s="158">
        <v>19518</v>
      </c>
    </row>
    <row r="40" spans="1:23" ht="24.75" customHeight="1">
      <c r="A40" s="125">
        <v>36</v>
      </c>
      <c r="B40" s="159" t="s">
        <v>48</v>
      </c>
      <c r="C40" s="158">
        <v>4693</v>
      </c>
      <c r="D40" s="158">
        <v>1294</v>
      </c>
      <c r="E40" s="158">
        <v>5987</v>
      </c>
      <c r="F40" s="158">
        <v>4652</v>
      </c>
      <c r="G40" s="158">
        <v>2629</v>
      </c>
      <c r="H40" s="158">
        <v>7281</v>
      </c>
      <c r="I40" s="158">
        <v>28419</v>
      </c>
      <c r="J40" s="158">
        <v>13986</v>
      </c>
      <c r="K40" s="158">
        <v>42405</v>
      </c>
      <c r="L40" s="158">
        <v>1383</v>
      </c>
      <c r="M40" s="158">
        <v>2555</v>
      </c>
      <c r="N40" s="158">
        <v>3938</v>
      </c>
      <c r="O40" s="158">
        <v>7252</v>
      </c>
      <c r="P40" s="158">
        <v>6029</v>
      </c>
      <c r="Q40" s="158">
        <v>13281</v>
      </c>
      <c r="R40" s="158">
        <v>571</v>
      </c>
      <c r="S40" s="158">
        <v>354</v>
      </c>
      <c r="T40" s="158">
        <v>925</v>
      </c>
      <c r="U40" s="158">
        <v>46970</v>
      </c>
      <c r="V40" s="158">
        <v>26847</v>
      </c>
      <c r="W40" s="158">
        <v>73817</v>
      </c>
    </row>
    <row r="41" spans="1:23" s="127" customFormat="1" ht="24.75" customHeight="1">
      <c r="A41" s="1093" t="s">
        <v>49</v>
      </c>
      <c r="B41" s="1093"/>
      <c r="C41" s="162">
        <v>106703</v>
      </c>
      <c r="D41" s="162">
        <v>44704</v>
      </c>
      <c r="E41" s="162">
        <v>151407</v>
      </c>
      <c r="F41" s="162">
        <v>99893</v>
      </c>
      <c r="G41" s="162">
        <v>60840</v>
      </c>
      <c r="H41" s="162">
        <v>160733</v>
      </c>
      <c r="I41" s="162">
        <v>610368</v>
      </c>
      <c r="J41" s="162">
        <v>476158</v>
      </c>
      <c r="K41" s="162">
        <v>1086526</v>
      </c>
      <c r="L41" s="162">
        <v>32142</v>
      </c>
      <c r="M41" s="162">
        <v>63611</v>
      </c>
      <c r="N41" s="162">
        <v>95753</v>
      </c>
      <c r="O41" s="162">
        <v>47274</v>
      </c>
      <c r="P41" s="162">
        <v>43091</v>
      </c>
      <c r="Q41" s="162">
        <v>90365</v>
      </c>
      <c r="R41" s="162">
        <v>7143</v>
      </c>
      <c r="S41" s="162">
        <v>5761</v>
      </c>
      <c r="T41" s="162">
        <v>12904</v>
      </c>
      <c r="U41" s="162">
        <v>903523</v>
      </c>
      <c r="V41" s="162">
        <v>694165</v>
      </c>
      <c r="W41" s="162">
        <v>1597688</v>
      </c>
    </row>
    <row r="42" spans="1:23">
      <c r="T42" s="425"/>
    </row>
    <row r="43" spans="1:23">
      <c r="W43" s="425"/>
    </row>
    <row r="47" spans="1:23">
      <c r="W47" s="425"/>
    </row>
  </sheetData>
  <mergeCells count="13">
    <mergeCell ref="R2:T2"/>
    <mergeCell ref="U2:W2"/>
    <mergeCell ref="A41:B41"/>
    <mergeCell ref="C1:H1"/>
    <mergeCell ref="I1:N1"/>
    <mergeCell ref="O1:W1"/>
    <mergeCell ref="A2:A3"/>
    <mergeCell ref="B2:B3"/>
    <mergeCell ref="C2:E2"/>
    <mergeCell ref="F2:H2"/>
    <mergeCell ref="I2:K2"/>
    <mergeCell ref="L2:N2"/>
    <mergeCell ref="O2:Q2"/>
  </mergeCells>
  <printOptions horizontalCentered="1"/>
  <pageMargins left="0.51181102362204722" right="0.39370078740157483" top="0.33" bottom="0.39370078740157483" header="0.27559055118110237" footer="0.23622047244094491"/>
  <pageSetup paperSize="9" scale="76" firstPageNumber="2" pageOrder="overThenDown" orientation="portrait" useFirstPageNumber="1" r:id="rId1"/>
  <headerFooter alignWithMargins="0">
    <oddFooter>&amp;LAISHE 2021-22&amp;CT-22</oddFooter>
  </headerFooter>
  <colBreaks count="2" manualBreakCount="2">
    <brk id="8" max="41" man="1"/>
    <brk id="14" max="41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W43"/>
  <sheetViews>
    <sheetView view="pageBreakPreview" topLeftCell="A13" zoomScaleSheetLayoutView="100" workbookViewId="0">
      <selection activeCell="F15" sqref="F15"/>
    </sheetView>
  </sheetViews>
  <sheetFormatPr defaultColWidth="9.28515625" defaultRowHeight="15"/>
  <cols>
    <col min="1" max="1" width="5.7109375" style="170" bestFit="1" customWidth="1"/>
    <col min="2" max="2" width="23.7109375" style="124" bestFit="1" customWidth="1"/>
    <col min="3" max="14" width="14.28515625" style="124" customWidth="1"/>
    <col min="15" max="23" width="10.7109375" style="124" customWidth="1"/>
    <col min="24" max="16384" width="9.28515625" style="151"/>
  </cols>
  <sheetData>
    <row r="1" spans="1:23" s="155" customFormat="1" ht="50.25" customHeight="1">
      <c r="A1" s="463"/>
      <c r="B1" s="154" t="s">
        <v>776</v>
      </c>
      <c r="C1" s="1102" t="s">
        <v>1094</v>
      </c>
      <c r="D1" s="1102"/>
      <c r="E1" s="1102"/>
      <c r="F1" s="1102"/>
      <c r="G1" s="1102"/>
      <c r="H1" s="1102"/>
      <c r="I1" s="1102" t="str">
        <f>C1</f>
        <v>States/UTs and Post-Wise Number of Teachers in Affiliated &amp; Constituent Colleges
(Based on Actual Response)</v>
      </c>
      <c r="J1" s="1102"/>
      <c r="K1" s="1102"/>
      <c r="L1" s="1102"/>
      <c r="M1" s="1102"/>
      <c r="N1" s="1102"/>
      <c r="O1" s="1102" t="str">
        <f>I1</f>
        <v>States/UTs and Post-Wise Number of Teachers in Affiliated &amp; Constituent Colleges
(Based on Actual Response)</v>
      </c>
      <c r="P1" s="1102"/>
      <c r="Q1" s="1102"/>
      <c r="R1" s="1102"/>
      <c r="S1" s="1102"/>
      <c r="T1" s="1102"/>
      <c r="U1" s="1102"/>
      <c r="V1" s="1102"/>
      <c r="W1" s="1102"/>
    </row>
    <row r="2" spans="1:23" s="150" customFormat="1" ht="31.5" customHeight="1">
      <c r="A2" s="1103" t="s">
        <v>988</v>
      </c>
      <c r="B2" s="1104" t="s">
        <v>168</v>
      </c>
      <c r="C2" s="1104" t="s">
        <v>263</v>
      </c>
      <c r="D2" s="1104"/>
      <c r="E2" s="1104"/>
      <c r="F2" s="1104" t="s">
        <v>264</v>
      </c>
      <c r="G2" s="1105"/>
      <c r="H2" s="1105"/>
      <c r="I2" s="1104" t="s">
        <v>265</v>
      </c>
      <c r="J2" s="1105"/>
      <c r="K2" s="1105"/>
      <c r="L2" s="1104" t="s">
        <v>266</v>
      </c>
      <c r="M2" s="1105"/>
      <c r="N2" s="1105"/>
      <c r="O2" s="1104" t="s">
        <v>775</v>
      </c>
      <c r="P2" s="1105"/>
      <c r="Q2" s="1105"/>
      <c r="R2" s="1097" t="s">
        <v>269</v>
      </c>
      <c r="S2" s="1098"/>
      <c r="T2" s="1098"/>
      <c r="U2" s="1099" t="s">
        <v>60</v>
      </c>
      <c r="V2" s="1100"/>
      <c r="W2" s="1101"/>
    </row>
    <row r="3" spans="1:23" s="157" customFormat="1" ht="24.75" customHeight="1">
      <c r="A3" s="1103"/>
      <c r="B3" s="1104"/>
      <c r="C3" s="149" t="s">
        <v>87</v>
      </c>
      <c r="D3" s="149" t="s">
        <v>88</v>
      </c>
      <c r="E3" s="149" t="s">
        <v>12</v>
      </c>
      <c r="F3" s="149" t="s">
        <v>87</v>
      </c>
      <c r="G3" s="149" t="s">
        <v>88</v>
      </c>
      <c r="H3" s="149" t="s">
        <v>12</v>
      </c>
      <c r="I3" s="149" t="s">
        <v>87</v>
      </c>
      <c r="J3" s="149" t="s">
        <v>88</v>
      </c>
      <c r="K3" s="149" t="s">
        <v>12</v>
      </c>
      <c r="L3" s="149" t="s">
        <v>87</v>
      </c>
      <c r="M3" s="149" t="s">
        <v>88</v>
      </c>
      <c r="N3" s="149" t="s">
        <v>12</v>
      </c>
      <c r="O3" s="149" t="s">
        <v>87</v>
      </c>
      <c r="P3" s="149" t="s">
        <v>88</v>
      </c>
      <c r="Q3" s="149" t="s">
        <v>12</v>
      </c>
      <c r="R3" s="149" t="s">
        <v>87</v>
      </c>
      <c r="S3" s="149" t="s">
        <v>88</v>
      </c>
      <c r="T3" s="149" t="s">
        <v>12</v>
      </c>
      <c r="U3" s="156" t="s">
        <v>87</v>
      </c>
      <c r="V3" s="156" t="s">
        <v>88</v>
      </c>
      <c r="W3" s="156" t="s">
        <v>12</v>
      </c>
    </row>
    <row r="4" spans="1:23" s="466" customFormat="1" ht="12">
      <c r="A4" s="465">
        <v>1</v>
      </c>
      <c r="B4" s="465">
        <v>2</v>
      </c>
      <c r="C4" s="465">
        <v>3</v>
      </c>
      <c r="D4" s="465">
        <v>4</v>
      </c>
      <c r="E4" s="465">
        <v>5</v>
      </c>
      <c r="F4" s="465">
        <v>6</v>
      </c>
      <c r="G4" s="465">
        <v>7</v>
      </c>
      <c r="H4" s="465">
        <v>8</v>
      </c>
      <c r="I4" s="465">
        <v>9</v>
      </c>
      <c r="J4" s="465">
        <v>10</v>
      </c>
      <c r="K4" s="465">
        <v>11</v>
      </c>
      <c r="L4" s="465">
        <v>12</v>
      </c>
      <c r="M4" s="465">
        <v>13</v>
      </c>
      <c r="N4" s="465">
        <v>14</v>
      </c>
      <c r="O4" s="465">
        <v>15</v>
      </c>
      <c r="P4" s="465">
        <v>16</v>
      </c>
      <c r="Q4" s="465">
        <v>17</v>
      </c>
      <c r="R4" s="465">
        <v>18</v>
      </c>
      <c r="S4" s="465">
        <v>19</v>
      </c>
      <c r="T4" s="465">
        <v>20</v>
      </c>
      <c r="U4" s="465">
        <v>21</v>
      </c>
      <c r="V4" s="465">
        <v>22</v>
      </c>
      <c r="W4" s="465">
        <v>23</v>
      </c>
    </row>
    <row r="5" spans="1:23" ht="30" customHeight="1">
      <c r="A5" s="467">
        <v>1</v>
      </c>
      <c r="B5" s="159" t="s">
        <v>1061</v>
      </c>
      <c r="C5" s="158">
        <v>25</v>
      </c>
      <c r="D5" s="158">
        <v>2</v>
      </c>
      <c r="E5" s="158">
        <v>27</v>
      </c>
      <c r="F5" s="158">
        <v>51</v>
      </c>
      <c r="G5" s="158">
        <v>12</v>
      </c>
      <c r="H5" s="158">
        <v>63</v>
      </c>
      <c r="I5" s="158">
        <v>92</v>
      </c>
      <c r="J5" s="158">
        <v>41</v>
      </c>
      <c r="K5" s="158">
        <v>133</v>
      </c>
      <c r="L5" s="158">
        <v>12</v>
      </c>
      <c r="M5" s="158">
        <v>8</v>
      </c>
      <c r="N5" s="158">
        <v>20</v>
      </c>
      <c r="O5" s="158">
        <v>48</v>
      </c>
      <c r="P5" s="158">
        <v>112</v>
      </c>
      <c r="Q5" s="158">
        <v>160</v>
      </c>
      <c r="R5" s="158">
        <v>11</v>
      </c>
      <c r="S5" s="158">
        <v>23</v>
      </c>
      <c r="T5" s="158">
        <v>34</v>
      </c>
      <c r="U5" s="158">
        <v>239</v>
      </c>
      <c r="V5" s="158">
        <v>198</v>
      </c>
      <c r="W5" s="158">
        <v>437</v>
      </c>
    </row>
    <row r="6" spans="1:23" ht="24.75" customHeight="1">
      <c r="A6" s="467">
        <v>2</v>
      </c>
      <c r="B6" s="159" t="s">
        <v>15</v>
      </c>
      <c r="C6" s="158">
        <v>5948</v>
      </c>
      <c r="D6" s="158">
        <v>1626</v>
      </c>
      <c r="E6" s="158">
        <v>7574</v>
      </c>
      <c r="F6" s="158">
        <v>5724</v>
      </c>
      <c r="G6" s="158">
        <v>2401</v>
      </c>
      <c r="H6" s="158">
        <v>8125</v>
      </c>
      <c r="I6" s="158">
        <v>41474</v>
      </c>
      <c r="J6" s="158">
        <v>25428</v>
      </c>
      <c r="K6" s="158">
        <v>66902</v>
      </c>
      <c r="L6" s="158">
        <v>643</v>
      </c>
      <c r="M6" s="158">
        <v>2169</v>
      </c>
      <c r="N6" s="158">
        <v>2812</v>
      </c>
      <c r="O6" s="158">
        <v>1526</v>
      </c>
      <c r="P6" s="158">
        <v>1087</v>
      </c>
      <c r="Q6" s="158">
        <v>2613</v>
      </c>
      <c r="R6" s="158">
        <v>35</v>
      </c>
      <c r="S6" s="158">
        <v>41</v>
      </c>
      <c r="T6" s="158">
        <v>76</v>
      </c>
      <c r="U6" s="158">
        <v>55350</v>
      </c>
      <c r="V6" s="158">
        <v>32752</v>
      </c>
      <c r="W6" s="158">
        <v>88102</v>
      </c>
    </row>
    <row r="7" spans="1:23" ht="24.75" customHeight="1">
      <c r="A7" s="467">
        <v>3</v>
      </c>
      <c r="B7" s="159" t="s">
        <v>16</v>
      </c>
      <c r="C7" s="158">
        <v>36</v>
      </c>
      <c r="D7" s="158">
        <v>9</v>
      </c>
      <c r="E7" s="158">
        <v>45</v>
      </c>
      <c r="F7" s="158">
        <v>94</v>
      </c>
      <c r="G7" s="158">
        <v>21</v>
      </c>
      <c r="H7" s="158">
        <v>115</v>
      </c>
      <c r="I7" s="158">
        <v>345</v>
      </c>
      <c r="J7" s="158">
        <v>397</v>
      </c>
      <c r="K7" s="158">
        <v>742</v>
      </c>
      <c r="L7" s="158">
        <v>14</v>
      </c>
      <c r="M7" s="158">
        <v>41</v>
      </c>
      <c r="N7" s="158">
        <v>55</v>
      </c>
      <c r="O7" s="158">
        <v>22</v>
      </c>
      <c r="P7" s="158">
        <v>35</v>
      </c>
      <c r="Q7" s="158">
        <v>57</v>
      </c>
      <c r="R7" s="158">
        <v>3</v>
      </c>
      <c r="S7" s="158">
        <v>3</v>
      </c>
      <c r="T7" s="158">
        <v>6</v>
      </c>
      <c r="U7" s="158">
        <v>514</v>
      </c>
      <c r="V7" s="158">
        <v>506</v>
      </c>
      <c r="W7" s="158">
        <v>1020</v>
      </c>
    </row>
    <row r="8" spans="1:23" ht="24.75" customHeight="1">
      <c r="A8" s="467">
        <v>4</v>
      </c>
      <c r="B8" s="159" t="s">
        <v>17</v>
      </c>
      <c r="C8" s="158">
        <v>569</v>
      </c>
      <c r="D8" s="158">
        <v>191</v>
      </c>
      <c r="E8" s="158">
        <v>760</v>
      </c>
      <c r="F8" s="158">
        <v>1653</v>
      </c>
      <c r="G8" s="158">
        <v>1030</v>
      </c>
      <c r="H8" s="158">
        <v>2683</v>
      </c>
      <c r="I8" s="158">
        <v>7024</v>
      </c>
      <c r="J8" s="158">
        <v>5633</v>
      </c>
      <c r="K8" s="158">
        <v>12657</v>
      </c>
      <c r="L8" s="158">
        <v>368</v>
      </c>
      <c r="M8" s="158">
        <v>278</v>
      </c>
      <c r="N8" s="158">
        <v>646</v>
      </c>
      <c r="O8" s="158">
        <v>576</v>
      </c>
      <c r="P8" s="158">
        <v>729</v>
      </c>
      <c r="Q8" s="158">
        <v>1305</v>
      </c>
      <c r="R8" s="158">
        <v>9</v>
      </c>
      <c r="S8" s="158">
        <v>12</v>
      </c>
      <c r="T8" s="158">
        <v>21</v>
      </c>
      <c r="U8" s="158">
        <v>10199</v>
      </c>
      <c r="V8" s="158">
        <v>7873</v>
      </c>
      <c r="W8" s="158">
        <v>18072</v>
      </c>
    </row>
    <row r="9" spans="1:23" ht="24.75" customHeight="1">
      <c r="A9" s="467">
        <v>5</v>
      </c>
      <c r="B9" s="159" t="s">
        <v>18</v>
      </c>
      <c r="C9" s="158">
        <v>1361</v>
      </c>
      <c r="D9" s="158">
        <v>334</v>
      </c>
      <c r="E9" s="158">
        <v>1695</v>
      </c>
      <c r="F9" s="158">
        <v>2370</v>
      </c>
      <c r="G9" s="158">
        <v>551</v>
      </c>
      <c r="H9" s="158">
        <v>2921</v>
      </c>
      <c r="I9" s="158">
        <v>17772</v>
      </c>
      <c r="J9" s="158">
        <v>5256</v>
      </c>
      <c r="K9" s="158">
        <v>23028</v>
      </c>
      <c r="L9" s="158">
        <v>569</v>
      </c>
      <c r="M9" s="158">
        <v>493</v>
      </c>
      <c r="N9" s="158">
        <v>1062</v>
      </c>
      <c r="O9" s="158">
        <v>933</v>
      </c>
      <c r="P9" s="158">
        <v>397</v>
      </c>
      <c r="Q9" s="158">
        <v>1330</v>
      </c>
      <c r="R9" s="158">
        <v>144</v>
      </c>
      <c r="S9" s="158">
        <v>53</v>
      </c>
      <c r="T9" s="158">
        <v>197</v>
      </c>
      <c r="U9" s="158">
        <v>23149</v>
      </c>
      <c r="V9" s="158">
        <v>7084</v>
      </c>
      <c r="W9" s="158">
        <v>30233</v>
      </c>
    </row>
    <row r="10" spans="1:23" ht="24.75" customHeight="1">
      <c r="A10" s="467">
        <v>6</v>
      </c>
      <c r="B10" s="159" t="s">
        <v>19</v>
      </c>
      <c r="C10" s="158">
        <v>86</v>
      </c>
      <c r="D10" s="158">
        <v>72</v>
      </c>
      <c r="E10" s="158">
        <v>158</v>
      </c>
      <c r="F10" s="158">
        <v>114</v>
      </c>
      <c r="G10" s="158">
        <v>206</v>
      </c>
      <c r="H10" s="158">
        <v>320</v>
      </c>
      <c r="I10" s="158">
        <v>298</v>
      </c>
      <c r="J10" s="158">
        <v>858</v>
      </c>
      <c r="K10" s="158">
        <v>1156</v>
      </c>
      <c r="L10" s="158">
        <v>12</v>
      </c>
      <c r="M10" s="158">
        <v>7</v>
      </c>
      <c r="N10" s="158">
        <v>19</v>
      </c>
      <c r="O10" s="158">
        <v>57</v>
      </c>
      <c r="P10" s="158">
        <v>186</v>
      </c>
      <c r="Q10" s="158">
        <v>243</v>
      </c>
      <c r="R10" s="158"/>
      <c r="S10" s="158"/>
      <c r="T10" s="158"/>
      <c r="U10" s="158">
        <v>567</v>
      </c>
      <c r="V10" s="158">
        <v>1329</v>
      </c>
      <c r="W10" s="158">
        <v>1896</v>
      </c>
    </row>
    <row r="11" spans="1:23" ht="24.75" customHeight="1">
      <c r="A11" s="467">
        <v>7</v>
      </c>
      <c r="B11" s="159" t="s">
        <v>20</v>
      </c>
      <c r="C11" s="158">
        <v>963</v>
      </c>
      <c r="D11" s="158">
        <v>546</v>
      </c>
      <c r="E11" s="158">
        <v>1509</v>
      </c>
      <c r="F11" s="158">
        <v>698</v>
      </c>
      <c r="G11" s="158">
        <v>579</v>
      </c>
      <c r="H11" s="158">
        <v>1277</v>
      </c>
      <c r="I11" s="158">
        <v>6200</v>
      </c>
      <c r="J11" s="158">
        <v>6217</v>
      </c>
      <c r="K11" s="158">
        <v>12417</v>
      </c>
      <c r="L11" s="158">
        <v>522</v>
      </c>
      <c r="M11" s="158">
        <v>1599</v>
      </c>
      <c r="N11" s="158">
        <v>2121</v>
      </c>
      <c r="O11" s="158">
        <v>1288</v>
      </c>
      <c r="P11" s="158">
        <v>1267</v>
      </c>
      <c r="Q11" s="158">
        <v>2555</v>
      </c>
      <c r="R11" s="158">
        <v>36</v>
      </c>
      <c r="S11" s="158">
        <v>44</v>
      </c>
      <c r="T11" s="158">
        <v>80</v>
      </c>
      <c r="U11" s="158">
        <v>9707</v>
      </c>
      <c r="V11" s="158">
        <v>10252</v>
      </c>
      <c r="W11" s="158">
        <v>19959</v>
      </c>
    </row>
    <row r="12" spans="1:23" ht="24.75" customHeight="1">
      <c r="A12" s="467">
        <v>8</v>
      </c>
      <c r="B12" s="159" t="s">
        <v>23</v>
      </c>
      <c r="C12" s="158">
        <v>810</v>
      </c>
      <c r="D12" s="158">
        <v>797</v>
      </c>
      <c r="E12" s="158">
        <v>1607</v>
      </c>
      <c r="F12" s="158">
        <v>1116</v>
      </c>
      <c r="G12" s="158">
        <v>2167</v>
      </c>
      <c r="H12" s="158">
        <v>3283</v>
      </c>
      <c r="I12" s="158">
        <v>3001</v>
      </c>
      <c r="J12" s="158">
        <v>5022</v>
      </c>
      <c r="K12" s="158">
        <v>8023</v>
      </c>
      <c r="L12" s="158">
        <v>70</v>
      </c>
      <c r="M12" s="158">
        <v>176</v>
      </c>
      <c r="N12" s="158">
        <v>246</v>
      </c>
      <c r="O12" s="158">
        <v>479</v>
      </c>
      <c r="P12" s="158">
        <v>703</v>
      </c>
      <c r="Q12" s="158">
        <v>1182</v>
      </c>
      <c r="R12" s="158">
        <v>33</v>
      </c>
      <c r="S12" s="158">
        <v>28</v>
      </c>
      <c r="T12" s="158">
        <v>61</v>
      </c>
      <c r="U12" s="158">
        <v>5509</v>
      </c>
      <c r="V12" s="158">
        <v>8893</v>
      </c>
      <c r="W12" s="158">
        <v>14402</v>
      </c>
    </row>
    <row r="13" spans="1:23" ht="24.75" customHeight="1">
      <c r="A13" s="467">
        <v>9</v>
      </c>
      <c r="B13" s="159" t="s">
        <v>24</v>
      </c>
      <c r="C13" s="158">
        <v>137</v>
      </c>
      <c r="D13" s="158">
        <v>53</v>
      </c>
      <c r="E13" s="158">
        <v>190</v>
      </c>
      <c r="F13" s="158">
        <v>208</v>
      </c>
      <c r="G13" s="158">
        <v>266</v>
      </c>
      <c r="H13" s="158">
        <v>474</v>
      </c>
      <c r="I13" s="158">
        <v>691</v>
      </c>
      <c r="J13" s="158">
        <v>1325</v>
      </c>
      <c r="K13" s="158">
        <v>2016</v>
      </c>
      <c r="L13" s="158">
        <v>17</v>
      </c>
      <c r="M13" s="158">
        <v>46</v>
      </c>
      <c r="N13" s="158">
        <v>63</v>
      </c>
      <c r="O13" s="158">
        <v>42</v>
      </c>
      <c r="P13" s="158">
        <v>75</v>
      </c>
      <c r="Q13" s="158">
        <v>117</v>
      </c>
      <c r="R13" s="158">
        <v>19</v>
      </c>
      <c r="S13" s="158">
        <v>45</v>
      </c>
      <c r="T13" s="158">
        <v>64</v>
      </c>
      <c r="U13" s="158">
        <v>1114</v>
      </c>
      <c r="V13" s="158">
        <v>1810</v>
      </c>
      <c r="W13" s="158">
        <v>2924</v>
      </c>
    </row>
    <row r="14" spans="1:23" ht="24.75" customHeight="1">
      <c r="A14" s="467">
        <v>10</v>
      </c>
      <c r="B14" s="159" t="s">
        <v>25</v>
      </c>
      <c r="C14" s="158">
        <v>2523</v>
      </c>
      <c r="D14" s="158">
        <v>1030</v>
      </c>
      <c r="E14" s="158">
        <v>3553</v>
      </c>
      <c r="F14" s="158">
        <v>3659</v>
      </c>
      <c r="G14" s="158">
        <v>1987</v>
      </c>
      <c r="H14" s="158">
        <v>5646</v>
      </c>
      <c r="I14" s="158">
        <v>15618</v>
      </c>
      <c r="J14" s="158">
        <v>10700</v>
      </c>
      <c r="K14" s="158">
        <v>26318</v>
      </c>
      <c r="L14" s="158">
        <v>1147</v>
      </c>
      <c r="M14" s="158">
        <v>2604</v>
      </c>
      <c r="N14" s="158">
        <v>3751</v>
      </c>
      <c r="O14" s="158">
        <v>873</v>
      </c>
      <c r="P14" s="158">
        <v>1013</v>
      </c>
      <c r="Q14" s="158">
        <v>1886</v>
      </c>
      <c r="R14" s="158">
        <v>823</v>
      </c>
      <c r="S14" s="158">
        <v>673</v>
      </c>
      <c r="T14" s="158">
        <v>1496</v>
      </c>
      <c r="U14" s="158">
        <v>24643</v>
      </c>
      <c r="V14" s="158">
        <v>18007</v>
      </c>
      <c r="W14" s="158">
        <v>42650</v>
      </c>
    </row>
    <row r="15" spans="1:23" ht="24.75" customHeight="1">
      <c r="A15" s="467">
        <v>11</v>
      </c>
      <c r="B15" s="159" t="s">
        <v>26</v>
      </c>
      <c r="C15" s="158">
        <v>1144</v>
      </c>
      <c r="D15" s="158">
        <v>637</v>
      </c>
      <c r="E15" s="158">
        <v>1781</v>
      </c>
      <c r="F15" s="158">
        <v>1392</v>
      </c>
      <c r="G15" s="158">
        <v>1429</v>
      </c>
      <c r="H15" s="158">
        <v>2821</v>
      </c>
      <c r="I15" s="158">
        <v>8571</v>
      </c>
      <c r="J15" s="158">
        <v>11684</v>
      </c>
      <c r="K15" s="158">
        <v>20255</v>
      </c>
      <c r="L15" s="158">
        <v>146</v>
      </c>
      <c r="M15" s="158">
        <v>671</v>
      </c>
      <c r="N15" s="158">
        <v>817</v>
      </c>
      <c r="O15" s="158">
        <v>566</v>
      </c>
      <c r="P15" s="158">
        <v>1292</v>
      </c>
      <c r="Q15" s="158">
        <v>1858</v>
      </c>
      <c r="R15" s="158">
        <v>94</v>
      </c>
      <c r="S15" s="158">
        <v>90</v>
      </c>
      <c r="T15" s="158">
        <v>184</v>
      </c>
      <c r="U15" s="158">
        <v>11913</v>
      </c>
      <c r="V15" s="158">
        <v>15803</v>
      </c>
      <c r="W15" s="158">
        <v>27716</v>
      </c>
    </row>
    <row r="16" spans="1:23" ht="24.75" customHeight="1">
      <c r="A16" s="467">
        <v>12</v>
      </c>
      <c r="B16" s="159" t="s">
        <v>27</v>
      </c>
      <c r="C16" s="158">
        <v>335</v>
      </c>
      <c r="D16" s="158">
        <v>157</v>
      </c>
      <c r="E16" s="158">
        <v>492</v>
      </c>
      <c r="F16" s="158">
        <v>479</v>
      </c>
      <c r="G16" s="158">
        <v>276</v>
      </c>
      <c r="H16" s="158">
        <v>755</v>
      </c>
      <c r="I16" s="158">
        <v>2039</v>
      </c>
      <c r="J16" s="158">
        <v>2411</v>
      </c>
      <c r="K16" s="158">
        <v>4450</v>
      </c>
      <c r="L16" s="158">
        <v>120</v>
      </c>
      <c r="M16" s="158">
        <v>472</v>
      </c>
      <c r="N16" s="158">
        <v>592</v>
      </c>
      <c r="O16" s="158">
        <v>81</v>
      </c>
      <c r="P16" s="158">
        <v>147</v>
      </c>
      <c r="Q16" s="158">
        <v>228</v>
      </c>
      <c r="R16" s="158">
        <v>15</v>
      </c>
      <c r="S16" s="158">
        <v>14</v>
      </c>
      <c r="T16" s="158">
        <v>29</v>
      </c>
      <c r="U16" s="158">
        <v>3069</v>
      </c>
      <c r="V16" s="158">
        <v>3477</v>
      </c>
      <c r="W16" s="158">
        <v>6546</v>
      </c>
    </row>
    <row r="17" spans="1:23" ht="24.75" customHeight="1">
      <c r="A17" s="467">
        <v>13</v>
      </c>
      <c r="B17" s="159" t="s">
        <v>57</v>
      </c>
      <c r="C17" s="158">
        <v>398</v>
      </c>
      <c r="D17" s="158">
        <v>164</v>
      </c>
      <c r="E17" s="158">
        <v>562</v>
      </c>
      <c r="F17" s="158">
        <v>441</v>
      </c>
      <c r="G17" s="158">
        <v>319</v>
      </c>
      <c r="H17" s="158">
        <v>760</v>
      </c>
      <c r="I17" s="158">
        <v>2399</v>
      </c>
      <c r="J17" s="158">
        <v>2172</v>
      </c>
      <c r="K17" s="158">
        <v>4571</v>
      </c>
      <c r="L17" s="158">
        <v>143</v>
      </c>
      <c r="M17" s="158">
        <v>212</v>
      </c>
      <c r="N17" s="158">
        <v>355</v>
      </c>
      <c r="O17" s="158">
        <v>632</v>
      </c>
      <c r="P17" s="158">
        <v>380</v>
      </c>
      <c r="Q17" s="158">
        <v>1012</v>
      </c>
      <c r="R17" s="158">
        <v>19</v>
      </c>
      <c r="S17" s="158">
        <v>11</v>
      </c>
      <c r="T17" s="158">
        <v>30</v>
      </c>
      <c r="U17" s="158">
        <v>4032</v>
      </c>
      <c r="V17" s="158">
        <v>3258</v>
      </c>
      <c r="W17" s="158">
        <v>7290</v>
      </c>
    </row>
    <row r="18" spans="1:23" ht="24.75" customHeight="1">
      <c r="A18" s="467">
        <v>14</v>
      </c>
      <c r="B18" s="159" t="s">
        <v>29</v>
      </c>
      <c r="C18" s="158">
        <v>445</v>
      </c>
      <c r="D18" s="158">
        <v>119</v>
      </c>
      <c r="E18" s="158">
        <v>564</v>
      </c>
      <c r="F18" s="158">
        <v>404</v>
      </c>
      <c r="G18" s="158">
        <v>135</v>
      </c>
      <c r="H18" s="158">
        <v>539</v>
      </c>
      <c r="I18" s="158">
        <v>4808</v>
      </c>
      <c r="J18" s="158">
        <v>2539</v>
      </c>
      <c r="K18" s="158">
        <v>7347</v>
      </c>
      <c r="L18" s="158">
        <v>166</v>
      </c>
      <c r="M18" s="158">
        <v>233</v>
      </c>
      <c r="N18" s="158">
        <v>399</v>
      </c>
      <c r="O18" s="158">
        <v>379</v>
      </c>
      <c r="P18" s="158">
        <v>241</v>
      </c>
      <c r="Q18" s="158">
        <v>620</v>
      </c>
      <c r="R18" s="158">
        <v>24</v>
      </c>
      <c r="S18" s="158">
        <v>11</v>
      </c>
      <c r="T18" s="158">
        <v>35</v>
      </c>
      <c r="U18" s="158">
        <v>6226</v>
      </c>
      <c r="V18" s="158">
        <v>3278</v>
      </c>
      <c r="W18" s="158">
        <v>9504</v>
      </c>
    </row>
    <row r="19" spans="1:23" ht="24.75" customHeight="1">
      <c r="A19" s="467">
        <v>15</v>
      </c>
      <c r="B19" s="159" t="s">
        <v>30</v>
      </c>
      <c r="C19" s="158">
        <v>8301</v>
      </c>
      <c r="D19" s="158">
        <v>3533</v>
      </c>
      <c r="E19" s="158">
        <v>11834</v>
      </c>
      <c r="F19" s="158">
        <v>7263</v>
      </c>
      <c r="G19" s="158">
        <v>4830</v>
      </c>
      <c r="H19" s="158">
        <v>12093</v>
      </c>
      <c r="I19" s="158">
        <v>33045</v>
      </c>
      <c r="J19" s="158">
        <v>33008</v>
      </c>
      <c r="K19" s="158">
        <v>66053</v>
      </c>
      <c r="L19" s="158">
        <v>3308</v>
      </c>
      <c r="M19" s="158">
        <v>6018</v>
      </c>
      <c r="N19" s="158">
        <v>9326</v>
      </c>
      <c r="O19" s="158">
        <v>4647</v>
      </c>
      <c r="P19" s="158">
        <v>4621</v>
      </c>
      <c r="Q19" s="158">
        <v>9268</v>
      </c>
      <c r="R19" s="158">
        <v>632</v>
      </c>
      <c r="S19" s="158">
        <v>636</v>
      </c>
      <c r="T19" s="158">
        <v>1268</v>
      </c>
      <c r="U19" s="158">
        <v>57196</v>
      </c>
      <c r="V19" s="158">
        <v>52646</v>
      </c>
      <c r="W19" s="158">
        <v>109842</v>
      </c>
    </row>
    <row r="20" spans="1:23" ht="24.75" customHeight="1">
      <c r="A20" s="467">
        <v>16</v>
      </c>
      <c r="B20" s="159" t="s">
        <v>31</v>
      </c>
      <c r="C20" s="158">
        <v>2442</v>
      </c>
      <c r="D20" s="158">
        <v>1564</v>
      </c>
      <c r="E20" s="158">
        <v>4006</v>
      </c>
      <c r="F20" s="158">
        <v>2453</v>
      </c>
      <c r="G20" s="158">
        <v>2605</v>
      </c>
      <c r="H20" s="158">
        <v>5058</v>
      </c>
      <c r="I20" s="158">
        <v>12867</v>
      </c>
      <c r="J20" s="158">
        <v>25947</v>
      </c>
      <c r="K20" s="158">
        <v>38814</v>
      </c>
      <c r="L20" s="158">
        <v>404</v>
      </c>
      <c r="M20" s="158">
        <v>1135</v>
      </c>
      <c r="N20" s="158">
        <v>1539</v>
      </c>
      <c r="O20" s="158">
        <v>818</v>
      </c>
      <c r="P20" s="158">
        <v>2529</v>
      </c>
      <c r="Q20" s="158">
        <v>3347</v>
      </c>
      <c r="R20" s="158">
        <v>37</v>
      </c>
      <c r="S20" s="158">
        <v>42</v>
      </c>
      <c r="T20" s="158">
        <v>79</v>
      </c>
      <c r="U20" s="158">
        <v>19021</v>
      </c>
      <c r="V20" s="158">
        <v>33822</v>
      </c>
      <c r="W20" s="158">
        <v>52843</v>
      </c>
    </row>
    <row r="21" spans="1:23" ht="24.75" customHeight="1">
      <c r="A21" s="467">
        <v>17</v>
      </c>
      <c r="B21" s="159" t="s">
        <v>154</v>
      </c>
      <c r="C21" s="158">
        <v>4</v>
      </c>
      <c r="D21" s="158">
        <v>1</v>
      </c>
      <c r="E21" s="158">
        <v>5</v>
      </c>
      <c r="F21" s="158"/>
      <c r="G21" s="158"/>
      <c r="H21" s="158"/>
      <c r="I21" s="158">
        <v>42</v>
      </c>
      <c r="J21" s="158">
        <v>37</v>
      </c>
      <c r="K21" s="158">
        <v>79</v>
      </c>
      <c r="L21" s="158"/>
      <c r="M21" s="158"/>
      <c r="N21" s="158"/>
      <c r="O21" s="158">
        <v>15</v>
      </c>
      <c r="P21" s="158">
        <v>17</v>
      </c>
      <c r="Q21" s="158">
        <v>32</v>
      </c>
      <c r="R21" s="158"/>
      <c r="S21" s="158"/>
      <c r="T21" s="158"/>
      <c r="U21" s="158">
        <v>61</v>
      </c>
      <c r="V21" s="158">
        <v>55</v>
      </c>
      <c r="W21" s="158">
        <v>116</v>
      </c>
    </row>
    <row r="22" spans="1:23" ht="24.75" customHeight="1">
      <c r="A22" s="467">
        <v>18</v>
      </c>
      <c r="B22" s="159" t="s">
        <v>32</v>
      </c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>
        <v>0</v>
      </c>
      <c r="V22" s="158">
        <v>0</v>
      </c>
      <c r="W22" s="158">
        <v>0</v>
      </c>
    </row>
    <row r="23" spans="1:23" ht="24.75" customHeight="1">
      <c r="A23" s="467">
        <v>19</v>
      </c>
      <c r="B23" s="159" t="s">
        <v>33</v>
      </c>
      <c r="C23" s="158">
        <v>3769</v>
      </c>
      <c r="D23" s="158">
        <v>2276</v>
      </c>
      <c r="E23" s="158">
        <v>6045</v>
      </c>
      <c r="F23" s="158">
        <v>3108</v>
      </c>
      <c r="G23" s="158">
        <v>2019</v>
      </c>
      <c r="H23" s="158">
        <v>5127</v>
      </c>
      <c r="I23" s="158">
        <v>22160</v>
      </c>
      <c r="J23" s="158">
        <v>16715</v>
      </c>
      <c r="K23" s="158">
        <v>38875</v>
      </c>
      <c r="L23" s="158">
        <v>1302</v>
      </c>
      <c r="M23" s="158">
        <v>2326</v>
      </c>
      <c r="N23" s="158">
        <v>3628</v>
      </c>
      <c r="O23" s="158">
        <v>2320</v>
      </c>
      <c r="P23" s="158">
        <v>2160</v>
      </c>
      <c r="Q23" s="158">
        <v>4480</v>
      </c>
      <c r="R23" s="158">
        <v>127</v>
      </c>
      <c r="S23" s="158">
        <v>129</v>
      </c>
      <c r="T23" s="158">
        <v>256</v>
      </c>
      <c r="U23" s="158">
        <v>32786</v>
      </c>
      <c r="V23" s="158">
        <v>25625</v>
      </c>
      <c r="W23" s="158">
        <v>58411</v>
      </c>
    </row>
    <row r="24" spans="1:23" ht="24.75" customHeight="1">
      <c r="A24" s="467">
        <v>20</v>
      </c>
      <c r="B24" s="159" t="s">
        <v>34</v>
      </c>
      <c r="C24" s="158">
        <v>7421</v>
      </c>
      <c r="D24" s="158">
        <v>2871</v>
      </c>
      <c r="E24" s="158">
        <v>10292</v>
      </c>
      <c r="F24" s="158">
        <v>9705</v>
      </c>
      <c r="G24" s="158">
        <v>4834</v>
      </c>
      <c r="H24" s="158">
        <v>14539</v>
      </c>
      <c r="I24" s="158">
        <v>46174</v>
      </c>
      <c r="J24" s="158">
        <v>35758</v>
      </c>
      <c r="K24" s="158">
        <v>81932</v>
      </c>
      <c r="L24" s="158">
        <v>1327</v>
      </c>
      <c r="M24" s="158">
        <v>1993</v>
      </c>
      <c r="N24" s="158">
        <v>3320</v>
      </c>
      <c r="O24" s="158">
        <v>4479</v>
      </c>
      <c r="P24" s="158">
        <v>4652</v>
      </c>
      <c r="Q24" s="158">
        <v>9131</v>
      </c>
      <c r="R24" s="158">
        <v>1367</v>
      </c>
      <c r="S24" s="158">
        <v>1194</v>
      </c>
      <c r="T24" s="158">
        <v>2561</v>
      </c>
      <c r="U24" s="158">
        <v>70473</v>
      </c>
      <c r="V24" s="158">
        <v>51302</v>
      </c>
      <c r="W24" s="158">
        <v>121775</v>
      </c>
    </row>
    <row r="25" spans="1:23" ht="24.75" customHeight="1">
      <c r="A25" s="467">
        <v>21</v>
      </c>
      <c r="B25" s="159" t="s">
        <v>35</v>
      </c>
      <c r="C25" s="158">
        <v>133</v>
      </c>
      <c r="D25" s="158">
        <v>54</v>
      </c>
      <c r="E25" s="158">
        <v>187</v>
      </c>
      <c r="F25" s="158">
        <v>349</v>
      </c>
      <c r="G25" s="158">
        <v>275</v>
      </c>
      <c r="H25" s="158">
        <v>624</v>
      </c>
      <c r="I25" s="158">
        <v>1840</v>
      </c>
      <c r="J25" s="158">
        <v>2148</v>
      </c>
      <c r="K25" s="158">
        <v>3988</v>
      </c>
      <c r="L25" s="158">
        <v>13</v>
      </c>
      <c r="M25" s="158">
        <v>76</v>
      </c>
      <c r="N25" s="158">
        <v>89</v>
      </c>
      <c r="O25" s="158">
        <v>44</v>
      </c>
      <c r="P25" s="158">
        <v>43</v>
      </c>
      <c r="Q25" s="158">
        <v>87</v>
      </c>
      <c r="R25" s="158">
        <v>4</v>
      </c>
      <c r="S25" s="158">
        <v>3</v>
      </c>
      <c r="T25" s="158">
        <v>7</v>
      </c>
      <c r="U25" s="158">
        <v>2383</v>
      </c>
      <c r="V25" s="158">
        <v>2599</v>
      </c>
      <c r="W25" s="158">
        <v>4982</v>
      </c>
    </row>
    <row r="26" spans="1:23" ht="24.75" customHeight="1">
      <c r="A26" s="467">
        <v>22</v>
      </c>
      <c r="B26" s="159" t="s">
        <v>36</v>
      </c>
      <c r="C26" s="158">
        <v>44</v>
      </c>
      <c r="D26" s="158">
        <v>28</v>
      </c>
      <c r="E26" s="158">
        <v>72</v>
      </c>
      <c r="F26" s="158">
        <v>131</v>
      </c>
      <c r="G26" s="158">
        <v>153</v>
      </c>
      <c r="H26" s="158">
        <v>284</v>
      </c>
      <c r="I26" s="158">
        <v>769</v>
      </c>
      <c r="J26" s="158">
        <v>1309</v>
      </c>
      <c r="K26" s="158">
        <v>2078</v>
      </c>
      <c r="L26" s="158"/>
      <c r="M26" s="158">
        <v>15</v>
      </c>
      <c r="N26" s="158">
        <v>15</v>
      </c>
      <c r="O26" s="158">
        <v>30</v>
      </c>
      <c r="P26" s="158">
        <v>40</v>
      </c>
      <c r="Q26" s="158">
        <v>70</v>
      </c>
      <c r="R26" s="158">
        <v>2</v>
      </c>
      <c r="S26" s="158">
        <v>6</v>
      </c>
      <c r="T26" s="158">
        <v>8</v>
      </c>
      <c r="U26" s="158">
        <v>976</v>
      </c>
      <c r="V26" s="158">
        <v>1551</v>
      </c>
      <c r="W26" s="158">
        <v>2527</v>
      </c>
    </row>
    <row r="27" spans="1:23" ht="24.75" customHeight="1">
      <c r="A27" s="467">
        <v>23</v>
      </c>
      <c r="B27" s="159" t="s">
        <v>37</v>
      </c>
      <c r="C27" s="158">
        <v>60</v>
      </c>
      <c r="D27" s="158">
        <v>17</v>
      </c>
      <c r="E27" s="158">
        <v>77</v>
      </c>
      <c r="F27" s="158">
        <v>230</v>
      </c>
      <c r="G27" s="158">
        <v>201</v>
      </c>
      <c r="H27" s="158">
        <v>431</v>
      </c>
      <c r="I27" s="158">
        <v>344</v>
      </c>
      <c r="J27" s="158">
        <v>353</v>
      </c>
      <c r="K27" s="158">
        <v>697</v>
      </c>
      <c r="L27" s="158">
        <v>27</v>
      </c>
      <c r="M27" s="158">
        <v>68</v>
      </c>
      <c r="N27" s="158">
        <v>95</v>
      </c>
      <c r="O27" s="158">
        <v>111</v>
      </c>
      <c r="P27" s="158">
        <v>108</v>
      </c>
      <c r="Q27" s="158">
        <v>219</v>
      </c>
      <c r="R27" s="158">
        <v>5</v>
      </c>
      <c r="S27" s="158">
        <v>1</v>
      </c>
      <c r="T27" s="158">
        <v>6</v>
      </c>
      <c r="U27" s="158">
        <v>777</v>
      </c>
      <c r="V27" s="158">
        <v>748</v>
      </c>
      <c r="W27" s="158">
        <v>1525</v>
      </c>
    </row>
    <row r="28" spans="1:23" ht="24.75" customHeight="1">
      <c r="A28" s="467">
        <v>24</v>
      </c>
      <c r="B28" s="159" t="s">
        <v>38</v>
      </c>
      <c r="C28" s="158">
        <v>46</v>
      </c>
      <c r="D28" s="158">
        <v>25</v>
      </c>
      <c r="E28" s="158">
        <v>71</v>
      </c>
      <c r="F28" s="158">
        <v>40</v>
      </c>
      <c r="G28" s="158">
        <v>67</v>
      </c>
      <c r="H28" s="158">
        <v>107</v>
      </c>
      <c r="I28" s="158">
        <v>591</v>
      </c>
      <c r="J28" s="158">
        <v>924</v>
      </c>
      <c r="K28" s="158">
        <v>1515</v>
      </c>
      <c r="L28" s="158">
        <v>10</v>
      </c>
      <c r="M28" s="158">
        <v>19</v>
      </c>
      <c r="N28" s="158">
        <v>29</v>
      </c>
      <c r="O28" s="158">
        <v>17</v>
      </c>
      <c r="P28" s="158">
        <v>26</v>
      </c>
      <c r="Q28" s="158">
        <v>43</v>
      </c>
      <c r="R28" s="158">
        <v>9</v>
      </c>
      <c r="S28" s="158">
        <v>8</v>
      </c>
      <c r="T28" s="158">
        <v>17</v>
      </c>
      <c r="U28" s="158">
        <v>713</v>
      </c>
      <c r="V28" s="158">
        <v>1069</v>
      </c>
      <c r="W28" s="158">
        <v>1782</v>
      </c>
    </row>
    <row r="29" spans="1:23" ht="24.75" customHeight="1">
      <c r="A29" s="467">
        <v>25</v>
      </c>
      <c r="B29" s="159" t="s">
        <v>39</v>
      </c>
      <c r="C29" s="158">
        <v>1433</v>
      </c>
      <c r="D29" s="158">
        <v>410</v>
      </c>
      <c r="E29" s="158">
        <v>1843</v>
      </c>
      <c r="F29" s="158">
        <v>2227</v>
      </c>
      <c r="G29" s="158">
        <v>930</v>
      </c>
      <c r="H29" s="158">
        <v>3157</v>
      </c>
      <c r="I29" s="158">
        <v>12071</v>
      </c>
      <c r="J29" s="158">
        <v>8110</v>
      </c>
      <c r="K29" s="158">
        <v>20181</v>
      </c>
      <c r="L29" s="158">
        <v>920</v>
      </c>
      <c r="M29" s="158">
        <v>808</v>
      </c>
      <c r="N29" s="158">
        <v>1728</v>
      </c>
      <c r="O29" s="158">
        <v>616</v>
      </c>
      <c r="P29" s="158">
        <v>697</v>
      </c>
      <c r="Q29" s="158">
        <v>1313</v>
      </c>
      <c r="R29" s="158">
        <v>108</v>
      </c>
      <c r="S29" s="158">
        <v>92</v>
      </c>
      <c r="T29" s="158">
        <v>200</v>
      </c>
      <c r="U29" s="158">
        <v>17375</v>
      </c>
      <c r="V29" s="158">
        <v>11047</v>
      </c>
      <c r="W29" s="158">
        <v>28422</v>
      </c>
    </row>
    <row r="30" spans="1:23" ht="24.75" customHeight="1">
      <c r="A30" s="467">
        <v>26</v>
      </c>
      <c r="B30" s="159" t="s">
        <v>40</v>
      </c>
      <c r="C30" s="158">
        <v>353</v>
      </c>
      <c r="D30" s="158">
        <v>166</v>
      </c>
      <c r="E30" s="158">
        <v>519</v>
      </c>
      <c r="F30" s="158">
        <v>300</v>
      </c>
      <c r="G30" s="158">
        <v>222</v>
      </c>
      <c r="H30" s="158">
        <v>522</v>
      </c>
      <c r="I30" s="158">
        <v>1370</v>
      </c>
      <c r="J30" s="158">
        <v>1386</v>
      </c>
      <c r="K30" s="158">
        <v>2756</v>
      </c>
      <c r="L30" s="158">
        <v>40</v>
      </c>
      <c r="M30" s="158">
        <v>166</v>
      </c>
      <c r="N30" s="158">
        <v>206</v>
      </c>
      <c r="O30" s="158">
        <v>45</v>
      </c>
      <c r="P30" s="158">
        <v>45</v>
      </c>
      <c r="Q30" s="158">
        <v>90</v>
      </c>
      <c r="R30" s="158">
        <v>1</v>
      </c>
      <c r="S30" s="158"/>
      <c r="T30" s="158">
        <v>1</v>
      </c>
      <c r="U30" s="158">
        <v>2109</v>
      </c>
      <c r="V30" s="158">
        <v>1985</v>
      </c>
      <c r="W30" s="158">
        <v>4094</v>
      </c>
    </row>
    <row r="31" spans="1:23" ht="24.75" customHeight="1">
      <c r="A31" s="467">
        <v>27</v>
      </c>
      <c r="B31" s="159" t="s">
        <v>41</v>
      </c>
      <c r="C31" s="158">
        <v>1047</v>
      </c>
      <c r="D31" s="158">
        <v>854</v>
      </c>
      <c r="E31" s="158">
        <v>1901</v>
      </c>
      <c r="F31" s="158">
        <v>1144</v>
      </c>
      <c r="G31" s="158">
        <v>1400</v>
      </c>
      <c r="H31" s="158">
        <v>2544</v>
      </c>
      <c r="I31" s="158">
        <v>7244</v>
      </c>
      <c r="J31" s="158">
        <v>15119</v>
      </c>
      <c r="K31" s="158">
        <v>22363</v>
      </c>
      <c r="L31" s="158">
        <v>211</v>
      </c>
      <c r="M31" s="158">
        <v>2363</v>
      </c>
      <c r="N31" s="158">
        <v>2574</v>
      </c>
      <c r="O31" s="158">
        <v>365</v>
      </c>
      <c r="P31" s="158">
        <v>1073</v>
      </c>
      <c r="Q31" s="158">
        <v>1438</v>
      </c>
      <c r="R31" s="158">
        <v>99</v>
      </c>
      <c r="S31" s="158">
        <v>229</v>
      </c>
      <c r="T31" s="158">
        <v>328</v>
      </c>
      <c r="U31" s="158">
        <v>10110</v>
      </c>
      <c r="V31" s="158">
        <v>21038</v>
      </c>
      <c r="W31" s="158">
        <v>31148</v>
      </c>
    </row>
    <row r="32" spans="1:23" ht="24.75" customHeight="1">
      <c r="A32" s="467">
        <v>28</v>
      </c>
      <c r="B32" s="159" t="s">
        <v>42</v>
      </c>
      <c r="C32" s="158">
        <v>3434</v>
      </c>
      <c r="D32" s="158">
        <v>1466</v>
      </c>
      <c r="E32" s="158">
        <v>4900</v>
      </c>
      <c r="F32" s="158">
        <v>2928</v>
      </c>
      <c r="G32" s="158">
        <v>1993</v>
      </c>
      <c r="H32" s="158">
        <v>4921</v>
      </c>
      <c r="I32" s="158">
        <v>29862</v>
      </c>
      <c r="J32" s="158">
        <v>17920</v>
      </c>
      <c r="K32" s="158">
        <v>47782</v>
      </c>
      <c r="L32" s="158">
        <v>1817</v>
      </c>
      <c r="M32" s="158">
        <v>861</v>
      </c>
      <c r="N32" s="158">
        <v>2678</v>
      </c>
      <c r="O32" s="158">
        <v>465</v>
      </c>
      <c r="P32" s="158">
        <v>242</v>
      </c>
      <c r="Q32" s="158">
        <v>707</v>
      </c>
      <c r="R32" s="158">
        <v>37</v>
      </c>
      <c r="S32" s="158">
        <v>17</v>
      </c>
      <c r="T32" s="158">
        <v>54</v>
      </c>
      <c r="U32" s="158">
        <v>38543</v>
      </c>
      <c r="V32" s="158">
        <v>22499</v>
      </c>
      <c r="W32" s="158">
        <v>61042</v>
      </c>
    </row>
    <row r="33" spans="1:23" ht="24.75" customHeight="1">
      <c r="A33" s="467">
        <v>29</v>
      </c>
      <c r="B33" s="159" t="s">
        <v>43</v>
      </c>
      <c r="C33" s="158">
        <v>15</v>
      </c>
      <c r="D33" s="158">
        <v>4</v>
      </c>
      <c r="E33" s="158">
        <v>19</v>
      </c>
      <c r="F33" s="158">
        <v>21</v>
      </c>
      <c r="G33" s="158">
        <v>13</v>
      </c>
      <c r="H33" s="158">
        <v>34</v>
      </c>
      <c r="I33" s="158">
        <v>296</v>
      </c>
      <c r="J33" s="158">
        <v>270</v>
      </c>
      <c r="K33" s="158">
        <v>566</v>
      </c>
      <c r="L33" s="158"/>
      <c r="M33" s="158">
        <v>4</v>
      </c>
      <c r="N33" s="158">
        <v>4</v>
      </c>
      <c r="O33" s="158">
        <v>4</v>
      </c>
      <c r="P33" s="158">
        <v>8</v>
      </c>
      <c r="Q33" s="158">
        <v>12</v>
      </c>
      <c r="R33" s="158"/>
      <c r="S33" s="158"/>
      <c r="T33" s="158"/>
      <c r="U33" s="158">
        <v>336</v>
      </c>
      <c r="V33" s="158">
        <v>299</v>
      </c>
      <c r="W33" s="158">
        <v>635</v>
      </c>
    </row>
    <row r="34" spans="1:23" ht="24.75" customHeight="1">
      <c r="A34" s="467">
        <v>30</v>
      </c>
      <c r="B34" s="159" t="s">
        <v>44</v>
      </c>
      <c r="C34" s="158">
        <v>7590</v>
      </c>
      <c r="D34" s="158">
        <v>4536</v>
      </c>
      <c r="E34" s="158">
        <v>12126</v>
      </c>
      <c r="F34" s="158">
        <v>8730</v>
      </c>
      <c r="G34" s="158">
        <v>7304</v>
      </c>
      <c r="H34" s="158">
        <v>16034</v>
      </c>
      <c r="I34" s="158">
        <v>51889</v>
      </c>
      <c r="J34" s="158">
        <v>64589</v>
      </c>
      <c r="K34" s="158">
        <v>116478</v>
      </c>
      <c r="L34" s="158">
        <v>2097</v>
      </c>
      <c r="M34" s="158">
        <v>5142</v>
      </c>
      <c r="N34" s="158">
        <v>7239</v>
      </c>
      <c r="O34" s="158">
        <v>1931</v>
      </c>
      <c r="P34" s="158">
        <v>2683</v>
      </c>
      <c r="Q34" s="158">
        <v>4614</v>
      </c>
      <c r="R34" s="158">
        <v>196</v>
      </c>
      <c r="S34" s="158">
        <v>191</v>
      </c>
      <c r="T34" s="158">
        <v>387</v>
      </c>
      <c r="U34" s="158">
        <v>72433</v>
      </c>
      <c r="V34" s="158">
        <v>84445</v>
      </c>
      <c r="W34" s="158">
        <v>156878</v>
      </c>
    </row>
    <row r="35" spans="1:23" ht="24.75" customHeight="1">
      <c r="A35" s="467">
        <v>31</v>
      </c>
      <c r="B35" s="159" t="s">
        <v>131</v>
      </c>
      <c r="C35" s="158">
        <v>4429</v>
      </c>
      <c r="D35" s="158">
        <v>1475</v>
      </c>
      <c r="E35" s="158">
        <v>5904</v>
      </c>
      <c r="F35" s="158">
        <v>4413</v>
      </c>
      <c r="G35" s="158">
        <v>2685</v>
      </c>
      <c r="H35" s="158">
        <v>7098</v>
      </c>
      <c r="I35" s="158">
        <v>29858</v>
      </c>
      <c r="J35" s="158">
        <v>24065</v>
      </c>
      <c r="K35" s="158">
        <v>53923</v>
      </c>
      <c r="L35" s="158">
        <v>765</v>
      </c>
      <c r="M35" s="158">
        <v>1613</v>
      </c>
      <c r="N35" s="158">
        <v>2378</v>
      </c>
      <c r="O35" s="158">
        <v>970</v>
      </c>
      <c r="P35" s="158">
        <v>900</v>
      </c>
      <c r="Q35" s="158">
        <v>1870</v>
      </c>
      <c r="R35" s="158">
        <v>88</v>
      </c>
      <c r="S35" s="158">
        <v>39</v>
      </c>
      <c r="T35" s="158">
        <v>127</v>
      </c>
      <c r="U35" s="158">
        <v>40523</v>
      </c>
      <c r="V35" s="158">
        <v>30777</v>
      </c>
      <c r="W35" s="158">
        <v>71300</v>
      </c>
    </row>
    <row r="36" spans="1:23" ht="28.5">
      <c r="A36" s="467">
        <v>32</v>
      </c>
      <c r="B36" s="159" t="s">
        <v>1062</v>
      </c>
      <c r="C36" s="158">
        <v>25</v>
      </c>
      <c r="D36" s="158">
        <v>11</v>
      </c>
      <c r="E36" s="158">
        <v>36</v>
      </c>
      <c r="F36" s="158">
        <v>29</v>
      </c>
      <c r="G36" s="158">
        <v>14</v>
      </c>
      <c r="H36" s="158">
        <v>43</v>
      </c>
      <c r="I36" s="158">
        <v>228</v>
      </c>
      <c r="J36" s="158">
        <v>154</v>
      </c>
      <c r="K36" s="158">
        <v>382</v>
      </c>
      <c r="L36" s="158">
        <v>18</v>
      </c>
      <c r="M36" s="158">
        <v>60</v>
      </c>
      <c r="N36" s="158">
        <v>78</v>
      </c>
      <c r="O36" s="158">
        <v>36</v>
      </c>
      <c r="P36" s="158">
        <v>30</v>
      </c>
      <c r="Q36" s="158">
        <v>66</v>
      </c>
      <c r="R36" s="158">
        <v>8</v>
      </c>
      <c r="S36" s="158">
        <v>8</v>
      </c>
      <c r="T36" s="158">
        <v>16</v>
      </c>
      <c r="U36" s="158">
        <v>344</v>
      </c>
      <c r="V36" s="158">
        <v>277</v>
      </c>
      <c r="W36" s="158">
        <v>621</v>
      </c>
    </row>
    <row r="37" spans="1:23" ht="24.75" customHeight="1">
      <c r="A37" s="467">
        <v>33</v>
      </c>
      <c r="B37" s="160" t="s">
        <v>45</v>
      </c>
      <c r="C37" s="158">
        <v>76</v>
      </c>
      <c r="D37" s="158">
        <v>22</v>
      </c>
      <c r="E37" s="158">
        <v>98</v>
      </c>
      <c r="F37" s="158">
        <v>144</v>
      </c>
      <c r="G37" s="158">
        <v>63</v>
      </c>
      <c r="H37" s="158">
        <v>207</v>
      </c>
      <c r="I37" s="158">
        <v>587</v>
      </c>
      <c r="J37" s="158">
        <v>314</v>
      </c>
      <c r="K37" s="158">
        <v>901</v>
      </c>
      <c r="L37" s="158">
        <v>199</v>
      </c>
      <c r="M37" s="158">
        <v>206</v>
      </c>
      <c r="N37" s="158">
        <v>405</v>
      </c>
      <c r="O37" s="158">
        <v>115</v>
      </c>
      <c r="P37" s="158">
        <v>75</v>
      </c>
      <c r="Q37" s="158">
        <v>190</v>
      </c>
      <c r="R37" s="158">
        <v>31</v>
      </c>
      <c r="S37" s="158">
        <v>25</v>
      </c>
      <c r="T37" s="158">
        <v>56</v>
      </c>
      <c r="U37" s="158">
        <v>1152</v>
      </c>
      <c r="V37" s="158">
        <v>705</v>
      </c>
      <c r="W37" s="158">
        <v>1857</v>
      </c>
    </row>
    <row r="38" spans="1:23" ht="24.75" customHeight="1">
      <c r="A38" s="467">
        <v>34</v>
      </c>
      <c r="B38" s="159" t="s">
        <v>47</v>
      </c>
      <c r="C38" s="158">
        <v>8020</v>
      </c>
      <c r="D38" s="158">
        <v>2544</v>
      </c>
      <c r="E38" s="158">
        <v>10564</v>
      </c>
      <c r="F38" s="158">
        <v>7994</v>
      </c>
      <c r="G38" s="158">
        <v>3955</v>
      </c>
      <c r="H38" s="158">
        <v>11949</v>
      </c>
      <c r="I38" s="158">
        <v>70335</v>
      </c>
      <c r="J38" s="158">
        <v>31820</v>
      </c>
      <c r="K38" s="158">
        <v>102155</v>
      </c>
      <c r="L38" s="158">
        <v>1033</v>
      </c>
      <c r="M38" s="158">
        <v>1112</v>
      </c>
      <c r="N38" s="158">
        <v>2145</v>
      </c>
      <c r="O38" s="158">
        <v>6769</v>
      </c>
      <c r="P38" s="158">
        <v>2605</v>
      </c>
      <c r="Q38" s="158">
        <v>9374</v>
      </c>
      <c r="R38" s="158">
        <v>138</v>
      </c>
      <c r="S38" s="158">
        <v>73</v>
      </c>
      <c r="T38" s="158">
        <v>211</v>
      </c>
      <c r="U38" s="158">
        <v>94289</v>
      </c>
      <c r="V38" s="158">
        <v>42109</v>
      </c>
      <c r="W38" s="158">
        <v>136398</v>
      </c>
    </row>
    <row r="39" spans="1:23" ht="24.75" customHeight="1">
      <c r="A39" s="467">
        <v>35</v>
      </c>
      <c r="B39" s="159" t="s">
        <v>46</v>
      </c>
      <c r="C39" s="158">
        <v>773</v>
      </c>
      <c r="D39" s="158">
        <v>299</v>
      </c>
      <c r="E39" s="158">
        <v>1072</v>
      </c>
      <c r="F39" s="158">
        <v>583</v>
      </c>
      <c r="G39" s="158">
        <v>388</v>
      </c>
      <c r="H39" s="158">
        <v>971</v>
      </c>
      <c r="I39" s="158">
        <v>3991</v>
      </c>
      <c r="J39" s="158">
        <v>3206</v>
      </c>
      <c r="K39" s="158">
        <v>7197</v>
      </c>
      <c r="L39" s="158">
        <v>106</v>
      </c>
      <c r="M39" s="158">
        <v>367</v>
      </c>
      <c r="N39" s="158">
        <v>473</v>
      </c>
      <c r="O39" s="158">
        <v>339</v>
      </c>
      <c r="P39" s="158">
        <v>284</v>
      </c>
      <c r="Q39" s="158">
        <v>623</v>
      </c>
      <c r="R39" s="158">
        <v>4</v>
      </c>
      <c r="S39" s="158">
        <v>11</v>
      </c>
      <c r="T39" s="158">
        <v>15</v>
      </c>
      <c r="U39" s="158">
        <v>5796</v>
      </c>
      <c r="V39" s="158">
        <v>4555</v>
      </c>
      <c r="W39" s="158">
        <v>10351</v>
      </c>
    </row>
    <row r="40" spans="1:23" ht="24.75" customHeight="1">
      <c r="A40" s="467">
        <v>36</v>
      </c>
      <c r="B40" s="159" t="s">
        <v>48</v>
      </c>
      <c r="C40" s="158">
        <v>2312</v>
      </c>
      <c r="D40" s="158">
        <v>650</v>
      </c>
      <c r="E40" s="158">
        <v>2962</v>
      </c>
      <c r="F40" s="158">
        <v>3500</v>
      </c>
      <c r="G40" s="158">
        <v>2244</v>
      </c>
      <c r="H40" s="158">
        <v>5744</v>
      </c>
      <c r="I40" s="158">
        <v>20439</v>
      </c>
      <c r="J40" s="158">
        <v>10812</v>
      </c>
      <c r="K40" s="158">
        <v>31251</v>
      </c>
      <c r="L40" s="158">
        <v>1000</v>
      </c>
      <c r="M40" s="158">
        <v>1284</v>
      </c>
      <c r="N40" s="158">
        <v>2284</v>
      </c>
      <c r="O40" s="158">
        <v>6828</v>
      </c>
      <c r="P40" s="158">
        <v>5816</v>
      </c>
      <c r="Q40" s="158">
        <v>12644</v>
      </c>
      <c r="R40" s="158">
        <v>439</v>
      </c>
      <c r="S40" s="158">
        <v>300</v>
      </c>
      <c r="T40" s="158">
        <v>739</v>
      </c>
      <c r="U40" s="158">
        <v>34518</v>
      </c>
      <c r="V40" s="158">
        <v>21106</v>
      </c>
      <c r="W40" s="158">
        <v>55624</v>
      </c>
    </row>
    <row r="41" spans="1:23" s="152" customFormat="1" ht="24.75" customHeight="1">
      <c r="A41" s="1093" t="s">
        <v>49</v>
      </c>
      <c r="B41" s="1093"/>
      <c r="C41" s="161">
        <v>66507</v>
      </c>
      <c r="D41" s="161">
        <v>28543</v>
      </c>
      <c r="E41" s="161">
        <v>95050</v>
      </c>
      <c r="F41" s="161">
        <v>73695</v>
      </c>
      <c r="G41" s="161">
        <v>47574</v>
      </c>
      <c r="H41" s="161">
        <v>121269</v>
      </c>
      <c r="I41" s="161">
        <v>456334</v>
      </c>
      <c r="J41" s="161">
        <v>373647</v>
      </c>
      <c r="K41" s="161">
        <v>829981</v>
      </c>
      <c r="L41" s="161">
        <v>18546</v>
      </c>
      <c r="M41" s="161">
        <v>34645</v>
      </c>
      <c r="N41" s="161">
        <v>53191</v>
      </c>
      <c r="O41" s="162">
        <v>38466</v>
      </c>
      <c r="P41" s="161">
        <v>36318</v>
      </c>
      <c r="Q41" s="161">
        <v>74784</v>
      </c>
      <c r="R41" s="161">
        <v>4597</v>
      </c>
      <c r="S41" s="161">
        <v>4052</v>
      </c>
      <c r="T41" s="161">
        <v>8649</v>
      </c>
      <c r="U41" s="161">
        <v>658145</v>
      </c>
      <c r="V41" s="161">
        <v>524779</v>
      </c>
      <c r="W41" s="161">
        <v>1182924</v>
      </c>
    </row>
    <row r="43" spans="1:23">
      <c r="V43" s="124">
        <f>W41+'22bTeacherPostU'!W41</f>
        <v>1433216</v>
      </c>
    </row>
  </sheetData>
  <mergeCells count="13">
    <mergeCell ref="R2:T2"/>
    <mergeCell ref="U2:W2"/>
    <mergeCell ref="A41:B41"/>
    <mergeCell ref="C1:H1"/>
    <mergeCell ref="I1:N1"/>
    <mergeCell ref="O1:W1"/>
    <mergeCell ref="A2:A3"/>
    <mergeCell ref="B2:B3"/>
    <mergeCell ref="C2:E2"/>
    <mergeCell ref="F2:H2"/>
    <mergeCell ref="I2:K2"/>
    <mergeCell ref="L2:N2"/>
    <mergeCell ref="O2:Q2"/>
  </mergeCells>
  <printOptions horizontalCentered="1"/>
  <pageMargins left="0.39370078740157483" right="0.3" top="0.39370078740157483" bottom="0.51181102362204722" header="0.27559055118110237" footer="0.23622047244094491"/>
  <pageSetup paperSize="9" scale="74" firstPageNumber="2" pageOrder="overThenDown" orientation="portrait" useFirstPageNumber="1" r:id="rId1"/>
  <headerFooter alignWithMargins="0">
    <oddFooter>&amp;LAISHE 2021-22&amp;CT-22a</oddFooter>
  </headerFooter>
  <colBreaks count="2" manualBreakCount="2">
    <brk id="8" max="39" man="1"/>
    <brk id="14" max="39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W41"/>
  <sheetViews>
    <sheetView showZeros="0" view="pageBreakPreview" zoomScaleSheetLayoutView="100" workbookViewId="0">
      <selection activeCell="F15" sqref="F15"/>
    </sheetView>
  </sheetViews>
  <sheetFormatPr defaultColWidth="9.28515625" defaultRowHeight="15"/>
  <cols>
    <col min="1" max="1" width="6.28515625" style="170" customWidth="1"/>
    <col min="2" max="2" width="20.140625" style="153" bestFit="1" customWidth="1"/>
    <col min="3" max="11" width="10.85546875" style="169" customWidth="1"/>
    <col min="12" max="20" width="8.140625" style="169" customWidth="1"/>
    <col min="21" max="23" width="8.5703125" style="169" customWidth="1"/>
    <col min="24" max="16384" width="9.28515625" style="153"/>
  </cols>
  <sheetData>
    <row r="1" spans="1:23" ht="37.9" customHeight="1">
      <c r="B1" s="242" t="s">
        <v>777</v>
      </c>
      <c r="C1" s="1107" t="s">
        <v>1093</v>
      </c>
      <c r="D1" s="1107"/>
      <c r="E1" s="1107"/>
      <c r="F1" s="1107"/>
      <c r="G1" s="1107"/>
      <c r="H1" s="1107"/>
      <c r="I1" s="1107"/>
      <c r="J1" s="1107"/>
      <c r="K1" s="1107"/>
      <c r="L1" s="1107" t="str">
        <f>C1</f>
        <v>States/UTs wise number of Teachers in Universities teaching departments and it's Constituent Units/Off-campus Centres (Based on Actual Response)</v>
      </c>
      <c r="M1" s="1107"/>
      <c r="N1" s="1107"/>
      <c r="O1" s="1107"/>
      <c r="P1" s="1107"/>
      <c r="Q1" s="1107"/>
      <c r="R1" s="1107"/>
      <c r="S1" s="1107"/>
      <c r="T1" s="1107"/>
      <c r="U1" s="1107"/>
      <c r="V1" s="1107"/>
      <c r="W1" s="1107"/>
    </row>
    <row r="2" spans="1:23" s="168" customFormat="1" ht="31.5" customHeight="1">
      <c r="A2" s="1103" t="s">
        <v>988</v>
      </c>
      <c r="B2" s="1108" t="s">
        <v>168</v>
      </c>
      <c r="C2" s="1095" t="s">
        <v>263</v>
      </c>
      <c r="D2" s="1095"/>
      <c r="E2" s="1095"/>
      <c r="F2" s="1095" t="s">
        <v>264</v>
      </c>
      <c r="G2" s="1109"/>
      <c r="H2" s="1109"/>
      <c r="I2" s="1095" t="s">
        <v>265</v>
      </c>
      <c r="J2" s="1109"/>
      <c r="K2" s="1109"/>
      <c r="L2" s="1095" t="s">
        <v>266</v>
      </c>
      <c r="M2" s="1109"/>
      <c r="N2" s="1109"/>
      <c r="O2" s="1095" t="s">
        <v>267</v>
      </c>
      <c r="P2" s="1109"/>
      <c r="Q2" s="1109"/>
      <c r="R2" s="1095" t="s">
        <v>269</v>
      </c>
      <c r="S2" s="1109"/>
      <c r="T2" s="1109"/>
      <c r="U2" s="1090" t="s">
        <v>60</v>
      </c>
      <c r="V2" s="1091"/>
      <c r="W2" s="1092"/>
    </row>
    <row r="3" spans="1:23" s="168" customFormat="1" ht="19.5" customHeight="1">
      <c r="A3" s="1103"/>
      <c r="B3" s="1108"/>
      <c r="C3" s="149" t="s">
        <v>87</v>
      </c>
      <c r="D3" s="149" t="s">
        <v>88</v>
      </c>
      <c r="E3" s="149" t="s">
        <v>12</v>
      </c>
      <c r="F3" s="149" t="s">
        <v>87</v>
      </c>
      <c r="G3" s="149" t="s">
        <v>88</v>
      </c>
      <c r="H3" s="149" t="s">
        <v>12</v>
      </c>
      <c r="I3" s="149" t="s">
        <v>87</v>
      </c>
      <c r="J3" s="149" t="s">
        <v>88</v>
      </c>
      <c r="K3" s="149" t="s">
        <v>12</v>
      </c>
      <c r="L3" s="149" t="s">
        <v>87</v>
      </c>
      <c r="M3" s="149" t="s">
        <v>88</v>
      </c>
      <c r="N3" s="149" t="s">
        <v>12</v>
      </c>
      <c r="O3" s="149" t="s">
        <v>87</v>
      </c>
      <c r="P3" s="149" t="s">
        <v>88</v>
      </c>
      <c r="Q3" s="149" t="s">
        <v>12</v>
      </c>
      <c r="R3" s="149" t="s">
        <v>87</v>
      </c>
      <c r="S3" s="149" t="s">
        <v>88</v>
      </c>
      <c r="T3" s="149" t="s">
        <v>12</v>
      </c>
      <c r="U3" s="845" t="s">
        <v>87</v>
      </c>
      <c r="V3" s="845" t="s">
        <v>88</v>
      </c>
      <c r="W3" s="845" t="s">
        <v>12</v>
      </c>
    </row>
    <row r="4" spans="1:23" s="464" customFormat="1">
      <c r="A4" s="846">
        <v>1</v>
      </c>
      <c r="B4" s="846">
        <v>2</v>
      </c>
      <c r="C4" s="846">
        <v>3</v>
      </c>
      <c r="D4" s="846">
        <v>4</v>
      </c>
      <c r="E4" s="846">
        <v>5</v>
      </c>
      <c r="F4" s="846">
        <v>6</v>
      </c>
      <c r="G4" s="846">
        <v>7</v>
      </c>
      <c r="H4" s="846">
        <v>8</v>
      </c>
      <c r="I4" s="846">
        <v>9</v>
      </c>
      <c r="J4" s="846">
        <v>10</v>
      </c>
      <c r="K4" s="846">
        <v>11</v>
      </c>
      <c r="L4" s="846">
        <v>12</v>
      </c>
      <c r="M4" s="846">
        <v>13</v>
      </c>
      <c r="N4" s="846">
        <v>14</v>
      </c>
      <c r="O4" s="846">
        <v>15</v>
      </c>
      <c r="P4" s="846">
        <v>16</v>
      </c>
      <c r="Q4" s="846">
        <v>17</v>
      </c>
      <c r="R4" s="846">
        <v>18</v>
      </c>
      <c r="S4" s="846">
        <v>19</v>
      </c>
      <c r="T4" s="846">
        <v>20</v>
      </c>
      <c r="U4" s="846">
        <v>21</v>
      </c>
      <c r="V4" s="846">
        <v>22</v>
      </c>
      <c r="W4" s="846">
        <v>23</v>
      </c>
    </row>
    <row r="5" spans="1:23" ht="30" customHeight="1">
      <c r="A5" s="467">
        <v>1</v>
      </c>
      <c r="B5" s="847" t="s">
        <v>1061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</row>
    <row r="6" spans="1:23" ht="24.75" customHeight="1">
      <c r="A6" s="467">
        <v>2</v>
      </c>
      <c r="B6" s="847" t="s">
        <v>15</v>
      </c>
      <c r="C6" s="148">
        <v>995</v>
      </c>
      <c r="D6" s="148">
        <v>331</v>
      </c>
      <c r="E6" s="148">
        <v>1326</v>
      </c>
      <c r="F6" s="148">
        <v>791</v>
      </c>
      <c r="G6" s="148">
        <v>340</v>
      </c>
      <c r="H6" s="148">
        <v>1131</v>
      </c>
      <c r="I6" s="148">
        <v>3423</v>
      </c>
      <c r="J6" s="148">
        <v>1747</v>
      </c>
      <c r="K6" s="148">
        <v>5170</v>
      </c>
      <c r="L6" s="148">
        <v>33</v>
      </c>
      <c r="M6" s="148">
        <v>49</v>
      </c>
      <c r="N6" s="148">
        <v>82</v>
      </c>
      <c r="O6" s="148">
        <v>759</v>
      </c>
      <c r="P6" s="148">
        <v>536</v>
      </c>
      <c r="Q6" s="148">
        <v>1295</v>
      </c>
      <c r="R6" s="148">
        <v>20</v>
      </c>
      <c r="S6" s="148">
        <v>28</v>
      </c>
      <c r="T6" s="148">
        <v>48</v>
      </c>
      <c r="U6" s="148">
        <v>6021</v>
      </c>
      <c r="V6" s="148">
        <v>3031</v>
      </c>
      <c r="W6" s="148">
        <v>9052</v>
      </c>
    </row>
    <row r="7" spans="1:23" ht="24.75" customHeight="1">
      <c r="A7" s="467">
        <v>3</v>
      </c>
      <c r="B7" s="847" t="s">
        <v>16</v>
      </c>
      <c r="C7" s="148">
        <v>139</v>
      </c>
      <c r="D7" s="148">
        <v>31</v>
      </c>
      <c r="E7" s="148">
        <v>170</v>
      </c>
      <c r="F7" s="148">
        <v>113</v>
      </c>
      <c r="G7" s="148">
        <v>42</v>
      </c>
      <c r="H7" s="148">
        <v>155</v>
      </c>
      <c r="I7" s="148">
        <v>436</v>
      </c>
      <c r="J7" s="148">
        <v>334</v>
      </c>
      <c r="K7" s="148">
        <v>770</v>
      </c>
      <c r="L7" s="148"/>
      <c r="M7" s="148">
        <v>12</v>
      </c>
      <c r="N7" s="148">
        <v>12</v>
      </c>
      <c r="O7" s="148">
        <v>15</v>
      </c>
      <c r="P7" s="148">
        <v>12</v>
      </c>
      <c r="Q7" s="148">
        <v>27</v>
      </c>
      <c r="R7" s="148"/>
      <c r="S7" s="148"/>
      <c r="T7" s="148"/>
      <c r="U7" s="148">
        <v>703</v>
      </c>
      <c r="V7" s="148">
        <v>431</v>
      </c>
      <c r="W7" s="148">
        <v>1134</v>
      </c>
    </row>
    <row r="8" spans="1:23" ht="24.75" customHeight="1">
      <c r="A8" s="467">
        <v>4</v>
      </c>
      <c r="B8" s="847" t="s">
        <v>17</v>
      </c>
      <c r="C8" s="148">
        <v>586</v>
      </c>
      <c r="D8" s="148">
        <v>152</v>
      </c>
      <c r="E8" s="148">
        <v>738</v>
      </c>
      <c r="F8" s="148">
        <v>436</v>
      </c>
      <c r="G8" s="148">
        <v>167</v>
      </c>
      <c r="H8" s="148">
        <v>603</v>
      </c>
      <c r="I8" s="148">
        <v>1443</v>
      </c>
      <c r="J8" s="148">
        <v>989</v>
      </c>
      <c r="K8" s="148">
        <v>2432</v>
      </c>
      <c r="L8" s="148">
        <v>1</v>
      </c>
      <c r="M8" s="148">
        <v>13</v>
      </c>
      <c r="N8" s="148">
        <v>14</v>
      </c>
      <c r="O8" s="148">
        <v>23</v>
      </c>
      <c r="P8" s="148">
        <v>33</v>
      </c>
      <c r="Q8" s="148">
        <v>56</v>
      </c>
      <c r="R8" s="148">
        <v>11</v>
      </c>
      <c r="S8" s="148">
        <v>3</v>
      </c>
      <c r="T8" s="148">
        <v>14</v>
      </c>
      <c r="U8" s="148">
        <v>2500</v>
      </c>
      <c r="V8" s="148">
        <v>1357</v>
      </c>
      <c r="W8" s="148">
        <v>3857</v>
      </c>
    </row>
    <row r="9" spans="1:23" ht="24.75" customHeight="1">
      <c r="A9" s="467">
        <v>5</v>
      </c>
      <c r="B9" s="847" t="s">
        <v>18</v>
      </c>
      <c r="C9" s="148">
        <v>664</v>
      </c>
      <c r="D9" s="148">
        <v>133</v>
      </c>
      <c r="E9" s="148">
        <v>797</v>
      </c>
      <c r="F9" s="148">
        <v>585</v>
      </c>
      <c r="G9" s="148">
        <v>137</v>
      </c>
      <c r="H9" s="148">
        <v>722</v>
      </c>
      <c r="I9" s="148">
        <v>1595</v>
      </c>
      <c r="J9" s="148">
        <v>482</v>
      </c>
      <c r="K9" s="148">
        <v>2077</v>
      </c>
      <c r="L9" s="148">
        <v>314</v>
      </c>
      <c r="M9" s="148">
        <v>204</v>
      </c>
      <c r="N9" s="148">
        <v>518</v>
      </c>
      <c r="O9" s="148">
        <v>119</v>
      </c>
      <c r="P9" s="148">
        <v>43</v>
      </c>
      <c r="Q9" s="148">
        <v>162</v>
      </c>
      <c r="R9" s="148">
        <v>25</v>
      </c>
      <c r="S9" s="148">
        <v>10</v>
      </c>
      <c r="T9" s="148">
        <v>35</v>
      </c>
      <c r="U9" s="148">
        <v>3302</v>
      </c>
      <c r="V9" s="148">
        <v>1009</v>
      </c>
      <c r="W9" s="148">
        <v>4311</v>
      </c>
    </row>
    <row r="10" spans="1:23" ht="24.75" customHeight="1">
      <c r="A10" s="467">
        <v>6</v>
      </c>
      <c r="B10" s="847" t="s">
        <v>19</v>
      </c>
      <c r="C10" s="148">
        <v>336</v>
      </c>
      <c r="D10" s="148">
        <v>241</v>
      </c>
      <c r="E10" s="148">
        <v>577</v>
      </c>
      <c r="F10" s="148">
        <v>174</v>
      </c>
      <c r="G10" s="148">
        <v>107</v>
      </c>
      <c r="H10" s="148">
        <v>281</v>
      </c>
      <c r="I10" s="148">
        <v>372</v>
      </c>
      <c r="J10" s="148">
        <v>367</v>
      </c>
      <c r="K10" s="148">
        <v>739</v>
      </c>
      <c r="L10" s="148">
        <v>2</v>
      </c>
      <c r="M10" s="148">
        <v>2</v>
      </c>
      <c r="N10" s="148">
        <v>4</v>
      </c>
      <c r="O10" s="148">
        <v>2</v>
      </c>
      <c r="P10" s="148">
        <v>2</v>
      </c>
      <c r="Q10" s="148">
        <v>4</v>
      </c>
      <c r="R10" s="148">
        <v>9</v>
      </c>
      <c r="S10" s="148">
        <v>10</v>
      </c>
      <c r="T10" s="148">
        <v>19</v>
      </c>
      <c r="U10" s="148">
        <v>895</v>
      </c>
      <c r="V10" s="148">
        <v>729</v>
      </c>
      <c r="W10" s="148">
        <v>1624</v>
      </c>
    </row>
    <row r="11" spans="1:23" ht="24.75" customHeight="1">
      <c r="A11" s="467">
        <v>7</v>
      </c>
      <c r="B11" s="847" t="s">
        <v>20</v>
      </c>
      <c r="C11" s="148">
        <v>289</v>
      </c>
      <c r="D11" s="148">
        <v>99</v>
      </c>
      <c r="E11" s="148">
        <v>388</v>
      </c>
      <c r="F11" s="148">
        <v>274</v>
      </c>
      <c r="G11" s="148">
        <v>108</v>
      </c>
      <c r="H11" s="148">
        <v>382</v>
      </c>
      <c r="I11" s="148">
        <v>1197</v>
      </c>
      <c r="J11" s="148">
        <v>692</v>
      </c>
      <c r="K11" s="148">
        <v>1889</v>
      </c>
      <c r="L11" s="148">
        <v>11</v>
      </c>
      <c r="M11" s="148">
        <v>15</v>
      </c>
      <c r="N11" s="148">
        <v>26</v>
      </c>
      <c r="O11" s="148">
        <v>158</v>
      </c>
      <c r="P11" s="148">
        <v>94</v>
      </c>
      <c r="Q11" s="148">
        <v>252</v>
      </c>
      <c r="R11" s="148">
        <v>10</v>
      </c>
      <c r="S11" s="148">
        <v>20</v>
      </c>
      <c r="T11" s="148">
        <v>30</v>
      </c>
      <c r="U11" s="148">
        <v>1939</v>
      </c>
      <c r="V11" s="148">
        <v>1028</v>
      </c>
      <c r="W11" s="148">
        <v>2967</v>
      </c>
    </row>
    <row r="12" spans="1:23" ht="24.75" customHeight="1">
      <c r="A12" s="467">
        <v>8</v>
      </c>
      <c r="B12" s="847" t="s">
        <v>23</v>
      </c>
      <c r="C12" s="148">
        <v>1610</v>
      </c>
      <c r="D12" s="148">
        <v>691</v>
      </c>
      <c r="E12" s="148">
        <v>2301</v>
      </c>
      <c r="F12" s="148">
        <v>760</v>
      </c>
      <c r="G12" s="148">
        <v>424</v>
      </c>
      <c r="H12" s="148">
        <v>1184</v>
      </c>
      <c r="I12" s="148">
        <v>1693</v>
      </c>
      <c r="J12" s="148">
        <v>1177</v>
      </c>
      <c r="K12" s="148">
        <v>2870</v>
      </c>
      <c r="L12" s="148">
        <v>6</v>
      </c>
      <c r="M12" s="148">
        <v>27</v>
      </c>
      <c r="N12" s="148">
        <v>33</v>
      </c>
      <c r="O12" s="148">
        <v>185</v>
      </c>
      <c r="P12" s="148">
        <v>144</v>
      </c>
      <c r="Q12" s="148">
        <v>329</v>
      </c>
      <c r="R12" s="148">
        <v>49</v>
      </c>
      <c r="S12" s="148">
        <v>21</v>
      </c>
      <c r="T12" s="148">
        <v>70</v>
      </c>
      <c r="U12" s="148">
        <v>4303</v>
      </c>
      <c r="V12" s="148">
        <v>2484</v>
      </c>
      <c r="W12" s="148">
        <v>6787</v>
      </c>
    </row>
    <row r="13" spans="1:23" ht="24.75" customHeight="1">
      <c r="A13" s="467">
        <v>9</v>
      </c>
      <c r="B13" s="847" t="s">
        <v>24</v>
      </c>
      <c r="C13" s="148">
        <v>66</v>
      </c>
      <c r="D13" s="148">
        <v>21</v>
      </c>
      <c r="E13" s="148">
        <v>87</v>
      </c>
      <c r="F13" s="148">
        <v>72</v>
      </c>
      <c r="G13" s="148">
        <v>23</v>
      </c>
      <c r="H13" s="148">
        <v>95</v>
      </c>
      <c r="I13" s="148">
        <v>194</v>
      </c>
      <c r="J13" s="148">
        <v>114</v>
      </c>
      <c r="K13" s="148">
        <v>308</v>
      </c>
      <c r="L13" s="148"/>
      <c r="M13" s="148"/>
      <c r="N13" s="148"/>
      <c r="O13" s="148"/>
      <c r="P13" s="148"/>
      <c r="Q13" s="148"/>
      <c r="R13" s="148">
        <v>1</v>
      </c>
      <c r="S13" s="148">
        <v>3</v>
      </c>
      <c r="T13" s="148">
        <v>4</v>
      </c>
      <c r="U13" s="148">
        <v>333</v>
      </c>
      <c r="V13" s="148">
        <v>161</v>
      </c>
      <c r="W13" s="148">
        <v>494</v>
      </c>
    </row>
    <row r="14" spans="1:23" ht="24.75" customHeight="1">
      <c r="A14" s="467">
        <v>10</v>
      </c>
      <c r="B14" s="847" t="s">
        <v>25</v>
      </c>
      <c r="C14" s="148">
        <v>1387</v>
      </c>
      <c r="D14" s="148">
        <v>480</v>
      </c>
      <c r="E14" s="148">
        <v>1867</v>
      </c>
      <c r="F14" s="148">
        <v>1335</v>
      </c>
      <c r="G14" s="148">
        <v>571</v>
      </c>
      <c r="H14" s="148">
        <v>1906</v>
      </c>
      <c r="I14" s="148">
        <v>5850</v>
      </c>
      <c r="J14" s="148">
        <v>4367</v>
      </c>
      <c r="K14" s="148">
        <v>10217</v>
      </c>
      <c r="L14" s="148">
        <v>318</v>
      </c>
      <c r="M14" s="148">
        <v>523</v>
      </c>
      <c r="N14" s="148">
        <v>841</v>
      </c>
      <c r="O14" s="148">
        <v>307</v>
      </c>
      <c r="P14" s="148">
        <v>475</v>
      </c>
      <c r="Q14" s="148">
        <v>782</v>
      </c>
      <c r="R14" s="148">
        <v>484</v>
      </c>
      <c r="S14" s="148">
        <v>285</v>
      </c>
      <c r="T14" s="148">
        <v>769</v>
      </c>
      <c r="U14" s="148">
        <v>9681</v>
      </c>
      <c r="V14" s="148">
        <v>6701</v>
      </c>
      <c r="W14" s="148">
        <v>16382</v>
      </c>
    </row>
    <row r="15" spans="1:23" ht="24.75" customHeight="1">
      <c r="A15" s="467">
        <v>11</v>
      </c>
      <c r="B15" s="847" t="s">
        <v>26</v>
      </c>
      <c r="C15" s="148">
        <v>1231</v>
      </c>
      <c r="D15" s="148">
        <v>484</v>
      </c>
      <c r="E15" s="148">
        <v>1715</v>
      </c>
      <c r="F15" s="148">
        <v>750</v>
      </c>
      <c r="G15" s="148">
        <v>561</v>
      </c>
      <c r="H15" s="148">
        <v>1311</v>
      </c>
      <c r="I15" s="148">
        <v>2741</v>
      </c>
      <c r="J15" s="148">
        <v>3103</v>
      </c>
      <c r="K15" s="148">
        <v>5844</v>
      </c>
      <c r="L15" s="148">
        <v>61</v>
      </c>
      <c r="M15" s="148">
        <v>201</v>
      </c>
      <c r="N15" s="148">
        <v>262</v>
      </c>
      <c r="O15" s="148">
        <v>104</v>
      </c>
      <c r="P15" s="148">
        <v>134</v>
      </c>
      <c r="Q15" s="148">
        <v>238</v>
      </c>
      <c r="R15" s="148">
        <v>101</v>
      </c>
      <c r="S15" s="148">
        <v>85</v>
      </c>
      <c r="T15" s="148">
        <v>186</v>
      </c>
      <c r="U15" s="148">
        <v>4988</v>
      </c>
      <c r="V15" s="148">
        <v>4568</v>
      </c>
      <c r="W15" s="148">
        <v>9556</v>
      </c>
    </row>
    <row r="16" spans="1:23" ht="24.75" customHeight="1">
      <c r="A16" s="467">
        <v>12</v>
      </c>
      <c r="B16" s="847" t="s">
        <v>27</v>
      </c>
      <c r="C16" s="148">
        <v>463</v>
      </c>
      <c r="D16" s="148">
        <v>95</v>
      </c>
      <c r="E16" s="148">
        <v>558</v>
      </c>
      <c r="F16" s="148">
        <v>269</v>
      </c>
      <c r="G16" s="148">
        <v>113</v>
      </c>
      <c r="H16" s="148">
        <v>382</v>
      </c>
      <c r="I16" s="148">
        <v>1052</v>
      </c>
      <c r="J16" s="148">
        <v>949</v>
      </c>
      <c r="K16" s="148">
        <v>2001</v>
      </c>
      <c r="L16" s="148">
        <v>34</v>
      </c>
      <c r="M16" s="148">
        <v>50</v>
      </c>
      <c r="N16" s="148">
        <v>84</v>
      </c>
      <c r="O16" s="148">
        <v>32</v>
      </c>
      <c r="P16" s="148">
        <v>38</v>
      </c>
      <c r="Q16" s="148">
        <v>70</v>
      </c>
      <c r="R16" s="148">
        <v>11</v>
      </c>
      <c r="S16" s="148">
        <v>4</v>
      </c>
      <c r="T16" s="148">
        <v>15</v>
      </c>
      <c r="U16" s="148">
        <v>1861</v>
      </c>
      <c r="V16" s="148">
        <v>1249</v>
      </c>
      <c r="W16" s="148">
        <v>3110</v>
      </c>
    </row>
    <row r="17" spans="1:23" ht="24.75" customHeight="1">
      <c r="A17" s="467">
        <v>13</v>
      </c>
      <c r="B17" s="847" t="s">
        <v>57</v>
      </c>
      <c r="C17" s="148">
        <v>342</v>
      </c>
      <c r="D17" s="148">
        <v>83</v>
      </c>
      <c r="E17" s="148">
        <v>425</v>
      </c>
      <c r="F17" s="148">
        <v>189</v>
      </c>
      <c r="G17" s="148">
        <v>70</v>
      </c>
      <c r="H17" s="148">
        <v>259</v>
      </c>
      <c r="I17" s="148">
        <v>1215</v>
      </c>
      <c r="J17" s="148">
        <v>505</v>
      </c>
      <c r="K17" s="148">
        <v>1720</v>
      </c>
      <c r="L17" s="148">
        <v>9</v>
      </c>
      <c r="M17" s="148">
        <v>41</v>
      </c>
      <c r="N17" s="148">
        <v>50</v>
      </c>
      <c r="O17" s="148">
        <v>94</v>
      </c>
      <c r="P17" s="148">
        <v>64</v>
      </c>
      <c r="Q17" s="148">
        <v>158</v>
      </c>
      <c r="R17" s="148">
        <v>1</v>
      </c>
      <c r="S17" s="148"/>
      <c r="T17" s="148">
        <v>1</v>
      </c>
      <c r="U17" s="148">
        <v>1850</v>
      </c>
      <c r="V17" s="148">
        <v>763</v>
      </c>
      <c r="W17" s="148">
        <v>2613</v>
      </c>
    </row>
    <row r="18" spans="1:23" ht="24.75" customHeight="1">
      <c r="A18" s="467">
        <v>14</v>
      </c>
      <c r="B18" s="847" t="s">
        <v>29</v>
      </c>
      <c r="C18" s="148">
        <v>302</v>
      </c>
      <c r="D18" s="148">
        <v>70</v>
      </c>
      <c r="E18" s="148">
        <v>372</v>
      </c>
      <c r="F18" s="148">
        <v>455</v>
      </c>
      <c r="G18" s="148">
        <v>135</v>
      </c>
      <c r="H18" s="148">
        <v>590</v>
      </c>
      <c r="I18" s="148">
        <v>1562</v>
      </c>
      <c r="J18" s="148">
        <v>786</v>
      </c>
      <c r="K18" s="148">
        <v>2348</v>
      </c>
      <c r="L18" s="148">
        <v>49</v>
      </c>
      <c r="M18" s="148">
        <v>87</v>
      </c>
      <c r="N18" s="148">
        <v>136</v>
      </c>
      <c r="O18" s="148">
        <v>105</v>
      </c>
      <c r="P18" s="148">
        <v>88</v>
      </c>
      <c r="Q18" s="148">
        <v>193</v>
      </c>
      <c r="R18" s="148">
        <v>33</v>
      </c>
      <c r="S18" s="148">
        <v>18</v>
      </c>
      <c r="T18" s="148">
        <v>51</v>
      </c>
      <c r="U18" s="148">
        <v>2506</v>
      </c>
      <c r="V18" s="148">
        <v>1184</v>
      </c>
      <c r="W18" s="148">
        <v>3690</v>
      </c>
    </row>
    <row r="19" spans="1:23" ht="24.75" customHeight="1">
      <c r="A19" s="467">
        <v>15</v>
      </c>
      <c r="B19" s="847" t="s">
        <v>30</v>
      </c>
      <c r="C19" s="148">
        <v>3205</v>
      </c>
      <c r="D19" s="148">
        <v>1104</v>
      </c>
      <c r="E19" s="148">
        <v>4309</v>
      </c>
      <c r="F19" s="148">
        <v>2226</v>
      </c>
      <c r="G19" s="148">
        <v>1358</v>
      </c>
      <c r="H19" s="148">
        <v>3584</v>
      </c>
      <c r="I19" s="148">
        <v>6071</v>
      </c>
      <c r="J19" s="148">
        <v>5499</v>
      </c>
      <c r="K19" s="148">
        <v>11570</v>
      </c>
      <c r="L19" s="148">
        <v>320</v>
      </c>
      <c r="M19" s="148">
        <v>482</v>
      </c>
      <c r="N19" s="148">
        <v>802</v>
      </c>
      <c r="O19" s="148">
        <v>849</v>
      </c>
      <c r="P19" s="148">
        <v>745</v>
      </c>
      <c r="Q19" s="148">
        <v>1594</v>
      </c>
      <c r="R19" s="148">
        <v>142</v>
      </c>
      <c r="S19" s="148">
        <v>65</v>
      </c>
      <c r="T19" s="148">
        <v>207</v>
      </c>
      <c r="U19" s="148">
        <v>12813</v>
      </c>
      <c r="V19" s="148">
        <v>9253</v>
      </c>
      <c r="W19" s="148">
        <v>22066</v>
      </c>
    </row>
    <row r="20" spans="1:23" ht="24.75" customHeight="1">
      <c r="A20" s="467">
        <v>16</v>
      </c>
      <c r="B20" s="847" t="s">
        <v>31</v>
      </c>
      <c r="C20" s="148">
        <v>548</v>
      </c>
      <c r="D20" s="148">
        <v>269</v>
      </c>
      <c r="E20" s="148">
        <v>817</v>
      </c>
      <c r="F20" s="148">
        <v>365</v>
      </c>
      <c r="G20" s="148">
        <v>199</v>
      </c>
      <c r="H20" s="148">
        <v>564</v>
      </c>
      <c r="I20" s="148">
        <v>1351</v>
      </c>
      <c r="J20" s="148">
        <v>1726</v>
      </c>
      <c r="K20" s="148">
        <v>3077</v>
      </c>
      <c r="L20" s="148">
        <v>16</v>
      </c>
      <c r="M20" s="148">
        <v>7</v>
      </c>
      <c r="N20" s="148">
        <v>23</v>
      </c>
      <c r="O20" s="148">
        <v>133</v>
      </c>
      <c r="P20" s="148">
        <v>220</v>
      </c>
      <c r="Q20" s="148">
        <v>353</v>
      </c>
      <c r="R20" s="148">
        <v>5</v>
      </c>
      <c r="S20" s="148">
        <v>8</v>
      </c>
      <c r="T20" s="148">
        <v>13</v>
      </c>
      <c r="U20" s="148">
        <v>2418</v>
      </c>
      <c r="V20" s="148">
        <v>2429</v>
      </c>
      <c r="W20" s="148">
        <v>4847</v>
      </c>
    </row>
    <row r="21" spans="1:23" ht="24.75" customHeight="1">
      <c r="A21" s="467">
        <v>17</v>
      </c>
      <c r="B21" s="847" t="s">
        <v>154</v>
      </c>
      <c r="C21" s="148">
        <v>2</v>
      </c>
      <c r="D21" s="148"/>
      <c r="E21" s="148">
        <v>2</v>
      </c>
      <c r="F21" s="148">
        <v>3</v>
      </c>
      <c r="G21" s="148"/>
      <c r="H21" s="148">
        <v>3</v>
      </c>
      <c r="I21" s="148">
        <v>68</v>
      </c>
      <c r="J21" s="148">
        <v>23</v>
      </c>
      <c r="K21" s="148">
        <v>91</v>
      </c>
      <c r="L21" s="148">
        <v>2</v>
      </c>
      <c r="M21" s="148">
        <v>1</v>
      </c>
      <c r="N21" s="148">
        <v>3</v>
      </c>
      <c r="O21" s="148"/>
      <c r="P21" s="148"/>
      <c r="Q21" s="148"/>
      <c r="R21" s="148"/>
      <c r="S21" s="148"/>
      <c r="T21" s="148"/>
      <c r="U21" s="148">
        <v>75</v>
      </c>
      <c r="V21" s="148">
        <v>24</v>
      </c>
      <c r="W21" s="148">
        <v>99</v>
      </c>
    </row>
    <row r="22" spans="1:23" ht="24.75" customHeight="1">
      <c r="A22" s="467">
        <v>18</v>
      </c>
      <c r="B22" s="847" t="s">
        <v>32</v>
      </c>
      <c r="C22" s="148"/>
      <c r="D22" s="148">
        <v>1</v>
      </c>
      <c r="E22" s="148">
        <v>1</v>
      </c>
      <c r="F22" s="148"/>
      <c r="G22" s="148"/>
      <c r="H22" s="148"/>
      <c r="I22" s="148">
        <v>5</v>
      </c>
      <c r="J22" s="148">
        <v>4</v>
      </c>
      <c r="K22" s="148">
        <v>9</v>
      </c>
      <c r="L22" s="148"/>
      <c r="M22" s="148"/>
      <c r="N22" s="148"/>
      <c r="O22" s="148"/>
      <c r="P22" s="148"/>
      <c r="Q22" s="148"/>
      <c r="R22" s="148"/>
      <c r="S22" s="148"/>
      <c r="T22" s="148"/>
      <c r="U22" s="148">
        <v>5</v>
      </c>
      <c r="V22" s="148">
        <v>5</v>
      </c>
      <c r="W22" s="148">
        <v>10</v>
      </c>
    </row>
    <row r="23" spans="1:23" ht="24.75" customHeight="1">
      <c r="A23" s="467">
        <v>19</v>
      </c>
      <c r="B23" s="847" t="s">
        <v>33</v>
      </c>
      <c r="C23" s="148">
        <v>1778</v>
      </c>
      <c r="D23" s="148">
        <v>727</v>
      </c>
      <c r="E23" s="148">
        <v>2505</v>
      </c>
      <c r="F23" s="148">
        <v>1319</v>
      </c>
      <c r="G23" s="148">
        <v>687</v>
      </c>
      <c r="H23" s="148">
        <v>2006</v>
      </c>
      <c r="I23" s="148">
        <v>7891</v>
      </c>
      <c r="J23" s="148">
        <v>4567</v>
      </c>
      <c r="K23" s="148">
        <v>12458</v>
      </c>
      <c r="L23" s="148">
        <v>705</v>
      </c>
      <c r="M23" s="148">
        <v>948</v>
      </c>
      <c r="N23" s="148">
        <v>1653</v>
      </c>
      <c r="O23" s="148">
        <v>354</v>
      </c>
      <c r="P23" s="148">
        <v>330</v>
      </c>
      <c r="Q23" s="148">
        <v>684</v>
      </c>
      <c r="R23" s="148">
        <v>130</v>
      </c>
      <c r="S23" s="148">
        <v>75</v>
      </c>
      <c r="T23" s="148">
        <v>205</v>
      </c>
      <c r="U23" s="148">
        <v>12177</v>
      </c>
      <c r="V23" s="148">
        <v>7334</v>
      </c>
      <c r="W23" s="148">
        <v>19511</v>
      </c>
    </row>
    <row r="24" spans="1:23" ht="24.75" customHeight="1">
      <c r="A24" s="467">
        <v>20</v>
      </c>
      <c r="B24" s="847" t="s">
        <v>34</v>
      </c>
      <c r="C24" s="148">
        <v>2553</v>
      </c>
      <c r="D24" s="148">
        <v>1110</v>
      </c>
      <c r="E24" s="148">
        <v>3663</v>
      </c>
      <c r="F24" s="148">
        <v>2043</v>
      </c>
      <c r="G24" s="148">
        <v>1241</v>
      </c>
      <c r="H24" s="148">
        <v>3284</v>
      </c>
      <c r="I24" s="148">
        <v>5989</v>
      </c>
      <c r="J24" s="148">
        <v>5249</v>
      </c>
      <c r="K24" s="148">
        <v>11238</v>
      </c>
      <c r="L24" s="148">
        <v>315</v>
      </c>
      <c r="M24" s="148">
        <v>492</v>
      </c>
      <c r="N24" s="148">
        <v>807</v>
      </c>
      <c r="O24" s="148">
        <v>282</v>
      </c>
      <c r="P24" s="148">
        <v>216</v>
      </c>
      <c r="Q24" s="148">
        <v>498</v>
      </c>
      <c r="R24" s="148">
        <v>431</v>
      </c>
      <c r="S24" s="148">
        <v>427</v>
      </c>
      <c r="T24" s="148">
        <v>858</v>
      </c>
      <c r="U24" s="148">
        <v>11613</v>
      </c>
      <c r="V24" s="148">
        <v>8735</v>
      </c>
      <c r="W24" s="148">
        <v>20348</v>
      </c>
    </row>
    <row r="25" spans="1:23" ht="24.75" customHeight="1">
      <c r="A25" s="467">
        <v>21</v>
      </c>
      <c r="B25" s="847" t="s">
        <v>35</v>
      </c>
      <c r="C25" s="148">
        <v>138</v>
      </c>
      <c r="D25" s="148">
        <v>32</v>
      </c>
      <c r="E25" s="148">
        <v>170</v>
      </c>
      <c r="F25" s="148">
        <v>66</v>
      </c>
      <c r="G25" s="148">
        <v>25</v>
      </c>
      <c r="H25" s="148">
        <v>91</v>
      </c>
      <c r="I25" s="148">
        <v>306</v>
      </c>
      <c r="J25" s="148">
        <v>204</v>
      </c>
      <c r="K25" s="148">
        <v>510</v>
      </c>
      <c r="L25" s="148"/>
      <c r="M25" s="148"/>
      <c r="N25" s="148"/>
      <c r="O25" s="148">
        <v>78</v>
      </c>
      <c r="P25" s="148">
        <v>51</v>
      </c>
      <c r="Q25" s="148">
        <v>129</v>
      </c>
      <c r="R25" s="148">
        <v>41</v>
      </c>
      <c r="S25" s="148">
        <v>5</v>
      </c>
      <c r="T25" s="148">
        <v>46</v>
      </c>
      <c r="U25" s="148">
        <v>629</v>
      </c>
      <c r="V25" s="148">
        <v>317</v>
      </c>
      <c r="W25" s="148">
        <v>946</v>
      </c>
    </row>
    <row r="26" spans="1:23" ht="24.75" customHeight="1">
      <c r="A26" s="467">
        <v>22</v>
      </c>
      <c r="B26" s="847" t="s">
        <v>36</v>
      </c>
      <c r="C26" s="148">
        <v>139</v>
      </c>
      <c r="D26" s="148">
        <v>52</v>
      </c>
      <c r="E26" s="148">
        <v>191</v>
      </c>
      <c r="F26" s="148">
        <v>84</v>
      </c>
      <c r="G26" s="148">
        <v>47</v>
      </c>
      <c r="H26" s="148">
        <v>131</v>
      </c>
      <c r="I26" s="148">
        <v>296</v>
      </c>
      <c r="J26" s="148">
        <v>292</v>
      </c>
      <c r="K26" s="148">
        <v>588</v>
      </c>
      <c r="L26" s="148">
        <v>5</v>
      </c>
      <c r="M26" s="148">
        <v>4</v>
      </c>
      <c r="N26" s="148">
        <v>9</v>
      </c>
      <c r="O26" s="148">
        <v>3</v>
      </c>
      <c r="P26" s="148">
        <v>2</v>
      </c>
      <c r="Q26" s="148">
        <v>5</v>
      </c>
      <c r="R26" s="148">
        <v>1</v>
      </c>
      <c r="S26" s="148">
        <v>6</v>
      </c>
      <c r="T26" s="148">
        <v>7</v>
      </c>
      <c r="U26" s="148">
        <v>528</v>
      </c>
      <c r="V26" s="148">
        <v>403</v>
      </c>
      <c r="W26" s="148">
        <v>931</v>
      </c>
    </row>
    <row r="27" spans="1:23" ht="24.75" customHeight="1">
      <c r="A27" s="467">
        <v>23</v>
      </c>
      <c r="B27" s="847" t="s">
        <v>37</v>
      </c>
      <c r="C27" s="148">
        <v>57</v>
      </c>
      <c r="D27" s="148">
        <v>11</v>
      </c>
      <c r="E27" s="148">
        <v>68</v>
      </c>
      <c r="F27" s="148">
        <v>36</v>
      </c>
      <c r="G27" s="148">
        <v>12</v>
      </c>
      <c r="H27" s="148">
        <v>48</v>
      </c>
      <c r="I27" s="148">
        <v>120</v>
      </c>
      <c r="J27" s="148">
        <v>63</v>
      </c>
      <c r="K27" s="148">
        <v>183</v>
      </c>
      <c r="L27" s="148"/>
      <c r="M27" s="148"/>
      <c r="N27" s="148"/>
      <c r="O27" s="148">
        <v>12</v>
      </c>
      <c r="P27" s="148">
        <v>4</v>
      </c>
      <c r="Q27" s="148">
        <v>16</v>
      </c>
      <c r="R27" s="148">
        <v>3</v>
      </c>
      <c r="S27" s="148">
        <v>3</v>
      </c>
      <c r="T27" s="148">
        <v>6</v>
      </c>
      <c r="U27" s="148">
        <v>228</v>
      </c>
      <c r="V27" s="148">
        <v>93</v>
      </c>
      <c r="W27" s="148">
        <v>321</v>
      </c>
    </row>
    <row r="28" spans="1:23" ht="24.75" customHeight="1">
      <c r="A28" s="467">
        <v>24</v>
      </c>
      <c r="B28" s="847" t="s">
        <v>38</v>
      </c>
      <c r="C28" s="148">
        <v>52</v>
      </c>
      <c r="D28" s="148">
        <v>19</v>
      </c>
      <c r="E28" s="148">
        <v>71</v>
      </c>
      <c r="F28" s="148">
        <v>24</v>
      </c>
      <c r="G28" s="148">
        <v>12</v>
      </c>
      <c r="H28" s="148">
        <v>36</v>
      </c>
      <c r="I28" s="148">
        <v>188</v>
      </c>
      <c r="J28" s="148">
        <v>172</v>
      </c>
      <c r="K28" s="148">
        <v>360</v>
      </c>
      <c r="L28" s="148"/>
      <c r="M28" s="148"/>
      <c r="N28" s="148"/>
      <c r="O28" s="148"/>
      <c r="P28" s="148"/>
      <c r="Q28" s="148"/>
      <c r="R28" s="148"/>
      <c r="S28" s="148"/>
      <c r="T28" s="148"/>
      <c r="U28" s="148">
        <v>264</v>
      </c>
      <c r="V28" s="148">
        <v>203</v>
      </c>
      <c r="W28" s="148">
        <v>467</v>
      </c>
    </row>
    <row r="29" spans="1:23" ht="24.75" customHeight="1">
      <c r="A29" s="467">
        <v>25</v>
      </c>
      <c r="B29" s="847" t="s">
        <v>39</v>
      </c>
      <c r="C29" s="148">
        <v>940</v>
      </c>
      <c r="D29" s="148">
        <v>213</v>
      </c>
      <c r="E29" s="148">
        <v>1153</v>
      </c>
      <c r="F29" s="148">
        <v>842</v>
      </c>
      <c r="G29" s="148">
        <v>295</v>
      </c>
      <c r="H29" s="148">
        <v>1137</v>
      </c>
      <c r="I29" s="148">
        <v>2489</v>
      </c>
      <c r="J29" s="148">
        <v>1437</v>
      </c>
      <c r="K29" s="148">
        <v>3926</v>
      </c>
      <c r="L29" s="148">
        <v>13</v>
      </c>
      <c r="M29" s="148">
        <v>21</v>
      </c>
      <c r="N29" s="148">
        <v>34</v>
      </c>
      <c r="O29" s="148">
        <v>150</v>
      </c>
      <c r="P29" s="148">
        <v>106</v>
      </c>
      <c r="Q29" s="148">
        <v>256</v>
      </c>
      <c r="R29" s="148">
        <v>22</v>
      </c>
      <c r="S29" s="148">
        <v>10</v>
      </c>
      <c r="T29" s="148">
        <v>32</v>
      </c>
      <c r="U29" s="148">
        <v>4456</v>
      </c>
      <c r="V29" s="148">
        <v>2082</v>
      </c>
      <c r="W29" s="148">
        <v>6538</v>
      </c>
    </row>
    <row r="30" spans="1:23" ht="24.75" customHeight="1">
      <c r="A30" s="467">
        <v>26</v>
      </c>
      <c r="B30" s="847" t="s">
        <v>40</v>
      </c>
      <c r="C30" s="148">
        <v>380</v>
      </c>
      <c r="D30" s="148">
        <v>162</v>
      </c>
      <c r="E30" s="148">
        <v>542</v>
      </c>
      <c r="F30" s="148">
        <v>198</v>
      </c>
      <c r="G30" s="148">
        <v>126</v>
      </c>
      <c r="H30" s="148">
        <v>324</v>
      </c>
      <c r="I30" s="148">
        <v>455</v>
      </c>
      <c r="J30" s="148">
        <v>324</v>
      </c>
      <c r="K30" s="148">
        <v>779</v>
      </c>
      <c r="L30" s="148">
        <v>242</v>
      </c>
      <c r="M30" s="148">
        <v>308</v>
      </c>
      <c r="N30" s="148">
        <v>550</v>
      </c>
      <c r="O30" s="148">
        <v>3</v>
      </c>
      <c r="P30" s="148">
        <v>1</v>
      </c>
      <c r="Q30" s="148">
        <v>4</v>
      </c>
      <c r="R30" s="148"/>
      <c r="S30" s="148"/>
      <c r="T30" s="148"/>
      <c r="U30" s="148">
        <v>1278</v>
      </c>
      <c r="V30" s="148">
        <v>921</v>
      </c>
      <c r="W30" s="148">
        <v>2199</v>
      </c>
    </row>
    <row r="31" spans="1:23" ht="24.75" customHeight="1">
      <c r="A31" s="467">
        <v>27</v>
      </c>
      <c r="B31" s="847" t="s">
        <v>41</v>
      </c>
      <c r="C31" s="148">
        <v>1302</v>
      </c>
      <c r="D31" s="148">
        <v>537</v>
      </c>
      <c r="E31" s="148">
        <v>1839</v>
      </c>
      <c r="F31" s="148">
        <v>1043</v>
      </c>
      <c r="G31" s="148">
        <v>636</v>
      </c>
      <c r="H31" s="148">
        <v>1679</v>
      </c>
      <c r="I31" s="148">
        <v>4526</v>
      </c>
      <c r="J31" s="148">
        <v>4526</v>
      </c>
      <c r="K31" s="148">
        <v>9052</v>
      </c>
      <c r="L31" s="148">
        <v>45</v>
      </c>
      <c r="M31" s="148">
        <v>186</v>
      </c>
      <c r="N31" s="148">
        <v>231</v>
      </c>
      <c r="O31" s="148">
        <v>70</v>
      </c>
      <c r="P31" s="148">
        <v>130</v>
      </c>
      <c r="Q31" s="148">
        <v>200</v>
      </c>
      <c r="R31" s="148">
        <v>78</v>
      </c>
      <c r="S31" s="148">
        <v>86</v>
      </c>
      <c r="T31" s="148">
        <v>164</v>
      </c>
      <c r="U31" s="148">
        <v>7064</v>
      </c>
      <c r="V31" s="148">
        <v>6101</v>
      </c>
      <c r="W31" s="148">
        <v>13165</v>
      </c>
    </row>
    <row r="32" spans="1:23" ht="24.75" customHeight="1">
      <c r="A32" s="467">
        <v>28</v>
      </c>
      <c r="B32" s="847" t="s">
        <v>42</v>
      </c>
      <c r="C32" s="148">
        <v>1698</v>
      </c>
      <c r="D32" s="148">
        <v>621</v>
      </c>
      <c r="E32" s="148">
        <v>2319</v>
      </c>
      <c r="F32" s="148">
        <v>1495</v>
      </c>
      <c r="G32" s="148">
        <v>772</v>
      </c>
      <c r="H32" s="148">
        <v>2267</v>
      </c>
      <c r="I32" s="148">
        <v>6095</v>
      </c>
      <c r="J32" s="148">
        <v>3876</v>
      </c>
      <c r="K32" s="148">
        <v>9971</v>
      </c>
      <c r="L32" s="148">
        <v>464</v>
      </c>
      <c r="M32" s="148">
        <v>212</v>
      </c>
      <c r="N32" s="148">
        <v>676</v>
      </c>
      <c r="O32" s="148">
        <v>102</v>
      </c>
      <c r="P32" s="148">
        <v>100</v>
      </c>
      <c r="Q32" s="148">
        <v>202</v>
      </c>
      <c r="R32" s="148">
        <v>119</v>
      </c>
      <c r="S32" s="148">
        <v>99</v>
      </c>
      <c r="T32" s="148">
        <v>218</v>
      </c>
      <c r="U32" s="148">
        <v>9973</v>
      </c>
      <c r="V32" s="148">
        <v>5680</v>
      </c>
      <c r="W32" s="148">
        <v>15653</v>
      </c>
    </row>
    <row r="33" spans="1:23" ht="24.75" customHeight="1">
      <c r="A33" s="467">
        <v>29</v>
      </c>
      <c r="B33" s="847" t="s">
        <v>43</v>
      </c>
      <c r="C33" s="148">
        <v>59</v>
      </c>
      <c r="D33" s="148">
        <v>21</v>
      </c>
      <c r="E33" s="148">
        <v>80</v>
      </c>
      <c r="F33" s="148">
        <v>96</v>
      </c>
      <c r="G33" s="148">
        <v>41</v>
      </c>
      <c r="H33" s="148">
        <v>137</v>
      </c>
      <c r="I33" s="148">
        <v>313</v>
      </c>
      <c r="J33" s="148">
        <v>172</v>
      </c>
      <c r="K33" s="148">
        <v>485</v>
      </c>
      <c r="L33" s="148">
        <v>5</v>
      </c>
      <c r="M33" s="148">
        <v>32</v>
      </c>
      <c r="N33" s="148">
        <v>37</v>
      </c>
      <c r="O33" s="148"/>
      <c r="P33" s="148">
        <v>1</v>
      </c>
      <c r="Q33" s="148">
        <v>1</v>
      </c>
      <c r="R33" s="148"/>
      <c r="S33" s="148">
        <v>1</v>
      </c>
      <c r="T33" s="148">
        <v>1</v>
      </c>
      <c r="U33" s="148">
        <v>473</v>
      </c>
      <c r="V33" s="148">
        <v>268</v>
      </c>
      <c r="W33" s="148">
        <v>741</v>
      </c>
    </row>
    <row r="34" spans="1:23" ht="24.75" customHeight="1">
      <c r="A34" s="467">
        <v>30</v>
      </c>
      <c r="B34" s="847" t="s">
        <v>44</v>
      </c>
      <c r="C34" s="148">
        <v>3539</v>
      </c>
      <c r="D34" s="148">
        <v>1551</v>
      </c>
      <c r="E34" s="148">
        <v>5090</v>
      </c>
      <c r="F34" s="148">
        <v>3187</v>
      </c>
      <c r="G34" s="148">
        <v>1710</v>
      </c>
      <c r="H34" s="148">
        <v>4897</v>
      </c>
      <c r="I34" s="148">
        <v>9256</v>
      </c>
      <c r="J34" s="148">
        <v>7969</v>
      </c>
      <c r="K34" s="148">
        <v>17225</v>
      </c>
      <c r="L34" s="148">
        <v>209</v>
      </c>
      <c r="M34" s="148">
        <v>402</v>
      </c>
      <c r="N34" s="148">
        <v>611</v>
      </c>
      <c r="O34" s="148">
        <v>180</v>
      </c>
      <c r="P34" s="148">
        <v>203</v>
      </c>
      <c r="Q34" s="148">
        <v>383</v>
      </c>
      <c r="R34" s="148">
        <v>78</v>
      </c>
      <c r="S34" s="148">
        <v>13</v>
      </c>
      <c r="T34" s="148">
        <v>91</v>
      </c>
      <c r="U34" s="148">
        <v>16449</v>
      </c>
      <c r="V34" s="148">
        <v>11848</v>
      </c>
      <c r="W34" s="148">
        <v>28297</v>
      </c>
    </row>
    <row r="35" spans="1:23" ht="24.75" customHeight="1">
      <c r="A35" s="467">
        <v>31</v>
      </c>
      <c r="B35" s="847" t="s">
        <v>131</v>
      </c>
      <c r="C35" s="148">
        <v>837</v>
      </c>
      <c r="D35" s="148">
        <v>265</v>
      </c>
      <c r="E35" s="148">
        <v>1102</v>
      </c>
      <c r="F35" s="148">
        <v>621</v>
      </c>
      <c r="G35" s="148">
        <v>239</v>
      </c>
      <c r="H35" s="148">
        <v>860</v>
      </c>
      <c r="I35" s="148">
        <v>2099</v>
      </c>
      <c r="J35" s="148">
        <v>1299</v>
      </c>
      <c r="K35" s="148">
        <v>3398</v>
      </c>
      <c r="L35" s="148">
        <v>305</v>
      </c>
      <c r="M35" s="148">
        <v>2</v>
      </c>
      <c r="N35" s="148">
        <v>307</v>
      </c>
      <c r="O35" s="148">
        <v>374</v>
      </c>
      <c r="P35" s="148">
        <v>158</v>
      </c>
      <c r="Q35" s="148">
        <v>532</v>
      </c>
      <c r="R35" s="148"/>
      <c r="S35" s="148"/>
      <c r="T35" s="148"/>
      <c r="U35" s="148">
        <v>4236</v>
      </c>
      <c r="V35" s="148">
        <v>1963</v>
      </c>
      <c r="W35" s="148">
        <v>6199</v>
      </c>
    </row>
    <row r="36" spans="1:23" ht="28.5">
      <c r="A36" s="467">
        <v>32</v>
      </c>
      <c r="B36" s="847" t="s">
        <v>1062</v>
      </c>
      <c r="C36" s="148"/>
      <c r="D36" s="148">
        <v>1</v>
      </c>
      <c r="E36" s="148">
        <v>1</v>
      </c>
      <c r="F36" s="148">
        <v>1</v>
      </c>
      <c r="G36" s="148"/>
      <c r="H36" s="148">
        <v>1</v>
      </c>
      <c r="I36" s="148">
        <v>2</v>
      </c>
      <c r="J36" s="148">
        <v>2</v>
      </c>
      <c r="K36" s="148">
        <v>4</v>
      </c>
      <c r="L36" s="148"/>
      <c r="M36" s="148"/>
      <c r="N36" s="148"/>
      <c r="O36" s="148"/>
      <c r="P36" s="148"/>
      <c r="Q36" s="148"/>
      <c r="R36" s="148">
        <v>4</v>
      </c>
      <c r="S36" s="148"/>
      <c r="T36" s="148">
        <v>4</v>
      </c>
      <c r="U36" s="148">
        <v>7</v>
      </c>
      <c r="V36" s="148">
        <v>3</v>
      </c>
      <c r="W36" s="148">
        <v>10</v>
      </c>
    </row>
    <row r="37" spans="1:23" ht="24.75" customHeight="1">
      <c r="A37" s="467">
        <v>33</v>
      </c>
      <c r="B37" s="820" t="s">
        <v>45</v>
      </c>
      <c r="C37" s="148">
        <v>46</v>
      </c>
      <c r="D37" s="148">
        <v>2</v>
      </c>
      <c r="E37" s="148">
        <v>48</v>
      </c>
      <c r="F37" s="148">
        <v>41</v>
      </c>
      <c r="G37" s="148">
        <v>11</v>
      </c>
      <c r="H37" s="148">
        <v>52</v>
      </c>
      <c r="I37" s="148">
        <v>299</v>
      </c>
      <c r="J37" s="148">
        <v>110</v>
      </c>
      <c r="K37" s="148">
        <v>409</v>
      </c>
      <c r="L37" s="148">
        <v>1</v>
      </c>
      <c r="M37" s="148">
        <v>2</v>
      </c>
      <c r="N37" s="148">
        <v>3</v>
      </c>
      <c r="O37" s="148">
        <v>12</v>
      </c>
      <c r="P37" s="148">
        <v>6</v>
      </c>
      <c r="Q37" s="148">
        <v>18</v>
      </c>
      <c r="R37" s="148"/>
      <c r="S37" s="148"/>
      <c r="T37" s="148"/>
      <c r="U37" s="148">
        <v>399</v>
      </c>
      <c r="V37" s="148">
        <v>131</v>
      </c>
      <c r="W37" s="148">
        <v>530</v>
      </c>
    </row>
    <row r="38" spans="1:23" ht="24.75" customHeight="1">
      <c r="A38" s="467">
        <v>34</v>
      </c>
      <c r="B38" s="847" t="s">
        <v>47</v>
      </c>
      <c r="C38" s="148">
        <v>4224</v>
      </c>
      <c r="D38" s="148">
        <v>1197</v>
      </c>
      <c r="E38" s="148">
        <v>5421</v>
      </c>
      <c r="F38" s="148">
        <v>2702</v>
      </c>
      <c r="G38" s="148">
        <v>1108</v>
      </c>
      <c r="H38" s="148">
        <v>3810</v>
      </c>
      <c r="I38" s="148">
        <v>8954</v>
      </c>
      <c r="J38" s="148">
        <v>5293</v>
      </c>
      <c r="K38" s="148">
        <v>14247</v>
      </c>
      <c r="L38" s="148">
        <v>389</v>
      </c>
      <c r="M38" s="148">
        <v>364</v>
      </c>
      <c r="N38" s="148">
        <v>753</v>
      </c>
      <c r="O38" s="148">
        <v>508</v>
      </c>
      <c r="P38" s="148">
        <v>310</v>
      </c>
      <c r="Q38" s="148">
        <v>818</v>
      </c>
      <c r="R38" s="148">
        <v>182</v>
      </c>
      <c r="S38" s="148">
        <v>85</v>
      </c>
      <c r="T38" s="148">
        <v>267</v>
      </c>
      <c r="U38" s="148">
        <v>16959</v>
      </c>
      <c r="V38" s="148">
        <v>8357</v>
      </c>
      <c r="W38" s="148">
        <v>25316</v>
      </c>
    </row>
    <row r="39" spans="1:23" ht="24.75" customHeight="1">
      <c r="A39" s="467">
        <v>35</v>
      </c>
      <c r="B39" s="847" t="s">
        <v>46</v>
      </c>
      <c r="C39" s="148">
        <v>1012</v>
      </c>
      <c r="D39" s="148">
        <v>352</v>
      </c>
      <c r="E39" s="148">
        <v>1364</v>
      </c>
      <c r="F39" s="148">
        <v>758</v>
      </c>
      <c r="G39" s="148">
        <v>343</v>
      </c>
      <c r="H39" s="148">
        <v>1101</v>
      </c>
      <c r="I39" s="148">
        <v>2567</v>
      </c>
      <c r="J39" s="148">
        <v>1571</v>
      </c>
      <c r="K39" s="148">
        <v>4138</v>
      </c>
      <c r="L39" s="148">
        <v>97</v>
      </c>
      <c r="M39" s="148">
        <v>211</v>
      </c>
      <c r="N39" s="148">
        <v>308</v>
      </c>
      <c r="O39" s="148">
        <v>289</v>
      </c>
      <c r="P39" s="148">
        <v>186</v>
      </c>
      <c r="Q39" s="148">
        <v>475</v>
      </c>
      <c r="R39" s="148">
        <v>26</v>
      </c>
      <c r="S39" s="148">
        <v>11</v>
      </c>
      <c r="T39" s="148">
        <v>37</v>
      </c>
      <c r="U39" s="148">
        <v>4749</v>
      </c>
      <c r="V39" s="148">
        <v>2674</v>
      </c>
      <c r="W39" s="148">
        <v>7423</v>
      </c>
    </row>
    <row r="40" spans="1:23" ht="24.75" customHeight="1">
      <c r="A40" s="467">
        <v>36</v>
      </c>
      <c r="B40" s="847" t="s">
        <v>48</v>
      </c>
      <c r="C40" s="148">
        <v>1939</v>
      </c>
      <c r="D40" s="148">
        <v>407</v>
      </c>
      <c r="E40" s="148">
        <v>2346</v>
      </c>
      <c r="F40" s="148">
        <v>1074</v>
      </c>
      <c r="G40" s="148">
        <v>317</v>
      </c>
      <c r="H40" s="148">
        <v>1391</v>
      </c>
      <c r="I40" s="148">
        <v>3033</v>
      </c>
      <c r="J40" s="148">
        <v>1583</v>
      </c>
      <c r="K40" s="148">
        <v>4616</v>
      </c>
      <c r="L40" s="148">
        <v>67</v>
      </c>
      <c r="M40" s="148">
        <v>70</v>
      </c>
      <c r="N40" s="148">
        <v>137</v>
      </c>
      <c r="O40" s="148">
        <v>305</v>
      </c>
      <c r="P40" s="148">
        <v>142</v>
      </c>
      <c r="Q40" s="148">
        <v>447</v>
      </c>
      <c r="R40" s="148">
        <v>116</v>
      </c>
      <c r="S40" s="148">
        <v>45</v>
      </c>
      <c r="T40" s="148">
        <v>161</v>
      </c>
      <c r="U40" s="148">
        <v>6534</v>
      </c>
      <c r="V40" s="148">
        <v>2564</v>
      </c>
      <c r="W40" s="148">
        <v>9098</v>
      </c>
    </row>
    <row r="41" spans="1:23" s="170" customFormat="1" ht="24.75" customHeight="1">
      <c r="A41" s="1106" t="s">
        <v>49</v>
      </c>
      <c r="B41" s="1106"/>
      <c r="C41" s="163">
        <v>32858</v>
      </c>
      <c r="D41" s="163">
        <v>11565</v>
      </c>
      <c r="E41" s="163">
        <v>44423</v>
      </c>
      <c r="F41" s="163">
        <v>24427</v>
      </c>
      <c r="G41" s="163">
        <v>11977</v>
      </c>
      <c r="H41" s="163">
        <v>36404</v>
      </c>
      <c r="I41" s="163">
        <v>85146</v>
      </c>
      <c r="J41" s="163">
        <v>61573</v>
      </c>
      <c r="K41" s="163">
        <v>146719</v>
      </c>
      <c r="L41" s="163">
        <v>4038</v>
      </c>
      <c r="M41" s="163">
        <v>4968</v>
      </c>
      <c r="N41" s="163">
        <v>9006</v>
      </c>
      <c r="O41" s="163">
        <v>5607</v>
      </c>
      <c r="P41" s="163">
        <v>4574</v>
      </c>
      <c r="Q41" s="163">
        <v>10181</v>
      </c>
      <c r="R41" s="163">
        <v>2133</v>
      </c>
      <c r="S41" s="163">
        <v>1426</v>
      </c>
      <c r="T41" s="163">
        <v>3559</v>
      </c>
      <c r="U41" s="163">
        <v>154209</v>
      </c>
      <c r="V41" s="163">
        <v>96083</v>
      </c>
      <c r="W41" s="163">
        <v>250292</v>
      </c>
    </row>
  </sheetData>
  <mergeCells count="12">
    <mergeCell ref="A41:B41"/>
    <mergeCell ref="C1:K1"/>
    <mergeCell ref="L1:W1"/>
    <mergeCell ref="A2:A3"/>
    <mergeCell ref="B2:B3"/>
    <mergeCell ref="C2:E2"/>
    <mergeCell ref="F2:H2"/>
    <mergeCell ref="I2:K2"/>
    <mergeCell ref="L2:N2"/>
    <mergeCell ref="O2:Q2"/>
    <mergeCell ref="U2:W2"/>
    <mergeCell ref="R2:T2"/>
  </mergeCells>
  <printOptions horizontalCentered="1"/>
  <pageMargins left="0.39370078740157483" right="0.21" top="0.39370078740157483" bottom="0.51181102362204722" header="0.27559055118110237" footer="0.23622047244094491"/>
  <pageSetup paperSize="9" scale="76" firstPageNumber="2" pageOrder="overThenDown" orientation="portrait" useFirstPageNumber="1" r:id="rId1"/>
  <headerFooter alignWithMargins="0">
    <oddFooter>&amp;LAISHE 2021-22&amp;CT-22b</oddFooter>
  </headerFooter>
  <colBreaks count="1" manualBreakCount="1">
    <brk id="11" max="39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Q44"/>
  <sheetViews>
    <sheetView view="pageBreakPreview" zoomScaleSheetLayoutView="100" workbookViewId="0">
      <selection activeCell="F15" sqref="F15"/>
    </sheetView>
  </sheetViews>
  <sheetFormatPr defaultColWidth="9.28515625" defaultRowHeight="15"/>
  <cols>
    <col min="1" max="1" width="5.7109375" style="455" bestFit="1" customWidth="1"/>
    <col min="2" max="2" width="24.42578125" style="211" customWidth="1"/>
    <col min="3" max="11" width="10.42578125" style="211" customWidth="1"/>
    <col min="12" max="17" width="14.28515625" style="211" customWidth="1"/>
    <col min="18" max="16384" width="9.28515625" style="211"/>
  </cols>
  <sheetData>
    <row r="1" spans="1:17" s="79" customFormat="1" ht="33.75" customHeight="1">
      <c r="B1" s="80" t="s">
        <v>219</v>
      </c>
      <c r="C1" s="991" t="s">
        <v>1095</v>
      </c>
      <c r="D1" s="977"/>
      <c r="E1" s="977"/>
      <c r="F1" s="977"/>
      <c r="G1" s="977"/>
      <c r="H1" s="977"/>
      <c r="I1" s="977"/>
      <c r="J1" s="977"/>
      <c r="K1" s="977"/>
      <c r="L1" s="991" t="str">
        <f>C1</f>
        <v>States/UTs &amp; Post-Wise Number of  Non-Teaching staff
(Based on Actual Response)</v>
      </c>
      <c r="M1" s="977"/>
      <c r="N1" s="977"/>
      <c r="O1" s="977"/>
      <c r="P1" s="977"/>
      <c r="Q1" s="977"/>
    </row>
    <row r="2" spans="1:17" s="462" customFormat="1" ht="31.5" customHeight="1">
      <c r="A2" s="1110" t="s">
        <v>988</v>
      </c>
      <c r="B2" s="1114" t="s">
        <v>168</v>
      </c>
      <c r="C2" s="1115" t="s">
        <v>220</v>
      </c>
      <c r="D2" s="1115"/>
      <c r="E2" s="1115"/>
      <c r="F2" s="1115" t="s">
        <v>221</v>
      </c>
      <c r="G2" s="1116"/>
      <c r="H2" s="1116"/>
      <c r="I2" s="1115" t="s">
        <v>222</v>
      </c>
      <c r="J2" s="1116"/>
      <c r="K2" s="1116"/>
      <c r="L2" s="1115" t="s">
        <v>223</v>
      </c>
      <c r="M2" s="1116"/>
      <c r="N2" s="1116"/>
      <c r="O2" s="1117" t="s">
        <v>60</v>
      </c>
      <c r="P2" s="1118"/>
      <c r="Q2" s="1119"/>
    </row>
    <row r="3" spans="1:17" s="462" customFormat="1" ht="19.5" customHeight="1">
      <c r="A3" s="1111"/>
      <c r="B3" s="1114"/>
      <c r="C3" s="428" t="s">
        <v>87</v>
      </c>
      <c r="D3" s="428" t="s">
        <v>88</v>
      </c>
      <c r="E3" s="428" t="s">
        <v>12</v>
      </c>
      <c r="F3" s="428" t="s">
        <v>87</v>
      </c>
      <c r="G3" s="428" t="s">
        <v>88</v>
      </c>
      <c r="H3" s="428" t="s">
        <v>12</v>
      </c>
      <c r="I3" s="428" t="s">
        <v>87</v>
      </c>
      <c r="J3" s="428" t="s">
        <v>88</v>
      </c>
      <c r="K3" s="428" t="s">
        <v>12</v>
      </c>
      <c r="L3" s="428" t="s">
        <v>87</v>
      </c>
      <c r="M3" s="428" t="s">
        <v>88</v>
      </c>
      <c r="N3" s="428" t="s">
        <v>12</v>
      </c>
      <c r="O3" s="428" t="s">
        <v>87</v>
      </c>
      <c r="P3" s="428" t="s">
        <v>88</v>
      </c>
      <c r="Q3" s="428" t="s">
        <v>12</v>
      </c>
    </row>
    <row r="4" spans="1:17" s="207" customFormat="1">
      <c r="A4" s="456">
        <v>1</v>
      </c>
      <c r="B4" s="461">
        <v>2</v>
      </c>
      <c r="C4" s="456">
        <v>3</v>
      </c>
      <c r="D4" s="461">
        <v>4</v>
      </c>
      <c r="E4" s="456">
        <v>5</v>
      </c>
      <c r="F4" s="461">
        <v>6</v>
      </c>
      <c r="G4" s="456">
        <v>7</v>
      </c>
      <c r="H4" s="461">
        <v>8</v>
      </c>
      <c r="I4" s="456">
        <v>9</v>
      </c>
      <c r="J4" s="461">
        <v>10</v>
      </c>
      <c r="K4" s="456">
        <v>11</v>
      </c>
      <c r="L4" s="461">
        <v>12</v>
      </c>
      <c r="M4" s="456">
        <v>13</v>
      </c>
      <c r="N4" s="461">
        <v>14</v>
      </c>
      <c r="O4" s="456">
        <v>15</v>
      </c>
      <c r="P4" s="461">
        <v>16</v>
      </c>
      <c r="Q4" s="456">
        <v>17</v>
      </c>
    </row>
    <row r="5" spans="1:17" ht="23.25" customHeight="1">
      <c r="A5" s="456">
        <v>1</v>
      </c>
      <c r="B5" s="208" t="s">
        <v>1061</v>
      </c>
      <c r="C5" s="209">
        <v>5</v>
      </c>
      <c r="D5" s="209">
        <v>8</v>
      </c>
      <c r="E5" s="210">
        <v>13</v>
      </c>
      <c r="F5" s="209">
        <v>74</v>
      </c>
      <c r="G5" s="209">
        <v>73</v>
      </c>
      <c r="H5" s="210">
        <v>147</v>
      </c>
      <c r="I5" s="209">
        <v>101</v>
      </c>
      <c r="J5" s="209">
        <v>55</v>
      </c>
      <c r="K5" s="210">
        <v>156</v>
      </c>
      <c r="L5" s="209">
        <v>35</v>
      </c>
      <c r="M5" s="209">
        <v>15</v>
      </c>
      <c r="N5" s="210">
        <v>50</v>
      </c>
      <c r="O5" s="209">
        <v>215</v>
      </c>
      <c r="P5" s="209">
        <v>151</v>
      </c>
      <c r="Q5" s="209">
        <v>366</v>
      </c>
    </row>
    <row r="6" spans="1:17" ht="23.25" customHeight="1">
      <c r="A6" s="453">
        <v>2</v>
      </c>
      <c r="B6" s="208" t="s">
        <v>15</v>
      </c>
      <c r="C6" s="209">
        <v>7121</v>
      </c>
      <c r="D6" s="209">
        <v>8081</v>
      </c>
      <c r="E6" s="210">
        <v>15202</v>
      </c>
      <c r="F6" s="209">
        <v>6781</v>
      </c>
      <c r="G6" s="209">
        <v>6881</v>
      </c>
      <c r="H6" s="210">
        <v>13662</v>
      </c>
      <c r="I6" s="209">
        <v>10119</v>
      </c>
      <c r="J6" s="209">
        <v>8555</v>
      </c>
      <c r="K6" s="210">
        <v>18674</v>
      </c>
      <c r="L6" s="209">
        <v>7532</v>
      </c>
      <c r="M6" s="209">
        <v>9365</v>
      </c>
      <c r="N6" s="210">
        <v>16897</v>
      </c>
      <c r="O6" s="209">
        <v>31553</v>
      </c>
      <c r="P6" s="209">
        <v>32882</v>
      </c>
      <c r="Q6" s="209">
        <v>64435</v>
      </c>
    </row>
    <row r="7" spans="1:17" ht="23.25" customHeight="1">
      <c r="A7" s="456">
        <v>3</v>
      </c>
      <c r="B7" s="208" t="s">
        <v>16</v>
      </c>
      <c r="C7" s="209">
        <v>129</v>
      </c>
      <c r="D7" s="209">
        <v>111</v>
      </c>
      <c r="E7" s="210">
        <v>240</v>
      </c>
      <c r="F7" s="209">
        <v>146</v>
      </c>
      <c r="G7" s="209">
        <v>201</v>
      </c>
      <c r="H7" s="210">
        <v>347</v>
      </c>
      <c r="I7" s="209">
        <v>682</v>
      </c>
      <c r="J7" s="209">
        <v>470</v>
      </c>
      <c r="K7" s="210">
        <v>1152</v>
      </c>
      <c r="L7" s="209">
        <v>274</v>
      </c>
      <c r="M7" s="209">
        <v>225</v>
      </c>
      <c r="N7" s="210">
        <v>499</v>
      </c>
      <c r="O7" s="209">
        <v>1231</v>
      </c>
      <c r="P7" s="209">
        <v>1007</v>
      </c>
      <c r="Q7" s="209">
        <v>2238</v>
      </c>
    </row>
    <row r="8" spans="1:17" ht="23.25" customHeight="1">
      <c r="A8" s="453">
        <v>4</v>
      </c>
      <c r="B8" s="208" t="s">
        <v>17</v>
      </c>
      <c r="C8" s="209">
        <v>726</v>
      </c>
      <c r="D8" s="209">
        <v>318</v>
      </c>
      <c r="E8" s="210">
        <v>1044</v>
      </c>
      <c r="F8" s="209">
        <v>975</v>
      </c>
      <c r="G8" s="209">
        <v>570</v>
      </c>
      <c r="H8" s="210">
        <v>1545</v>
      </c>
      <c r="I8" s="209">
        <v>4299</v>
      </c>
      <c r="J8" s="209">
        <v>1631</v>
      </c>
      <c r="K8" s="210">
        <v>5930</v>
      </c>
      <c r="L8" s="209">
        <v>5188</v>
      </c>
      <c r="M8" s="209">
        <v>1769</v>
      </c>
      <c r="N8" s="210">
        <v>6957</v>
      </c>
      <c r="O8" s="209">
        <v>11188</v>
      </c>
      <c r="P8" s="209">
        <v>4288</v>
      </c>
      <c r="Q8" s="209">
        <v>15476</v>
      </c>
    </row>
    <row r="9" spans="1:17" ht="23.25" customHeight="1">
      <c r="A9" s="456">
        <v>5</v>
      </c>
      <c r="B9" s="208" t="s">
        <v>18</v>
      </c>
      <c r="C9" s="209">
        <v>1279</v>
      </c>
      <c r="D9" s="209">
        <v>968</v>
      </c>
      <c r="E9" s="210">
        <v>2247</v>
      </c>
      <c r="F9" s="209">
        <v>2351</v>
      </c>
      <c r="G9" s="209">
        <v>1271</v>
      </c>
      <c r="H9" s="210">
        <v>3622</v>
      </c>
      <c r="I9" s="209">
        <v>10710</v>
      </c>
      <c r="J9" s="209">
        <v>4016</v>
      </c>
      <c r="K9" s="210">
        <v>14726</v>
      </c>
      <c r="L9" s="209">
        <v>8200</v>
      </c>
      <c r="M9" s="209">
        <v>2751</v>
      </c>
      <c r="N9" s="210">
        <v>10951</v>
      </c>
      <c r="O9" s="209">
        <v>22540</v>
      </c>
      <c r="P9" s="209">
        <v>9006</v>
      </c>
      <c r="Q9" s="209">
        <v>31546</v>
      </c>
    </row>
    <row r="10" spans="1:17" ht="23.25" customHeight="1">
      <c r="A10" s="453">
        <v>6</v>
      </c>
      <c r="B10" s="208" t="s">
        <v>19</v>
      </c>
      <c r="C10" s="209">
        <v>390</v>
      </c>
      <c r="D10" s="209">
        <v>213</v>
      </c>
      <c r="E10" s="210">
        <v>603</v>
      </c>
      <c r="F10" s="209">
        <v>1278</v>
      </c>
      <c r="G10" s="209">
        <v>930</v>
      </c>
      <c r="H10" s="210">
        <v>2208</v>
      </c>
      <c r="I10" s="209">
        <v>2419</v>
      </c>
      <c r="J10" s="209">
        <v>1156</v>
      </c>
      <c r="K10" s="210">
        <v>3575</v>
      </c>
      <c r="L10" s="209">
        <v>457</v>
      </c>
      <c r="M10" s="209">
        <v>89</v>
      </c>
      <c r="N10" s="210">
        <v>546</v>
      </c>
      <c r="O10" s="209">
        <v>4544</v>
      </c>
      <c r="P10" s="209">
        <v>2388</v>
      </c>
      <c r="Q10" s="209">
        <v>6932</v>
      </c>
    </row>
    <row r="11" spans="1:17" ht="23.25" customHeight="1">
      <c r="A11" s="456">
        <v>7</v>
      </c>
      <c r="B11" s="208" t="s">
        <v>20</v>
      </c>
      <c r="C11" s="209">
        <v>1219</v>
      </c>
      <c r="D11" s="209">
        <v>1372</v>
      </c>
      <c r="E11" s="210">
        <v>2591</v>
      </c>
      <c r="F11" s="209">
        <v>2521</v>
      </c>
      <c r="G11" s="209">
        <v>1485</v>
      </c>
      <c r="H11" s="210">
        <v>4006</v>
      </c>
      <c r="I11" s="209">
        <v>4539</v>
      </c>
      <c r="J11" s="209">
        <v>3057</v>
      </c>
      <c r="K11" s="210">
        <v>7596</v>
      </c>
      <c r="L11" s="209">
        <v>2563</v>
      </c>
      <c r="M11" s="209">
        <v>2030</v>
      </c>
      <c r="N11" s="210">
        <v>4593</v>
      </c>
      <c r="O11" s="209">
        <v>10842</v>
      </c>
      <c r="P11" s="209">
        <v>7944</v>
      </c>
      <c r="Q11" s="209">
        <v>18786</v>
      </c>
    </row>
    <row r="12" spans="1:17" ht="23.25" customHeight="1">
      <c r="A12" s="453">
        <v>8</v>
      </c>
      <c r="B12" s="208" t="s">
        <v>23</v>
      </c>
      <c r="C12" s="209">
        <v>1157</v>
      </c>
      <c r="D12" s="209">
        <v>722</v>
      </c>
      <c r="E12" s="210">
        <v>1879</v>
      </c>
      <c r="F12" s="209">
        <v>4665</v>
      </c>
      <c r="G12" s="209">
        <v>4940</v>
      </c>
      <c r="H12" s="210">
        <v>9605</v>
      </c>
      <c r="I12" s="209">
        <v>11716</v>
      </c>
      <c r="J12" s="209">
        <v>3119</v>
      </c>
      <c r="K12" s="210">
        <v>14835</v>
      </c>
      <c r="L12" s="209">
        <v>1494</v>
      </c>
      <c r="M12" s="209">
        <v>851</v>
      </c>
      <c r="N12" s="210">
        <v>2345</v>
      </c>
      <c r="O12" s="209">
        <v>19032</v>
      </c>
      <c r="P12" s="209">
        <v>9632</v>
      </c>
      <c r="Q12" s="209">
        <v>28664</v>
      </c>
    </row>
    <row r="13" spans="1:17" ht="23.25" customHeight="1">
      <c r="A13" s="456">
        <v>9</v>
      </c>
      <c r="B13" s="208" t="s">
        <v>24</v>
      </c>
      <c r="C13" s="209">
        <v>132</v>
      </c>
      <c r="D13" s="209">
        <v>87</v>
      </c>
      <c r="E13" s="210">
        <v>219</v>
      </c>
      <c r="F13" s="209">
        <v>112</v>
      </c>
      <c r="G13" s="209">
        <v>102</v>
      </c>
      <c r="H13" s="210">
        <v>214</v>
      </c>
      <c r="I13" s="209">
        <v>2013</v>
      </c>
      <c r="J13" s="209">
        <v>2541</v>
      </c>
      <c r="K13" s="210">
        <v>4554</v>
      </c>
      <c r="L13" s="209">
        <v>44</v>
      </c>
      <c r="M13" s="209">
        <v>64</v>
      </c>
      <c r="N13" s="210">
        <v>108</v>
      </c>
      <c r="O13" s="209">
        <v>2301</v>
      </c>
      <c r="P13" s="209">
        <v>2794</v>
      </c>
      <c r="Q13" s="209">
        <v>5095</v>
      </c>
    </row>
    <row r="14" spans="1:17" ht="23.25" customHeight="1">
      <c r="A14" s="453">
        <v>10</v>
      </c>
      <c r="B14" s="208" t="s">
        <v>25</v>
      </c>
      <c r="C14" s="209">
        <v>3067</v>
      </c>
      <c r="D14" s="209">
        <v>2412</v>
      </c>
      <c r="E14" s="210">
        <v>5479</v>
      </c>
      <c r="F14" s="209">
        <v>4023</v>
      </c>
      <c r="G14" s="209">
        <v>3256</v>
      </c>
      <c r="H14" s="210">
        <v>7279</v>
      </c>
      <c r="I14" s="209">
        <v>8673</v>
      </c>
      <c r="J14" s="209">
        <v>5560</v>
      </c>
      <c r="K14" s="210">
        <v>14233</v>
      </c>
      <c r="L14" s="209">
        <v>7155</v>
      </c>
      <c r="M14" s="209">
        <v>4101</v>
      </c>
      <c r="N14" s="210">
        <v>11256</v>
      </c>
      <c r="O14" s="209">
        <v>22918</v>
      </c>
      <c r="P14" s="209">
        <v>15329</v>
      </c>
      <c r="Q14" s="209">
        <v>38247</v>
      </c>
    </row>
    <row r="15" spans="1:17" ht="23.25" customHeight="1">
      <c r="A15" s="456">
        <v>11</v>
      </c>
      <c r="B15" s="208" t="s">
        <v>26</v>
      </c>
      <c r="C15" s="209">
        <v>1223</v>
      </c>
      <c r="D15" s="209">
        <v>837</v>
      </c>
      <c r="E15" s="210">
        <v>2060</v>
      </c>
      <c r="F15" s="209">
        <v>2258</v>
      </c>
      <c r="G15" s="209">
        <v>1674</v>
      </c>
      <c r="H15" s="210">
        <v>3932</v>
      </c>
      <c r="I15" s="209">
        <v>12659</v>
      </c>
      <c r="J15" s="209">
        <v>6740</v>
      </c>
      <c r="K15" s="210">
        <v>19399</v>
      </c>
      <c r="L15" s="209">
        <v>7250</v>
      </c>
      <c r="M15" s="209">
        <v>3473</v>
      </c>
      <c r="N15" s="210">
        <v>10723</v>
      </c>
      <c r="O15" s="209">
        <v>23390</v>
      </c>
      <c r="P15" s="209">
        <v>12724</v>
      </c>
      <c r="Q15" s="209">
        <v>36114</v>
      </c>
    </row>
    <row r="16" spans="1:17" ht="23.25" customHeight="1">
      <c r="A16" s="453">
        <v>12</v>
      </c>
      <c r="B16" s="208" t="s">
        <v>27</v>
      </c>
      <c r="C16" s="209">
        <v>617</v>
      </c>
      <c r="D16" s="209">
        <v>576</v>
      </c>
      <c r="E16" s="210">
        <v>1193</v>
      </c>
      <c r="F16" s="209">
        <v>1314</v>
      </c>
      <c r="G16" s="209">
        <v>808</v>
      </c>
      <c r="H16" s="210">
        <v>2122</v>
      </c>
      <c r="I16" s="209">
        <v>3010</v>
      </c>
      <c r="J16" s="209">
        <v>2444</v>
      </c>
      <c r="K16" s="210">
        <v>5454</v>
      </c>
      <c r="L16" s="209">
        <v>2147</v>
      </c>
      <c r="M16" s="209">
        <v>1241</v>
      </c>
      <c r="N16" s="210">
        <v>3388</v>
      </c>
      <c r="O16" s="209">
        <v>7088</v>
      </c>
      <c r="P16" s="209">
        <v>5069</v>
      </c>
      <c r="Q16" s="209">
        <v>12157</v>
      </c>
    </row>
    <row r="17" spans="1:17" ht="23.25" customHeight="1">
      <c r="A17" s="456">
        <v>13</v>
      </c>
      <c r="B17" s="208" t="s">
        <v>57</v>
      </c>
      <c r="C17" s="209">
        <v>1131</v>
      </c>
      <c r="D17" s="209">
        <v>874</v>
      </c>
      <c r="E17" s="210">
        <v>2005</v>
      </c>
      <c r="F17" s="209">
        <v>1979</v>
      </c>
      <c r="G17" s="209">
        <v>1321</v>
      </c>
      <c r="H17" s="210">
        <v>3300</v>
      </c>
      <c r="I17" s="209">
        <v>3103</v>
      </c>
      <c r="J17" s="209">
        <v>1527</v>
      </c>
      <c r="K17" s="210">
        <v>4630</v>
      </c>
      <c r="L17" s="209">
        <v>3915</v>
      </c>
      <c r="M17" s="209">
        <v>1596</v>
      </c>
      <c r="N17" s="210">
        <v>5511</v>
      </c>
      <c r="O17" s="209">
        <v>10128</v>
      </c>
      <c r="P17" s="209">
        <v>5318</v>
      </c>
      <c r="Q17" s="209">
        <v>15446</v>
      </c>
    </row>
    <row r="18" spans="1:17" ht="23.25" customHeight="1">
      <c r="A18" s="453">
        <v>14</v>
      </c>
      <c r="B18" s="208" t="s">
        <v>29</v>
      </c>
      <c r="C18" s="209">
        <v>482</v>
      </c>
      <c r="D18" s="209">
        <v>478</v>
      </c>
      <c r="E18" s="210">
        <v>960</v>
      </c>
      <c r="F18" s="209">
        <v>1030</v>
      </c>
      <c r="G18" s="209">
        <v>1449</v>
      </c>
      <c r="H18" s="210">
        <v>2479</v>
      </c>
      <c r="I18" s="209">
        <v>3598</v>
      </c>
      <c r="J18" s="209">
        <v>1364</v>
      </c>
      <c r="K18" s="210">
        <v>4962</v>
      </c>
      <c r="L18" s="209">
        <v>2703</v>
      </c>
      <c r="M18" s="209">
        <v>1417</v>
      </c>
      <c r="N18" s="210">
        <v>4120</v>
      </c>
      <c r="O18" s="209">
        <v>7813</v>
      </c>
      <c r="P18" s="209">
        <v>4708</v>
      </c>
      <c r="Q18" s="209">
        <v>12521</v>
      </c>
    </row>
    <row r="19" spans="1:17" ht="23.25" customHeight="1">
      <c r="A19" s="456">
        <v>15</v>
      </c>
      <c r="B19" s="208" t="s">
        <v>30</v>
      </c>
      <c r="C19" s="209">
        <v>6233</v>
      </c>
      <c r="D19" s="209">
        <v>7370</v>
      </c>
      <c r="E19" s="210">
        <v>13603</v>
      </c>
      <c r="F19" s="209">
        <v>8629</v>
      </c>
      <c r="G19" s="209">
        <v>10792</v>
      </c>
      <c r="H19" s="210">
        <v>19421</v>
      </c>
      <c r="I19" s="209">
        <v>26830</v>
      </c>
      <c r="J19" s="209">
        <v>26723</v>
      </c>
      <c r="K19" s="210">
        <v>53553</v>
      </c>
      <c r="L19" s="209">
        <v>18648</v>
      </c>
      <c r="M19" s="209">
        <v>19912</v>
      </c>
      <c r="N19" s="210">
        <v>38560</v>
      </c>
      <c r="O19" s="209">
        <v>60340</v>
      </c>
      <c r="P19" s="209">
        <v>64797</v>
      </c>
      <c r="Q19" s="209">
        <v>125137</v>
      </c>
    </row>
    <row r="20" spans="1:17" ht="23.25" customHeight="1">
      <c r="A20" s="453">
        <v>16</v>
      </c>
      <c r="B20" s="208" t="s">
        <v>31</v>
      </c>
      <c r="C20" s="209">
        <v>3753</v>
      </c>
      <c r="D20" s="209">
        <v>9467</v>
      </c>
      <c r="E20" s="210">
        <v>13220</v>
      </c>
      <c r="F20" s="209">
        <v>3632</v>
      </c>
      <c r="G20" s="209">
        <v>5991</v>
      </c>
      <c r="H20" s="210">
        <v>9623</v>
      </c>
      <c r="I20" s="209">
        <v>6947</v>
      </c>
      <c r="J20" s="209">
        <v>9499</v>
      </c>
      <c r="K20" s="210">
        <v>16446</v>
      </c>
      <c r="L20" s="209">
        <v>3099</v>
      </c>
      <c r="M20" s="209">
        <v>4688</v>
      </c>
      <c r="N20" s="210">
        <v>7787</v>
      </c>
      <c r="O20" s="209">
        <v>17431</v>
      </c>
      <c r="P20" s="209">
        <v>29645</v>
      </c>
      <c r="Q20" s="209">
        <v>47076</v>
      </c>
    </row>
    <row r="21" spans="1:17" ht="23.25" customHeight="1">
      <c r="A21" s="456">
        <v>17</v>
      </c>
      <c r="B21" s="208" t="s">
        <v>154</v>
      </c>
      <c r="C21" s="209">
        <v>9</v>
      </c>
      <c r="D21" s="209">
        <v>7</v>
      </c>
      <c r="E21" s="210">
        <v>16</v>
      </c>
      <c r="F21" s="209">
        <v>10</v>
      </c>
      <c r="G21" s="209">
        <v>5</v>
      </c>
      <c r="H21" s="210">
        <v>15</v>
      </c>
      <c r="I21" s="209">
        <v>73</v>
      </c>
      <c r="J21" s="209">
        <v>83</v>
      </c>
      <c r="K21" s="210">
        <v>156</v>
      </c>
      <c r="L21" s="209">
        <v>13</v>
      </c>
      <c r="M21" s="209">
        <v>13</v>
      </c>
      <c r="N21" s="210">
        <v>26</v>
      </c>
      <c r="O21" s="209">
        <v>105</v>
      </c>
      <c r="P21" s="209">
        <v>108</v>
      </c>
      <c r="Q21" s="209">
        <v>213</v>
      </c>
    </row>
    <row r="22" spans="1:17" ht="23.25" customHeight="1">
      <c r="A22" s="453">
        <v>18</v>
      </c>
      <c r="B22" s="208" t="s">
        <v>32</v>
      </c>
      <c r="C22" s="209">
        <v>0</v>
      </c>
      <c r="D22" s="209">
        <v>0</v>
      </c>
      <c r="E22" s="210">
        <v>0</v>
      </c>
      <c r="F22" s="209">
        <v>0</v>
      </c>
      <c r="G22" s="209">
        <v>0</v>
      </c>
      <c r="H22" s="210">
        <v>0</v>
      </c>
      <c r="I22" s="209">
        <v>3</v>
      </c>
      <c r="J22" s="209">
        <v>0</v>
      </c>
      <c r="K22" s="210">
        <v>3</v>
      </c>
      <c r="L22" s="209">
        <v>3</v>
      </c>
      <c r="M22" s="209">
        <v>1</v>
      </c>
      <c r="N22" s="210">
        <v>4</v>
      </c>
      <c r="O22" s="209">
        <v>6</v>
      </c>
      <c r="P22" s="209">
        <v>1</v>
      </c>
      <c r="Q22" s="209">
        <v>7</v>
      </c>
    </row>
    <row r="23" spans="1:17" ht="23.25" customHeight="1">
      <c r="A23" s="456">
        <v>19</v>
      </c>
      <c r="B23" s="208" t="s">
        <v>33</v>
      </c>
      <c r="C23" s="209">
        <v>3246</v>
      </c>
      <c r="D23" s="209">
        <v>3114</v>
      </c>
      <c r="E23" s="210">
        <v>6360</v>
      </c>
      <c r="F23" s="209">
        <v>5010</v>
      </c>
      <c r="G23" s="209">
        <v>4150</v>
      </c>
      <c r="H23" s="210">
        <v>9160</v>
      </c>
      <c r="I23" s="209">
        <v>16226</v>
      </c>
      <c r="J23" s="209">
        <v>10544</v>
      </c>
      <c r="K23" s="210">
        <v>26770</v>
      </c>
      <c r="L23" s="209">
        <v>9280</v>
      </c>
      <c r="M23" s="209">
        <v>4810</v>
      </c>
      <c r="N23" s="210">
        <v>14090</v>
      </c>
      <c r="O23" s="209">
        <v>33762</v>
      </c>
      <c r="P23" s="209">
        <v>22618</v>
      </c>
      <c r="Q23" s="209">
        <v>56380</v>
      </c>
    </row>
    <row r="24" spans="1:17" ht="23.25" customHeight="1">
      <c r="A24" s="453">
        <v>20</v>
      </c>
      <c r="B24" s="208" t="s">
        <v>34</v>
      </c>
      <c r="C24" s="209">
        <v>8511</v>
      </c>
      <c r="D24" s="209">
        <v>5504</v>
      </c>
      <c r="E24" s="210">
        <v>14015</v>
      </c>
      <c r="F24" s="209">
        <v>10821</v>
      </c>
      <c r="G24" s="209">
        <v>8554</v>
      </c>
      <c r="H24" s="210">
        <v>19375</v>
      </c>
      <c r="I24" s="209">
        <v>42835</v>
      </c>
      <c r="J24" s="209">
        <v>25724</v>
      </c>
      <c r="K24" s="210">
        <v>68559</v>
      </c>
      <c r="L24" s="209">
        <v>35532</v>
      </c>
      <c r="M24" s="209">
        <v>12285</v>
      </c>
      <c r="N24" s="210">
        <v>47817</v>
      </c>
      <c r="O24" s="209">
        <v>97699</v>
      </c>
      <c r="P24" s="209">
        <v>52067</v>
      </c>
      <c r="Q24" s="209">
        <v>149766</v>
      </c>
    </row>
    <row r="25" spans="1:17" ht="23.25" customHeight="1">
      <c r="A25" s="456">
        <v>21</v>
      </c>
      <c r="B25" s="208" t="s">
        <v>35</v>
      </c>
      <c r="C25" s="209">
        <v>186</v>
      </c>
      <c r="D25" s="209">
        <v>202</v>
      </c>
      <c r="E25" s="210">
        <v>388</v>
      </c>
      <c r="F25" s="209">
        <v>324</v>
      </c>
      <c r="G25" s="209">
        <v>668</v>
      </c>
      <c r="H25" s="210">
        <v>992</v>
      </c>
      <c r="I25" s="209">
        <v>995</v>
      </c>
      <c r="J25" s="209">
        <v>996</v>
      </c>
      <c r="K25" s="210">
        <v>1991</v>
      </c>
      <c r="L25" s="209">
        <v>886</v>
      </c>
      <c r="M25" s="209">
        <v>504</v>
      </c>
      <c r="N25" s="210">
        <v>1390</v>
      </c>
      <c r="O25" s="209">
        <v>2391</v>
      </c>
      <c r="P25" s="209">
        <v>2370</v>
      </c>
      <c r="Q25" s="209">
        <v>4761</v>
      </c>
    </row>
    <row r="26" spans="1:17" ht="23.25" customHeight="1">
      <c r="A26" s="453">
        <v>22</v>
      </c>
      <c r="B26" s="208" t="s">
        <v>36</v>
      </c>
      <c r="C26" s="209">
        <v>165</v>
      </c>
      <c r="D26" s="209">
        <v>139</v>
      </c>
      <c r="E26" s="210">
        <v>304</v>
      </c>
      <c r="F26" s="209">
        <v>206</v>
      </c>
      <c r="G26" s="209">
        <v>306</v>
      </c>
      <c r="H26" s="210">
        <v>512</v>
      </c>
      <c r="I26" s="209">
        <v>291</v>
      </c>
      <c r="J26" s="209">
        <v>265</v>
      </c>
      <c r="K26" s="210">
        <v>556</v>
      </c>
      <c r="L26" s="209">
        <v>428</v>
      </c>
      <c r="M26" s="209">
        <v>389</v>
      </c>
      <c r="N26" s="210">
        <v>817</v>
      </c>
      <c r="O26" s="209">
        <v>1090</v>
      </c>
      <c r="P26" s="209">
        <v>1099</v>
      </c>
      <c r="Q26" s="209">
        <v>2189</v>
      </c>
    </row>
    <row r="27" spans="1:17" ht="23.25" customHeight="1">
      <c r="A27" s="456">
        <v>23</v>
      </c>
      <c r="B27" s="208" t="s">
        <v>37</v>
      </c>
      <c r="C27" s="209">
        <v>46</v>
      </c>
      <c r="D27" s="209">
        <v>33</v>
      </c>
      <c r="E27" s="210">
        <v>79</v>
      </c>
      <c r="F27" s="209">
        <v>130</v>
      </c>
      <c r="G27" s="209">
        <v>388</v>
      </c>
      <c r="H27" s="210">
        <v>518</v>
      </c>
      <c r="I27" s="209">
        <v>400</v>
      </c>
      <c r="J27" s="209">
        <v>305</v>
      </c>
      <c r="K27" s="210">
        <v>705</v>
      </c>
      <c r="L27" s="209">
        <v>265</v>
      </c>
      <c r="M27" s="209">
        <v>149</v>
      </c>
      <c r="N27" s="210">
        <v>414</v>
      </c>
      <c r="O27" s="209">
        <v>841</v>
      </c>
      <c r="P27" s="209">
        <v>875</v>
      </c>
      <c r="Q27" s="209">
        <v>1716</v>
      </c>
    </row>
    <row r="28" spans="1:17" ht="23.25" customHeight="1">
      <c r="A28" s="453">
        <v>24</v>
      </c>
      <c r="B28" s="208" t="s">
        <v>38</v>
      </c>
      <c r="C28" s="209">
        <v>143</v>
      </c>
      <c r="D28" s="209">
        <v>100</v>
      </c>
      <c r="E28" s="210">
        <v>243</v>
      </c>
      <c r="F28" s="209">
        <v>137</v>
      </c>
      <c r="G28" s="209">
        <v>157</v>
      </c>
      <c r="H28" s="210">
        <v>294</v>
      </c>
      <c r="I28" s="209">
        <v>462</v>
      </c>
      <c r="J28" s="209">
        <v>354</v>
      </c>
      <c r="K28" s="210">
        <v>816</v>
      </c>
      <c r="L28" s="209">
        <v>428</v>
      </c>
      <c r="M28" s="209">
        <v>338</v>
      </c>
      <c r="N28" s="210">
        <v>766</v>
      </c>
      <c r="O28" s="209">
        <v>1170</v>
      </c>
      <c r="P28" s="209">
        <v>949</v>
      </c>
      <c r="Q28" s="209">
        <v>2119</v>
      </c>
    </row>
    <row r="29" spans="1:17" ht="23.25" customHeight="1">
      <c r="A29" s="456">
        <v>25</v>
      </c>
      <c r="B29" s="208" t="s">
        <v>39</v>
      </c>
      <c r="C29" s="209">
        <v>1546</v>
      </c>
      <c r="D29" s="209">
        <v>830</v>
      </c>
      <c r="E29" s="210">
        <v>2376</v>
      </c>
      <c r="F29" s="209">
        <v>2485</v>
      </c>
      <c r="G29" s="209">
        <v>2393</v>
      </c>
      <c r="H29" s="210">
        <v>4878</v>
      </c>
      <c r="I29" s="209">
        <v>7496</v>
      </c>
      <c r="J29" s="209">
        <v>6603</v>
      </c>
      <c r="K29" s="210">
        <v>14099</v>
      </c>
      <c r="L29" s="209">
        <v>5214</v>
      </c>
      <c r="M29" s="209">
        <v>3704</v>
      </c>
      <c r="N29" s="210">
        <v>8918</v>
      </c>
      <c r="O29" s="209">
        <v>16741</v>
      </c>
      <c r="P29" s="209">
        <v>13530</v>
      </c>
      <c r="Q29" s="209">
        <v>30271</v>
      </c>
    </row>
    <row r="30" spans="1:17" ht="23.25" customHeight="1">
      <c r="A30" s="453">
        <v>26</v>
      </c>
      <c r="B30" s="208" t="s">
        <v>40</v>
      </c>
      <c r="C30" s="209">
        <v>419</v>
      </c>
      <c r="D30" s="209">
        <v>485</v>
      </c>
      <c r="E30" s="210">
        <v>904</v>
      </c>
      <c r="F30" s="209">
        <v>1251</v>
      </c>
      <c r="G30" s="209">
        <v>2861</v>
      </c>
      <c r="H30" s="210">
        <v>4112</v>
      </c>
      <c r="I30" s="209">
        <v>2294</v>
      </c>
      <c r="J30" s="209">
        <v>2914</v>
      </c>
      <c r="K30" s="210">
        <v>5208</v>
      </c>
      <c r="L30" s="209">
        <v>588</v>
      </c>
      <c r="M30" s="209">
        <v>929</v>
      </c>
      <c r="N30" s="210">
        <v>1517</v>
      </c>
      <c r="O30" s="209">
        <v>4552</v>
      </c>
      <c r="P30" s="209">
        <v>7189</v>
      </c>
      <c r="Q30" s="209">
        <v>11741</v>
      </c>
    </row>
    <row r="31" spans="1:17" ht="23.25" customHeight="1">
      <c r="A31" s="456">
        <v>27</v>
      </c>
      <c r="B31" s="208" t="s">
        <v>41</v>
      </c>
      <c r="C31" s="209">
        <v>2388</v>
      </c>
      <c r="D31" s="209">
        <v>2888</v>
      </c>
      <c r="E31" s="210">
        <v>5276</v>
      </c>
      <c r="F31" s="209">
        <v>6409</v>
      </c>
      <c r="G31" s="209">
        <v>6895</v>
      </c>
      <c r="H31" s="210">
        <v>13304</v>
      </c>
      <c r="I31" s="209">
        <v>8744</v>
      </c>
      <c r="J31" s="209">
        <v>5823</v>
      </c>
      <c r="K31" s="210">
        <v>14567</v>
      </c>
      <c r="L31" s="209">
        <v>9037</v>
      </c>
      <c r="M31" s="209">
        <v>5524</v>
      </c>
      <c r="N31" s="210">
        <v>14561</v>
      </c>
      <c r="O31" s="209">
        <v>26578</v>
      </c>
      <c r="P31" s="209">
        <v>21130</v>
      </c>
      <c r="Q31" s="209">
        <v>47708</v>
      </c>
    </row>
    <row r="32" spans="1:17" ht="23.25" customHeight="1">
      <c r="A32" s="453">
        <v>28</v>
      </c>
      <c r="B32" s="208" t="s">
        <v>42</v>
      </c>
      <c r="C32" s="209">
        <v>9695</v>
      </c>
      <c r="D32" s="209">
        <v>5530</v>
      </c>
      <c r="E32" s="210">
        <v>15225</v>
      </c>
      <c r="F32" s="209">
        <v>7146</v>
      </c>
      <c r="G32" s="209">
        <v>3368</v>
      </c>
      <c r="H32" s="210">
        <v>10514</v>
      </c>
      <c r="I32" s="209">
        <v>12985</v>
      </c>
      <c r="J32" s="209">
        <v>6243</v>
      </c>
      <c r="K32" s="210">
        <v>19228</v>
      </c>
      <c r="L32" s="209">
        <v>6826</v>
      </c>
      <c r="M32" s="209">
        <v>3777</v>
      </c>
      <c r="N32" s="210">
        <v>10603</v>
      </c>
      <c r="O32" s="209">
        <v>36652</v>
      </c>
      <c r="P32" s="209">
        <v>18918</v>
      </c>
      <c r="Q32" s="209">
        <v>55570</v>
      </c>
    </row>
    <row r="33" spans="1:17" ht="23.25" customHeight="1">
      <c r="A33" s="456">
        <v>29</v>
      </c>
      <c r="B33" s="208" t="s">
        <v>43</v>
      </c>
      <c r="C33" s="209">
        <v>130</v>
      </c>
      <c r="D33" s="209">
        <v>61</v>
      </c>
      <c r="E33" s="210">
        <v>191</v>
      </c>
      <c r="F33" s="209">
        <v>57</v>
      </c>
      <c r="G33" s="209">
        <v>51</v>
      </c>
      <c r="H33" s="210">
        <v>108</v>
      </c>
      <c r="I33" s="209">
        <v>222</v>
      </c>
      <c r="J33" s="209">
        <v>268</v>
      </c>
      <c r="K33" s="210">
        <v>490</v>
      </c>
      <c r="L33" s="209">
        <v>249</v>
      </c>
      <c r="M33" s="209">
        <v>162</v>
      </c>
      <c r="N33" s="210">
        <v>411</v>
      </c>
      <c r="O33" s="209">
        <v>658</v>
      </c>
      <c r="P33" s="209">
        <v>542</v>
      </c>
      <c r="Q33" s="209">
        <v>1200</v>
      </c>
    </row>
    <row r="34" spans="1:17" ht="23.25" customHeight="1">
      <c r="A34" s="453">
        <v>30</v>
      </c>
      <c r="B34" s="208" t="s">
        <v>44</v>
      </c>
      <c r="C34" s="209">
        <v>12497</v>
      </c>
      <c r="D34" s="209">
        <v>15547</v>
      </c>
      <c r="E34" s="210">
        <v>28044</v>
      </c>
      <c r="F34" s="209">
        <v>12268</v>
      </c>
      <c r="G34" s="209">
        <v>19282</v>
      </c>
      <c r="H34" s="210">
        <v>31550</v>
      </c>
      <c r="I34" s="209">
        <v>23269</v>
      </c>
      <c r="J34" s="209">
        <v>34219</v>
      </c>
      <c r="K34" s="210">
        <v>57488</v>
      </c>
      <c r="L34" s="209">
        <v>15604</v>
      </c>
      <c r="M34" s="209">
        <v>22022</v>
      </c>
      <c r="N34" s="210">
        <v>37626</v>
      </c>
      <c r="O34" s="209">
        <v>63638</v>
      </c>
      <c r="P34" s="209">
        <v>91070</v>
      </c>
      <c r="Q34" s="209">
        <v>154708</v>
      </c>
    </row>
    <row r="35" spans="1:17" ht="23.25" customHeight="1">
      <c r="A35" s="456">
        <v>31</v>
      </c>
      <c r="B35" s="208" t="s">
        <v>131</v>
      </c>
      <c r="C35" s="209">
        <v>5949</v>
      </c>
      <c r="D35" s="209">
        <v>6296</v>
      </c>
      <c r="E35" s="210">
        <v>12245</v>
      </c>
      <c r="F35" s="209">
        <v>4570</v>
      </c>
      <c r="G35" s="209">
        <v>4704</v>
      </c>
      <c r="H35" s="210">
        <v>9274</v>
      </c>
      <c r="I35" s="209">
        <v>7658</v>
      </c>
      <c r="J35" s="209">
        <v>7069</v>
      </c>
      <c r="K35" s="210">
        <v>14727</v>
      </c>
      <c r="L35" s="209">
        <v>6558</v>
      </c>
      <c r="M35" s="209">
        <v>8698</v>
      </c>
      <c r="N35" s="210">
        <v>15256</v>
      </c>
      <c r="O35" s="209">
        <v>24735</v>
      </c>
      <c r="P35" s="209">
        <v>26767</v>
      </c>
      <c r="Q35" s="209">
        <v>51502</v>
      </c>
    </row>
    <row r="36" spans="1:17" ht="28.5">
      <c r="A36" s="453">
        <v>32</v>
      </c>
      <c r="B36" s="208" t="s">
        <v>1062</v>
      </c>
      <c r="C36" s="209">
        <v>6</v>
      </c>
      <c r="D36" s="209">
        <v>41</v>
      </c>
      <c r="E36" s="210">
        <v>47</v>
      </c>
      <c r="F36" s="209">
        <v>10</v>
      </c>
      <c r="G36" s="209">
        <v>25</v>
      </c>
      <c r="H36" s="210">
        <v>35</v>
      </c>
      <c r="I36" s="209">
        <v>91</v>
      </c>
      <c r="J36" s="209">
        <v>87</v>
      </c>
      <c r="K36" s="210">
        <v>178</v>
      </c>
      <c r="L36" s="209">
        <v>39</v>
      </c>
      <c r="M36" s="209">
        <v>45</v>
      </c>
      <c r="N36" s="210">
        <v>84</v>
      </c>
      <c r="O36" s="209">
        <v>146</v>
      </c>
      <c r="P36" s="209">
        <v>198</v>
      </c>
      <c r="Q36" s="209">
        <v>344</v>
      </c>
    </row>
    <row r="37" spans="1:17" ht="23.25" customHeight="1">
      <c r="A37" s="456">
        <v>33</v>
      </c>
      <c r="B37" s="208" t="s">
        <v>45</v>
      </c>
      <c r="C37" s="209">
        <v>41</v>
      </c>
      <c r="D37" s="209">
        <v>28</v>
      </c>
      <c r="E37" s="210">
        <v>69</v>
      </c>
      <c r="F37" s="209">
        <v>150</v>
      </c>
      <c r="G37" s="209">
        <v>66</v>
      </c>
      <c r="H37" s="210">
        <v>216</v>
      </c>
      <c r="I37" s="209">
        <v>744</v>
      </c>
      <c r="J37" s="209">
        <v>1017</v>
      </c>
      <c r="K37" s="210">
        <v>1761</v>
      </c>
      <c r="L37" s="209">
        <v>515</v>
      </c>
      <c r="M37" s="209">
        <v>453</v>
      </c>
      <c r="N37" s="210">
        <v>968</v>
      </c>
      <c r="O37" s="209">
        <v>1450</v>
      </c>
      <c r="P37" s="209">
        <v>1564</v>
      </c>
      <c r="Q37" s="209">
        <v>3014</v>
      </c>
    </row>
    <row r="38" spans="1:17" ht="23.25" customHeight="1">
      <c r="A38" s="453">
        <v>34</v>
      </c>
      <c r="B38" s="208" t="s">
        <v>47</v>
      </c>
      <c r="C38" s="209">
        <v>5975</v>
      </c>
      <c r="D38" s="209">
        <v>3788</v>
      </c>
      <c r="E38" s="210">
        <v>9763</v>
      </c>
      <c r="F38" s="209">
        <v>11679</v>
      </c>
      <c r="G38" s="209">
        <v>9098</v>
      </c>
      <c r="H38" s="210">
        <v>20777</v>
      </c>
      <c r="I38" s="209">
        <v>37455</v>
      </c>
      <c r="J38" s="209">
        <v>16109</v>
      </c>
      <c r="K38" s="210">
        <v>53564</v>
      </c>
      <c r="L38" s="209">
        <v>24216</v>
      </c>
      <c r="M38" s="209">
        <v>11178</v>
      </c>
      <c r="N38" s="210">
        <v>35394</v>
      </c>
      <c r="O38" s="209">
        <v>79325</v>
      </c>
      <c r="P38" s="209">
        <v>40173</v>
      </c>
      <c r="Q38" s="209">
        <v>119498</v>
      </c>
    </row>
    <row r="39" spans="1:17" ht="23.25" customHeight="1">
      <c r="A39" s="456">
        <v>35</v>
      </c>
      <c r="B39" s="208" t="s">
        <v>46</v>
      </c>
      <c r="C39" s="209">
        <v>566</v>
      </c>
      <c r="D39" s="209">
        <v>260</v>
      </c>
      <c r="E39" s="210">
        <v>826</v>
      </c>
      <c r="F39" s="209">
        <v>1672</v>
      </c>
      <c r="G39" s="209">
        <v>1854</v>
      </c>
      <c r="H39" s="210">
        <v>3526</v>
      </c>
      <c r="I39" s="209">
        <v>5544</v>
      </c>
      <c r="J39" s="209">
        <v>3439</v>
      </c>
      <c r="K39" s="210">
        <v>8983</v>
      </c>
      <c r="L39" s="209">
        <v>4398</v>
      </c>
      <c r="M39" s="209">
        <v>1885</v>
      </c>
      <c r="N39" s="210">
        <v>6283</v>
      </c>
      <c r="O39" s="209">
        <v>12180</v>
      </c>
      <c r="P39" s="209">
        <v>7438</v>
      </c>
      <c r="Q39" s="209">
        <v>19618</v>
      </c>
    </row>
    <row r="40" spans="1:17" ht="23.25" customHeight="1">
      <c r="A40" s="453">
        <v>36</v>
      </c>
      <c r="B40" s="208" t="s">
        <v>48</v>
      </c>
      <c r="C40" s="209">
        <v>2028</v>
      </c>
      <c r="D40" s="209">
        <v>1006</v>
      </c>
      <c r="E40" s="210">
        <v>3034</v>
      </c>
      <c r="F40" s="209">
        <v>3999</v>
      </c>
      <c r="G40" s="209">
        <v>2431</v>
      </c>
      <c r="H40" s="210">
        <v>6430</v>
      </c>
      <c r="I40" s="209">
        <v>7422</v>
      </c>
      <c r="J40" s="209">
        <v>2894</v>
      </c>
      <c r="K40" s="210">
        <v>10316</v>
      </c>
      <c r="L40" s="209">
        <v>10803</v>
      </c>
      <c r="M40" s="209">
        <v>5302</v>
      </c>
      <c r="N40" s="210">
        <v>16105</v>
      </c>
      <c r="O40" s="209">
        <v>24252</v>
      </c>
      <c r="P40" s="209">
        <v>11633</v>
      </c>
      <c r="Q40" s="209">
        <v>35885</v>
      </c>
    </row>
    <row r="41" spans="1:17" s="213" customFormat="1" ht="20.25" customHeight="1">
      <c r="A41" s="1112" t="s">
        <v>49</v>
      </c>
      <c r="B41" s="1113"/>
      <c r="C41" s="212">
        <v>82210</v>
      </c>
      <c r="D41" s="212">
        <v>79753</v>
      </c>
      <c r="E41" s="212">
        <v>161963</v>
      </c>
      <c r="F41" s="212">
        <v>110102</v>
      </c>
      <c r="G41" s="212">
        <v>109000</v>
      </c>
      <c r="H41" s="212">
        <v>219102</v>
      </c>
      <c r="I41" s="212">
        <v>286627</v>
      </c>
      <c r="J41" s="212">
        <v>203413</v>
      </c>
      <c r="K41" s="212">
        <v>490040</v>
      </c>
      <c r="L41" s="212">
        <v>201586</v>
      </c>
      <c r="M41" s="212">
        <v>135755</v>
      </c>
      <c r="N41" s="212">
        <v>337341</v>
      </c>
      <c r="O41" s="212">
        <v>680525</v>
      </c>
      <c r="P41" s="212">
        <v>527921</v>
      </c>
      <c r="Q41" s="212">
        <v>1208446</v>
      </c>
    </row>
    <row r="42" spans="1:17">
      <c r="A42" s="211"/>
    </row>
    <row r="43" spans="1:17">
      <c r="A43" s="306"/>
    </row>
    <row r="44" spans="1:17">
      <c r="A44" s="454"/>
    </row>
  </sheetData>
  <mergeCells count="10">
    <mergeCell ref="A2:A3"/>
    <mergeCell ref="A41:B41"/>
    <mergeCell ref="C1:K1"/>
    <mergeCell ref="L1:Q1"/>
    <mergeCell ref="B2:B3"/>
    <mergeCell ref="C2:E2"/>
    <mergeCell ref="F2:H2"/>
    <mergeCell ref="I2:K2"/>
    <mergeCell ref="L2:N2"/>
    <mergeCell ref="O2:Q2"/>
  </mergeCells>
  <pageMargins left="0.59055118110236227" right="0.19685039370078741" top="0.6692913385826772" bottom="0.39370078740157483" header="0.23622047244094491" footer="0.23622047244094491"/>
  <pageSetup paperSize="9" scale="75" firstPageNumber="79" pageOrder="overThenDown" orientation="portrait" useFirstPageNumber="1" r:id="rId1"/>
  <headerFooter alignWithMargins="0">
    <oddFooter>&amp;L&amp;"Arial,Italic"&amp;9AISHE 2021-22&amp;CT-23</oddFooter>
  </headerFooter>
  <colBreaks count="1" manualBreakCount="1">
    <brk id="11" max="40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Z43"/>
  <sheetViews>
    <sheetView view="pageBreakPreview" topLeftCell="B1" zoomScaleSheetLayoutView="100" workbookViewId="0">
      <selection activeCell="F15" sqref="F15"/>
    </sheetView>
  </sheetViews>
  <sheetFormatPr defaultColWidth="9.28515625" defaultRowHeight="15"/>
  <cols>
    <col min="1" max="1" width="7.28515625" style="455" customWidth="1"/>
    <col min="2" max="2" width="19.7109375" style="306" customWidth="1"/>
    <col min="3" max="14" width="10" style="306" customWidth="1"/>
    <col min="15" max="26" width="10.42578125" style="306" customWidth="1"/>
    <col min="27" max="16384" width="9.28515625" style="306"/>
  </cols>
  <sheetData>
    <row r="1" spans="1:26" s="79" customFormat="1" ht="37.5" customHeight="1">
      <c r="B1" s="80" t="s">
        <v>224</v>
      </c>
      <c r="C1" s="1120" t="s">
        <v>1096</v>
      </c>
      <c r="D1" s="1055"/>
      <c r="E1" s="1055"/>
      <c r="F1" s="1055"/>
      <c r="G1" s="1055"/>
      <c r="H1" s="1055"/>
      <c r="I1" s="1055"/>
      <c r="J1" s="1055"/>
      <c r="K1" s="1055"/>
      <c r="L1" s="1055"/>
      <c r="M1" s="1055"/>
      <c r="N1" s="1055"/>
      <c r="O1" s="1120" t="s">
        <v>901</v>
      </c>
      <c r="P1" s="1120"/>
      <c r="Q1" s="1120"/>
      <c r="R1" s="1120"/>
      <c r="S1" s="1120"/>
      <c r="T1" s="1120"/>
      <c r="U1" s="1120"/>
      <c r="V1" s="1120"/>
      <c r="W1" s="1120"/>
      <c r="X1" s="1120"/>
      <c r="Y1" s="1120"/>
      <c r="Z1" s="1120"/>
    </row>
    <row r="2" spans="1:26" s="305" customFormat="1" ht="21.75" customHeight="1">
      <c r="A2" s="1110" t="s">
        <v>988</v>
      </c>
      <c r="B2" s="1114" t="s">
        <v>168</v>
      </c>
      <c r="C2" s="1060" t="s">
        <v>136</v>
      </c>
      <c r="D2" s="1061"/>
      <c r="E2" s="1062"/>
      <c r="F2" s="1060" t="s">
        <v>460</v>
      </c>
      <c r="G2" s="1061"/>
      <c r="H2" s="1062"/>
      <c r="I2" s="1060" t="s">
        <v>242</v>
      </c>
      <c r="J2" s="1061"/>
      <c r="K2" s="1062"/>
      <c r="L2" s="1060" t="s">
        <v>243</v>
      </c>
      <c r="M2" s="1061"/>
      <c r="N2" s="1062"/>
      <c r="O2" s="1063" t="s">
        <v>105</v>
      </c>
      <c r="P2" s="1064"/>
      <c r="Q2" s="1065"/>
      <c r="R2" s="1063" t="s">
        <v>106</v>
      </c>
      <c r="S2" s="1064"/>
      <c r="T2" s="1065"/>
      <c r="U2" s="1063" t="s">
        <v>107</v>
      </c>
      <c r="V2" s="1064"/>
      <c r="W2" s="1065"/>
      <c r="X2" s="1063" t="s">
        <v>225</v>
      </c>
      <c r="Y2" s="1064"/>
      <c r="Z2" s="1065"/>
    </row>
    <row r="3" spans="1:26" s="305" customFormat="1" ht="30" customHeight="1">
      <c r="A3" s="1111"/>
      <c r="B3" s="1114"/>
      <c r="C3" s="239" t="s">
        <v>87</v>
      </c>
      <c r="D3" s="239" t="s">
        <v>88</v>
      </c>
      <c r="E3" s="239" t="s">
        <v>12</v>
      </c>
      <c r="F3" s="239" t="s">
        <v>87</v>
      </c>
      <c r="G3" s="239" t="s">
        <v>88</v>
      </c>
      <c r="H3" s="239" t="s">
        <v>12</v>
      </c>
      <c r="I3" s="239" t="s">
        <v>87</v>
      </c>
      <c r="J3" s="239" t="s">
        <v>88</v>
      </c>
      <c r="K3" s="239" t="s">
        <v>12</v>
      </c>
      <c r="L3" s="239" t="s">
        <v>87</v>
      </c>
      <c r="M3" s="239" t="s">
        <v>88</v>
      </c>
      <c r="N3" s="239" t="s">
        <v>12</v>
      </c>
      <c r="O3" s="239" t="s">
        <v>87</v>
      </c>
      <c r="P3" s="239" t="s">
        <v>88</v>
      </c>
      <c r="Q3" s="239" t="s">
        <v>12</v>
      </c>
      <c r="R3" s="239" t="s">
        <v>87</v>
      </c>
      <c r="S3" s="239" t="s">
        <v>88</v>
      </c>
      <c r="T3" s="239" t="s">
        <v>12</v>
      </c>
      <c r="U3" s="239" t="s">
        <v>87</v>
      </c>
      <c r="V3" s="239" t="s">
        <v>88</v>
      </c>
      <c r="W3" s="239" t="s">
        <v>12</v>
      </c>
      <c r="X3" s="239" t="s">
        <v>87</v>
      </c>
      <c r="Y3" s="239" t="s">
        <v>88</v>
      </c>
      <c r="Z3" s="239" t="s">
        <v>12</v>
      </c>
    </row>
    <row r="4" spans="1:26" s="305" customFormat="1">
      <c r="A4" s="456">
        <v>1</v>
      </c>
      <c r="B4" s="445">
        <v>2</v>
      </c>
      <c r="C4" s="456">
        <v>3</v>
      </c>
      <c r="D4" s="445">
        <v>4</v>
      </c>
      <c r="E4" s="456">
        <v>5</v>
      </c>
      <c r="F4" s="445">
        <v>6</v>
      </c>
      <c r="G4" s="456">
        <v>7</v>
      </c>
      <c r="H4" s="445">
        <v>8</v>
      </c>
      <c r="I4" s="456">
        <v>9</v>
      </c>
      <c r="J4" s="445">
        <v>10</v>
      </c>
      <c r="K4" s="456">
        <v>11</v>
      </c>
      <c r="L4" s="445">
        <v>12</v>
      </c>
      <c r="M4" s="456">
        <v>13</v>
      </c>
      <c r="N4" s="445">
        <v>14</v>
      </c>
      <c r="O4" s="456">
        <v>15</v>
      </c>
      <c r="P4" s="445">
        <v>16</v>
      </c>
      <c r="Q4" s="456">
        <v>17</v>
      </c>
      <c r="R4" s="445">
        <v>18</v>
      </c>
      <c r="S4" s="456">
        <v>19</v>
      </c>
      <c r="T4" s="445">
        <v>20</v>
      </c>
      <c r="U4" s="456">
        <v>21</v>
      </c>
      <c r="V4" s="445">
        <v>22</v>
      </c>
      <c r="W4" s="456">
        <v>23</v>
      </c>
      <c r="X4" s="445">
        <v>24</v>
      </c>
      <c r="Y4" s="456">
        <v>25</v>
      </c>
      <c r="Z4" s="445">
        <v>26</v>
      </c>
    </row>
    <row r="5" spans="1:26" ht="25.5" customHeight="1">
      <c r="A5" s="453">
        <v>1</v>
      </c>
      <c r="B5" s="208" t="s">
        <v>1061</v>
      </c>
      <c r="C5" s="148">
        <v>215</v>
      </c>
      <c r="D5" s="148">
        <v>151</v>
      </c>
      <c r="E5" s="148">
        <v>366</v>
      </c>
      <c r="F5" s="148">
        <v>1</v>
      </c>
      <c r="G5" s="148">
        <v>0</v>
      </c>
      <c r="H5" s="148">
        <v>1</v>
      </c>
      <c r="I5" s="148">
        <v>14</v>
      </c>
      <c r="J5" s="148">
        <v>2</v>
      </c>
      <c r="K5" s="148">
        <v>16</v>
      </c>
      <c r="L5" s="148">
        <v>17</v>
      </c>
      <c r="M5" s="148">
        <v>16</v>
      </c>
      <c r="N5" s="148">
        <v>33</v>
      </c>
      <c r="O5" s="210">
        <v>6</v>
      </c>
      <c r="P5" s="210">
        <v>5</v>
      </c>
      <c r="Q5" s="210">
        <v>11</v>
      </c>
      <c r="R5" s="210">
        <v>8</v>
      </c>
      <c r="S5" s="210">
        <v>10</v>
      </c>
      <c r="T5" s="210">
        <v>18</v>
      </c>
      <c r="U5" s="210">
        <v>40</v>
      </c>
      <c r="V5" s="210">
        <v>23</v>
      </c>
      <c r="W5" s="210">
        <v>63</v>
      </c>
      <c r="X5" s="210">
        <v>0</v>
      </c>
      <c r="Y5" s="210">
        <v>0</v>
      </c>
      <c r="Z5" s="210">
        <v>0</v>
      </c>
    </row>
    <row r="6" spans="1:26" ht="29.25" customHeight="1">
      <c r="A6" s="429">
        <v>2</v>
      </c>
      <c r="B6" s="208" t="s">
        <v>15</v>
      </c>
      <c r="C6" s="148">
        <v>31553</v>
      </c>
      <c r="D6" s="148">
        <v>32882</v>
      </c>
      <c r="E6" s="148">
        <v>64435</v>
      </c>
      <c r="F6" s="148">
        <v>5659</v>
      </c>
      <c r="G6" s="148">
        <v>8427</v>
      </c>
      <c r="H6" s="148">
        <v>14086</v>
      </c>
      <c r="I6" s="148">
        <v>1357</v>
      </c>
      <c r="J6" s="148">
        <v>2019</v>
      </c>
      <c r="K6" s="148">
        <v>3376</v>
      </c>
      <c r="L6" s="148">
        <v>12050</v>
      </c>
      <c r="M6" s="148">
        <v>10466</v>
      </c>
      <c r="N6" s="148">
        <v>22516</v>
      </c>
      <c r="O6" s="210">
        <v>99</v>
      </c>
      <c r="P6" s="210">
        <v>99</v>
      </c>
      <c r="Q6" s="210">
        <v>198</v>
      </c>
      <c r="R6" s="210">
        <v>779</v>
      </c>
      <c r="S6" s="210">
        <v>680</v>
      </c>
      <c r="T6" s="210">
        <v>1459</v>
      </c>
      <c r="U6" s="210">
        <v>379</v>
      </c>
      <c r="V6" s="210">
        <v>554</v>
      </c>
      <c r="W6" s="210">
        <v>933</v>
      </c>
      <c r="X6" s="210">
        <v>199</v>
      </c>
      <c r="Y6" s="210">
        <v>134</v>
      </c>
      <c r="Z6" s="210">
        <v>333</v>
      </c>
    </row>
    <row r="7" spans="1:26" ht="29.25" customHeight="1">
      <c r="A7" s="453">
        <v>3</v>
      </c>
      <c r="B7" s="208" t="s">
        <v>16</v>
      </c>
      <c r="C7" s="148">
        <v>1231</v>
      </c>
      <c r="D7" s="148">
        <v>1007</v>
      </c>
      <c r="E7" s="148">
        <v>2238</v>
      </c>
      <c r="F7" s="148">
        <v>58</v>
      </c>
      <c r="G7">
        <v>31</v>
      </c>
      <c r="H7" s="148">
        <v>89</v>
      </c>
      <c r="I7" s="148">
        <v>590</v>
      </c>
      <c r="J7" s="148">
        <v>782</v>
      </c>
      <c r="K7" s="148">
        <v>1372</v>
      </c>
      <c r="L7" s="148">
        <v>119</v>
      </c>
      <c r="M7" s="148">
        <v>30</v>
      </c>
      <c r="N7" s="148">
        <v>149</v>
      </c>
      <c r="O7" s="210">
        <v>1</v>
      </c>
      <c r="P7" s="210">
        <v>4</v>
      </c>
      <c r="Q7" s="210">
        <v>5</v>
      </c>
      <c r="R7" s="210">
        <v>4</v>
      </c>
      <c r="S7" s="210">
        <v>2</v>
      </c>
      <c r="T7" s="210">
        <v>6</v>
      </c>
      <c r="U7" s="210">
        <v>61</v>
      </c>
      <c r="V7" s="210">
        <v>69</v>
      </c>
      <c r="W7" s="210">
        <v>130</v>
      </c>
      <c r="X7" s="210">
        <v>4</v>
      </c>
      <c r="Y7" s="210">
        <v>0</v>
      </c>
      <c r="Z7" s="210">
        <v>4</v>
      </c>
    </row>
    <row r="8" spans="1:26" ht="29.25" customHeight="1">
      <c r="A8" s="429">
        <v>4</v>
      </c>
      <c r="B8" s="208" t="s">
        <v>17</v>
      </c>
      <c r="C8" s="148">
        <v>11188</v>
      </c>
      <c r="D8" s="148">
        <v>4288</v>
      </c>
      <c r="E8" s="148">
        <v>15476</v>
      </c>
      <c r="F8" s="148">
        <v>788</v>
      </c>
      <c r="G8" s="148">
        <v>331</v>
      </c>
      <c r="H8" s="148">
        <v>1119</v>
      </c>
      <c r="I8" s="148">
        <v>1298</v>
      </c>
      <c r="J8" s="148">
        <v>672</v>
      </c>
      <c r="K8" s="148">
        <v>1970</v>
      </c>
      <c r="L8" s="148">
        <v>2444</v>
      </c>
      <c r="M8" s="148">
        <v>891</v>
      </c>
      <c r="N8" s="148">
        <v>3335</v>
      </c>
      <c r="O8" s="210">
        <v>35</v>
      </c>
      <c r="P8" s="210">
        <v>15</v>
      </c>
      <c r="Q8" s="210">
        <v>50</v>
      </c>
      <c r="R8" s="210">
        <v>587</v>
      </c>
      <c r="S8" s="210">
        <v>254</v>
      </c>
      <c r="T8" s="210">
        <v>841</v>
      </c>
      <c r="U8" s="210">
        <v>85</v>
      </c>
      <c r="V8" s="210">
        <v>100</v>
      </c>
      <c r="W8" s="210">
        <v>185</v>
      </c>
      <c r="X8" s="210">
        <v>27</v>
      </c>
      <c r="Y8" s="210">
        <v>13</v>
      </c>
      <c r="Z8" s="210">
        <v>40</v>
      </c>
    </row>
    <row r="9" spans="1:26" ht="29.25" customHeight="1">
      <c r="A9" s="453">
        <v>5</v>
      </c>
      <c r="B9" s="208" t="s">
        <v>18</v>
      </c>
      <c r="C9" s="148">
        <v>22540</v>
      </c>
      <c r="D9" s="148">
        <v>9006</v>
      </c>
      <c r="E9" s="148">
        <v>31546</v>
      </c>
      <c r="F9" s="148">
        <v>1936</v>
      </c>
      <c r="G9" s="148">
        <v>985</v>
      </c>
      <c r="H9" s="148">
        <v>2921</v>
      </c>
      <c r="I9" s="148">
        <v>263</v>
      </c>
      <c r="J9" s="148">
        <v>255</v>
      </c>
      <c r="K9" s="148">
        <v>518</v>
      </c>
      <c r="L9" s="148">
        <v>8055</v>
      </c>
      <c r="M9" s="148">
        <v>2818</v>
      </c>
      <c r="N9" s="148">
        <v>10873</v>
      </c>
      <c r="O9" s="210">
        <v>52</v>
      </c>
      <c r="P9" s="210">
        <v>20</v>
      </c>
      <c r="Q9" s="210">
        <v>72</v>
      </c>
      <c r="R9" s="210">
        <v>976</v>
      </c>
      <c r="S9" s="210">
        <v>260</v>
      </c>
      <c r="T9" s="210">
        <v>1236</v>
      </c>
      <c r="U9" s="210">
        <v>179</v>
      </c>
      <c r="V9" s="210">
        <v>143</v>
      </c>
      <c r="W9" s="210">
        <v>322</v>
      </c>
      <c r="X9" s="210">
        <v>161</v>
      </c>
      <c r="Y9" s="210">
        <v>88</v>
      </c>
      <c r="Z9" s="210">
        <v>249</v>
      </c>
    </row>
    <row r="10" spans="1:26" ht="29.25" customHeight="1">
      <c r="A10" s="429">
        <v>6</v>
      </c>
      <c r="B10" s="208" t="s">
        <v>19</v>
      </c>
      <c r="C10" s="148">
        <v>4544</v>
      </c>
      <c r="D10" s="148">
        <v>2388</v>
      </c>
      <c r="E10" s="148">
        <v>6932</v>
      </c>
      <c r="F10" s="148">
        <v>993</v>
      </c>
      <c r="G10" s="148">
        <v>370</v>
      </c>
      <c r="H10" s="148">
        <v>1363</v>
      </c>
      <c r="I10" s="148">
        <v>22</v>
      </c>
      <c r="J10" s="148">
        <v>9</v>
      </c>
      <c r="K10" s="148">
        <v>31</v>
      </c>
      <c r="L10" s="148">
        <v>167</v>
      </c>
      <c r="M10" s="148">
        <v>182</v>
      </c>
      <c r="N10" s="148">
        <v>349</v>
      </c>
      <c r="O10" s="210">
        <v>40</v>
      </c>
      <c r="P10" s="210">
        <v>38</v>
      </c>
      <c r="Q10" s="210">
        <v>78</v>
      </c>
      <c r="R10" s="210">
        <v>4</v>
      </c>
      <c r="S10" s="210">
        <v>7</v>
      </c>
      <c r="T10" s="210">
        <v>11</v>
      </c>
      <c r="U10" s="210">
        <v>109</v>
      </c>
      <c r="V10" s="210">
        <v>224</v>
      </c>
      <c r="W10" s="210">
        <v>333</v>
      </c>
      <c r="X10" s="210">
        <v>10</v>
      </c>
      <c r="Y10" s="210">
        <v>6</v>
      </c>
      <c r="Z10" s="210">
        <v>16</v>
      </c>
    </row>
    <row r="11" spans="1:26" ht="29.25" customHeight="1">
      <c r="A11" s="453">
        <v>7</v>
      </c>
      <c r="B11" s="208" t="s">
        <v>20</v>
      </c>
      <c r="C11" s="148">
        <v>10842</v>
      </c>
      <c r="D11" s="148">
        <v>7944</v>
      </c>
      <c r="E11" s="148">
        <v>18786</v>
      </c>
      <c r="F11" s="148">
        <v>1471</v>
      </c>
      <c r="G11" s="148">
        <v>1210</v>
      </c>
      <c r="H11" s="148">
        <v>2681</v>
      </c>
      <c r="I11" s="148">
        <v>1455</v>
      </c>
      <c r="J11" s="148">
        <v>1067</v>
      </c>
      <c r="K11" s="148">
        <v>2522</v>
      </c>
      <c r="L11" s="148">
        <v>3876</v>
      </c>
      <c r="M11" s="148">
        <v>2589</v>
      </c>
      <c r="N11" s="148">
        <v>6465</v>
      </c>
      <c r="O11" s="210">
        <v>64</v>
      </c>
      <c r="P11" s="210">
        <v>31</v>
      </c>
      <c r="Q11" s="210">
        <v>95</v>
      </c>
      <c r="R11" s="210">
        <v>136</v>
      </c>
      <c r="S11" s="210">
        <v>64</v>
      </c>
      <c r="T11" s="210">
        <v>200</v>
      </c>
      <c r="U11" s="210">
        <v>267</v>
      </c>
      <c r="V11" s="210">
        <v>275</v>
      </c>
      <c r="W11" s="210">
        <v>542</v>
      </c>
      <c r="X11" s="210">
        <v>107</v>
      </c>
      <c r="Y11" s="210">
        <v>20</v>
      </c>
      <c r="Z11" s="210">
        <v>127</v>
      </c>
    </row>
    <row r="12" spans="1:26" ht="29.25" customHeight="1">
      <c r="A12" s="429">
        <v>8</v>
      </c>
      <c r="B12" s="208" t="s">
        <v>23</v>
      </c>
      <c r="C12" s="148">
        <v>19032</v>
      </c>
      <c r="D12" s="148">
        <v>9632</v>
      </c>
      <c r="E12" s="148">
        <v>28664</v>
      </c>
      <c r="F12" s="148">
        <v>3832</v>
      </c>
      <c r="G12" s="148">
        <v>1638</v>
      </c>
      <c r="H12" s="148">
        <v>5470</v>
      </c>
      <c r="I12" s="148">
        <v>585</v>
      </c>
      <c r="J12" s="148">
        <v>537</v>
      </c>
      <c r="K12" s="148">
        <v>1122</v>
      </c>
      <c r="L12" s="148">
        <v>2940</v>
      </c>
      <c r="M12" s="148">
        <v>1478</v>
      </c>
      <c r="N12" s="148">
        <v>4418</v>
      </c>
      <c r="O12" s="210">
        <v>134</v>
      </c>
      <c r="P12" s="210">
        <v>41</v>
      </c>
      <c r="Q12" s="210">
        <v>175</v>
      </c>
      <c r="R12" s="210">
        <v>1001</v>
      </c>
      <c r="S12" s="210">
        <v>119</v>
      </c>
      <c r="T12" s="210">
        <v>1120</v>
      </c>
      <c r="U12" s="210">
        <v>183</v>
      </c>
      <c r="V12" s="210">
        <v>108</v>
      </c>
      <c r="W12" s="210">
        <v>291</v>
      </c>
      <c r="X12" s="210">
        <v>49</v>
      </c>
      <c r="Y12" s="210">
        <v>59</v>
      </c>
      <c r="Z12" s="210">
        <v>108</v>
      </c>
    </row>
    <row r="13" spans="1:26" ht="29.25" customHeight="1">
      <c r="A13" s="453">
        <v>9</v>
      </c>
      <c r="B13" s="208" t="s">
        <v>24</v>
      </c>
      <c r="C13" s="148">
        <v>2301</v>
      </c>
      <c r="D13" s="148">
        <v>2794</v>
      </c>
      <c r="E13" s="148">
        <v>5095</v>
      </c>
      <c r="F13" s="148">
        <v>71</v>
      </c>
      <c r="G13" s="148">
        <v>47</v>
      </c>
      <c r="H13" s="148">
        <v>118</v>
      </c>
      <c r="I13" s="148">
        <v>183</v>
      </c>
      <c r="J13" s="148">
        <v>231</v>
      </c>
      <c r="K13" s="148">
        <v>414</v>
      </c>
      <c r="L13" s="148">
        <v>269</v>
      </c>
      <c r="M13" s="148">
        <v>458</v>
      </c>
      <c r="N13" s="148">
        <v>727</v>
      </c>
      <c r="O13" s="210">
        <v>47</v>
      </c>
      <c r="P13" s="210">
        <v>24</v>
      </c>
      <c r="Q13" s="210">
        <v>71</v>
      </c>
      <c r="R13" s="210">
        <v>25</v>
      </c>
      <c r="S13" s="210">
        <v>35</v>
      </c>
      <c r="T13" s="210">
        <v>60</v>
      </c>
      <c r="U13" s="210">
        <v>153</v>
      </c>
      <c r="V13" s="210">
        <v>524</v>
      </c>
      <c r="W13" s="210">
        <v>677</v>
      </c>
      <c r="X13" s="210">
        <v>16</v>
      </c>
      <c r="Y13" s="210">
        <v>10</v>
      </c>
      <c r="Z13" s="210">
        <v>26</v>
      </c>
    </row>
    <row r="14" spans="1:26" ht="29.25" customHeight="1">
      <c r="A14" s="429">
        <v>10</v>
      </c>
      <c r="B14" s="208" t="s">
        <v>25</v>
      </c>
      <c r="C14" s="148">
        <v>22918</v>
      </c>
      <c r="D14" s="148">
        <v>15329</v>
      </c>
      <c r="E14" s="148">
        <v>38247</v>
      </c>
      <c r="F14" s="148">
        <v>3314</v>
      </c>
      <c r="G14" s="148">
        <v>2597</v>
      </c>
      <c r="H14" s="148">
        <v>5911</v>
      </c>
      <c r="I14" s="148">
        <v>2401</v>
      </c>
      <c r="J14" s="148">
        <v>1813</v>
      </c>
      <c r="K14" s="148">
        <v>4214</v>
      </c>
      <c r="L14" s="148">
        <v>5268</v>
      </c>
      <c r="M14" s="148">
        <v>3005</v>
      </c>
      <c r="N14" s="148">
        <v>8273</v>
      </c>
      <c r="O14" s="210">
        <v>80</v>
      </c>
      <c r="P14" s="210">
        <v>44</v>
      </c>
      <c r="Q14" s="210">
        <v>124</v>
      </c>
      <c r="R14" s="210">
        <v>224</v>
      </c>
      <c r="S14" s="210">
        <v>148</v>
      </c>
      <c r="T14" s="210">
        <v>372</v>
      </c>
      <c r="U14" s="210">
        <v>112</v>
      </c>
      <c r="V14" s="210">
        <v>166</v>
      </c>
      <c r="W14" s="210">
        <v>278</v>
      </c>
      <c r="X14" s="210">
        <v>230</v>
      </c>
      <c r="Y14" s="210">
        <v>187</v>
      </c>
      <c r="Z14" s="210">
        <v>417</v>
      </c>
    </row>
    <row r="15" spans="1:26" ht="29.25" customHeight="1">
      <c r="A15" s="453">
        <v>11</v>
      </c>
      <c r="B15" s="208" t="s">
        <v>26</v>
      </c>
      <c r="C15" s="148">
        <v>23390</v>
      </c>
      <c r="D15" s="148">
        <v>12724</v>
      </c>
      <c r="E15" s="148">
        <v>36114</v>
      </c>
      <c r="F15" s="148">
        <v>3923</v>
      </c>
      <c r="G15" s="148">
        <v>2454</v>
      </c>
      <c r="H15" s="148">
        <v>6377</v>
      </c>
      <c r="I15" s="148">
        <v>166</v>
      </c>
      <c r="J15" s="148">
        <v>121</v>
      </c>
      <c r="K15" s="148">
        <v>287</v>
      </c>
      <c r="L15" s="148">
        <v>4032</v>
      </c>
      <c r="M15" s="148">
        <v>1824</v>
      </c>
      <c r="N15" s="148">
        <v>5856</v>
      </c>
      <c r="O15" s="210">
        <v>164</v>
      </c>
      <c r="P15" s="210">
        <v>58</v>
      </c>
      <c r="Q15" s="210">
        <v>222</v>
      </c>
      <c r="R15" s="210">
        <v>102</v>
      </c>
      <c r="S15" s="210">
        <v>61</v>
      </c>
      <c r="T15" s="210">
        <v>163</v>
      </c>
      <c r="U15" s="210">
        <v>114</v>
      </c>
      <c r="V15" s="210">
        <v>108</v>
      </c>
      <c r="W15" s="210">
        <v>222</v>
      </c>
      <c r="X15" s="210">
        <v>142</v>
      </c>
      <c r="Y15" s="210">
        <v>60</v>
      </c>
      <c r="Z15" s="210">
        <v>202</v>
      </c>
    </row>
    <row r="16" spans="1:26" ht="29.25" customHeight="1">
      <c r="A16" s="429">
        <v>12</v>
      </c>
      <c r="B16" s="208" t="s">
        <v>27</v>
      </c>
      <c r="C16" s="148">
        <v>7088</v>
      </c>
      <c r="D16" s="148">
        <v>5069</v>
      </c>
      <c r="E16" s="148">
        <v>12157</v>
      </c>
      <c r="F16" s="148">
        <v>1020</v>
      </c>
      <c r="G16" s="148">
        <v>1078</v>
      </c>
      <c r="H16" s="148">
        <v>2098</v>
      </c>
      <c r="I16" s="148">
        <v>242</v>
      </c>
      <c r="J16" s="148">
        <v>185</v>
      </c>
      <c r="K16" s="148">
        <v>427</v>
      </c>
      <c r="L16" s="148">
        <v>626</v>
      </c>
      <c r="M16" s="148">
        <v>414</v>
      </c>
      <c r="N16" s="148">
        <v>1040</v>
      </c>
      <c r="O16" s="210">
        <v>44</v>
      </c>
      <c r="P16" s="210">
        <v>28</v>
      </c>
      <c r="Q16" s="210">
        <v>72</v>
      </c>
      <c r="R16" s="210">
        <v>23</v>
      </c>
      <c r="S16" s="210">
        <v>12</v>
      </c>
      <c r="T16" s="210">
        <v>35</v>
      </c>
      <c r="U16" s="210">
        <v>22</v>
      </c>
      <c r="V16" s="210">
        <v>8</v>
      </c>
      <c r="W16" s="210">
        <v>30</v>
      </c>
      <c r="X16" s="210">
        <v>23</v>
      </c>
      <c r="Y16" s="210">
        <v>22</v>
      </c>
      <c r="Z16" s="210">
        <v>45</v>
      </c>
    </row>
    <row r="17" spans="1:26" ht="29.25" customHeight="1">
      <c r="A17" s="453">
        <v>13</v>
      </c>
      <c r="B17" s="208" t="s">
        <v>57</v>
      </c>
      <c r="C17" s="148">
        <v>10128</v>
      </c>
      <c r="D17" s="148">
        <v>5318</v>
      </c>
      <c r="E17" s="148">
        <v>15446</v>
      </c>
      <c r="F17" s="148">
        <v>712</v>
      </c>
      <c r="G17" s="148">
        <v>415</v>
      </c>
      <c r="H17" s="148">
        <v>1127</v>
      </c>
      <c r="I17" s="148">
        <v>285</v>
      </c>
      <c r="J17" s="148">
        <v>136</v>
      </c>
      <c r="K17" s="148">
        <v>421</v>
      </c>
      <c r="L17" s="148">
        <v>301</v>
      </c>
      <c r="M17" s="148">
        <v>143</v>
      </c>
      <c r="N17" s="148">
        <v>444</v>
      </c>
      <c r="O17" s="210">
        <v>7</v>
      </c>
      <c r="P17" s="210">
        <v>10</v>
      </c>
      <c r="Q17" s="210">
        <v>17</v>
      </c>
      <c r="R17" s="210">
        <v>4149</v>
      </c>
      <c r="S17" s="210">
        <v>2087</v>
      </c>
      <c r="T17" s="210">
        <v>6236</v>
      </c>
      <c r="U17" s="210">
        <v>453</v>
      </c>
      <c r="V17" s="210">
        <v>179</v>
      </c>
      <c r="W17" s="210">
        <v>632</v>
      </c>
      <c r="X17" s="210">
        <v>11</v>
      </c>
      <c r="Y17" s="210">
        <v>14</v>
      </c>
      <c r="Z17" s="210">
        <v>25</v>
      </c>
    </row>
    <row r="18" spans="1:26" ht="29.25" customHeight="1">
      <c r="A18" s="429">
        <v>14</v>
      </c>
      <c r="B18" s="208" t="s">
        <v>29</v>
      </c>
      <c r="C18" s="148">
        <v>7813</v>
      </c>
      <c r="D18" s="148">
        <v>4708</v>
      </c>
      <c r="E18" s="148">
        <v>12521</v>
      </c>
      <c r="F18" s="148">
        <v>888</v>
      </c>
      <c r="G18" s="148">
        <v>709</v>
      </c>
      <c r="H18" s="148">
        <v>1597</v>
      </c>
      <c r="I18" s="148">
        <v>1201</v>
      </c>
      <c r="J18" s="148">
        <v>1221</v>
      </c>
      <c r="K18" s="148">
        <v>2422</v>
      </c>
      <c r="L18" s="148">
        <v>2810</v>
      </c>
      <c r="M18" s="148">
        <v>1220</v>
      </c>
      <c r="N18" s="148">
        <v>4030</v>
      </c>
      <c r="O18" s="210">
        <v>35</v>
      </c>
      <c r="P18" s="210">
        <v>24</v>
      </c>
      <c r="Q18" s="210">
        <v>59</v>
      </c>
      <c r="R18" s="210">
        <v>323</v>
      </c>
      <c r="S18" s="210">
        <v>168</v>
      </c>
      <c r="T18" s="210">
        <v>491</v>
      </c>
      <c r="U18" s="210">
        <v>149</v>
      </c>
      <c r="V18" s="210">
        <v>215</v>
      </c>
      <c r="W18" s="210">
        <v>364</v>
      </c>
      <c r="X18" s="210">
        <v>42</v>
      </c>
      <c r="Y18" s="210">
        <v>35</v>
      </c>
      <c r="Z18" s="210">
        <v>77</v>
      </c>
    </row>
    <row r="19" spans="1:26" ht="29.25" customHeight="1">
      <c r="A19" s="453">
        <v>15</v>
      </c>
      <c r="B19" s="208" t="s">
        <v>30</v>
      </c>
      <c r="C19" s="148">
        <v>60340</v>
      </c>
      <c r="D19" s="148">
        <v>64797</v>
      </c>
      <c r="E19" s="148">
        <v>125137</v>
      </c>
      <c r="F19" s="148">
        <v>6976</v>
      </c>
      <c r="G19" s="148">
        <v>8098</v>
      </c>
      <c r="H19" s="148">
        <v>15074</v>
      </c>
      <c r="I19" s="148">
        <v>2671</v>
      </c>
      <c r="J19" s="148">
        <v>2831</v>
      </c>
      <c r="K19" s="148">
        <v>5502</v>
      </c>
      <c r="L19" s="148">
        <v>22833</v>
      </c>
      <c r="M19" s="148">
        <v>24517</v>
      </c>
      <c r="N19" s="148">
        <v>47350</v>
      </c>
      <c r="O19" s="210">
        <v>218</v>
      </c>
      <c r="P19" s="210">
        <v>218</v>
      </c>
      <c r="Q19" s="210">
        <v>436</v>
      </c>
      <c r="R19" s="210">
        <v>2499</v>
      </c>
      <c r="S19" s="210">
        <v>2484</v>
      </c>
      <c r="T19" s="210">
        <v>4983</v>
      </c>
      <c r="U19" s="210">
        <v>1538</v>
      </c>
      <c r="V19" s="210">
        <v>3063</v>
      </c>
      <c r="W19" s="210">
        <v>4601</v>
      </c>
      <c r="X19" s="210">
        <v>514</v>
      </c>
      <c r="Y19" s="210">
        <v>587</v>
      </c>
      <c r="Z19" s="210">
        <v>1101</v>
      </c>
    </row>
    <row r="20" spans="1:26" ht="29.25" customHeight="1">
      <c r="A20" s="429">
        <v>16</v>
      </c>
      <c r="B20" s="208" t="s">
        <v>31</v>
      </c>
      <c r="C20" s="148">
        <v>17431</v>
      </c>
      <c r="D20" s="148">
        <v>29645</v>
      </c>
      <c r="E20" s="148">
        <v>47076</v>
      </c>
      <c r="F20" s="148">
        <v>1065</v>
      </c>
      <c r="G20" s="148">
        <v>2010</v>
      </c>
      <c r="H20" s="148">
        <v>3075</v>
      </c>
      <c r="I20" s="148">
        <v>220</v>
      </c>
      <c r="J20" s="148">
        <v>295</v>
      </c>
      <c r="K20" s="148">
        <v>515</v>
      </c>
      <c r="L20" s="148">
        <v>7168</v>
      </c>
      <c r="M20" s="148">
        <v>10762</v>
      </c>
      <c r="N20" s="148">
        <v>17930</v>
      </c>
      <c r="O20" s="210">
        <v>173</v>
      </c>
      <c r="P20" s="210">
        <v>191</v>
      </c>
      <c r="Q20" s="210">
        <v>364</v>
      </c>
      <c r="R20" s="210">
        <v>1681</v>
      </c>
      <c r="S20" s="210">
        <v>1784</v>
      </c>
      <c r="T20" s="210">
        <v>3465</v>
      </c>
      <c r="U20" s="210">
        <v>1783</v>
      </c>
      <c r="V20" s="210">
        <v>3684</v>
      </c>
      <c r="W20" s="210">
        <v>5467</v>
      </c>
      <c r="X20" s="210">
        <v>25</v>
      </c>
      <c r="Y20" s="210">
        <v>89</v>
      </c>
      <c r="Z20" s="210">
        <v>114</v>
      </c>
    </row>
    <row r="21" spans="1:26" ht="29.25" customHeight="1">
      <c r="A21" s="453">
        <v>17</v>
      </c>
      <c r="B21" s="208" t="s">
        <v>154</v>
      </c>
      <c r="C21" s="148">
        <v>105</v>
      </c>
      <c r="D21" s="148">
        <v>108</v>
      </c>
      <c r="E21" s="148">
        <v>213</v>
      </c>
      <c r="F21" s="148">
        <v>0</v>
      </c>
      <c r="G21" s="148">
        <v>2</v>
      </c>
      <c r="H21" s="148">
        <v>2</v>
      </c>
      <c r="I21" s="148">
        <v>39</v>
      </c>
      <c r="J21" s="148">
        <v>71</v>
      </c>
      <c r="K21" s="148">
        <v>110</v>
      </c>
      <c r="L21" s="148">
        <v>1</v>
      </c>
      <c r="M21" s="148">
        <v>0</v>
      </c>
      <c r="N21" s="148">
        <v>1</v>
      </c>
      <c r="O21" s="210">
        <v>0</v>
      </c>
      <c r="P21" s="210">
        <v>0</v>
      </c>
      <c r="Q21" s="210">
        <v>0</v>
      </c>
      <c r="R21" s="210">
        <v>12</v>
      </c>
      <c r="S21" s="210">
        <v>8</v>
      </c>
      <c r="T21" s="210">
        <v>20</v>
      </c>
      <c r="U21" s="210">
        <v>19</v>
      </c>
      <c r="V21" s="210">
        <v>47</v>
      </c>
      <c r="W21" s="210">
        <v>66</v>
      </c>
      <c r="X21" s="210">
        <v>0</v>
      </c>
      <c r="Y21" s="210">
        <v>0</v>
      </c>
      <c r="Z21" s="210">
        <v>0</v>
      </c>
    </row>
    <row r="22" spans="1:26" ht="29.25" customHeight="1">
      <c r="A22" s="429">
        <v>18</v>
      </c>
      <c r="B22" s="208" t="s">
        <v>32</v>
      </c>
      <c r="C22" s="148">
        <v>6</v>
      </c>
      <c r="D22" s="148">
        <v>1</v>
      </c>
      <c r="E22" s="148">
        <v>7</v>
      </c>
      <c r="F22" s="148">
        <v>0</v>
      </c>
      <c r="G22" s="148">
        <v>0</v>
      </c>
      <c r="H22" s="148">
        <v>0</v>
      </c>
      <c r="I22" s="148">
        <v>6</v>
      </c>
      <c r="J22" s="148">
        <v>1</v>
      </c>
      <c r="K22" s="148">
        <v>7</v>
      </c>
      <c r="L22" s="148">
        <v>0</v>
      </c>
      <c r="M22" s="148">
        <v>0</v>
      </c>
      <c r="N22" s="148">
        <v>0</v>
      </c>
      <c r="O22" s="210">
        <v>0</v>
      </c>
      <c r="P22" s="210">
        <v>0</v>
      </c>
      <c r="Q22" s="210">
        <v>0</v>
      </c>
      <c r="R22" s="210">
        <v>6</v>
      </c>
      <c r="S22" s="210">
        <v>1</v>
      </c>
      <c r="T22" s="210">
        <v>7</v>
      </c>
      <c r="U22" s="210">
        <v>0</v>
      </c>
      <c r="V22" s="210">
        <v>0</v>
      </c>
      <c r="W22" s="210">
        <v>0</v>
      </c>
      <c r="X22" s="210">
        <v>0</v>
      </c>
      <c r="Y22" s="210">
        <v>0</v>
      </c>
      <c r="Z22" s="210">
        <v>0</v>
      </c>
    </row>
    <row r="23" spans="1:26" ht="29.25" customHeight="1">
      <c r="A23" s="453">
        <v>19</v>
      </c>
      <c r="B23" s="208" t="s">
        <v>33</v>
      </c>
      <c r="C23" s="148">
        <v>33762</v>
      </c>
      <c r="D23" s="148">
        <v>22618</v>
      </c>
      <c r="E23" s="148">
        <v>56380</v>
      </c>
      <c r="F23" s="148">
        <v>4385</v>
      </c>
      <c r="G23" s="148">
        <v>2990</v>
      </c>
      <c r="H23" s="148">
        <v>7375</v>
      </c>
      <c r="I23" s="148">
        <v>1962</v>
      </c>
      <c r="J23" s="148">
        <v>1572</v>
      </c>
      <c r="K23" s="148">
        <v>3534</v>
      </c>
      <c r="L23" s="148">
        <v>7697</v>
      </c>
      <c r="M23" s="148">
        <v>5445</v>
      </c>
      <c r="N23" s="148">
        <v>13142</v>
      </c>
      <c r="O23" s="210">
        <v>129</v>
      </c>
      <c r="P23" s="210">
        <v>73</v>
      </c>
      <c r="Q23" s="210">
        <v>202</v>
      </c>
      <c r="R23" s="210">
        <v>406</v>
      </c>
      <c r="S23" s="210">
        <v>292</v>
      </c>
      <c r="T23" s="210">
        <v>698</v>
      </c>
      <c r="U23" s="210">
        <v>187</v>
      </c>
      <c r="V23" s="210">
        <v>559</v>
      </c>
      <c r="W23" s="210">
        <v>746</v>
      </c>
      <c r="X23" s="210">
        <v>263</v>
      </c>
      <c r="Y23" s="210">
        <v>177</v>
      </c>
      <c r="Z23" s="210">
        <v>440</v>
      </c>
    </row>
    <row r="24" spans="1:26" ht="29.25" customHeight="1">
      <c r="A24" s="429">
        <v>20</v>
      </c>
      <c r="B24" s="208" t="s">
        <v>34</v>
      </c>
      <c r="C24" s="148">
        <v>97699</v>
      </c>
      <c r="D24" s="148">
        <v>52067</v>
      </c>
      <c r="E24" s="148">
        <v>149766</v>
      </c>
      <c r="F24" s="148">
        <v>12691</v>
      </c>
      <c r="G24" s="148">
        <v>9277</v>
      </c>
      <c r="H24" s="148">
        <v>21968</v>
      </c>
      <c r="I24" s="148">
        <v>4174</v>
      </c>
      <c r="J24" s="148">
        <v>2429</v>
      </c>
      <c r="K24" s="148">
        <v>6603</v>
      </c>
      <c r="L24" s="148">
        <v>22773</v>
      </c>
      <c r="M24" s="148">
        <v>11233</v>
      </c>
      <c r="N24" s="148">
        <v>34006</v>
      </c>
      <c r="O24" s="210">
        <v>608</v>
      </c>
      <c r="P24" s="210">
        <v>267</v>
      </c>
      <c r="Q24" s="210">
        <v>875</v>
      </c>
      <c r="R24" s="210">
        <v>2145</v>
      </c>
      <c r="S24" s="210">
        <v>1157</v>
      </c>
      <c r="T24" s="210">
        <v>3302</v>
      </c>
      <c r="U24" s="210">
        <v>1227</v>
      </c>
      <c r="V24" s="210">
        <v>1513</v>
      </c>
      <c r="W24" s="210">
        <v>2740</v>
      </c>
      <c r="X24" s="210">
        <v>362</v>
      </c>
      <c r="Y24" s="210">
        <v>168</v>
      </c>
      <c r="Z24" s="210">
        <v>530</v>
      </c>
    </row>
    <row r="25" spans="1:26" ht="29.25" customHeight="1">
      <c r="A25" s="453">
        <v>21</v>
      </c>
      <c r="B25" s="208" t="s">
        <v>35</v>
      </c>
      <c r="C25" s="148">
        <v>2391</v>
      </c>
      <c r="D25" s="148">
        <v>2370</v>
      </c>
      <c r="E25" s="148">
        <v>4761</v>
      </c>
      <c r="F25" s="148">
        <v>92</v>
      </c>
      <c r="G25" s="148">
        <v>62</v>
      </c>
      <c r="H25" s="148">
        <v>154</v>
      </c>
      <c r="I25" s="148">
        <v>375</v>
      </c>
      <c r="J25" s="148">
        <v>543</v>
      </c>
      <c r="K25" s="148">
        <v>918</v>
      </c>
      <c r="L25" s="148">
        <v>274</v>
      </c>
      <c r="M25" s="148">
        <v>281</v>
      </c>
      <c r="N25" s="148">
        <v>555</v>
      </c>
      <c r="O25" s="210">
        <v>3</v>
      </c>
      <c r="P25" s="210">
        <v>9</v>
      </c>
      <c r="Q25" s="210">
        <v>12</v>
      </c>
      <c r="R25" s="210">
        <v>59</v>
      </c>
      <c r="S25" s="210">
        <v>13</v>
      </c>
      <c r="T25" s="210">
        <v>72</v>
      </c>
      <c r="U25" s="210">
        <v>35</v>
      </c>
      <c r="V25" s="210">
        <v>113</v>
      </c>
      <c r="W25" s="210">
        <v>148</v>
      </c>
      <c r="X25" s="210">
        <v>8</v>
      </c>
      <c r="Y25" s="210">
        <v>9</v>
      </c>
      <c r="Z25" s="210">
        <v>17</v>
      </c>
    </row>
    <row r="26" spans="1:26" ht="29.25" customHeight="1">
      <c r="A26" s="429">
        <v>22</v>
      </c>
      <c r="B26" s="208" t="s">
        <v>36</v>
      </c>
      <c r="C26" s="148">
        <v>1090</v>
      </c>
      <c r="D26" s="148">
        <v>1099</v>
      </c>
      <c r="E26" s="148">
        <v>2189</v>
      </c>
      <c r="F26" s="148">
        <v>19</v>
      </c>
      <c r="G26" s="148">
        <v>32</v>
      </c>
      <c r="H26" s="148">
        <v>51</v>
      </c>
      <c r="I26" s="148">
        <v>673</v>
      </c>
      <c r="J26" s="148">
        <v>765</v>
      </c>
      <c r="K26" s="148">
        <v>1438</v>
      </c>
      <c r="L26" s="148">
        <v>16</v>
      </c>
      <c r="M26" s="148">
        <v>34</v>
      </c>
      <c r="N26" s="148">
        <v>50</v>
      </c>
      <c r="O26" s="210">
        <v>3</v>
      </c>
      <c r="P26" s="210">
        <v>2</v>
      </c>
      <c r="Q26" s="210">
        <v>5</v>
      </c>
      <c r="R26" s="210">
        <v>21</v>
      </c>
      <c r="S26" s="210">
        <v>29</v>
      </c>
      <c r="T26" s="210">
        <v>50</v>
      </c>
      <c r="U26" s="210">
        <v>81</v>
      </c>
      <c r="V26" s="210">
        <v>187</v>
      </c>
      <c r="W26" s="210">
        <v>268</v>
      </c>
      <c r="X26" s="210">
        <v>0</v>
      </c>
      <c r="Y26" s="210">
        <v>1</v>
      </c>
      <c r="Z26" s="210">
        <v>1</v>
      </c>
    </row>
    <row r="27" spans="1:26" ht="29.25" customHeight="1">
      <c r="A27" s="453">
        <v>23</v>
      </c>
      <c r="B27" s="208" t="s">
        <v>37</v>
      </c>
      <c r="C27" s="148">
        <v>841</v>
      </c>
      <c r="D27" s="148">
        <v>875</v>
      </c>
      <c r="E27" s="148">
        <v>1716</v>
      </c>
      <c r="F27" s="148">
        <v>7</v>
      </c>
      <c r="G27" s="148">
        <v>3</v>
      </c>
      <c r="H27" s="148">
        <v>10</v>
      </c>
      <c r="I27" s="148">
        <v>642</v>
      </c>
      <c r="J27" s="148">
        <v>747</v>
      </c>
      <c r="K27" s="148">
        <v>1389</v>
      </c>
      <c r="L27" s="148">
        <v>25</v>
      </c>
      <c r="M27" s="148">
        <v>1</v>
      </c>
      <c r="N27" s="148">
        <v>26</v>
      </c>
      <c r="O27" s="210">
        <v>2</v>
      </c>
      <c r="P27" s="210">
        <v>10</v>
      </c>
      <c r="Q27" s="210">
        <v>12</v>
      </c>
      <c r="R27" s="210">
        <v>2</v>
      </c>
      <c r="S27" s="210">
        <v>0</v>
      </c>
      <c r="T27" s="210">
        <v>2</v>
      </c>
      <c r="U27" s="210">
        <v>480</v>
      </c>
      <c r="V27" s="210">
        <v>396</v>
      </c>
      <c r="W27" s="210">
        <v>876</v>
      </c>
      <c r="X27" s="210">
        <v>0</v>
      </c>
      <c r="Y27" s="210">
        <v>0</v>
      </c>
      <c r="Z27" s="210">
        <v>0</v>
      </c>
    </row>
    <row r="28" spans="1:26" ht="29.25" customHeight="1">
      <c r="A28" s="429">
        <v>24</v>
      </c>
      <c r="B28" s="208" t="s">
        <v>38</v>
      </c>
      <c r="C28" s="148">
        <v>1170</v>
      </c>
      <c r="D28" s="148">
        <v>949</v>
      </c>
      <c r="E28" s="148">
        <v>2119</v>
      </c>
      <c r="F28" s="148">
        <v>22</v>
      </c>
      <c r="G28" s="148">
        <v>16</v>
      </c>
      <c r="H28" s="148">
        <v>38</v>
      </c>
      <c r="I28" s="148">
        <v>1010</v>
      </c>
      <c r="J28" s="148">
        <v>846</v>
      </c>
      <c r="K28" s="148">
        <v>1856</v>
      </c>
      <c r="L28" s="148">
        <v>52</v>
      </c>
      <c r="M28" s="148">
        <v>27</v>
      </c>
      <c r="N28" s="148">
        <v>79</v>
      </c>
      <c r="O28" s="210">
        <v>5</v>
      </c>
      <c r="P28" s="210">
        <v>3</v>
      </c>
      <c r="Q28" s="210">
        <v>8</v>
      </c>
      <c r="R28" s="210">
        <v>5</v>
      </c>
      <c r="S28" s="210">
        <v>1</v>
      </c>
      <c r="T28" s="210">
        <v>6</v>
      </c>
      <c r="U28" s="210">
        <v>480</v>
      </c>
      <c r="V28" s="210">
        <v>326</v>
      </c>
      <c r="W28" s="210">
        <v>806</v>
      </c>
      <c r="X28" s="210">
        <v>7</v>
      </c>
      <c r="Y28" s="210">
        <v>8</v>
      </c>
      <c r="Z28" s="210">
        <v>15</v>
      </c>
    </row>
    <row r="29" spans="1:26" ht="29.25" customHeight="1">
      <c r="A29" s="453">
        <v>25</v>
      </c>
      <c r="B29" s="208" t="s">
        <v>39</v>
      </c>
      <c r="C29" s="148">
        <v>16741</v>
      </c>
      <c r="D29" s="148">
        <v>13530</v>
      </c>
      <c r="E29" s="148">
        <v>30271</v>
      </c>
      <c r="F29" s="148">
        <v>1751</v>
      </c>
      <c r="G29" s="148">
        <v>1590</v>
      </c>
      <c r="H29" s="148">
        <v>3341</v>
      </c>
      <c r="I29" s="148">
        <v>1136</v>
      </c>
      <c r="J29" s="148">
        <v>850</v>
      </c>
      <c r="K29" s="148">
        <v>1986</v>
      </c>
      <c r="L29" s="148">
        <v>2794</v>
      </c>
      <c r="M29" s="148">
        <v>1845</v>
      </c>
      <c r="N29" s="148">
        <v>4639</v>
      </c>
      <c r="O29" s="210">
        <v>22</v>
      </c>
      <c r="P29" s="210">
        <v>31</v>
      </c>
      <c r="Q29" s="210">
        <v>53</v>
      </c>
      <c r="R29" s="210">
        <v>58</v>
      </c>
      <c r="S29" s="210">
        <v>42</v>
      </c>
      <c r="T29" s="210">
        <v>100</v>
      </c>
      <c r="U29" s="210">
        <v>35</v>
      </c>
      <c r="V29" s="210">
        <v>88</v>
      </c>
      <c r="W29" s="210">
        <v>123</v>
      </c>
      <c r="X29" s="210">
        <v>77</v>
      </c>
      <c r="Y29" s="210">
        <v>32</v>
      </c>
      <c r="Z29" s="210">
        <v>109</v>
      </c>
    </row>
    <row r="30" spans="1:26" ht="29.25" customHeight="1">
      <c r="A30" s="429">
        <v>26</v>
      </c>
      <c r="B30" s="208" t="s">
        <v>40</v>
      </c>
      <c r="C30" s="148">
        <v>4552</v>
      </c>
      <c r="D30" s="148">
        <v>7189</v>
      </c>
      <c r="E30" s="148">
        <v>11741</v>
      </c>
      <c r="F30" s="148">
        <v>1032</v>
      </c>
      <c r="G30" s="148">
        <v>2368</v>
      </c>
      <c r="H30" s="148">
        <v>3400</v>
      </c>
      <c r="I30" s="148">
        <v>44</v>
      </c>
      <c r="J30" s="148">
        <v>46</v>
      </c>
      <c r="K30" s="148">
        <v>90</v>
      </c>
      <c r="L30" s="148">
        <v>2471</v>
      </c>
      <c r="M30" s="148">
        <v>3488</v>
      </c>
      <c r="N30" s="148">
        <v>5959</v>
      </c>
      <c r="O30" s="210">
        <v>36</v>
      </c>
      <c r="P30" s="210">
        <v>19</v>
      </c>
      <c r="Q30" s="210">
        <v>55</v>
      </c>
      <c r="R30" s="210">
        <v>30</v>
      </c>
      <c r="S30" s="210">
        <v>33</v>
      </c>
      <c r="T30" s="210">
        <v>63</v>
      </c>
      <c r="U30" s="210">
        <v>77</v>
      </c>
      <c r="V30" s="210">
        <v>220</v>
      </c>
      <c r="W30" s="210">
        <v>297</v>
      </c>
      <c r="X30" s="210">
        <v>2</v>
      </c>
      <c r="Y30" s="210">
        <v>0</v>
      </c>
      <c r="Z30" s="210">
        <v>2</v>
      </c>
    </row>
    <row r="31" spans="1:26" ht="29.25" customHeight="1">
      <c r="A31" s="453">
        <v>27</v>
      </c>
      <c r="B31" s="208" t="s">
        <v>41</v>
      </c>
      <c r="C31" s="148">
        <v>26578</v>
      </c>
      <c r="D31" s="148">
        <v>21130</v>
      </c>
      <c r="E31" s="148">
        <v>47708</v>
      </c>
      <c r="F31" s="148">
        <v>5844</v>
      </c>
      <c r="G31" s="148">
        <v>5363</v>
      </c>
      <c r="H31" s="148">
        <v>11207</v>
      </c>
      <c r="I31" s="148">
        <v>123</v>
      </c>
      <c r="J31" s="148">
        <v>55</v>
      </c>
      <c r="K31" s="148">
        <v>178</v>
      </c>
      <c r="L31" s="148">
        <v>1767</v>
      </c>
      <c r="M31" s="148">
        <v>1625</v>
      </c>
      <c r="N31" s="148">
        <v>3392</v>
      </c>
      <c r="O31" s="210">
        <v>118</v>
      </c>
      <c r="P31" s="210">
        <v>81</v>
      </c>
      <c r="Q31" s="210">
        <v>199</v>
      </c>
      <c r="R31" s="210">
        <v>64</v>
      </c>
      <c r="S31" s="210">
        <v>41</v>
      </c>
      <c r="T31" s="210">
        <v>105</v>
      </c>
      <c r="U31" s="210">
        <v>2959</v>
      </c>
      <c r="V31" s="210">
        <v>1674</v>
      </c>
      <c r="W31" s="210">
        <v>4633</v>
      </c>
      <c r="X31" s="210">
        <v>40</v>
      </c>
      <c r="Y31" s="210">
        <v>60</v>
      </c>
      <c r="Z31" s="210">
        <v>100</v>
      </c>
    </row>
    <row r="32" spans="1:26" ht="29.25" customHeight="1">
      <c r="A32" s="429">
        <v>28</v>
      </c>
      <c r="B32" s="208" t="s">
        <v>42</v>
      </c>
      <c r="C32" s="148">
        <v>36652</v>
      </c>
      <c r="D32" s="148">
        <v>18918</v>
      </c>
      <c r="E32" s="148">
        <v>55570</v>
      </c>
      <c r="F32" s="148">
        <v>4752</v>
      </c>
      <c r="G32" s="148">
        <v>3219</v>
      </c>
      <c r="H32" s="148">
        <v>7971</v>
      </c>
      <c r="I32" s="148">
        <v>2438</v>
      </c>
      <c r="J32" s="148">
        <v>1539</v>
      </c>
      <c r="K32" s="148">
        <v>3977</v>
      </c>
      <c r="L32" s="148">
        <v>10158</v>
      </c>
      <c r="M32" s="148">
        <v>5761</v>
      </c>
      <c r="N32" s="148">
        <v>15919</v>
      </c>
      <c r="O32" s="210">
        <v>99</v>
      </c>
      <c r="P32" s="210">
        <v>51</v>
      </c>
      <c r="Q32" s="210">
        <v>150</v>
      </c>
      <c r="R32" s="210">
        <v>663</v>
      </c>
      <c r="S32" s="210">
        <v>349</v>
      </c>
      <c r="T32" s="210">
        <v>1012</v>
      </c>
      <c r="U32" s="210">
        <v>296</v>
      </c>
      <c r="V32" s="210">
        <v>242</v>
      </c>
      <c r="W32" s="210">
        <v>538</v>
      </c>
      <c r="X32" s="210">
        <v>245</v>
      </c>
      <c r="Y32" s="210">
        <v>181</v>
      </c>
      <c r="Z32" s="210">
        <v>426</v>
      </c>
    </row>
    <row r="33" spans="1:26" ht="29.25" customHeight="1">
      <c r="A33" s="453">
        <v>29</v>
      </c>
      <c r="B33" s="208" t="s">
        <v>43</v>
      </c>
      <c r="C33" s="148">
        <v>658</v>
      </c>
      <c r="D33" s="148">
        <v>542</v>
      </c>
      <c r="E33" s="148">
        <v>1200</v>
      </c>
      <c r="F33" s="148">
        <v>45</v>
      </c>
      <c r="G33" s="148">
        <v>32</v>
      </c>
      <c r="H33" s="148">
        <v>77</v>
      </c>
      <c r="I33" s="148">
        <v>127</v>
      </c>
      <c r="J33" s="148">
        <v>151</v>
      </c>
      <c r="K33" s="148">
        <v>278</v>
      </c>
      <c r="L33" s="148">
        <v>178</v>
      </c>
      <c r="M33" s="148">
        <v>127</v>
      </c>
      <c r="N33" s="148">
        <v>305</v>
      </c>
      <c r="O33" s="210">
        <v>2</v>
      </c>
      <c r="P33" s="210">
        <v>1</v>
      </c>
      <c r="Q33" s="210">
        <v>3</v>
      </c>
      <c r="R33" s="210">
        <v>1</v>
      </c>
      <c r="S33" s="210">
        <v>0</v>
      </c>
      <c r="T33" s="210">
        <v>1</v>
      </c>
      <c r="U33" s="210">
        <v>24</v>
      </c>
      <c r="V33" s="210">
        <v>27</v>
      </c>
      <c r="W33" s="210">
        <v>51</v>
      </c>
      <c r="X33" s="210">
        <v>0</v>
      </c>
      <c r="Y33" s="210">
        <v>0</v>
      </c>
      <c r="Z33" s="210">
        <v>0</v>
      </c>
    </row>
    <row r="34" spans="1:26" ht="29.25" customHeight="1">
      <c r="A34" s="429">
        <v>30</v>
      </c>
      <c r="B34" s="208" t="s">
        <v>44</v>
      </c>
      <c r="C34" s="148">
        <v>63638</v>
      </c>
      <c r="D34" s="148">
        <v>91070</v>
      </c>
      <c r="E34" s="148">
        <v>154708</v>
      </c>
      <c r="F34" s="148">
        <v>10369</v>
      </c>
      <c r="G34" s="148">
        <v>15200</v>
      </c>
      <c r="H34" s="148">
        <v>25569</v>
      </c>
      <c r="I34" s="148">
        <v>671</v>
      </c>
      <c r="J34" s="148">
        <v>964</v>
      </c>
      <c r="K34" s="148">
        <v>1635</v>
      </c>
      <c r="L34" s="148">
        <v>37320</v>
      </c>
      <c r="M34" s="148">
        <v>39199</v>
      </c>
      <c r="N34" s="148">
        <v>76519</v>
      </c>
      <c r="O34" s="210">
        <v>385</v>
      </c>
      <c r="P34" s="210">
        <v>283</v>
      </c>
      <c r="Q34" s="210">
        <v>668</v>
      </c>
      <c r="R34" s="210">
        <v>927</v>
      </c>
      <c r="S34" s="210">
        <v>808</v>
      </c>
      <c r="T34" s="210">
        <v>1735</v>
      </c>
      <c r="U34" s="210">
        <v>3101</v>
      </c>
      <c r="V34" s="210">
        <v>4954</v>
      </c>
      <c r="W34" s="210">
        <v>8055</v>
      </c>
      <c r="X34" s="210">
        <v>275</v>
      </c>
      <c r="Y34" s="210">
        <v>257</v>
      </c>
      <c r="Z34" s="210">
        <v>532</v>
      </c>
    </row>
    <row r="35" spans="1:26" ht="29.25" customHeight="1">
      <c r="A35" s="453">
        <v>31</v>
      </c>
      <c r="B35" s="208" t="s">
        <v>131</v>
      </c>
      <c r="C35" s="148">
        <v>24735</v>
      </c>
      <c r="D35" s="148">
        <v>26767</v>
      </c>
      <c r="E35" s="148">
        <v>51502</v>
      </c>
      <c r="F35" s="148">
        <v>3932</v>
      </c>
      <c r="G35" s="148">
        <v>5107</v>
      </c>
      <c r="H35" s="148">
        <v>9039</v>
      </c>
      <c r="I35" s="148">
        <v>1326</v>
      </c>
      <c r="J35" s="148">
        <v>1771</v>
      </c>
      <c r="K35" s="148">
        <v>3097</v>
      </c>
      <c r="L35" s="148">
        <v>8896</v>
      </c>
      <c r="M35" s="148">
        <v>8839</v>
      </c>
      <c r="N35" s="148">
        <v>17735</v>
      </c>
      <c r="O35" s="210">
        <v>122</v>
      </c>
      <c r="P35" s="210">
        <v>128</v>
      </c>
      <c r="Q35" s="210">
        <v>250</v>
      </c>
      <c r="R35" s="210">
        <v>1581</v>
      </c>
      <c r="S35" s="210">
        <v>1417</v>
      </c>
      <c r="T35" s="210">
        <v>2998</v>
      </c>
      <c r="U35" s="210">
        <v>143</v>
      </c>
      <c r="V35" s="210">
        <v>892</v>
      </c>
      <c r="W35" s="210">
        <v>1035</v>
      </c>
      <c r="X35" s="210">
        <v>238</v>
      </c>
      <c r="Y35" s="210">
        <v>568</v>
      </c>
      <c r="Z35" s="210">
        <v>806</v>
      </c>
    </row>
    <row r="36" spans="1:26" ht="33.75" customHeight="1">
      <c r="A36" s="429">
        <v>32</v>
      </c>
      <c r="B36" s="208" t="s">
        <v>1062</v>
      </c>
      <c r="C36" s="148">
        <v>146</v>
      </c>
      <c r="D36" s="148">
        <v>198</v>
      </c>
      <c r="E36" s="148">
        <v>344</v>
      </c>
      <c r="F36" s="148">
        <v>10</v>
      </c>
      <c r="G36" s="148">
        <v>12</v>
      </c>
      <c r="H36" s="148">
        <v>22</v>
      </c>
      <c r="I36" s="148">
        <v>40</v>
      </c>
      <c r="J36" s="148">
        <v>61</v>
      </c>
      <c r="K36" s="148">
        <v>101</v>
      </c>
      <c r="L36" s="148">
        <v>11</v>
      </c>
      <c r="M36" s="148">
        <v>22</v>
      </c>
      <c r="N36" s="148">
        <v>33</v>
      </c>
      <c r="O36" s="210">
        <v>0</v>
      </c>
      <c r="P36" s="210">
        <v>1</v>
      </c>
      <c r="Q36" s="210">
        <v>1</v>
      </c>
      <c r="R36" s="210">
        <v>3</v>
      </c>
      <c r="S36" s="210">
        <v>2</v>
      </c>
      <c r="T36" s="210">
        <v>5</v>
      </c>
      <c r="U36" s="210">
        <v>10</v>
      </c>
      <c r="V36" s="210">
        <v>16</v>
      </c>
      <c r="W36" s="210">
        <v>26</v>
      </c>
      <c r="X36" s="210">
        <v>0</v>
      </c>
      <c r="Y36" s="210">
        <v>0</v>
      </c>
      <c r="Z36" s="210">
        <v>0</v>
      </c>
    </row>
    <row r="37" spans="1:26" ht="25.5" customHeight="1">
      <c r="A37" s="453">
        <v>33</v>
      </c>
      <c r="B37" s="208" t="s">
        <v>45</v>
      </c>
      <c r="C37" s="148">
        <v>1450</v>
      </c>
      <c r="D37" s="148">
        <v>1564</v>
      </c>
      <c r="E37" s="148">
        <v>3014</v>
      </c>
      <c r="F37" s="148">
        <v>240</v>
      </c>
      <c r="G37" s="148">
        <v>291</v>
      </c>
      <c r="H37" s="148">
        <v>531</v>
      </c>
      <c r="I37" s="148">
        <v>276</v>
      </c>
      <c r="J37" s="148">
        <v>337</v>
      </c>
      <c r="K37" s="148">
        <v>613</v>
      </c>
      <c r="L37" s="148">
        <v>168</v>
      </c>
      <c r="M37" s="148">
        <v>93</v>
      </c>
      <c r="N37" s="148">
        <v>261</v>
      </c>
      <c r="O37" s="210">
        <v>15</v>
      </c>
      <c r="P37" s="210">
        <v>11</v>
      </c>
      <c r="Q37" s="210">
        <v>26</v>
      </c>
      <c r="R37" s="210">
        <v>13</v>
      </c>
      <c r="S37" s="210">
        <v>18</v>
      </c>
      <c r="T37" s="210">
        <v>31</v>
      </c>
      <c r="U37" s="210">
        <v>8</v>
      </c>
      <c r="V37" s="210">
        <v>11</v>
      </c>
      <c r="W37" s="210">
        <v>19</v>
      </c>
      <c r="X37" s="210">
        <v>0</v>
      </c>
      <c r="Y37" s="210">
        <v>0</v>
      </c>
      <c r="Z37" s="210">
        <v>0</v>
      </c>
    </row>
    <row r="38" spans="1:26" ht="25.5" customHeight="1">
      <c r="A38" s="429">
        <v>34</v>
      </c>
      <c r="B38" s="208" t="s">
        <v>47</v>
      </c>
      <c r="C38" s="148">
        <v>79325</v>
      </c>
      <c r="D38" s="148">
        <v>40173</v>
      </c>
      <c r="E38" s="148">
        <v>119498</v>
      </c>
      <c r="F38" s="148">
        <v>12259</v>
      </c>
      <c r="G38" s="148">
        <v>8093</v>
      </c>
      <c r="H38" s="148">
        <v>20352</v>
      </c>
      <c r="I38" s="148">
        <v>1046</v>
      </c>
      <c r="J38" s="148">
        <v>756</v>
      </c>
      <c r="K38" s="148">
        <v>1802</v>
      </c>
      <c r="L38" s="148">
        <v>22696</v>
      </c>
      <c r="M38" s="148">
        <v>11149</v>
      </c>
      <c r="N38" s="148">
        <v>33845</v>
      </c>
      <c r="O38" s="210">
        <v>337</v>
      </c>
      <c r="P38" s="210">
        <v>230</v>
      </c>
      <c r="Q38" s="210">
        <v>567</v>
      </c>
      <c r="R38" s="210">
        <v>7104</v>
      </c>
      <c r="S38" s="210">
        <v>2154</v>
      </c>
      <c r="T38" s="210">
        <v>9258</v>
      </c>
      <c r="U38" s="210">
        <v>355</v>
      </c>
      <c r="V38" s="210">
        <v>542</v>
      </c>
      <c r="W38" s="210">
        <v>897</v>
      </c>
      <c r="X38" s="210">
        <v>112</v>
      </c>
      <c r="Y38" s="210">
        <v>103</v>
      </c>
      <c r="Z38" s="210">
        <v>215</v>
      </c>
    </row>
    <row r="39" spans="1:26" ht="25.5" customHeight="1">
      <c r="A39" s="453">
        <v>35</v>
      </c>
      <c r="B39" s="208" t="s">
        <v>46</v>
      </c>
      <c r="C39" s="148">
        <v>12180</v>
      </c>
      <c r="D39" s="148">
        <v>7438</v>
      </c>
      <c r="E39" s="148">
        <v>19618</v>
      </c>
      <c r="F39" s="148">
        <v>1554</v>
      </c>
      <c r="G39" s="148">
        <v>1045</v>
      </c>
      <c r="H39" s="148">
        <v>2599</v>
      </c>
      <c r="I39" s="148">
        <v>219</v>
      </c>
      <c r="J39" s="148">
        <v>237</v>
      </c>
      <c r="K39" s="148">
        <v>456</v>
      </c>
      <c r="L39" s="148">
        <v>1221</v>
      </c>
      <c r="M39" s="148">
        <v>842</v>
      </c>
      <c r="N39" s="148">
        <v>2063</v>
      </c>
      <c r="O39" s="210">
        <v>28</v>
      </c>
      <c r="P39" s="210">
        <v>11</v>
      </c>
      <c r="Q39" s="210">
        <v>39</v>
      </c>
      <c r="R39" s="210">
        <v>147</v>
      </c>
      <c r="S39" s="210">
        <v>80</v>
      </c>
      <c r="T39" s="210">
        <v>227</v>
      </c>
      <c r="U39" s="210">
        <v>41</v>
      </c>
      <c r="V39" s="210">
        <v>70</v>
      </c>
      <c r="W39" s="210">
        <v>111</v>
      </c>
      <c r="X39" s="210">
        <v>14</v>
      </c>
      <c r="Y39" s="210">
        <v>44</v>
      </c>
      <c r="Z39" s="210">
        <v>58</v>
      </c>
    </row>
    <row r="40" spans="1:26" ht="25.5" customHeight="1">
      <c r="A40" s="429">
        <v>36</v>
      </c>
      <c r="B40" s="208" t="s">
        <v>48</v>
      </c>
      <c r="C40" s="148">
        <v>24252</v>
      </c>
      <c r="D40" s="148">
        <v>11633</v>
      </c>
      <c r="E40" s="148">
        <v>35885</v>
      </c>
      <c r="F40" s="148">
        <v>3720</v>
      </c>
      <c r="G40" s="148">
        <v>1343</v>
      </c>
      <c r="H40" s="148">
        <v>5063</v>
      </c>
      <c r="I40" s="148">
        <v>882</v>
      </c>
      <c r="J40" s="148">
        <v>490</v>
      </c>
      <c r="K40" s="148">
        <v>1372</v>
      </c>
      <c r="L40" s="148">
        <v>1981</v>
      </c>
      <c r="M40" s="148">
        <v>870</v>
      </c>
      <c r="N40" s="148">
        <v>2851</v>
      </c>
      <c r="O40" s="210">
        <v>81</v>
      </c>
      <c r="P40" s="210">
        <v>21</v>
      </c>
      <c r="Q40" s="210">
        <v>102</v>
      </c>
      <c r="R40" s="210">
        <v>1004</v>
      </c>
      <c r="S40" s="210">
        <v>565</v>
      </c>
      <c r="T40" s="210">
        <v>1569</v>
      </c>
      <c r="U40" s="210">
        <v>201</v>
      </c>
      <c r="V40" s="210">
        <v>131</v>
      </c>
      <c r="W40" s="210">
        <v>332</v>
      </c>
      <c r="X40" s="210">
        <v>96</v>
      </c>
      <c r="Y40" s="210">
        <v>63</v>
      </c>
      <c r="Z40" s="210">
        <v>159</v>
      </c>
    </row>
    <row r="41" spans="1:26" s="240" customFormat="1" ht="25.5" customHeight="1">
      <c r="A41" s="1112" t="s">
        <v>49</v>
      </c>
      <c r="B41" s="1113"/>
      <c r="C41" s="115">
        <v>680525</v>
      </c>
      <c r="D41" s="115">
        <v>527921</v>
      </c>
      <c r="E41" s="115">
        <v>1208446</v>
      </c>
      <c r="F41" s="115">
        <v>95431</v>
      </c>
      <c r="G41" s="115">
        <v>86445</v>
      </c>
      <c r="H41" s="115">
        <v>181876</v>
      </c>
      <c r="I41" s="115">
        <v>30162</v>
      </c>
      <c r="J41" s="115">
        <v>26407</v>
      </c>
      <c r="K41" s="115">
        <v>56569</v>
      </c>
      <c r="L41" s="115">
        <v>193474</v>
      </c>
      <c r="M41" s="115">
        <v>151694</v>
      </c>
      <c r="N41" s="115">
        <v>345168</v>
      </c>
      <c r="O41" s="245">
        <v>3194</v>
      </c>
      <c r="P41" s="245">
        <v>2082</v>
      </c>
      <c r="Q41" s="245">
        <v>5276</v>
      </c>
      <c r="R41" s="245">
        <v>26772</v>
      </c>
      <c r="S41" s="245">
        <v>15185</v>
      </c>
      <c r="T41" s="245">
        <v>41957</v>
      </c>
      <c r="U41" s="245">
        <v>15386</v>
      </c>
      <c r="V41" s="245">
        <v>21451</v>
      </c>
      <c r="W41" s="245">
        <v>36837</v>
      </c>
      <c r="X41" s="245">
        <v>3299</v>
      </c>
      <c r="Y41" s="245">
        <v>2995</v>
      </c>
      <c r="Z41" s="245">
        <v>6294</v>
      </c>
    </row>
    <row r="42" spans="1:26">
      <c r="A42" s="306"/>
    </row>
    <row r="43" spans="1:26">
      <c r="A43" s="454"/>
    </row>
  </sheetData>
  <mergeCells count="13">
    <mergeCell ref="A2:A3"/>
    <mergeCell ref="A41:B41"/>
    <mergeCell ref="B2:B3"/>
    <mergeCell ref="C1:N1"/>
    <mergeCell ref="O1:Z1"/>
    <mergeCell ref="C2:E2"/>
    <mergeCell ref="F2:H2"/>
    <mergeCell ref="I2:K2"/>
    <mergeCell ref="L2:N2"/>
    <mergeCell ref="O2:Q2"/>
    <mergeCell ref="R2:T2"/>
    <mergeCell ref="U2:W2"/>
    <mergeCell ref="X2:Z2"/>
  </mergeCells>
  <pageMargins left="0.39" right="0.19685039370078741" top="0.55118110236220474" bottom="0.5" header="0.31496062992125984" footer="0.31496062992125984"/>
  <pageSetup paperSize="9" scale="65" firstPageNumber="24" orientation="portrait" useFirstPageNumber="1" r:id="rId1"/>
  <headerFooter>
    <oddFooter>&amp;L&amp;"Arial,Italic"&amp;9AISHE 2021-22&amp;CT-24a</oddFooter>
  </headerFooter>
  <colBreaks count="1" manualBreakCount="1">
    <brk id="14" max="39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L42"/>
  <sheetViews>
    <sheetView view="pageBreakPreview" zoomScaleSheetLayoutView="100" workbookViewId="0">
      <pane ySplit="4" topLeftCell="A5" activePane="bottomLeft" state="frozen"/>
      <selection activeCell="F15" sqref="F15"/>
      <selection pane="bottomLeft" activeCell="F15" sqref="F15"/>
    </sheetView>
  </sheetViews>
  <sheetFormatPr defaultRowHeight="15"/>
  <cols>
    <col min="1" max="1" width="6.7109375" style="455" customWidth="1"/>
    <col min="2" max="2" width="26.28515625" style="228" customWidth="1"/>
    <col min="3" max="8" width="15.28515625" style="228" customWidth="1"/>
    <col min="9" max="251" width="9.28515625" style="228"/>
    <col min="252" max="252" width="5.28515625" style="228" customWidth="1"/>
    <col min="253" max="253" width="22.5703125" style="228" customWidth="1"/>
    <col min="254" max="254" width="17.7109375" style="228" customWidth="1"/>
    <col min="255" max="255" width="19" style="228" customWidth="1"/>
    <col min="256" max="256" width="22.28515625" style="228" customWidth="1"/>
    <col min="257" max="507" width="9.28515625" style="228"/>
    <col min="508" max="508" width="5.28515625" style="228" customWidth="1"/>
    <col min="509" max="509" width="22.5703125" style="228" customWidth="1"/>
    <col min="510" max="510" width="17.7109375" style="228" customWidth="1"/>
    <col min="511" max="511" width="19" style="228" customWidth="1"/>
    <col min="512" max="512" width="22.28515625" style="228" customWidth="1"/>
    <col min="513" max="763" width="9.28515625" style="228"/>
    <col min="764" max="764" width="5.28515625" style="228" customWidth="1"/>
    <col min="765" max="765" width="22.5703125" style="228" customWidth="1"/>
    <col min="766" max="766" width="17.7109375" style="228" customWidth="1"/>
    <col min="767" max="767" width="19" style="228" customWidth="1"/>
    <col min="768" max="768" width="22.28515625" style="228" customWidth="1"/>
    <col min="769" max="1019" width="9.28515625" style="228"/>
    <col min="1020" max="1020" width="5.28515625" style="228" customWidth="1"/>
    <col min="1021" max="1021" width="22.5703125" style="228" customWidth="1"/>
    <col min="1022" max="1022" width="17.7109375" style="228" customWidth="1"/>
    <col min="1023" max="1023" width="19" style="228" customWidth="1"/>
    <col min="1024" max="1024" width="22.28515625" style="228" customWidth="1"/>
    <col min="1025" max="1275" width="9.28515625" style="228"/>
    <col min="1276" max="1276" width="5.28515625" style="228" customWidth="1"/>
    <col min="1277" max="1277" width="22.5703125" style="228" customWidth="1"/>
    <col min="1278" max="1278" width="17.7109375" style="228" customWidth="1"/>
    <col min="1279" max="1279" width="19" style="228" customWidth="1"/>
    <col min="1280" max="1280" width="22.28515625" style="228" customWidth="1"/>
    <col min="1281" max="1531" width="9.28515625" style="228"/>
    <col min="1532" max="1532" width="5.28515625" style="228" customWidth="1"/>
    <col min="1533" max="1533" width="22.5703125" style="228" customWidth="1"/>
    <col min="1534" max="1534" width="17.7109375" style="228" customWidth="1"/>
    <col min="1535" max="1535" width="19" style="228" customWidth="1"/>
    <col min="1536" max="1536" width="22.28515625" style="228" customWidth="1"/>
    <col min="1537" max="1787" width="9.28515625" style="228"/>
    <col min="1788" max="1788" width="5.28515625" style="228" customWidth="1"/>
    <col min="1789" max="1789" width="22.5703125" style="228" customWidth="1"/>
    <col min="1790" max="1790" width="17.7109375" style="228" customWidth="1"/>
    <col min="1791" max="1791" width="19" style="228" customWidth="1"/>
    <col min="1792" max="1792" width="22.28515625" style="228" customWidth="1"/>
    <col min="1793" max="2043" width="9.28515625" style="228"/>
    <col min="2044" max="2044" width="5.28515625" style="228" customWidth="1"/>
    <col min="2045" max="2045" width="22.5703125" style="228" customWidth="1"/>
    <col min="2046" max="2046" width="17.7109375" style="228" customWidth="1"/>
    <col min="2047" max="2047" width="19" style="228" customWidth="1"/>
    <col min="2048" max="2048" width="22.28515625" style="228" customWidth="1"/>
    <col min="2049" max="2299" width="9.28515625" style="228"/>
    <col min="2300" max="2300" width="5.28515625" style="228" customWidth="1"/>
    <col min="2301" max="2301" width="22.5703125" style="228" customWidth="1"/>
    <col min="2302" max="2302" width="17.7109375" style="228" customWidth="1"/>
    <col min="2303" max="2303" width="19" style="228" customWidth="1"/>
    <col min="2304" max="2304" width="22.28515625" style="228" customWidth="1"/>
    <col min="2305" max="2555" width="9.28515625" style="228"/>
    <col min="2556" max="2556" width="5.28515625" style="228" customWidth="1"/>
    <col min="2557" max="2557" width="22.5703125" style="228" customWidth="1"/>
    <col min="2558" max="2558" width="17.7109375" style="228" customWidth="1"/>
    <col min="2559" max="2559" width="19" style="228" customWidth="1"/>
    <col min="2560" max="2560" width="22.28515625" style="228" customWidth="1"/>
    <col min="2561" max="2811" width="9.28515625" style="228"/>
    <col min="2812" max="2812" width="5.28515625" style="228" customWidth="1"/>
    <col min="2813" max="2813" width="22.5703125" style="228" customWidth="1"/>
    <col min="2814" max="2814" width="17.7109375" style="228" customWidth="1"/>
    <col min="2815" max="2815" width="19" style="228" customWidth="1"/>
    <col min="2816" max="2816" width="22.28515625" style="228" customWidth="1"/>
    <col min="2817" max="3067" width="9.28515625" style="228"/>
    <col min="3068" max="3068" width="5.28515625" style="228" customWidth="1"/>
    <col min="3069" max="3069" width="22.5703125" style="228" customWidth="1"/>
    <col min="3070" max="3070" width="17.7109375" style="228" customWidth="1"/>
    <col min="3071" max="3071" width="19" style="228" customWidth="1"/>
    <col min="3072" max="3072" width="22.28515625" style="228" customWidth="1"/>
    <col min="3073" max="3323" width="9.28515625" style="228"/>
    <col min="3324" max="3324" width="5.28515625" style="228" customWidth="1"/>
    <col min="3325" max="3325" width="22.5703125" style="228" customWidth="1"/>
    <col min="3326" max="3326" width="17.7109375" style="228" customWidth="1"/>
    <col min="3327" max="3327" width="19" style="228" customWidth="1"/>
    <col min="3328" max="3328" width="22.28515625" style="228" customWidth="1"/>
    <col min="3329" max="3579" width="9.28515625" style="228"/>
    <col min="3580" max="3580" width="5.28515625" style="228" customWidth="1"/>
    <col min="3581" max="3581" width="22.5703125" style="228" customWidth="1"/>
    <col min="3582" max="3582" width="17.7109375" style="228" customWidth="1"/>
    <col min="3583" max="3583" width="19" style="228" customWidth="1"/>
    <col min="3584" max="3584" width="22.28515625" style="228" customWidth="1"/>
    <col min="3585" max="3835" width="9.28515625" style="228"/>
    <col min="3836" max="3836" width="5.28515625" style="228" customWidth="1"/>
    <col min="3837" max="3837" width="22.5703125" style="228" customWidth="1"/>
    <col min="3838" max="3838" width="17.7109375" style="228" customWidth="1"/>
    <col min="3839" max="3839" width="19" style="228" customWidth="1"/>
    <col min="3840" max="3840" width="22.28515625" style="228" customWidth="1"/>
    <col min="3841" max="4091" width="9.28515625" style="228"/>
    <col min="4092" max="4092" width="5.28515625" style="228" customWidth="1"/>
    <col min="4093" max="4093" width="22.5703125" style="228" customWidth="1"/>
    <col min="4094" max="4094" width="17.7109375" style="228" customWidth="1"/>
    <col min="4095" max="4095" width="19" style="228" customWidth="1"/>
    <col min="4096" max="4096" width="22.28515625" style="228" customWidth="1"/>
    <col min="4097" max="4347" width="9.28515625" style="228"/>
    <col min="4348" max="4348" width="5.28515625" style="228" customWidth="1"/>
    <col min="4349" max="4349" width="22.5703125" style="228" customWidth="1"/>
    <col min="4350" max="4350" width="17.7109375" style="228" customWidth="1"/>
    <col min="4351" max="4351" width="19" style="228" customWidth="1"/>
    <col min="4352" max="4352" width="22.28515625" style="228" customWidth="1"/>
    <col min="4353" max="4603" width="9.28515625" style="228"/>
    <col min="4604" max="4604" width="5.28515625" style="228" customWidth="1"/>
    <col min="4605" max="4605" width="22.5703125" style="228" customWidth="1"/>
    <col min="4606" max="4606" width="17.7109375" style="228" customWidth="1"/>
    <col min="4607" max="4607" width="19" style="228" customWidth="1"/>
    <col min="4608" max="4608" width="22.28515625" style="228" customWidth="1"/>
    <col min="4609" max="4859" width="9.28515625" style="228"/>
    <col min="4860" max="4860" width="5.28515625" style="228" customWidth="1"/>
    <col min="4861" max="4861" width="22.5703125" style="228" customWidth="1"/>
    <col min="4862" max="4862" width="17.7109375" style="228" customWidth="1"/>
    <col min="4863" max="4863" width="19" style="228" customWidth="1"/>
    <col min="4864" max="4864" width="22.28515625" style="228" customWidth="1"/>
    <col min="4865" max="5115" width="9.28515625" style="228"/>
    <col min="5116" max="5116" width="5.28515625" style="228" customWidth="1"/>
    <col min="5117" max="5117" width="22.5703125" style="228" customWidth="1"/>
    <col min="5118" max="5118" width="17.7109375" style="228" customWidth="1"/>
    <col min="5119" max="5119" width="19" style="228" customWidth="1"/>
    <col min="5120" max="5120" width="22.28515625" style="228" customWidth="1"/>
    <col min="5121" max="5371" width="9.28515625" style="228"/>
    <col min="5372" max="5372" width="5.28515625" style="228" customWidth="1"/>
    <col min="5373" max="5373" width="22.5703125" style="228" customWidth="1"/>
    <col min="5374" max="5374" width="17.7109375" style="228" customWidth="1"/>
    <col min="5375" max="5375" width="19" style="228" customWidth="1"/>
    <col min="5376" max="5376" width="22.28515625" style="228" customWidth="1"/>
    <col min="5377" max="5627" width="9.28515625" style="228"/>
    <col min="5628" max="5628" width="5.28515625" style="228" customWidth="1"/>
    <col min="5629" max="5629" width="22.5703125" style="228" customWidth="1"/>
    <col min="5630" max="5630" width="17.7109375" style="228" customWidth="1"/>
    <col min="5631" max="5631" width="19" style="228" customWidth="1"/>
    <col min="5632" max="5632" width="22.28515625" style="228" customWidth="1"/>
    <col min="5633" max="5883" width="9.28515625" style="228"/>
    <col min="5884" max="5884" width="5.28515625" style="228" customWidth="1"/>
    <col min="5885" max="5885" width="22.5703125" style="228" customWidth="1"/>
    <col min="5886" max="5886" width="17.7109375" style="228" customWidth="1"/>
    <col min="5887" max="5887" width="19" style="228" customWidth="1"/>
    <col min="5888" max="5888" width="22.28515625" style="228" customWidth="1"/>
    <col min="5889" max="6139" width="9.28515625" style="228"/>
    <col min="6140" max="6140" width="5.28515625" style="228" customWidth="1"/>
    <col min="6141" max="6141" width="22.5703125" style="228" customWidth="1"/>
    <col min="6142" max="6142" width="17.7109375" style="228" customWidth="1"/>
    <col min="6143" max="6143" width="19" style="228" customWidth="1"/>
    <col min="6144" max="6144" width="22.28515625" style="228" customWidth="1"/>
    <col min="6145" max="6395" width="9.28515625" style="228"/>
    <col min="6396" max="6396" width="5.28515625" style="228" customWidth="1"/>
    <col min="6397" max="6397" width="22.5703125" style="228" customWidth="1"/>
    <col min="6398" max="6398" width="17.7109375" style="228" customWidth="1"/>
    <col min="6399" max="6399" width="19" style="228" customWidth="1"/>
    <col min="6400" max="6400" width="22.28515625" style="228" customWidth="1"/>
    <col min="6401" max="6651" width="9.28515625" style="228"/>
    <col min="6652" max="6652" width="5.28515625" style="228" customWidth="1"/>
    <col min="6653" max="6653" width="22.5703125" style="228" customWidth="1"/>
    <col min="6654" max="6654" width="17.7109375" style="228" customWidth="1"/>
    <col min="6655" max="6655" width="19" style="228" customWidth="1"/>
    <col min="6656" max="6656" width="22.28515625" style="228" customWidth="1"/>
    <col min="6657" max="6907" width="9.28515625" style="228"/>
    <col min="6908" max="6908" width="5.28515625" style="228" customWidth="1"/>
    <col min="6909" max="6909" width="22.5703125" style="228" customWidth="1"/>
    <col min="6910" max="6910" width="17.7109375" style="228" customWidth="1"/>
    <col min="6911" max="6911" width="19" style="228" customWidth="1"/>
    <col min="6912" max="6912" width="22.28515625" style="228" customWidth="1"/>
    <col min="6913" max="7163" width="9.28515625" style="228"/>
    <col min="7164" max="7164" width="5.28515625" style="228" customWidth="1"/>
    <col min="7165" max="7165" width="22.5703125" style="228" customWidth="1"/>
    <col min="7166" max="7166" width="17.7109375" style="228" customWidth="1"/>
    <col min="7167" max="7167" width="19" style="228" customWidth="1"/>
    <col min="7168" max="7168" width="22.28515625" style="228" customWidth="1"/>
    <col min="7169" max="7419" width="9.28515625" style="228"/>
    <col min="7420" max="7420" width="5.28515625" style="228" customWidth="1"/>
    <col min="7421" max="7421" width="22.5703125" style="228" customWidth="1"/>
    <col min="7422" max="7422" width="17.7109375" style="228" customWidth="1"/>
    <col min="7423" max="7423" width="19" style="228" customWidth="1"/>
    <col min="7424" max="7424" width="22.28515625" style="228" customWidth="1"/>
    <col min="7425" max="7675" width="9.28515625" style="228"/>
    <col min="7676" max="7676" width="5.28515625" style="228" customWidth="1"/>
    <col min="7677" max="7677" width="22.5703125" style="228" customWidth="1"/>
    <col min="7678" max="7678" width="17.7109375" style="228" customWidth="1"/>
    <col min="7679" max="7679" width="19" style="228" customWidth="1"/>
    <col min="7680" max="7680" width="22.28515625" style="228" customWidth="1"/>
    <col min="7681" max="7931" width="9.28515625" style="228"/>
    <col min="7932" max="7932" width="5.28515625" style="228" customWidth="1"/>
    <col min="7933" max="7933" width="22.5703125" style="228" customWidth="1"/>
    <col min="7934" max="7934" width="17.7109375" style="228" customWidth="1"/>
    <col min="7935" max="7935" width="19" style="228" customWidth="1"/>
    <col min="7936" max="7936" width="22.28515625" style="228" customWidth="1"/>
    <col min="7937" max="8187" width="9.28515625" style="228"/>
    <col min="8188" max="8188" width="5.28515625" style="228" customWidth="1"/>
    <col min="8189" max="8189" width="22.5703125" style="228" customWidth="1"/>
    <col min="8190" max="8190" width="17.7109375" style="228" customWidth="1"/>
    <col min="8191" max="8191" width="19" style="228" customWidth="1"/>
    <col min="8192" max="8192" width="22.28515625" style="228" customWidth="1"/>
    <col min="8193" max="8443" width="9.28515625" style="228"/>
    <col min="8444" max="8444" width="5.28515625" style="228" customWidth="1"/>
    <col min="8445" max="8445" width="22.5703125" style="228" customWidth="1"/>
    <col min="8446" max="8446" width="17.7109375" style="228" customWidth="1"/>
    <col min="8447" max="8447" width="19" style="228" customWidth="1"/>
    <col min="8448" max="8448" width="22.28515625" style="228" customWidth="1"/>
    <col min="8449" max="8699" width="9.28515625" style="228"/>
    <col min="8700" max="8700" width="5.28515625" style="228" customWidth="1"/>
    <col min="8701" max="8701" width="22.5703125" style="228" customWidth="1"/>
    <col min="8702" max="8702" width="17.7109375" style="228" customWidth="1"/>
    <col min="8703" max="8703" width="19" style="228" customWidth="1"/>
    <col min="8704" max="8704" width="22.28515625" style="228" customWidth="1"/>
    <col min="8705" max="8955" width="9.28515625" style="228"/>
    <col min="8956" max="8956" width="5.28515625" style="228" customWidth="1"/>
    <col min="8957" max="8957" width="22.5703125" style="228" customWidth="1"/>
    <col min="8958" max="8958" width="17.7109375" style="228" customWidth="1"/>
    <col min="8959" max="8959" width="19" style="228" customWidth="1"/>
    <col min="8960" max="8960" width="22.28515625" style="228" customWidth="1"/>
    <col min="8961" max="9211" width="9.28515625" style="228"/>
    <col min="9212" max="9212" width="5.28515625" style="228" customWidth="1"/>
    <col min="9213" max="9213" width="22.5703125" style="228" customWidth="1"/>
    <col min="9214" max="9214" width="17.7109375" style="228" customWidth="1"/>
    <col min="9215" max="9215" width="19" style="228" customWidth="1"/>
    <col min="9216" max="9216" width="22.28515625" style="228" customWidth="1"/>
    <col min="9217" max="9467" width="9.28515625" style="228"/>
    <col min="9468" max="9468" width="5.28515625" style="228" customWidth="1"/>
    <col min="9469" max="9469" width="22.5703125" style="228" customWidth="1"/>
    <col min="9470" max="9470" width="17.7109375" style="228" customWidth="1"/>
    <col min="9471" max="9471" width="19" style="228" customWidth="1"/>
    <col min="9472" max="9472" width="22.28515625" style="228" customWidth="1"/>
    <col min="9473" max="9723" width="9.28515625" style="228"/>
    <col min="9724" max="9724" width="5.28515625" style="228" customWidth="1"/>
    <col min="9725" max="9725" width="22.5703125" style="228" customWidth="1"/>
    <col min="9726" max="9726" width="17.7109375" style="228" customWidth="1"/>
    <col min="9727" max="9727" width="19" style="228" customWidth="1"/>
    <col min="9728" max="9728" width="22.28515625" style="228" customWidth="1"/>
    <col min="9729" max="9979" width="9.28515625" style="228"/>
    <col min="9980" max="9980" width="5.28515625" style="228" customWidth="1"/>
    <col min="9981" max="9981" width="22.5703125" style="228" customWidth="1"/>
    <col min="9982" max="9982" width="17.7109375" style="228" customWidth="1"/>
    <col min="9983" max="9983" width="19" style="228" customWidth="1"/>
    <col min="9984" max="9984" width="22.28515625" style="228" customWidth="1"/>
    <col min="9985" max="10235" width="9.28515625" style="228"/>
    <col min="10236" max="10236" width="5.28515625" style="228" customWidth="1"/>
    <col min="10237" max="10237" width="22.5703125" style="228" customWidth="1"/>
    <col min="10238" max="10238" width="17.7109375" style="228" customWidth="1"/>
    <col min="10239" max="10239" width="19" style="228" customWidth="1"/>
    <col min="10240" max="10240" width="22.28515625" style="228" customWidth="1"/>
    <col min="10241" max="10491" width="9.28515625" style="228"/>
    <col min="10492" max="10492" width="5.28515625" style="228" customWidth="1"/>
    <col min="10493" max="10493" width="22.5703125" style="228" customWidth="1"/>
    <col min="10494" max="10494" width="17.7109375" style="228" customWidth="1"/>
    <col min="10495" max="10495" width="19" style="228" customWidth="1"/>
    <col min="10496" max="10496" width="22.28515625" style="228" customWidth="1"/>
    <col min="10497" max="10747" width="9.28515625" style="228"/>
    <col min="10748" max="10748" width="5.28515625" style="228" customWidth="1"/>
    <col min="10749" max="10749" width="22.5703125" style="228" customWidth="1"/>
    <col min="10750" max="10750" width="17.7109375" style="228" customWidth="1"/>
    <col min="10751" max="10751" width="19" style="228" customWidth="1"/>
    <col min="10752" max="10752" width="22.28515625" style="228" customWidth="1"/>
    <col min="10753" max="11003" width="9.28515625" style="228"/>
    <col min="11004" max="11004" width="5.28515625" style="228" customWidth="1"/>
    <col min="11005" max="11005" width="22.5703125" style="228" customWidth="1"/>
    <col min="11006" max="11006" width="17.7109375" style="228" customWidth="1"/>
    <col min="11007" max="11007" width="19" style="228" customWidth="1"/>
    <col min="11008" max="11008" width="22.28515625" style="228" customWidth="1"/>
    <col min="11009" max="11259" width="9.28515625" style="228"/>
    <col min="11260" max="11260" width="5.28515625" style="228" customWidth="1"/>
    <col min="11261" max="11261" width="22.5703125" style="228" customWidth="1"/>
    <col min="11262" max="11262" width="17.7109375" style="228" customWidth="1"/>
    <col min="11263" max="11263" width="19" style="228" customWidth="1"/>
    <col min="11264" max="11264" width="22.28515625" style="228" customWidth="1"/>
    <col min="11265" max="11515" width="9.28515625" style="228"/>
    <col min="11516" max="11516" width="5.28515625" style="228" customWidth="1"/>
    <col min="11517" max="11517" width="22.5703125" style="228" customWidth="1"/>
    <col min="11518" max="11518" width="17.7109375" style="228" customWidth="1"/>
    <col min="11519" max="11519" width="19" style="228" customWidth="1"/>
    <col min="11520" max="11520" width="22.28515625" style="228" customWidth="1"/>
    <col min="11521" max="11771" width="9.28515625" style="228"/>
    <col min="11772" max="11772" width="5.28515625" style="228" customWidth="1"/>
    <col min="11773" max="11773" width="22.5703125" style="228" customWidth="1"/>
    <col min="11774" max="11774" width="17.7109375" style="228" customWidth="1"/>
    <col min="11775" max="11775" width="19" style="228" customWidth="1"/>
    <col min="11776" max="11776" width="22.28515625" style="228" customWidth="1"/>
    <col min="11777" max="12027" width="9.28515625" style="228"/>
    <col min="12028" max="12028" width="5.28515625" style="228" customWidth="1"/>
    <col min="12029" max="12029" width="22.5703125" style="228" customWidth="1"/>
    <col min="12030" max="12030" width="17.7109375" style="228" customWidth="1"/>
    <col min="12031" max="12031" width="19" style="228" customWidth="1"/>
    <col min="12032" max="12032" width="22.28515625" style="228" customWidth="1"/>
    <col min="12033" max="12283" width="9.28515625" style="228"/>
    <col min="12284" max="12284" width="5.28515625" style="228" customWidth="1"/>
    <col min="12285" max="12285" width="22.5703125" style="228" customWidth="1"/>
    <col min="12286" max="12286" width="17.7109375" style="228" customWidth="1"/>
    <col min="12287" max="12287" width="19" style="228" customWidth="1"/>
    <col min="12288" max="12288" width="22.28515625" style="228" customWidth="1"/>
    <col min="12289" max="12539" width="9.28515625" style="228"/>
    <col min="12540" max="12540" width="5.28515625" style="228" customWidth="1"/>
    <col min="12541" max="12541" width="22.5703125" style="228" customWidth="1"/>
    <col min="12542" max="12542" width="17.7109375" style="228" customWidth="1"/>
    <col min="12543" max="12543" width="19" style="228" customWidth="1"/>
    <col min="12544" max="12544" width="22.28515625" style="228" customWidth="1"/>
    <col min="12545" max="12795" width="9.28515625" style="228"/>
    <col min="12796" max="12796" width="5.28515625" style="228" customWidth="1"/>
    <col min="12797" max="12797" width="22.5703125" style="228" customWidth="1"/>
    <col min="12798" max="12798" width="17.7109375" style="228" customWidth="1"/>
    <col min="12799" max="12799" width="19" style="228" customWidth="1"/>
    <col min="12800" max="12800" width="22.28515625" style="228" customWidth="1"/>
    <col min="12801" max="13051" width="9.28515625" style="228"/>
    <col min="13052" max="13052" width="5.28515625" style="228" customWidth="1"/>
    <col min="13053" max="13053" width="22.5703125" style="228" customWidth="1"/>
    <col min="13054" max="13054" width="17.7109375" style="228" customWidth="1"/>
    <col min="13055" max="13055" width="19" style="228" customWidth="1"/>
    <col min="13056" max="13056" width="22.28515625" style="228" customWidth="1"/>
    <col min="13057" max="13307" width="9.28515625" style="228"/>
    <col min="13308" max="13308" width="5.28515625" style="228" customWidth="1"/>
    <col min="13309" max="13309" width="22.5703125" style="228" customWidth="1"/>
    <col min="13310" max="13310" width="17.7109375" style="228" customWidth="1"/>
    <col min="13311" max="13311" width="19" style="228" customWidth="1"/>
    <col min="13312" max="13312" width="22.28515625" style="228" customWidth="1"/>
    <col min="13313" max="13563" width="9.28515625" style="228"/>
    <col min="13564" max="13564" width="5.28515625" style="228" customWidth="1"/>
    <col min="13565" max="13565" width="22.5703125" style="228" customWidth="1"/>
    <col min="13566" max="13566" width="17.7109375" style="228" customWidth="1"/>
    <col min="13567" max="13567" width="19" style="228" customWidth="1"/>
    <col min="13568" max="13568" width="22.28515625" style="228" customWidth="1"/>
    <col min="13569" max="13819" width="9.28515625" style="228"/>
    <col min="13820" max="13820" width="5.28515625" style="228" customWidth="1"/>
    <col min="13821" max="13821" width="22.5703125" style="228" customWidth="1"/>
    <col min="13822" max="13822" width="17.7109375" style="228" customWidth="1"/>
    <col min="13823" max="13823" width="19" style="228" customWidth="1"/>
    <col min="13824" max="13824" width="22.28515625" style="228" customWidth="1"/>
    <col min="13825" max="14075" width="9.28515625" style="228"/>
    <col min="14076" max="14076" width="5.28515625" style="228" customWidth="1"/>
    <col min="14077" max="14077" width="22.5703125" style="228" customWidth="1"/>
    <col min="14078" max="14078" width="17.7109375" style="228" customWidth="1"/>
    <col min="14079" max="14079" width="19" style="228" customWidth="1"/>
    <col min="14080" max="14080" width="22.28515625" style="228" customWidth="1"/>
    <col min="14081" max="14331" width="9.28515625" style="228"/>
    <col min="14332" max="14332" width="5.28515625" style="228" customWidth="1"/>
    <col min="14333" max="14333" width="22.5703125" style="228" customWidth="1"/>
    <col min="14334" max="14334" width="17.7109375" style="228" customWidth="1"/>
    <col min="14335" max="14335" width="19" style="228" customWidth="1"/>
    <col min="14336" max="14336" width="22.28515625" style="228" customWidth="1"/>
    <col min="14337" max="14587" width="9.28515625" style="228"/>
    <col min="14588" max="14588" width="5.28515625" style="228" customWidth="1"/>
    <col min="14589" max="14589" width="22.5703125" style="228" customWidth="1"/>
    <col min="14590" max="14590" width="17.7109375" style="228" customWidth="1"/>
    <col min="14591" max="14591" width="19" style="228" customWidth="1"/>
    <col min="14592" max="14592" width="22.28515625" style="228" customWidth="1"/>
    <col min="14593" max="14843" width="9.28515625" style="228"/>
    <col min="14844" max="14844" width="5.28515625" style="228" customWidth="1"/>
    <col min="14845" max="14845" width="22.5703125" style="228" customWidth="1"/>
    <col min="14846" max="14846" width="17.7109375" style="228" customWidth="1"/>
    <col min="14847" max="14847" width="19" style="228" customWidth="1"/>
    <col min="14848" max="14848" width="22.28515625" style="228" customWidth="1"/>
    <col min="14849" max="15099" width="9.28515625" style="228"/>
    <col min="15100" max="15100" width="5.28515625" style="228" customWidth="1"/>
    <col min="15101" max="15101" width="22.5703125" style="228" customWidth="1"/>
    <col min="15102" max="15102" width="17.7109375" style="228" customWidth="1"/>
    <col min="15103" max="15103" width="19" style="228" customWidth="1"/>
    <col min="15104" max="15104" width="22.28515625" style="228" customWidth="1"/>
    <col min="15105" max="15355" width="9.28515625" style="228"/>
    <col min="15356" max="15356" width="5.28515625" style="228" customWidth="1"/>
    <col min="15357" max="15357" width="22.5703125" style="228" customWidth="1"/>
    <col min="15358" max="15358" width="17.7109375" style="228" customWidth="1"/>
    <col min="15359" max="15359" width="19" style="228" customWidth="1"/>
    <col min="15360" max="15360" width="22.28515625" style="228" customWidth="1"/>
    <col min="15361" max="15611" width="9.28515625" style="228"/>
    <col min="15612" max="15612" width="5.28515625" style="228" customWidth="1"/>
    <col min="15613" max="15613" width="22.5703125" style="228" customWidth="1"/>
    <col min="15614" max="15614" width="17.7109375" style="228" customWidth="1"/>
    <col min="15615" max="15615" width="19" style="228" customWidth="1"/>
    <col min="15616" max="15616" width="22.28515625" style="228" customWidth="1"/>
    <col min="15617" max="15867" width="9.28515625" style="228"/>
    <col min="15868" max="15868" width="5.28515625" style="228" customWidth="1"/>
    <col min="15869" max="15869" width="22.5703125" style="228" customWidth="1"/>
    <col min="15870" max="15870" width="17.7109375" style="228" customWidth="1"/>
    <col min="15871" max="15871" width="19" style="228" customWidth="1"/>
    <col min="15872" max="15872" width="22.28515625" style="228" customWidth="1"/>
    <col min="15873" max="16123" width="9.28515625" style="228"/>
    <col min="16124" max="16124" width="5.28515625" style="228" customWidth="1"/>
    <col min="16125" max="16125" width="22.5703125" style="228" customWidth="1"/>
    <col min="16126" max="16126" width="17.7109375" style="228" customWidth="1"/>
    <col min="16127" max="16127" width="19" style="228" customWidth="1"/>
    <col min="16128" max="16128" width="22.28515625" style="228" customWidth="1"/>
    <col min="16129" max="16382" width="9.28515625" style="228"/>
    <col min="16383" max="16384" width="9.28515625" style="228" customWidth="1"/>
  </cols>
  <sheetData>
    <row r="1" spans="1:12" s="214" customFormat="1" ht="23.25" customHeight="1">
      <c r="A1" s="1122" t="s">
        <v>913</v>
      </c>
      <c r="B1" s="1122"/>
      <c r="C1" s="1122"/>
      <c r="D1" s="1122"/>
      <c r="E1" s="1122"/>
      <c r="F1" s="1122"/>
      <c r="G1" s="1122"/>
      <c r="H1" s="1122"/>
    </row>
    <row r="2" spans="1:12" s="215" customFormat="1" ht="33" customHeight="1">
      <c r="A2" s="1114" t="s">
        <v>988</v>
      </c>
      <c r="B2" s="1114" t="s">
        <v>168</v>
      </c>
      <c r="C2" s="1114" t="s">
        <v>253</v>
      </c>
      <c r="D2" s="1114"/>
      <c r="E2" s="1114" t="s">
        <v>254</v>
      </c>
      <c r="F2" s="1114"/>
      <c r="G2" s="1114" t="s">
        <v>255</v>
      </c>
      <c r="H2" s="1114"/>
    </row>
    <row r="3" spans="1:12" s="215" customFormat="1" ht="45" customHeight="1">
      <c r="A3" s="1114"/>
      <c r="B3" s="1114"/>
      <c r="C3" s="216" t="s">
        <v>256</v>
      </c>
      <c r="D3" s="216" t="s">
        <v>257</v>
      </c>
      <c r="E3" s="216" t="s">
        <v>256</v>
      </c>
      <c r="F3" s="216" t="s">
        <v>257</v>
      </c>
      <c r="G3" s="216" t="s">
        <v>256</v>
      </c>
      <c r="H3" s="216" t="s">
        <v>257</v>
      </c>
    </row>
    <row r="4" spans="1:12" s="458" customFormat="1" ht="12">
      <c r="A4" s="457">
        <v>1</v>
      </c>
      <c r="B4" s="457">
        <v>2</v>
      </c>
      <c r="C4" s="457">
        <v>3</v>
      </c>
      <c r="D4" s="457">
        <v>4</v>
      </c>
      <c r="E4" s="457">
        <v>5</v>
      </c>
      <c r="F4" s="457">
        <v>6</v>
      </c>
      <c r="G4" s="457">
        <v>7</v>
      </c>
      <c r="H4" s="457">
        <v>8</v>
      </c>
    </row>
    <row r="5" spans="1:12" s="220" customFormat="1" ht="29.25" customHeight="1">
      <c r="A5" s="429">
        <v>1</v>
      </c>
      <c r="B5" s="217" t="s">
        <v>1061</v>
      </c>
      <c r="C5" s="218">
        <v>25.280973451327434</v>
      </c>
      <c r="D5" s="218">
        <v>16.365044247787612</v>
      </c>
      <c r="E5" s="218">
        <v>25.862700228832953</v>
      </c>
      <c r="F5" s="218">
        <v>16.640732265446225</v>
      </c>
      <c r="G5" s="218"/>
      <c r="H5" s="218"/>
      <c r="I5" s="219"/>
      <c r="J5" s="219"/>
      <c r="L5" s="219"/>
    </row>
    <row r="6" spans="1:12" s="220" customFormat="1" ht="24.75" customHeight="1">
      <c r="A6" s="429">
        <v>2</v>
      </c>
      <c r="B6" s="221" t="s">
        <v>15</v>
      </c>
      <c r="C6" s="218">
        <v>17.913073269631493</v>
      </c>
      <c r="D6" s="218">
        <v>16.018904053013948</v>
      </c>
      <c r="E6" s="218">
        <v>18.468410976388004</v>
      </c>
      <c r="F6" s="218">
        <v>16.391368343043005</v>
      </c>
      <c r="G6" s="218">
        <v>40.207799381352189</v>
      </c>
      <c r="H6" s="218">
        <v>17.915156871409632</v>
      </c>
      <c r="I6" s="219"/>
      <c r="J6" s="219"/>
      <c r="L6" s="219"/>
    </row>
    <row r="7" spans="1:12" s="220" customFormat="1" ht="24.75" customHeight="1">
      <c r="A7" s="429">
        <v>3</v>
      </c>
      <c r="B7" s="221" t="s">
        <v>16</v>
      </c>
      <c r="C7" s="218">
        <v>28.29917139119058</v>
      </c>
      <c r="D7" s="218">
        <v>23.32969908416921</v>
      </c>
      <c r="E7" s="218">
        <v>29.535283194057566</v>
      </c>
      <c r="F7" s="218">
        <v>24.245125348189415</v>
      </c>
      <c r="G7" s="218">
        <v>30.863315696649028</v>
      </c>
      <c r="H7" s="218">
        <v>20.814814814814813</v>
      </c>
      <c r="I7" s="219"/>
      <c r="J7" s="219"/>
      <c r="L7" s="219"/>
    </row>
    <row r="8" spans="1:12" s="220" customFormat="1" ht="24.75" customHeight="1">
      <c r="A8" s="429">
        <v>4</v>
      </c>
      <c r="B8" s="217" t="s">
        <v>17</v>
      </c>
      <c r="C8" s="218">
        <v>27.529482344874872</v>
      </c>
      <c r="D8" s="218">
        <v>25.25128556736373</v>
      </c>
      <c r="E8" s="218">
        <v>28.439463723836017</v>
      </c>
      <c r="F8" s="218">
        <v>26.016781430981805</v>
      </c>
      <c r="G8" s="218">
        <v>31.831734508685507</v>
      </c>
      <c r="H8" s="218">
        <v>18.057557687321754</v>
      </c>
      <c r="I8" s="219"/>
      <c r="J8" s="219"/>
      <c r="L8" s="219"/>
    </row>
    <row r="9" spans="1:12" s="220" customFormat="1" ht="24.75" customHeight="1">
      <c r="A9" s="429">
        <v>5</v>
      </c>
      <c r="B9" s="217" t="s">
        <v>18</v>
      </c>
      <c r="C9" s="218">
        <v>68.748715663661145</v>
      </c>
      <c r="D9" s="218">
        <v>64.195559865799964</v>
      </c>
      <c r="E9" s="218">
        <v>73.740736452061142</v>
      </c>
      <c r="F9" s="218">
        <v>68.712019453450665</v>
      </c>
      <c r="G9" s="218">
        <v>71.612386917188587</v>
      </c>
      <c r="H9" s="218">
        <v>31.317327766179542</v>
      </c>
      <c r="I9" s="219"/>
      <c r="J9" s="219"/>
      <c r="L9" s="219"/>
    </row>
    <row r="10" spans="1:12" s="220" customFormat="1" ht="24.75" customHeight="1">
      <c r="A10" s="429">
        <v>6</v>
      </c>
      <c r="B10" s="221" t="s">
        <v>19</v>
      </c>
      <c r="C10" s="218">
        <v>29.72763792179968</v>
      </c>
      <c r="D10" s="218">
        <v>20.064809855382968</v>
      </c>
      <c r="E10" s="218">
        <v>30.416477272727274</v>
      </c>
      <c r="F10" s="218">
        <v>20.166193181818183</v>
      </c>
      <c r="G10" s="218">
        <v>35.708128078817737</v>
      </c>
      <c r="H10" s="218">
        <v>13.49076354679803</v>
      </c>
      <c r="I10" s="219"/>
      <c r="J10" s="219"/>
      <c r="L10" s="219"/>
    </row>
    <row r="11" spans="1:12" s="220" customFormat="1" ht="24.75" customHeight="1">
      <c r="A11" s="429">
        <v>7</v>
      </c>
      <c r="B11" s="221" t="s">
        <v>20</v>
      </c>
      <c r="C11" s="218">
        <v>27.490273363000636</v>
      </c>
      <c r="D11" s="218">
        <v>25.626234371688916</v>
      </c>
      <c r="E11" s="218">
        <v>27.981680188432346</v>
      </c>
      <c r="F11" s="218">
        <v>26.075285701823258</v>
      </c>
      <c r="G11" s="218">
        <v>33.456353218739466</v>
      </c>
      <c r="H11" s="218">
        <v>18.725648803505223</v>
      </c>
      <c r="I11" s="219"/>
      <c r="J11" s="219"/>
      <c r="L11" s="219"/>
    </row>
    <row r="12" spans="1:12" s="220" customFormat="1" ht="24.75" customHeight="1">
      <c r="A12" s="429">
        <v>8</v>
      </c>
      <c r="B12" s="221" t="s">
        <v>23</v>
      </c>
      <c r="C12" s="218">
        <v>49.490950324916042</v>
      </c>
      <c r="D12" s="218">
        <v>20.62301016180383</v>
      </c>
      <c r="E12" s="218">
        <v>52.365331068006988</v>
      </c>
      <c r="F12" s="218">
        <v>21.127283024210676</v>
      </c>
      <c r="G12" s="218">
        <v>119.34168262855459</v>
      </c>
      <c r="H12" s="218">
        <v>21.816561072638869</v>
      </c>
      <c r="I12" s="219"/>
      <c r="J12" s="219"/>
      <c r="L12" s="219"/>
    </row>
    <row r="13" spans="1:12" s="220" customFormat="1" ht="24.75" customHeight="1">
      <c r="A13" s="429">
        <v>9</v>
      </c>
      <c r="B13" s="221" t="s">
        <v>24</v>
      </c>
      <c r="C13" s="218">
        <v>16.760184473481939</v>
      </c>
      <c r="D13" s="218">
        <v>15.331796054317191</v>
      </c>
      <c r="E13" s="218">
        <v>16.424809830310124</v>
      </c>
      <c r="F13" s="218">
        <v>14.793739028671737</v>
      </c>
      <c r="G13" s="218">
        <v>28.350202429149796</v>
      </c>
      <c r="H13" s="218">
        <v>17.064777327935222</v>
      </c>
      <c r="I13" s="219"/>
      <c r="J13" s="219"/>
      <c r="L13" s="219"/>
    </row>
    <row r="14" spans="1:12" s="220" customFormat="1" ht="24.75" customHeight="1">
      <c r="A14" s="429">
        <v>10</v>
      </c>
      <c r="B14" s="221" t="s">
        <v>25</v>
      </c>
      <c r="C14" s="218">
        <v>28.400854327459832</v>
      </c>
      <c r="D14" s="218">
        <v>26.959128197660309</v>
      </c>
      <c r="E14" s="218">
        <v>29.172770700636942</v>
      </c>
      <c r="F14" s="218">
        <v>27.674278357501017</v>
      </c>
      <c r="G14" s="218">
        <v>27.323037480161151</v>
      </c>
      <c r="H14" s="218">
        <v>21.923269442070566</v>
      </c>
      <c r="I14" s="219"/>
      <c r="J14" s="219"/>
      <c r="L14" s="219"/>
    </row>
    <row r="15" spans="1:12" s="220" customFormat="1" ht="24.75" customHeight="1">
      <c r="A15" s="429">
        <v>11</v>
      </c>
      <c r="B15" s="221" t="s">
        <v>26</v>
      </c>
      <c r="C15" s="218">
        <v>26.051924667867048</v>
      </c>
      <c r="D15" s="218">
        <v>22.117694291693027</v>
      </c>
      <c r="E15" s="218">
        <v>26.946608714316376</v>
      </c>
      <c r="F15" s="218">
        <v>22.608526507834299</v>
      </c>
      <c r="G15" s="218">
        <v>35.127668480535789</v>
      </c>
      <c r="H15" s="218">
        <v>18.207513604018416</v>
      </c>
      <c r="I15" s="219"/>
      <c r="J15" s="219"/>
      <c r="L15" s="219"/>
    </row>
    <row r="16" spans="1:12" s="220" customFormat="1" ht="24.75" customHeight="1">
      <c r="A16" s="429">
        <v>12</v>
      </c>
      <c r="B16" s="221" t="s">
        <v>27</v>
      </c>
      <c r="C16" s="218">
        <v>29.339238182652593</v>
      </c>
      <c r="D16" s="218">
        <v>24.015878843506197</v>
      </c>
      <c r="E16" s="218">
        <v>31.734983429991715</v>
      </c>
      <c r="F16" s="218">
        <v>25.728562551781277</v>
      </c>
      <c r="G16" s="218">
        <v>34.011575562700962</v>
      </c>
      <c r="H16" s="218">
        <v>15.362700964630225</v>
      </c>
      <c r="I16" s="219"/>
      <c r="J16" s="219"/>
      <c r="L16" s="219"/>
    </row>
    <row r="17" spans="1:12" s="220" customFormat="1" ht="24.75" customHeight="1">
      <c r="A17" s="429">
        <v>13</v>
      </c>
      <c r="B17" s="221" t="s">
        <v>57</v>
      </c>
      <c r="C17" s="218">
        <v>35.035730000880051</v>
      </c>
      <c r="D17" s="218">
        <v>24.01513684766347</v>
      </c>
      <c r="E17" s="218">
        <v>38.1900434211855</v>
      </c>
      <c r="F17" s="218">
        <v>25.549126527314954</v>
      </c>
      <c r="G17" s="218">
        <v>63.139303482587067</v>
      </c>
      <c r="H17" s="218">
        <v>15.23153463451971</v>
      </c>
      <c r="I17" s="219"/>
      <c r="J17" s="219"/>
      <c r="L17" s="219"/>
    </row>
    <row r="18" spans="1:12" s="220" customFormat="1" ht="24.75" customHeight="1">
      <c r="A18" s="429">
        <v>14</v>
      </c>
      <c r="B18" s="221" t="s">
        <v>29</v>
      </c>
      <c r="C18" s="218">
        <v>58.318311352640997</v>
      </c>
      <c r="D18" s="218">
        <v>54.460732984293195</v>
      </c>
      <c r="E18" s="218">
        <v>64.54653630438078</v>
      </c>
      <c r="F18" s="218">
        <v>60.134909807488249</v>
      </c>
      <c r="G18" s="218">
        <v>48.039024390243902</v>
      </c>
      <c r="H18" s="218">
        <v>32.264769647696475</v>
      </c>
      <c r="I18" s="219"/>
      <c r="J18" s="219"/>
      <c r="L18" s="219"/>
    </row>
    <row r="19" spans="1:12" s="220" customFormat="1" ht="24.75" customHeight="1">
      <c r="A19" s="429">
        <v>15</v>
      </c>
      <c r="B19" s="221" t="s">
        <v>30</v>
      </c>
      <c r="C19" s="218">
        <v>15.790588859064851</v>
      </c>
      <c r="D19" s="218">
        <v>15.228538290751235</v>
      </c>
      <c r="E19" s="218">
        <v>16.402318282439275</v>
      </c>
      <c r="F19" s="218">
        <v>15.767967067956455</v>
      </c>
      <c r="G19" s="218">
        <v>17.878818091181003</v>
      </c>
      <c r="H19" s="218">
        <v>14.086739780658027</v>
      </c>
      <c r="I19" s="219"/>
      <c r="J19" s="219"/>
      <c r="L19" s="219"/>
    </row>
    <row r="20" spans="1:12" s="220" customFormat="1" ht="24.75" customHeight="1">
      <c r="A20" s="429">
        <v>16</v>
      </c>
      <c r="B20" s="221" t="s">
        <v>31</v>
      </c>
      <c r="C20" s="218">
        <v>19.172460424787207</v>
      </c>
      <c r="D20" s="218">
        <v>14.88766207938907</v>
      </c>
      <c r="E20" s="218">
        <v>19.481140578956492</v>
      </c>
      <c r="F20" s="218">
        <v>14.814837926850407</v>
      </c>
      <c r="G20" s="218">
        <v>68.744996905302244</v>
      </c>
      <c r="H20" s="218">
        <v>13.205694243862183</v>
      </c>
      <c r="I20" s="219"/>
      <c r="J20" s="219"/>
      <c r="L20" s="219"/>
    </row>
    <row r="21" spans="1:12" s="220" customFormat="1" ht="24.75" customHeight="1">
      <c r="A21" s="429">
        <v>17</v>
      </c>
      <c r="B21" s="208" t="s">
        <v>154</v>
      </c>
      <c r="C21" s="218">
        <v>16.167883211678831</v>
      </c>
      <c r="D21" s="218">
        <v>15.558394160583942</v>
      </c>
      <c r="E21" s="218">
        <v>17.539534883720929</v>
      </c>
      <c r="F21" s="218">
        <v>17.539534883720929</v>
      </c>
      <c r="G21" s="218">
        <v>6.9696969696969697</v>
      </c>
      <c r="H21" s="218">
        <v>6.9696969696969697</v>
      </c>
      <c r="I21" s="219"/>
      <c r="J21" s="219"/>
      <c r="L21" s="219"/>
    </row>
    <row r="22" spans="1:12" s="220" customFormat="1" ht="24.75" customHeight="1">
      <c r="A22" s="429">
        <v>18</v>
      </c>
      <c r="B22" s="221" t="s">
        <v>32</v>
      </c>
      <c r="C22" s="218">
        <v>8.8000000000000007</v>
      </c>
      <c r="D22" s="218">
        <v>8.8000000000000007</v>
      </c>
      <c r="E22" s="218">
        <v>8.8000000000000007</v>
      </c>
      <c r="F22" s="218">
        <v>8.8000000000000007</v>
      </c>
      <c r="G22" s="218">
        <v>8.8000000000000007</v>
      </c>
      <c r="H22" s="218">
        <v>8.8000000000000007</v>
      </c>
      <c r="I22" s="219"/>
      <c r="J22" s="219"/>
      <c r="L22" s="219"/>
    </row>
    <row r="23" spans="1:12" s="220" customFormat="1" ht="24.75" customHeight="1">
      <c r="A23" s="429">
        <v>19</v>
      </c>
      <c r="B23" s="221" t="s">
        <v>33</v>
      </c>
      <c r="C23" s="218">
        <v>30.958428833024097</v>
      </c>
      <c r="D23" s="218">
        <v>29.638362377366271</v>
      </c>
      <c r="E23" s="218">
        <v>31.95408228741562</v>
      </c>
      <c r="F23" s="218">
        <v>30.562716562716563</v>
      </c>
      <c r="G23" s="218">
        <v>25.607810978422428</v>
      </c>
      <c r="H23" s="218">
        <v>20.051048126697761</v>
      </c>
      <c r="I23" s="219"/>
      <c r="J23" s="219"/>
      <c r="L23" s="219"/>
    </row>
    <row r="24" spans="1:12" s="220" customFormat="1" ht="24.75" customHeight="1">
      <c r="A24" s="429">
        <v>20</v>
      </c>
      <c r="B24" s="221" t="s">
        <v>34</v>
      </c>
      <c r="C24" s="218">
        <v>27.266536268873889</v>
      </c>
      <c r="D24" s="218">
        <v>23.124788302363857</v>
      </c>
      <c r="E24" s="218">
        <v>29.70490349908178</v>
      </c>
      <c r="F24" s="218">
        <v>24.829591269534134</v>
      </c>
      <c r="G24" s="218">
        <v>49.873746805582861</v>
      </c>
      <c r="H24" s="218">
        <v>15.821554943974839</v>
      </c>
      <c r="I24" s="219"/>
      <c r="J24" s="219"/>
      <c r="L24" s="219"/>
    </row>
    <row r="25" spans="1:12" s="220" customFormat="1" ht="24.75" customHeight="1">
      <c r="A25" s="429">
        <v>21</v>
      </c>
      <c r="B25" s="221" t="s">
        <v>35</v>
      </c>
      <c r="C25" s="218">
        <v>20.152950558213718</v>
      </c>
      <c r="D25" s="218">
        <v>19.301116427432216</v>
      </c>
      <c r="E25" s="218">
        <v>20.580465587044536</v>
      </c>
      <c r="F25" s="218">
        <v>19.691295546558706</v>
      </c>
      <c r="G25" s="218">
        <v>18.702959830866806</v>
      </c>
      <c r="H25" s="218">
        <v>13.131078224101479</v>
      </c>
      <c r="I25" s="219"/>
      <c r="J25" s="219"/>
      <c r="L25" s="219"/>
    </row>
    <row r="26" spans="1:12" s="220" customFormat="1" ht="24.75" customHeight="1">
      <c r="A26" s="429">
        <v>22</v>
      </c>
      <c r="B26" s="221" t="s">
        <v>36</v>
      </c>
      <c r="C26" s="218">
        <v>24.029960578186596</v>
      </c>
      <c r="D26" s="218">
        <v>22.191064388961891</v>
      </c>
      <c r="E26" s="218">
        <v>25.353961827646039</v>
      </c>
      <c r="F26" s="218">
        <v>23.330537883169463</v>
      </c>
      <c r="G26" s="218">
        <v>26.835660580021482</v>
      </c>
      <c r="H26" s="218">
        <v>19.320085929108487</v>
      </c>
      <c r="I26" s="219"/>
      <c r="J26" s="219"/>
      <c r="L26" s="219"/>
    </row>
    <row r="27" spans="1:12" s="220" customFormat="1" ht="24.75" customHeight="1">
      <c r="A27" s="429">
        <v>23</v>
      </c>
      <c r="B27" s="221" t="s">
        <v>37</v>
      </c>
      <c r="C27" s="218">
        <v>21.163348416289594</v>
      </c>
      <c r="D27" s="218">
        <v>17.410859728506786</v>
      </c>
      <c r="E27" s="218">
        <v>21.619718309859156</v>
      </c>
      <c r="F27" s="218">
        <v>17.127302275189599</v>
      </c>
      <c r="G27" s="218">
        <v>41.003115264797508</v>
      </c>
      <c r="H27" s="218">
        <v>15.16822429906542</v>
      </c>
      <c r="I27" s="219"/>
      <c r="J27" s="219"/>
      <c r="L27" s="219"/>
    </row>
    <row r="28" spans="1:12" s="220" customFormat="1" ht="24.75" customHeight="1">
      <c r="A28" s="429">
        <v>24</v>
      </c>
      <c r="B28" s="221" t="s">
        <v>38</v>
      </c>
      <c r="C28" s="218">
        <v>20.174478141000392</v>
      </c>
      <c r="D28" s="218">
        <v>18.40961008270973</v>
      </c>
      <c r="E28" s="218">
        <v>21.933748332592263</v>
      </c>
      <c r="F28" s="218">
        <v>19.94130724766563</v>
      </c>
      <c r="G28" s="218">
        <v>28.004282655246254</v>
      </c>
      <c r="H28" s="218">
        <v>18.408993576017131</v>
      </c>
      <c r="I28" s="219"/>
      <c r="J28" s="219"/>
      <c r="L28" s="219"/>
    </row>
    <row r="29" spans="1:12" s="220" customFormat="1" ht="24.75" customHeight="1">
      <c r="A29" s="429">
        <v>25</v>
      </c>
      <c r="B29" s="221" t="s">
        <v>39</v>
      </c>
      <c r="C29" s="218">
        <v>24.557031785959296</v>
      </c>
      <c r="D29" s="218">
        <v>22.902355362451406</v>
      </c>
      <c r="E29" s="218">
        <v>26.661470251716246</v>
      </c>
      <c r="F29" s="218">
        <v>24.59170480549199</v>
      </c>
      <c r="G29" s="218">
        <v>28.962067910676048</v>
      </c>
      <c r="H29" s="218">
        <v>17.894616090547569</v>
      </c>
      <c r="I29" s="219"/>
      <c r="J29" s="219"/>
      <c r="L29" s="219"/>
    </row>
    <row r="30" spans="1:12" s="220" customFormat="1" ht="24.75" customHeight="1">
      <c r="A30" s="429">
        <v>26</v>
      </c>
      <c r="B30" s="222" t="s">
        <v>40</v>
      </c>
      <c r="C30" s="218">
        <v>13.23187746436154</v>
      </c>
      <c r="D30" s="218">
        <v>11.088565362450712</v>
      </c>
      <c r="E30" s="218">
        <v>13.353726362625139</v>
      </c>
      <c r="F30" s="218">
        <v>11.10789766407119</v>
      </c>
      <c r="G30" s="218">
        <v>14.727148703956344</v>
      </c>
      <c r="H30" s="218">
        <v>8.3001364256480219</v>
      </c>
      <c r="I30" s="219"/>
      <c r="J30" s="219"/>
      <c r="L30" s="219"/>
    </row>
    <row r="31" spans="1:12" s="220" customFormat="1" ht="24.75" customHeight="1">
      <c r="A31" s="429">
        <v>27</v>
      </c>
      <c r="B31" s="221" t="s">
        <v>41</v>
      </c>
      <c r="C31" s="218">
        <v>16.579385001568873</v>
      </c>
      <c r="D31" s="218">
        <v>14.966504549733292</v>
      </c>
      <c r="E31" s="218">
        <v>17.779364971904407</v>
      </c>
      <c r="F31" s="218">
        <v>15.931690474578566</v>
      </c>
      <c r="G31" s="218">
        <v>20.896315989365743</v>
      </c>
      <c r="H31" s="218">
        <v>14.677098366881884</v>
      </c>
      <c r="I31" s="219"/>
      <c r="J31" s="219"/>
      <c r="L31" s="219"/>
    </row>
    <row r="32" spans="1:12" s="220" customFormat="1" ht="24.75" customHeight="1">
      <c r="A32" s="429">
        <v>28</v>
      </c>
      <c r="B32" s="223" t="s">
        <v>42</v>
      </c>
      <c r="C32" s="218">
        <v>28.52187710356765</v>
      </c>
      <c r="D32" s="218">
        <v>26.188383498413309</v>
      </c>
      <c r="E32" s="218">
        <v>30.061177390964207</v>
      </c>
      <c r="F32" s="218">
        <v>27.531807810157115</v>
      </c>
      <c r="G32" s="218">
        <v>31.864818245703699</v>
      </c>
      <c r="H32" s="218">
        <v>19.47166677314253</v>
      </c>
      <c r="I32" s="219"/>
      <c r="J32" s="219"/>
      <c r="L32" s="219"/>
    </row>
    <row r="33" spans="1:12" s="220" customFormat="1" ht="24.75" customHeight="1">
      <c r="A33" s="429">
        <v>29</v>
      </c>
      <c r="B33" s="160" t="s">
        <v>43</v>
      </c>
      <c r="C33" s="218">
        <v>21.631544068919816</v>
      </c>
      <c r="D33" s="218">
        <v>16.995361166335321</v>
      </c>
      <c r="E33" s="218">
        <v>22.524709302325583</v>
      </c>
      <c r="F33" s="218">
        <v>17.530523255813954</v>
      </c>
      <c r="G33" s="218">
        <v>22.600539811066128</v>
      </c>
      <c r="H33" s="218">
        <v>13.326585695006747</v>
      </c>
      <c r="I33" s="219"/>
      <c r="J33" s="219"/>
      <c r="L33" s="219"/>
    </row>
    <row r="34" spans="1:12" s="220" customFormat="1" ht="24.75" customHeight="1">
      <c r="A34" s="429">
        <v>30</v>
      </c>
      <c r="B34" s="223" t="s">
        <v>44</v>
      </c>
      <c r="C34" s="218">
        <v>15.763212862179978</v>
      </c>
      <c r="D34" s="218">
        <v>14.078563352751802</v>
      </c>
      <c r="E34" s="218">
        <v>16.491670041852302</v>
      </c>
      <c r="F34" s="218">
        <v>14.592687997839882</v>
      </c>
      <c r="G34" s="218">
        <v>27.774746439551897</v>
      </c>
      <c r="H34" s="218">
        <v>15.347846061419938</v>
      </c>
      <c r="I34" s="219"/>
      <c r="J34" s="219"/>
      <c r="L34" s="219"/>
    </row>
    <row r="35" spans="1:12" s="220" customFormat="1" ht="24.75" customHeight="1">
      <c r="A35" s="429">
        <v>31</v>
      </c>
      <c r="B35" s="224" t="s">
        <v>131</v>
      </c>
      <c r="C35" s="218">
        <v>18.059510501153582</v>
      </c>
      <c r="D35" s="218">
        <v>16.424291796494067</v>
      </c>
      <c r="E35" s="218">
        <v>18.523658369785416</v>
      </c>
      <c r="F35" s="218">
        <v>16.749454831675248</v>
      </c>
      <c r="G35" s="218">
        <v>40.246652685917084</v>
      </c>
      <c r="H35" s="218">
        <v>18.065817067268913</v>
      </c>
      <c r="I35" s="219"/>
      <c r="J35" s="219"/>
      <c r="L35" s="219"/>
    </row>
    <row r="36" spans="1:12" s="220" customFormat="1" ht="28.5">
      <c r="A36" s="429">
        <v>32</v>
      </c>
      <c r="B36" s="224" t="s">
        <v>1062</v>
      </c>
      <c r="C36" s="218">
        <v>20.165354330708663</v>
      </c>
      <c r="D36" s="218">
        <v>20.165354330708663</v>
      </c>
      <c r="E36" s="218">
        <v>20.123613312202853</v>
      </c>
      <c r="F36" s="218">
        <v>20.123613312202853</v>
      </c>
      <c r="G36" s="218">
        <v>26.6</v>
      </c>
      <c r="H36" s="218">
        <v>26.6</v>
      </c>
      <c r="I36" s="219"/>
      <c r="J36" s="219"/>
      <c r="L36" s="219"/>
    </row>
    <row r="37" spans="1:12" s="220" customFormat="1" ht="24.75" customHeight="1">
      <c r="A37" s="429">
        <v>33</v>
      </c>
      <c r="B37" s="223" t="s">
        <v>45</v>
      </c>
      <c r="C37" s="218">
        <v>40.140119760479045</v>
      </c>
      <c r="D37" s="218">
        <v>36.287824351297402</v>
      </c>
      <c r="E37" s="218">
        <v>41.420192710515288</v>
      </c>
      <c r="F37" s="218">
        <v>37.377461248428993</v>
      </c>
      <c r="G37" s="218">
        <v>45.224528301886792</v>
      </c>
      <c r="H37" s="218">
        <v>27.016981132075472</v>
      </c>
      <c r="I37" s="219"/>
      <c r="J37" s="219"/>
      <c r="L37" s="219"/>
    </row>
    <row r="38" spans="1:12" s="220" customFormat="1" ht="24.75" customHeight="1">
      <c r="A38" s="429">
        <v>34</v>
      </c>
      <c r="B38" s="221" t="s">
        <v>47</v>
      </c>
      <c r="C38" s="218">
        <v>35.682995403859863</v>
      </c>
      <c r="D38" s="218">
        <v>34.8696245082579</v>
      </c>
      <c r="E38" s="218">
        <v>37.736528686446441</v>
      </c>
      <c r="F38" s="218">
        <v>36.883157920773712</v>
      </c>
      <c r="G38" s="218">
        <v>25.243442881971877</v>
      </c>
      <c r="H38" s="218">
        <v>19.792265760783692</v>
      </c>
      <c r="I38" s="219"/>
      <c r="J38" s="219"/>
      <c r="L38" s="219"/>
    </row>
    <row r="39" spans="1:12" s="220" customFormat="1" ht="24.75" customHeight="1">
      <c r="A39" s="429">
        <v>35</v>
      </c>
      <c r="B39" s="221" t="s">
        <v>46</v>
      </c>
      <c r="C39" s="218">
        <v>26.996618505994466</v>
      </c>
      <c r="D39" s="218">
        <v>21.899272466441232</v>
      </c>
      <c r="E39" s="218">
        <v>28.495442781591088</v>
      </c>
      <c r="F39" s="218">
        <v>22.89805333633397</v>
      </c>
      <c r="G39" s="218">
        <v>33.248821231308099</v>
      </c>
      <c r="H39" s="218">
        <v>19.846153846153847</v>
      </c>
      <c r="I39" s="219"/>
      <c r="J39" s="219"/>
      <c r="L39" s="219"/>
    </row>
    <row r="40" spans="1:12" s="220" customFormat="1" ht="24.75" customHeight="1">
      <c r="A40" s="429">
        <v>36</v>
      </c>
      <c r="B40" s="221" t="s">
        <v>48</v>
      </c>
      <c r="C40" s="218">
        <v>36.87702019859924</v>
      </c>
      <c r="D40" s="218">
        <v>28.845320183697524</v>
      </c>
      <c r="E40" s="218">
        <v>39.680618645900928</v>
      </c>
      <c r="F40" s="218">
        <v>30.521043849077593</v>
      </c>
      <c r="G40" s="218">
        <v>84.958342492855579</v>
      </c>
      <c r="H40" s="218">
        <v>19.798307320290174</v>
      </c>
      <c r="I40" s="219"/>
      <c r="J40" s="219"/>
      <c r="L40" s="219"/>
    </row>
    <row r="41" spans="1:12" s="226" customFormat="1" ht="24.75" customHeight="1">
      <c r="A41" s="1121" t="s">
        <v>49</v>
      </c>
      <c r="B41" s="1121"/>
      <c r="C41" s="225">
        <v>26.042963332014761</v>
      </c>
      <c r="D41" s="225">
        <v>23.180932071843813</v>
      </c>
      <c r="E41" s="225">
        <v>27.516986971956776</v>
      </c>
      <c r="F41" s="225">
        <v>24.335033937661873</v>
      </c>
      <c r="G41" s="225">
        <v>36.316622185287585</v>
      </c>
      <c r="H41" s="225">
        <v>18.096199638821854</v>
      </c>
      <c r="I41" s="219"/>
      <c r="J41" s="460"/>
      <c r="K41" s="459"/>
      <c r="L41" s="460"/>
    </row>
    <row r="42" spans="1:12" s="227" customFormat="1" ht="16.149999999999999" customHeight="1">
      <c r="A42" s="454"/>
      <c r="C42" s="228"/>
    </row>
  </sheetData>
  <mergeCells count="7">
    <mergeCell ref="A41:B41"/>
    <mergeCell ref="A1:H1"/>
    <mergeCell ref="A2:A3"/>
    <mergeCell ref="B2:B3"/>
    <mergeCell ref="C2:D2"/>
    <mergeCell ref="E2:F2"/>
    <mergeCell ref="G2:H2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74" firstPageNumber="2" pageOrder="overThenDown" orientation="portrait" useFirstPageNumber="1" r:id="rId1"/>
  <headerFooter alignWithMargins="0">
    <oddFooter>&amp;LAISHE 2021-22&amp;CT-25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</sheetPr>
  <dimension ref="A1:AC21"/>
  <sheetViews>
    <sheetView view="pageBreakPreview" zoomScaleSheetLayoutView="100" workbookViewId="0">
      <pane xSplit="2" topLeftCell="C1" activePane="topRight" state="frozen"/>
      <selection activeCell="F15" sqref="F15"/>
      <selection pane="topRight" activeCell="F15" sqref="F15"/>
    </sheetView>
  </sheetViews>
  <sheetFormatPr defaultColWidth="9.28515625" defaultRowHeight="15"/>
  <cols>
    <col min="1" max="1" width="9.28515625" style="856"/>
    <col min="2" max="2" width="23.5703125" style="849" customWidth="1"/>
    <col min="3" max="4" width="7.5703125" style="849" customWidth="1"/>
    <col min="5" max="5" width="9.28515625" style="849" customWidth="1"/>
    <col min="6" max="8" width="7.5703125" style="849" customWidth="1"/>
    <col min="9" max="10" width="9.28515625" style="849" customWidth="1"/>
    <col min="11" max="11" width="9" style="849" customWidth="1"/>
    <col min="12" max="12" width="11" style="849" customWidth="1"/>
    <col min="13" max="13" width="10" style="849" customWidth="1"/>
    <col min="14" max="14" width="10.28515625" style="849" bestFit="1" customWidth="1"/>
    <col min="15" max="15" width="7.28515625" style="849" customWidth="1"/>
    <col min="16" max="17" width="7.5703125" style="849" customWidth="1"/>
    <col min="18" max="18" width="8.28515625" style="849" customWidth="1"/>
    <col min="19" max="19" width="8" style="849" customWidth="1"/>
    <col min="20" max="20" width="7.5703125" style="849" customWidth="1"/>
    <col min="21" max="21" width="7.28515625" style="849" customWidth="1"/>
    <col min="22" max="22" width="7.7109375" style="849" customWidth="1"/>
    <col min="23" max="23" width="7.5703125" style="849" customWidth="1"/>
    <col min="24" max="24" width="7" style="849" customWidth="1"/>
    <col min="25" max="25" width="7.5703125" style="849" customWidth="1"/>
    <col min="26" max="26" width="7.7109375" style="849" customWidth="1"/>
    <col min="27" max="27" width="10.7109375" style="849" customWidth="1"/>
    <col min="28" max="28" width="9.7109375" style="849" customWidth="1"/>
    <col min="29" max="29" width="10.42578125" style="849" customWidth="1"/>
    <col min="30" max="16384" width="9.28515625" style="849"/>
  </cols>
  <sheetData>
    <row r="1" spans="1:29" ht="34.5" customHeight="1">
      <c r="A1" s="848"/>
      <c r="B1" s="794" t="s">
        <v>138</v>
      </c>
      <c r="C1" s="1123" t="s">
        <v>881</v>
      </c>
      <c r="D1" s="1123"/>
      <c r="E1" s="1123"/>
      <c r="F1" s="1123"/>
      <c r="G1" s="1123"/>
      <c r="H1" s="1123"/>
      <c r="I1" s="1123"/>
      <c r="J1" s="1123"/>
      <c r="K1" s="1123"/>
      <c r="L1" s="1123" t="str">
        <f>C1</f>
        <v>Level-wise Enrolment in various types of Universities
(a) Teaching departments and it's Constituent Units/Off-campus Centres</v>
      </c>
      <c r="M1" s="1123"/>
      <c r="N1" s="1123"/>
      <c r="O1" s="1123"/>
      <c r="P1" s="1123"/>
      <c r="Q1" s="1123"/>
      <c r="R1" s="1123"/>
      <c r="S1" s="1123"/>
      <c r="T1" s="1123"/>
      <c r="U1" s="1123" t="str">
        <f>L1</f>
        <v>Level-wise Enrolment in various types of Universities
(a) Teaching departments and it's Constituent Units/Off-campus Centres</v>
      </c>
      <c r="V1" s="1123"/>
      <c r="W1" s="1123"/>
      <c r="X1" s="1123"/>
      <c r="Y1" s="1123"/>
      <c r="Z1" s="1123"/>
      <c r="AA1" s="1123"/>
      <c r="AB1" s="1123"/>
      <c r="AC1" s="1123"/>
    </row>
    <row r="2" spans="1:29" s="230" customFormat="1" ht="18" customHeight="1">
      <c r="A2" s="1124" t="s">
        <v>988</v>
      </c>
      <c r="B2" s="984" t="s">
        <v>119</v>
      </c>
      <c r="C2" s="984" t="s">
        <v>89</v>
      </c>
      <c r="D2" s="984"/>
      <c r="E2" s="984"/>
      <c r="F2" s="984" t="s">
        <v>90</v>
      </c>
      <c r="G2" s="984"/>
      <c r="H2" s="984"/>
      <c r="I2" s="984" t="s">
        <v>85</v>
      </c>
      <c r="J2" s="984"/>
      <c r="K2" s="984"/>
      <c r="L2" s="984" t="s">
        <v>86</v>
      </c>
      <c r="M2" s="984"/>
      <c r="N2" s="984"/>
      <c r="O2" s="984" t="s">
        <v>91</v>
      </c>
      <c r="P2" s="984"/>
      <c r="Q2" s="984"/>
      <c r="R2" s="984" t="s">
        <v>92</v>
      </c>
      <c r="S2" s="984"/>
      <c r="T2" s="984"/>
      <c r="U2" s="984" t="s">
        <v>93</v>
      </c>
      <c r="V2" s="984"/>
      <c r="W2" s="984"/>
      <c r="X2" s="984" t="s">
        <v>94</v>
      </c>
      <c r="Y2" s="984"/>
      <c r="Z2" s="984"/>
      <c r="AA2" s="984" t="s">
        <v>60</v>
      </c>
      <c r="AB2" s="984"/>
      <c r="AC2" s="984"/>
    </row>
    <row r="3" spans="1:29" s="230" customFormat="1" ht="18" customHeight="1">
      <c r="A3" s="1124"/>
      <c r="B3" s="984"/>
      <c r="C3" s="229" t="s">
        <v>87</v>
      </c>
      <c r="D3" s="229" t="s">
        <v>88</v>
      </c>
      <c r="E3" s="229" t="s">
        <v>12</v>
      </c>
      <c r="F3" s="229" t="s">
        <v>87</v>
      </c>
      <c r="G3" s="229" t="s">
        <v>88</v>
      </c>
      <c r="H3" s="229" t="s">
        <v>12</v>
      </c>
      <c r="I3" s="229" t="s">
        <v>87</v>
      </c>
      <c r="J3" s="229" t="s">
        <v>88</v>
      </c>
      <c r="K3" s="229" t="s">
        <v>12</v>
      </c>
      <c r="L3" s="229" t="s">
        <v>87</v>
      </c>
      <c r="M3" s="229" t="s">
        <v>88</v>
      </c>
      <c r="N3" s="229" t="s">
        <v>12</v>
      </c>
      <c r="O3" s="229" t="s">
        <v>87</v>
      </c>
      <c r="P3" s="229" t="s">
        <v>88</v>
      </c>
      <c r="Q3" s="229" t="s">
        <v>12</v>
      </c>
      <c r="R3" s="229" t="s">
        <v>87</v>
      </c>
      <c r="S3" s="229" t="s">
        <v>88</v>
      </c>
      <c r="T3" s="229" t="s">
        <v>12</v>
      </c>
      <c r="U3" s="229" t="s">
        <v>87</v>
      </c>
      <c r="V3" s="229" t="s">
        <v>88</v>
      </c>
      <c r="W3" s="229" t="s">
        <v>12</v>
      </c>
      <c r="X3" s="229" t="s">
        <v>87</v>
      </c>
      <c r="Y3" s="229" t="s">
        <v>88</v>
      </c>
      <c r="Z3" s="229" t="s">
        <v>12</v>
      </c>
      <c r="AA3" s="229" t="s">
        <v>87</v>
      </c>
      <c r="AB3" s="229" t="s">
        <v>88</v>
      </c>
      <c r="AC3" s="229" t="s">
        <v>12</v>
      </c>
    </row>
    <row r="4" spans="1:29" s="852" customFormat="1" ht="12.75" customHeight="1">
      <c r="A4" s="850">
        <v>1</v>
      </c>
      <c r="B4" s="851">
        <v>2</v>
      </c>
      <c r="C4" s="850">
        <v>3</v>
      </c>
      <c r="D4" s="851">
        <v>4</v>
      </c>
      <c r="E4" s="850">
        <v>5</v>
      </c>
      <c r="F4" s="851">
        <v>6</v>
      </c>
      <c r="G4" s="850">
        <v>7</v>
      </c>
      <c r="H4" s="851">
        <v>8</v>
      </c>
      <c r="I4" s="850">
        <v>9</v>
      </c>
      <c r="J4" s="851">
        <v>10</v>
      </c>
      <c r="K4" s="850">
        <v>11</v>
      </c>
      <c r="L4" s="851">
        <v>12</v>
      </c>
      <c r="M4" s="850">
        <v>13</v>
      </c>
      <c r="N4" s="851">
        <v>14</v>
      </c>
      <c r="O4" s="850">
        <v>15</v>
      </c>
      <c r="P4" s="851">
        <v>16</v>
      </c>
      <c r="Q4" s="850">
        <v>17</v>
      </c>
      <c r="R4" s="851">
        <v>18</v>
      </c>
      <c r="S4" s="850">
        <v>19</v>
      </c>
      <c r="T4" s="851">
        <v>20</v>
      </c>
      <c r="U4" s="850">
        <v>21</v>
      </c>
      <c r="V4" s="851">
        <v>22</v>
      </c>
      <c r="W4" s="850">
        <v>23</v>
      </c>
      <c r="X4" s="851">
        <v>24</v>
      </c>
      <c r="Y4" s="850">
        <v>25</v>
      </c>
      <c r="Z4" s="851">
        <v>26</v>
      </c>
      <c r="AA4" s="850">
        <v>27</v>
      </c>
      <c r="AB4" s="851">
        <v>28</v>
      </c>
      <c r="AC4" s="850">
        <v>29</v>
      </c>
    </row>
    <row r="5" spans="1:29" ht="40.5" customHeight="1">
      <c r="A5" s="478">
        <v>1</v>
      </c>
      <c r="B5" s="853" t="s">
        <v>873</v>
      </c>
      <c r="C5" s="148">
        <v>11695</v>
      </c>
      <c r="D5" s="148">
        <v>10234</v>
      </c>
      <c r="E5" s="148">
        <v>21929</v>
      </c>
      <c r="F5" s="148">
        <v>735</v>
      </c>
      <c r="G5" s="148">
        <v>713</v>
      </c>
      <c r="H5" s="148">
        <v>1448</v>
      </c>
      <c r="I5" s="148">
        <v>70543</v>
      </c>
      <c r="J5" s="148">
        <v>68537</v>
      </c>
      <c r="K5" s="148">
        <v>139080</v>
      </c>
      <c r="L5" s="148">
        <v>269062</v>
      </c>
      <c r="M5" s="148">
        <v>238949</v>
      </c>
      <c r="N5" s="148">
        <v>508011</v>
      </c>
      <c r="O5" s="148">
        <v>2700</v>
      </c>
      <c r="P5" s="148">
        <v>2792</v>
      </c>
      <c r="Q5" s="148">
        <v>5492</v>
      </c>
      <c r="R5" s="148">
        <v>6997</v>
      </c>
      <c r="S5" s="148">
        <v>2729</v>
      </c>
      <c r="T5" s="148">
        <v>9726</v>
      </c>
      <c r="U5" s="148">
        <v>2412</v>
      </c>
      <c r="V5" s="148">
        <v>1025</v>
      </c>
      <c r="W5" s="148">
        <v>3437</v>
      </c>
      <c r="X5" s="148">
        <v>6780</v>
      </c>
      <c r="Y5" s="148">
        <v>5362</v>
      </c>
      <c r="Z5" s="148">
        <v>12142</v>
      </c>
      <c r="AA5" s="148">
        <v>370924</v>
      </c>
      <c r="AB5" s="148">
        <v>330341</v>
      </c>
      <c r="AC5" s="148">
        <v>701265</v>
      </c>
    </row>
    <row r="6" spans="1:29" ht="40.5" customHeight="1">
      <c r="A6" s="478">
        <v>2</v>
      </c>
      <c r="B6" s="853" t="s">
        <v>156</v>
      </c>
      <c r="C6" s="148">
        <v>82</v>
      </c>
      <c r="D6" s="148">
        <v>86</v>
      </c>
      <c r="E6" s="148">
        <v>168</v>
      </c>
      <c r="F6" s="148"/>
      <c r="G6" s="148"/>
      <c r="H6" s="148"/>
      <c r="I6" s="148">
        <v>189475</v>
      </c>
      <c r="J6" s="148">
        <v>242496</v>
      </c>
      <c r="K6" s="148">
        <v>431971</v>
      </c>
      <c r="L6" s="148">
        <v>471918</v>
      </c>
      <c r="M6" s="148">
        <v>292603</v>
      </c>
      <c r="N6" s="148">
        <v>764521</v>
      </c>
      <c r="O6" s="148">
        <v>17230</v>
      </c>
      <c r="P6" s="148">
        <v>11601</v>
      </c>
      <c r="Q6" s="148">
        <v>28831</v>
      </c>
      <c r="R6" s="148">
        <v>8938</v>
      </c>
      <c r="S6" s="148">
        <v>26412</v>
      </c>
      <c r="T6" s="148">
        <v>35350</v>
      </c>
      <c r="U6" s="148"/>
      <c r="V6" s="148"/>
      <c r="W6" s="148"/>
      <c r="X6" s="148"/>
      <c r="Y6" s="148"/>
      <c r="Z6" s="148"/>
      <c r="AA6" s="148">
        <v>687643</v>
      </c>
      <c r="AB6" s="148">
        <v>573198</v>
      </c>
      <c r="AC6" s="148">
        <v>1260841</v>
      </c>
    </row>
    <row r="7" spans="1:29" ht="40.5" customHeight="1">
      <c r="A7" s="478">
        <v>3</v>
      </c>
      <c r="B7" s="854" t="s">
        <v>157</v>
      </c>
      <c r="C7" s="148">
        <v>28783</v>
      </c>
      <c r="D7" s="148">
        <v>13904</v>
      </c>
      <c r="E7" s="148">
        <v>42687</v>
      </c>
      <c r="F7" s="148">
        <v>48</v>
      </c>
      <c r="G7" s="148">
        <v>118</v>
      </c>
      <c r="H7" s="148">
        <v>166</v>
      </c>
      <c r="I7" s="148">
        <v>55712</v>
      </c>
      <c r="J7" s="148">
        <v>22568</v>
      </c>
      <c r="K7" s="148">
        <v>78280</v>
      </c>
      <c r="L7" s="148">
        <v>134370</v>
      </c>
      <c r="M7" s="148">
        <v>44912</v>
      </c>
      <c r="N7" s="148">
        <v>179282</v>
      </c>
      <c r="O7" s="148">
        <v>771</v>
      </c>
      <c r="P7" s="148">
        <v>263</v>
      </c>
      <c r="Q7" s="148">
        <v>1034</v>
      </c>
      <c r="R7" s="148">
        <v>415</v>
      </c>
      <c r="S7" s="148">
        <v>175</v>
      </c>
      <c r="T7" s="148">
        <v>590</v>
      </c>
      <c r="U7" s="148">
        <v>1370</v>
      </c>
      <c r="V7" s="148">
        <v>724</v>
      </c>
      <c r="W7" s="148">
        <v>2094</v>
      </c>
      <c r="X7" s="148">
        <v>15741</v>
      </c>
      <c r="Y7" s="148">
        <v>5858</v>
      </c>
      <c r="Z7" s="148">
        <v>21599</v>
      </c>
      <c r="AA7" s="148">
        <v>237210</v>
      </c>
      <c r="AB7" s="148">
        <v>88522</v>
      </c>
      <c r="AC7" s="148">
        <v>325732</v>
      </c>
    </row>
    <row r="8" spans="1:29" ht="40.5" customHeight="1">
      <c r="A8" s="478">
        <v>4</v>
      </c>
      <c r="B8" s="853" t="s">
        <v>874</v>
      </c>
      <c r="C8" s="148">
        <v>26015</v>
      </c>
      <c r="D8" s="148">
        <v>23645</v>
      </c>
      <c r="E8" s="148">
        <v>49660</v>
      </c>
      <c r="F8" s="148">
        <v>1434</v>
      </c>
      <c r="G8" s="148">
        <v>2910</v>
      </c>
      <c r="H8" s="148">
        <v>4344</v>
      </c>
      <c r="I8" s="148">
        <v>433926</v>
      </c>
      <c r="J8" s="148">
        <v>570243</v>
      </c>
      <c r="K8" s="148">
        <v>1004169</v>
      </c>
      <c r="L8" s="148">
        <v>979473</v>
      </c>
      <c r="M8" s="148">
        <v>750101</v>
      </c>
      <c r="N8" s="148">
        <v>1729574</v>
      </c>
      <c r="O8" s="148">
        <v>27922</v>
      </c>
      <c r="P8" s="148">
        <v>25733</v>
      </c>
      <c r="Q8" s="148">
        <v>53655</v>
      </c>
      <c r="R8" s="148">
        <v>36478</v>
      </c>
      <c r="S8" s="148">
        <v>24734</v>
      </c>
      <c r="T8" s="148">
        <v>61212</v>
      </c>
      <c r="U8" s="148">
        <v>9702</v>
      </c>
      <c r="V8" s="148">
        <v>10613</v>
      </c>
      <c r="W8" s="148">
        <v>20315</v>
      </c>
      <c r="X8" s="148">
        <v>28707</v>
      </c>
      <c r="Y8" s="148">
        <v>28872</v>
      </c>
      <c r="Z8" s="148">
        <v>57579</v>
      </c>
      <c r="AA8" s="148">
        <v>1543657</v>
      </c>
      <c r="AB8" s="148">
        <v>1436851</v>
      </c>
      <c r="AC8" s="148">
        <v>2980508</v>
      </c>
    </row>
    <row r="9" spans="1:29" ht="40.5" customHeight="1">
      <c r="A9" s="478">
        <v>5</v>
      </c>
      <c r="B9" s="853" t="s">
        <v>158</v>
      </c>
      <c r="C9" s="148">
        <v>162</v>
      </c>
      <c r="D9" s="148">
        <v>120</v>
      </c>
      <c r="E9" s="148">
        <v>282</v>
      </c>
      <c r="F9" s="148">
        <v>20</v>
      </c>
      <c r="G9" s="148">
        <v>9</v>
      </c>
      <c r="H9" s="148">
        <v>29</v>
      </c>
      <c r="I9" s="148">
        <v>238925</v>
      </c>
      <c r="J9" s="148">
        <v>219679</v>
      </c>
      <c r="K9" s="148">
        <v>458604</v>
      </c>
      <c r="L9" s="148">
        <v>786816</v>
      </c>
      <c r="M9" s="148">
        <v>479510</v>
      </c>
      <c r="N9" s="148">
        <v>1266326</v>
      </c>
      <c r="O9" s="148">
        <v>9784</v>
      </c>
      <c r="P9" s="148">
        <v>4734</v>
      </c>
      <c r="Q9" s="148">
        <v>14518</v>
      </c>
      <c r="R9" s="148">
        <v>32545</v>
      </c>
      <c r="S9" s="148">
        <v>20045</v>
      </c>
      <c r="T9" s="148">
        <v>52590</v>
      </c>
      <c r="U9" s="148">
        <v>5210</v>
      </c>
      <c r="V9" s="148">
        <v>2444</v>
      </c>
      <c r="W9" s="148">
        <v>7654</v>
      </c>
      <c r="X9" s="148"/>
      <c r="Y9" s="148"/>
      <c r="Z9" s="148"/>
      <c r="AA9" s="148">
        <v>1073462</v>
      </c>
      <c r="AB9" s="148">
        <v>726541</v>
      </c>
      <c r="AC9" s="148">
        <v>1800003</v>
      </c>
    </row>
    <row r="10" spans="1:29" ht="40.5" customHeight="1">
      <c r="A10" s="478">
        <v>6</v>
      </c>
      <c r="B10" s="853" t="s">
        <v>159</v>
      </c>
      <c r="C10" s="148">
        <v>17263</v>
      </c>
      <c r="D10" s="148">
        <v>16929</v>
      </c>
      <c r="E10" s="148">
        <v>34192</v>
      </c>
      <c r="F10" s="148">
        <v>30</v>
      </c>
      <c r="G10" s="148">
        <v>190</v>
      </c>
      <c r="H10" s="148">
        <v>220</v>
      </c>
      <c r="I10" s="148">
        <v>158727</v>
      </c>
      <c r="J10" s="148">
        <v>122954</v>
      </c>
      <c r="K10" s="148">
        <v>281681</v>
      </c>
      <c r="L10" s="148">
        <v>741651</v>
      </c>
      <c r="M10" s="148">
        <v>371904</v>
      </c>
      <c r="N10" s="148">
        <v>1113555</v>
      </c>
      <c r="O10" s="148">
        <v>5157</v>
      </c>
      <c r="P10" s="148">
        <v>3466</v>
      </c>
      <c r="Q10" s="148">
        <v>8623</v>
      </c>
      <c r="R10" s="148">
        <v>86439</v>
      </c>
      <c r="S10" s="148">
        <v>22545</v>
      </c>
      <c r="T10" s="148">
        <v>108984</v>
      </c>
      <c r="U10" s="148">
        <v>996</v>
      </c>
      <c r="V10" s="148">
        <v>449</v>
      </c>
      <c r="W10" s="148">
        <v>1445</v>
      </c>
      <c r="X10" s="148">
        <v>38546</v>
      </c>
      <c r="Y10" s="148">
        <v>29019</v>
      </c>
      <c r="Z10" s="148">
        <v>67565</v>
      </c>
      <c r="AA10" s="148">
        <v>1048809</v>
      </c>
      <c r="AB10" s="148">
        <v>567456</v>
      </c>
      <c r="AC10" s="148">
        <v>1616265</v>
      </c>
    </row>
    <row r="11" spans="1:29" ht="40.5" customHeight="1">
      <c r="A11" s="478">
        <v>7</v>
      </c>
      <c r="B11" s="853" t="s">
        <v>160</v>
      </c>
      <c r="C11" s="148">
        <v>30</v>
      </c>
      <c r="D11" s="148">
        <v>11</v>
      </c>
      <c r="E11" s="148">
        <v>41</v>
      </c>
      <c r="F11" s="148"/>
      <c r="G11" s="148"/>
      <c r="H11" s="148"/>
      <c r="I11" s="148">
        <v>807</v>
      </c>
      <c r="J11" s="148">
        <v>441</v>
      </c>
      <c r="K11" s="148">
        <v>1248</v>
      </c>
      <c r="L11" s="148">
        <v>1259</v>
      </c>
      <c r="M11" s="148">
        <v>685</v>
      </c>
      <c r="N11" s="148">
        <v>1944</v>
      </c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>
        <v>2096</v>
      </c>
      <c r="AB11" s="148">
        <v>1137</v>
      </c>
      <c r="AC11" s="148">
        <v>3233</v>
      </c>
    </row>
    <row r="12" spans="1:29" ht="40.5" customHeight="1">
      <c r="A12" s="478">
        <v>8</v>
      </c>
      <c r="B12" s="853" t="s">
        <v>161</v>
      </c>
      <c r="C12" s="148">
        <v>238</v>
      </c>
      <c r="D12" s="148">
        <v>76</v>
      </c>
      <c r="E12" s="148">
        <v>314</v>
      </c>
      <c r="F12" s="148"/>
      <c r="G12" s="148"/>
      <c r="H12" s="148"/>
      <c r="I12" s="148">
        <v>464</v>
      </c>
      <c r="J12" s="148">
        <v>735</v>
      </c>
      <c r="K12" s="148">
        <v>1199</v>
      </c>
      <c r="L12" s="148">
        <v>1134</v>
      </c>
      <c r="M12" s="148">
        <v>2868</v>
      </c>
      <c r="N12" s="148">
        <v>4002</v>
      </c>
      <c r="O12" s="148">
        <v>8</v>
      </c>
      <c r="P12" s="148">
        <v>61</v>
      </c>
      <c r="Q12" s="148">
        <v>69</v>
      </c>
      <c r="R12" s="148">
        <v>782</v>
      </c>
      <c r="S12" s="148">
        <v>659</v>
      </c>
      <c r="T12" s="148">
        <v>1441</v>
      </c>
      <c r="U12" s="148">
        <v>39</v>
      </c>
      <c r="V12" s="148">
        <v>28</v>
      </c>
      <c r="W12" s="148">
        <v>67</v>
      </c>
      <c r="X12" s="148"/>
      <c r="Y12" s="148"/>
      <c r="Z12" s="148"/>
      <c r="AA12" s="148">
        <v>2665</v>
      </c>
      <c r="AB12" s="148">
        <v>4427</v>
      </c>
      <c r="AC12" s="148">
        <v>7092</v>
      </c>
    </row>
    <row r="13" spans="1:29" ht="40.5" customHeight="1">
      <c r="A13" s="478">
        <v>9</v>
      </c>
      <c r="B13" s="853" t="s">
        <v>162</v>
      </c>
      <c r="C13" s="148">
        <v>3860</v>
      </c>
      <c r="D13" s="148">
        <v>2150</v>
      </c>
      <c r="E13" s="148">
        <v>6010</v>
      </c>
      <c r="F13" s="148">
        <v>16</v>
      </c>
      <c r="G13" s="148">
        <v>26</v>
      </c>
      <c r="H13" s="148">
        <v>42</v>
      </c>
      <c r="I13" s="148">
        <v>6317</v>
      </c>
      <c r="J13" s="148">
        <v>3360</v>
      </c>
      <c r="K13" s="148">
        <v>9677</v>
      </c>
      <c r="L13" s="148">
        <v>8896</v>
      </c>
      <c r="M13" s="148">
        <v>2759</v>
      </c>
      <c r="N13" s="148">
        <v>11655</v>
      </c>
      <c r="O13" s="148">
        <v>559</v>
      </c>
      <c r="P13" s="148">
        <v>202</v>
      </c>
      <c r="Q13" s="148">
        <v>761</v>
      </c>
      <c r="R13" s="148">
        <v>1306</v>
      </c>
      <c r="S13" s="148">
        <v>400</v>
      </c>
      <c r="T13" s="148">
        <v>1706</v>
      </c>
      <c r="U13" s="148">
        <v>350</v>
      </c>
      <c r="V13" s="148">
        <v>139</v>
      </c>
      <c r="W13" s="148">
        <v>489</v>
      </c>
      <c r="X13" s="148">
        <v>369</v>
      </c>
      <c r="Y13" s="148">
        <v>110</v>
      </c>
      <c r="Z13" s="148">
        <v>479</v>
      </c>
      <c r="AA13" s="148">
        <v>21673</v>
      </c>
      <c r="AB13" s="148">
        <v>9146</v>
      </c>
      <c r="AC13" s="148">
        <v>30819</v>
      </c>
    </row>
    <row r="14" spans="1:29" ht="40.5" customHeight="1">
      <c r="A14" s="478">
        <v>10</v>
      </c>
      <c r="B14" s="853" t="s">
        <v>163</v>
      </c>
      <c r="C14" s="148">
        <v>923</v>
      </c>
      <c r="D14" s="148">
        <v>1681</v>
      </c>
      <c r="E14" s="148">
        <v>2604</v>
      </c>
      <c r="F14" s="148">
        <v>44</v>
      </c>
      <c r="G14" s="148">
        <v>48</v>
      </c>
      <c r="H14" s="148">
        <v>92</v>
      </c>
      <c r="I14" s="148">
        <v>7250</v>
      </c>
      <c r="J14" s="148">
        <v>7866</v>
      </c>
      <c r="K14" s="148">
        <v>15116</v>
      </c>
      <c r="L14" s="148">
        <v>18439</v>
      </c>
      <c r="M14" s="148">
        <v>17835</v>
      </c>
      <c r="N14" s="148">
        <v>36274</v>
      </c>
      <c r="O14" s="148">
        <v>234</v>
      </c>
      <c r="P14" s="148">
        <v>246</v>
      </c>
      <c r="Q14" s="148">
        <v>480</v>
      </c>
      <c r="R14" s="148">
        <v>1940</v>
      </c>
      <c r="S14" s="148">
        <v>724</v>
      </c>
      <c r="T14" s="148">
        <v>2664</v>
      </c>
      <c r="U14" s="148">
        <v>609</v>
      </c>
      <c r="V14" s="148">
        <v>464</v>
      </c>
      <c r="W14" s="148">
        <v>1073</v>
      </c>
      <c r="X14" s="148">
        <v>722</v>
      </c>
      <c r="Y14" s="148">
        <v>911</v>
      </c>
      <c r="Z14" s="148">
        <v>1633</v>
      </c>
      <c r="AA14" s="148">
        <v>30161</v>
      </c>
      <c r="AB14" s="148">
        <v>29775</v>
      </c>
      <c r="AC14" s="148">
        <v>59936</v>
      </c>
    </row>
    <row r="15" spans="1:29" ht="40.5" customHeight="1">
      <c r="A15" s="478">
        <v>11</v>
      </c>
      <c r="B15" s="853" t="s">
        <v>164</v>
      </c>
      <c r="C15" s="148">
        <v>12037</v>
      </c>
      <c r="D15" s="148">
        <v>14452</v>
      </c>
      <c r="E15" s="148">
        <v>26489</v>
      </c>
      <c r="F15" s="148">
        <v>72</v>
      </c>
      <c r="G15" s="148">
        <v>110</v>
      </c>
      <c r="H15" s="148">
        <v>182</v>
      </c>
      <c r="I15" s="148">
        <v>71608</v>
      </c>
      <c r="J15" s="148">
        <v>69253</v>
      </c>
      <c r="K15" s="148">
        <v>140861</v>
      </c>
      <c r="L15" s="148">
        <v>383713</v>
      </c>
      <c r="M15" s="148">
        <v>236508</v>
      </c>
      <c r="N15" s="148">
        <v>620221</v>
      </c>
      <c r="O15" s="148">
        <v>14190</v>
      </c>
      <c r="P15" s="148">
        <v>12854</v>
      </c>
      <c r="Q15" s="148">
        <v>27044</v>
      </c>
      <c r="R15" s="148">
        <v>2294</v>
      </c>
      <c r="S15" s="148">
        <v>1287</v>
      </c>
      <c r="T15" s="148">
        <v>3581</v>
      </c>
      <c r="U15" s="148">
        <v>294</v>
      </c>
      <c r="V15" s="148">
        <v>421</v>
      </c>
      <c r="W15" s="148">
        <v>715</v>
      </c>
      <c r="X15" s="148">
        <v>18447</v>
      </c>
      <c r="Y15" s="148">
        <v>15111</v>
      </c>
      <c r="Z15" s="148">
        <v>33558</v>
      </c>
      <c r="AA15" s="148">
        <v>502655</v>
      </c>
      <c r="AB15" s="148">
        <v>349996</v>
      </c>
      <c r="AC15" s="148">
        <v>852651</v>
      </c>
    </row>
    <row r="16" spans="1:29" s="852" customFormat="1" ht="40.5" customHeight="1">
      <c r="A16" s="1125" t="s">
        <v>60</v>
      </c>
      <c r="B16" s="1126"/>
      <c r="C16" s="163">
        <v>101088</v>
      </c>
      <c r="D16" s="163">
        <v>83288</v>
      </c>
      <c r="E16" s="163">
        <v>184376</v>
      </c>
      <c r="F16" s="163">
        <v>2399</v>
      </c>
      <c r="G16" s="163">
        <v>4124</v>
      </c>
      <c r="H16" s="163">
        <v>6523</v>
      </c>
      <c r="I16" s="163">
        <v>1233754</v>
      </c>
      <c r="J16" s="163">
        <v>1328132</v>
      </c>
      <c r="K16" s="163">
        <v>2561886</v>
      </c>
      <c r="L16" s="163">
        <v>3796731</v>
      </c>
      <c r="M16" s="163">
        <v>2438634</v>
      </c>
      <c r="N16" s="163">
        <v>6235365</v>
      </c>
      <c r="O16" s="163">
        <v>78555</v>
      </c>
      <c r="P16" s="163">
        <v>61952</v>
      </c>
      <c r="Q16" s="163">
        <v>140507</v>
      </c>
      <c r="R16" s="163">
        <v>178134</v>
      </c>
      <c r="S16" s="163">
        <v>99710</v>
      </c>
      <c r="T16" s="163">
        <v>277844</v>
      </c>
      <c r="U16" s="163">
        <v>20982</v>
      </c>
      <c r="V16" s="163">
        <v>16307</v>
      </c>
      <c r="W16" s="163">
        <v>37289</v>
      </c>
      <c r="X16" s="163">
        <v>109312</v>
      </c>
      <c r="Y16" s="163">
        <v>85243</v>
      </c>
      <c r="Z16" s="163">
        <v>194555</v>
      </c>
      <c r="AA16" s="163">
        <v>5520955</v>
      </c>
      <c r="AB16" s="163">
        <v>4117390</v>
      </c>
      <c r="AC16" s="163">
        <v>9638345</v>
      </c>
    </row>
    <row r="17" spans="1:29" s="852" customFormat="1" ht="54" customHeight="1">
      <c r="A17" s="478"/>
      <c r="B17" s="855" t="s">
        <v>138</v>
      </c>
      <c r="C17" s="983" t="s">
        <v>882</v>
      </c>
      <c r="D17" s="983"/>
      <c r="E17" s="983"/>
      <c r="F17" s="983"/>
      <c r="G17" s="983"/>
      <c r="H17" s="983"/>
      <c r="I17" s="983"/>
      <c r="J17" s="983"/>
      <c r="K17" s="983"/>
      <c r="L17" s="983" t="str">
        <f>C17</f>
        <v>Level-wise Enrolment in various types of Universities
(b) Affiliated and Constituent Colleges
(Based on Actual Response)</v>
      </c>
      <c r="M17" s="983"/>
      <c r="N17" s="983"/>
      <c r="O17" s="983"/>
      <c r="P17" s="983"/>
      <c r="Q17" s="983"/>
      <c r="R17" s="983"/>
      <c r="S17" s="983"/>
      <c r="T17" s="983"/>
      <c r="U17" s="983" t="str">
        <f>L17</f>
        <v>Level-wise Enrolment in various types of Universities
(b) Affiliated and Constituent Colleges
(Based on Actual Response)</v>
      </c>
      <c r="V17" s="983"/>
      <c r="W17" s="983"/>
      <c r="X17" s="983"/>
      <c r="Y17" s="983"/>
      <c r="Z17" s="983"/>
      <c r="AA17" s="983"/>
      <c r="AB17" s="983"/>
      <c r="AC17" s="983"/>
    </row>
    <row r="18" spans="1:29" ht="40.5" customHeight="1">
      <c r="A18" s="478">
        <v>1</v>
      </c>
      <c r="B18" s="243" t="s">
        <v>120</v>
      </c>
      <c r="C18" s="148">
        <v>332</v>
      </c>
      <c r="D18" s="148">
        <v>285</v>
      </c>
      <c r="E18" s="148">
        <v>617</v>
      </c>
      <c r="F18" s="148"/>
      <c r="G18" s="148">
        <v>6</v>
      </c>
      <c r="H18" s="148">
        <v>6</v>
      </c>
      <c r="I18" s="148">
        <v>15125</v>
      </c>
      <c r="J18" s="148">
        <v>24797</v>
      </c>
      <c r="K18" s="148">
        <v>39922</v>
      </c>
      <c r="L18" s="148">
        <v>370552</v>
      </c>
      <c r="M18" s="148">
        <v>417730</v>
      </c>
      <c r="N18" s="148">
        <v>788282</v>
      </c>
      <c r="O18" s="148">
        <v>346</v>
      </c>
      <c r="P18" s="148">
        <v>440</v>
      </c>
      <c r="Q18" s="148">
        <v>786</v>
      </c>
      <c r="R18" s="148">
        <v>7380</v>
      </c>
      <c r="S18" s="148">
        <v>4173</v>
      </c>
      <c r="T18" s="148">
        <v>11553</v>
      </c>
      <c r="U18" s="148">
        <v>877</v>
      </c>
      <c r="V18" s="148">
        <v>949</v>
      </c>
      <c r="W18" s="148">
        <v>1826</v>
      </c>
      <c r="X18" s="148">
        <v>1357</v>
      </c>
      <c r="Y18" s="148">
        <v>1973</v>
      </c>
      <c r="Z18" s="148">
        <v>3330</v>
      </c>
      <c r="AA18" s="148">
        <v>395969</v>
      </c>
      <c r="AB18" s="148">
        <v>450353</v>
      </c>
      <c r="AC18" s="148">
        <v>846322</v>
      </c>
    </row>
    <row r="19" spans="1:29" ht="40.5" customHeight="1">
      <c r="A19" s="478">
        <v>2</v>
      </c>
      <c r="B19" s="243" t="s">
        <v>123</v>
      </c>
      <c r="C19" s="148">
        <v>12264</v>
      </c>
      <c r="D19" s="148">
        <v>14896</v>
      </c>
      <c r="E19" s="148">
        <v>27160</v>
      </c>
      <c r="F19" s="148">
        <v>993</v>
      </c>
      <c r="G19" s="148">
        <v>1995</v>
      </c>
      <c r="H19" s="148">
        <v>2988</v>
      </c>
      <c r="I19" s="148">
        <v>1022249</v>
      </c>
      <c r="J19" s="148">
        <v>1474928</v>
      </c>
      <c r="K19" s="148">
        <v>2497177</v>
      </c>
      <c r="L19" s="148">
        <v>13135104</v>
      </c>
      <c r="M19" s="148">
        <v>12870253</v>
      </c>
      <c r="N19" s="148">
        <v>26005357</v>
      </c>
      <c r="O19" s="148">
        <v>23833</v>
      </c>
      <c r="P19" s="148">
        <v>25416</v>
      </c>
      <c r="Q19" s="148">
        <v>49249</v>
      </c>
      <c r="R19" s="148">
        <v>385489</v>
      </c>
      <c r="S19" s="148">
        <v>245980</v>
      </c>
      <c r="T19" s="148">
        <v>631469</v>
      </c>
      <c r="U19" s="148">
        <v>12630</v>
      </c>
      <c r="V19" s="148">
        <v>14352</v>
      </c>
      <c r="W19" s="148">
        <v>26982</v>
      </c>
      <c r="X19" s="148">
        <v>137345</v>
      </c>
      <c r="Y19" s="148">
        <v>123977</v>
      </c>
      <c r="Z19" s="148">
        <v>261322</v>
      </c>
      <c r="AA19" s="148">
        <v>14729907</v>
      </c>
      <c r="AB19" s="148">
        <v>14771797</v>
      </c>
      <c r="AC19" s="148">
        <v>29501704</v>
      </c>
    </row>
    <row r="20" spans="1:29" s="852" customFormat="1" ht="40.5" customHeight="1">
      <c r="A20" s="1127" t="s">
        <v>60</v>
      </c>
      <c r="B20" s="1128"/>
      <c r="C20" s="163">
        <v>12596</v>
      </c>
      <c r="D20" s="163">
        <v>15181</v>
      </c>
      <c r="E20" s="163">
        <v>27777</v>
      </c>
      <c r="F20" s="163">
        <v>993</v>
      </c>
      <c r="G20" s="163">
        <v>2001</v>
      </c>
      <c r="H20" s="163">
        <v>2994</v>
      </c>
      <c r="I20" s="163">
        <v>1037374</v>
      </c>
      <c r="J20" s="163">
        <v>1499725</v>
      </c>
      <c r="K20" s="163">
        <v>2537099</v>
      </c>
      <c r="L20" s="163">
        <v>13505656</v>
      </c>
      <c r="M20" s="163">
        <v>13287983</v>
      </c>
      <c r="N20" s="163">
        <v>26793639</v>
      </c>
      <c r="O20" s="163">
        <v>24179</v>
      </c>
      <c r="P20" s="163">
        <v>25856</v>
      </c>
      <c r="Q20" s="163">
        <v>50035</v>
      </c>
      <c r="R20" s="163">
        <v>392869</v>
      </c>
      <c r="S20" s="163">
        <v>250153</v>
      </c>
      <c r="T20" s="163">
        <v>643022</v>
      </c>
      <c r="U20" s="163">
        <v>13507</v>
      </c>
      <c r="V20" s="163">
        <v>15301</v>
      </c>
      <c r="W20" s="163">
        <v>28808</v>
      </c>
      <c r="X20" s="163">
        <v>138702</v>
      </c>
      <c r="Y20" s="163">
        <v>125950</v>
      </c>
      <c r="Z20" s="163">
        <v>264652</v>
      </c>
      <c r="AA20" s="163">
        <v>15125876</v>
      </c>
      <c r="AB20" s="163">
        <v>15222150</v>
      </c>
      <c r="AC20" s="163">
        <v>30348026</v>
      </c>
    </row>
    <row r="21" spans="1:29" s="857" customFormat="1">
      <c r="A21" s="856"/>
    </row>
  </sheetData>
  <mergeCells count="19">
    <mergeCell ref="A2:A3"/>
    <mergeCell ref="A16:B16"/>
    <mergeCell ref="A20:B20"/>
    <mergeCell ref="B2:B3"/>
    <mergeCell ref="C2:E2"/>
    <mergeCell ref="U17:AC17"/>
    <mergeCell ref="C1:K1"/>
    <mergeCell ref="L1:T1"/>
    <mergeCell ref="U1:AC1"/>
    <mergeCell ref="O2:Q2"/>
    <mergeCell ref="R2:T2"/>
    <mergeCell ref="U2:W2"/>
    <mergeCell ref="X2:Z2"/>
    <mergeCell ref="AA2:AC2"/>
    <mergeCell ref="F2:H2"/>
    <mergeCell ref="I2:K2"/>
    <mergeCell ref="L2:N2"/>
    <mergeCell ref="C17:K17"/>
    <mergeCell ref="L17:T17"/>
  </mergeCells>
  <pageMargins left="0.59055118110236227" right="0.23622047244094491" top="0.55118110236220474" bottom="0.74803149606299213" header="0.31496062992125984" footer="0.31496062992125984"/>
  <pageSetup paperSize="9" scale="80" firstPageNumber="87" orientation="portrait" useFirstPageNumber="1" r:id="rId1"/>
  <headerFooter>
    <oddFooter>&amp;LAISHE 2021-22&amp;CT-26</oddFooter>
  </headerFooter>
  <colBreaks count="2" manualBreakCount="2">
    <brk id="11" max="19" man="1"/>
    <brk id="20" max="19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Z20"/>
  <sheetViews>
    <sheetView view="pageBreakPreview" zoomScaleSheetLayoutView="100" workbookViewId="0">
      <pane xSplit="2" ySplit="4" topLeftCell="C5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.75"/>
  <cols>
    <col min="1" max="1" width="9.28515625" style="166"/>
    <col min="2" max="2" width="18.42578125" style="234" customWidth="1"/>
    <col min="3" max="4" width="10.28515625" style="234" customWidth="1"/>
    <col min="5" max="5" width="9.7109375" style="234" customWidth="1"/>
    <col min="6" max="6" width="8.7109375" style="234" customWidth="1"/>
    <col min="7" max="7" width="10.7109375" style="234" customWidth="1"/>
    <col min="8" max="8" width="9" style="234" customWidth="1"/>
    <col min="9" max="9" width="7.7109375" style="234" customWidth="1"/>
    <col min="10" max="10" width="9.28515625" style="234" customWidth="1"/>
    <col min="11" max="11" width="8.7109375" style="234" customWidth="1"/>
    <col min="12" max="12" width="9" style="234" customWidth="1"/>
    <col min="13" max="13" width="9.28515625" style="234" customWidth="1"/>
    <col min="14" max="15" width="10.7109375" style="234" customWidth="1"/>
    <col min="16" max="16" width="10.28515625" style="234" customWidth="1"/>
    <col min="17" max="17" width="9.7109375" style="234" customWidth="1"/>
    <col min="18" max="18" width="10" style="234" customWidth="1"/>
    <col min="19" max="19" width="10.7109375" style="234" customWidth="1"/>
    <col min="20" max="20" width="11.7109375" style="234" customWidth="1"/>
    <col min="21" max="21" width="9.28515625" style="234"/>
    <col min="22" max="22" width="10" style="234" customWidth="1"/>
    <col min="23" max="24" width="9.28515625" style="234"/>
    <col min="25" max="25" width="9.5703125" style="234" customWidth="1"/>
    <col min="26" max="16384" width="9.28515625" style="234"/>
  </cols>
  <sheetData>
    <row r="1" spans="1:26" s="232" customFormat="1" ht="72.75" customHeight="1">
      <c r="A1" s="1129" t="s">
        <v>132</v>
      </c>
      <c r="B1" s="1130"/>
      <c r="C1" s="1134" t="s">
        <v>883</v>
      </c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1" t="s">
        <v>884</v>
      </c>
      <c r="P1" s="1132"/>
      <c r="Q1" s="1132"/>
      <c r="R1" s="1132"/>
      <c r="S1" s="1132"/>
      <c r="T1" s="1132"/>
      <c r="U1" s="1132"/>
      <c r="V1" s="1132"/>
      <c r="W1" s="1132"/>
      <c r="X1" s="1132"/>
      <c r="Y1" s="1132"/>
      <c r="Z1" s="1133"/>
    </row>
    <row r="2" spans="1:26" ht="31.5" customHeight="1">
      <c r="A2" s="1135" t="s">
        <v>988</v>
      </c>
      <c r="B2" s="1137" t="s">
        <v>119</v>
      </c>
      <c r="C2" s="1138" t="s">
        <v>136</v>
      </c>
      <c r="D2" s="1138"/>
      <c r="E2" s="1138"/>
      <c r="F2" s="1060" t="s">
        <v>460</v>
      </c>
      <c r="G2" s="1061"/>
      <c r="H2" s="1062"/>
      <c r="I2" s="1060" t="s">
        <v>242</v>
      </c>
      <c r="J2" s="1061"/>
      <c r="K2" s="1062"/>
      <c r="L2" s="1060" t="s">
        <v>243</v>
      </c>
      <c r="M2" s="1061"/>
      <c r="N2" s="1062"/>
      <c r="O2" s="1063" t="s">
        <v>105</v>
      </c>
      <c r="P2" s="1064"/>
      <c r="Q2" s="1065"/>
      <c r="R2" s="1063" t="s">
        <v>106</v>
      </c>
      <c r="S2" s="1064"/>
      <c r="T2" s="1065"/>
      <c r="U2" s="1063" t="s">
        <v>107</v>
      </c>
      <c r="V2" s="1064"/>
      <c r="W2" s="1065"/>
      <c r="X2" s="1063" t="s">
        <v>225</v>
      </c>
      <c r="Y2" s="1064"/>
      <c r="Z2" s="1065"/>
    </row>
    <row r="3" spans="1:26" ht="23.25" customHeight="1">
      <c r="A3" s="1135"/>
      <c r="B3" s="1137"/>
      <c r="C3" s="233" t="s">
        <v>87</v>
      </c>
      <c r="D3" s="233" t="s">
        <v>88</v>
      </c>
      <c r="E3" s="233" t="s">
        <v>12</v>
      </c>
      <c r="F3" s="233" t="s">
        <v>87</v>
      </c>
      <c r="G3" s="233" t="s">
        <v>88</v>
      </c>
      <c r="H3" s="233" t="s">
        <v>12</v>
      </c>
      <c r="I3" s="233" t="s">
        <v>87</v>
      </c>
      <c r="J3" s="233" t="s">
        <v>88</v>
      </c>
      <c r="K3" s="233" t="s">
        <v>12</v>
      </c>
      <c r="L3" s="233" t="s">
        <v>87</v>
      </c>
      <c r="M3" s="233" t="s">
        <v>88</v>
      </c>
      <c r="N3" s="233" t="s">
        <v>12</v>
      </c>
      <c r="O3" s="233" t="s">
        <v>87</v>
      </c>
      <c r="P3" s="233" t="s">
        <v>88</v>
      </c>
      <c r="Q3" s="233" t="s">
        <v>12</v>
      </c>
      <c r="R3" s="233" t="s">
        <v>87</v>
      </c>
      <c r="S3" s="233" t="s">
        <v>88</v>
      </c>
      <c r="T3" s="233" t="s">
        <v>12</v>
      </c>
      <c r="U3" s="233" t="s">
        <v>87</v>
      </c>
      <c r="V3" s="233" t="s">
        <v>88</v>
      </c>
      <c r="W3" s="233" t="s">
        <v>12</v>
      </c>
      <c r="X3" s="233" t="s">
        <v>87</v>
      </c>
      <c r="Y3" s="233" t="s">
        <v>88</v>
      </c>
      <c r="Z3" s="233" t="s">
        <v>12</v>
      </c>
    </row>
    <row r="4" spans="1:26" s="451" customFormat="1">
      <c r="A4" s="449">
        <v>1</v>
      </c>
      <c r="B4" s="450">
        <v>2</v>
      </c>
      <c r="C4" s="449">
        <v>3</v>
      </c>
      <c r="D4" s="450">
        <v>4</v>
      </c>
      <c r="E4" s="449">
        <v>5</v>
      </c>
      <c r="F4" s="450">
        <v>6</v>
      </c>
      <c r="G4" s="449">
        <v>7</v>
      </c>
      <c r="H4" s="450">
        <v>8</v>
      </c>
      <c r="I4" s="449">
        <v>9</v>
      </c>
      <c r="J4" s="450">
        <v>10</v>
      </c>
      <c r="K4" s="449">
        <v>11</v>
      </c>
      <c r="L4" s="450">
        <v>12</v>
      </c>
      <c r="M4" s="449">
        <v>13</v>
      </c>
      <c r="N4" s="450">
        <v>14</v>
      </c>
      <c r="O4" s="449">
        <v>15</v>
      </c>
      <c r="P4" s="450">
        <v>16</v>
      </c>
      <c r="Q4" s="449">
        <v>17</v>
      </c>
      <c r="R4" s="450">
        <v>18</v>
      </c>
      <c r="S4" s="449">
        <v>19</v>
      </c>
      <c r="T4" s="450">
        <v>20</v>
      </c>
      <c r="U4" s="449">
        <v>21</v>
      </c>
      <c r="V4" s="450">
        <v>22</v>
      </c>
      <c r="W4" s="449">
        <v>23</v>
      </c>
      <c r="X4" s="450">
        <v>24</v>
      </c>
      <c r="Y4" s="449">
        <v>25</v>
      </c>
      <c r="Z4" s="450">
        <v>26</v>
      </c>
    </row>
    <row r="5" spans="1:26" ht="54" customHeight="1">
      <c r="A5" s="435">
        <v>1</v>
      </c>
      <c r="B5" s="452" t="s">
        <v>873</v>
      </c>
      <c r="C5" s="148">
        <v>370924</v>
      </c>
      <c r="D5" s="148">
        <v>330341</v>
      </c>
      <c r="E5" s="148">
        <v>701265</v>
      </c>
      <c r="F5" s="148">
        <v>48591</v>
      </c>
      <c r="G5" s="148">
        <v>43879</v>
      </c>
      <c r="H5" s="148">
        <v>92470</v>
      </c>
      <c r="I5" s="148">
        <v>16687</v>
      </c>
      <c r="J5" s="148">
        <v>17154</v>
      </c>
      <c r="K5" s="148">
        <v>33841</v>
      </c>
      <c r="L5" s="148">
        <v>72289</v>
      </c>
      <c r="M5" s="148">
        <v>51253</v>
      </c>
      <c r="N5" s="148">
        <v>123542</v>
      </c>
      <c r="O5" s="164">
        <v>3065</v>
      </c>
      <c r="P5" s="164">
        <v>1354</v>
      </c>
      <c r="Q5" s="164">
        <v>4419</v>
      </c>
      <c r="R5" s="164">
        <v>35510</v>
      </c>
      <c r="S5" s="164">
        <v>26738</v>
      </c>
      <c r="T5" s="164">
        <v>62248</v>
      </c>
      <c r="U5" s="164">
        <v>4960</v>
      </c>
      <c r="V5" s="164">
        <v>6723</v>
      </c>
      <c r="W5" s="164">
        <v>11683</v>
      </c>
      <c r="X5" s="164">
        <v>16068</v>
      </c>
      <c r="Y5" s="164">
        <v>10326</v>
      </c>
      <c r="Z5" s="164">
        <v>26394</v>
      </c>
    </row>
    <row r="6" spans="1:26" ht="54" customHeight="1">
      <c r="A6" s="435">
        <v>2</v>
      </c>
      <c r="B6" s="452" t="s">
        <v>156</v>
      </c>
      <c r="C6" s="148">
        <v>687643</v>
      </c>
      <c r="D6" s="148">
        <v>573198</v>
      </c>
      <c r="E6" s="148">
        <v>1260841</v>
      </c>
      <c r="F6" s="148">
        <v>108024</v>
      </c>
      <c r="G6" s="148">
        <v>79039</v>
      </c>
      <c r="H6" s="148">
        <v>187063</v>
      </c>
      <c r="I6" s="148">
        <v>46961</v>
      </c>
      <c r="J6" s="148">
        <v>45688</v>
      </c>
      <c r="K6" s="148">
        <v>92649</v>
      </c>
      <c r="L6" s="148">
        <v>165579</v>
      </c>
      <c r="M6" s="148">
        <v>120732</v>
      </c>
      <c r="N6" s="148">
        <v>286311</v>
      </c>
      <c r="O6" s="164">
        <v>2669</v>
      </c>
      <c r="P6" s="164">
        <v>1288</v>
      </c>
      <c r="Q6" s="164">
        <v>3957</v>
      </c>
      <c r="R6" s="164">
        <v>12</v>
      </c>
      <c r="S6" s="164">
        <v>11</v>
      </c>
      <c r="T6" s="164">
        <v>23</v>
      </c>
      <c r="U6" s="164">
        <v>67</v>
      </c>
      <c r="V6" s="164">
        <v>74</v>
      </c>
      <c r="W6" s="164">
        <v>141</v>
      </c>
      <c r="X6" s="164">
        <v>11228</v>
      </c>
      <c r="Y6" s="164">
        <v>6398</v>
      </c>
      <c r="Z6" s="164">
        <v>17626</v>
      </c>
    </row>
    <row r="7" spans="1:26" ht="54" customHeight="1">
      <c r="A7" s="435">
        <v>3</v>
      </c>
      <c r="B7" s="452" t="s">
        <v>157</v>
      </c>
      <c r="C7" s="148">
        <v>237210</v>
      </c>
      <c r="D7" s="148">
        <v>88522</v>
      </c>
      <c r="E7" s="148">
        <v>325732</v>
      </c>
      <c r="F7" s="148">
        <v>33267</v>
      </c>
      <c r="G7" s="148">
        <v>11225</v>
      </c>
      <c r="H7" s="148">
        <v>44492</v>
      </c>
      <c r="I7" s="148">
        <v>15401</v>
      </c>
      <c r="J7" s="148">
        <v>5341</v>
      </c>
      <c r="K7" s="148">
        <v>20742</v>
      </c>
      <c r="L7" s="148">
        <v>66408</v>
      </c>
      <c r="M7" s="148">
        <v>21287</v>
      </c>
      <c r="N7" s="148">
        <v>87695</v>
      </c>
      <c r="O7" s="164">
        <v>3231</v>
      </c>
      <c r="P7" s="164">
        <v>740</v>
      </c>
      <c r="Q7" s="164">
        <v>3971</v>
      </c>
      <c r="R7" s="164">
        <v>4444</v>
      </c>
      <c r="S7" s="164">
        <v>1278</v>
      </c>
      <c r="T7" s="164">
        <v>5722</v>
      </c>
      <c r="U7" s="164">
        <v>8613</v>
      </c>
      <c r="V7" s="164">
        <v>3958</v>
      </c>
      <c r="W7" s="164">
        <v>12571</v>
      </c>
      <c r="X7" s="164">
        <v>16520</v>
      </c>
      <c r="Y7" s="164">
        <v>4688</v>
      </c>
      <c r="Z7" s="164">
        <v>21208</v>
      </c>
    </row>
    <row r="8" spans="1:26" ht="54" customHeight="1">
      <c r="A8" s="435">
        <v>4</v>
      </c>
      <c r="B8" s="452" t="s">
        <v>874</v>
      </c>
      <c r="C8" s="148">
        <v>1543657</v>
      </c>
      <c r="D8" s="148">
        <v>1436851</v>
      </c>
      <c r="E8" s="148">
        <v>2980508</v>
      </c>
      <c r="F8" s="148">
        <v>222799</v>
      </c>
      <c r="G8" s="148">
        <v>197542</v>
      </c>
      <c r="H8" s="148">
        <v>420341</v>
      </c>
      <c r="I8" s="148">
        <v>87682</v>
      </c>
      <c r="J8" s="148">
        <v>74647</v>
      </c>
      <c r="K8" s="148">
        <v>162329</v>
      </c>
      <c r="L8" s="148">
        <v>583762</v>
      </c>
      <c r="M8" s="148">
        <v>521361</v>
      </c>
      <c r="N8" s="148">
        <v>1105123</v>
      </c>
      <c r="O8" s="164">
        <v>3802</v>
      </c>
      <c r="P8" s="164">
        <v>2257</v>
      </c>
      <c r="Q8" s="164">
        <v>6059</v>
      </c>
      <c r="R8" s="164">
        <v>69797</v>
      </c>
      <c r="S8" s="164">
        <v>62994</v>
      </c>
      <c r="T8" s="164">
        <v>132791</v>
      </c>
      <c r="U8" s="164">
        <v>26944</v>
      </c>
      <c r="V8" s="164">
        <v>29817</v>
      </c>
      <c r="W8" s="164">
        <v>56761</v>
      </c>
      <c r="X8" s="164">
        <v>18964</v>
      </c>
      <c r="Y8" s="164">
        <v>15004</v>
      </c>
      <c r="Z8" s="164">
        <v>33968</v>
      </c>
    </row>
    <row r="9" spans="1:26" ht="54" customHeight="1">
      <c r="A9" s="435">
        <v>5</v>
      </c>
      <c r="B9" s="452" t="s">
        <v>158</v>
      </c>
      <c r="C9" s="148">
        <v>1073462</v>
      </c>
      <c r="D9" s="148">
        <v>726541</v>
      </c>
      <c r="E9" s="148">
        <v>1800003</v>
      </c>
      <c r="F9" s="148">
        <v>178595</v>
      </c>
      <c r="G9" s="148">
        <v>118266</v>
      </c>
      <c r="H9" s="148">
        <v>296861</v>
      </c>
      <c r="I9" s="148">
        <v>66728</v>
      </c>
      <c r="J9" s="148">
        <v>48692</v>
      </c>
      <c r="K9" s="148">
        <v>115420</v>
      </c>
      <c r="L9" s="148">
        <v>375029</v>
      </c>
      <c r="M9" s="148">
        <v>237309</v>
      </c>
      <c r="N9" s="148">
        <v>612338</v>
      </c>
      <c r="O9" s="164">
        <v>2438</v>
      </c>
      <c r="P9" s="164">
        <v>1345</v>
      </c>
      <c r="Q9" s="164">
        <v>3783</v>
      </c>
      <c r="R9" s="164">
        <v>49374</v>
      </c>
      <c r="S9" s="164">
        <v>33671</v>
      </c>
      <c r="T9" s="164">
        <v>83045</v>
      </c>
      <c r="U9" s="164">
        <v>2545</v>
      </c>
      <c r="V9" s="164">
        <v>2646</v>
      </c>
      <c r="W9" s="164">
        <v>5191</v>
      </c>
      <c r="X9" s="164">
        <v>21015</v>
      </c>
      <c r="Y9" s="164">
        <v>15558</v>
      </c>
      <c r="Z9" s="164">
        <v>36573</v>
      </c>
    </row>
    <row r="10" spans="1:26" ht="54" customHeight="1">
      <c r="A10" s="435">
        <v>6</v>
      </c>
      <c r="B10" s="452" t="s">
        <v>159</v>
      </c>
      <c r="C10" s="148">
        <v>1048809</v>
      </c>
      <c r="D10" s="148">
        <v>567456</v>
      </c>
      <c r="E10" s="148">
        <v>1616265</v>
      </c>
      <c r="F10" s="148">
        <v>80082</v>
      </c>
      <c r="G10" s="148">
        <v>41432</v>
      </c>
      <c r="H10" s="148">
        <v>121514</v>
      </c>
      <c r="I10" s="148">
        <v>46557</v>
      </c>
      <c r="J10" s="148">
        <v>28935</v>
      </c>
      <c r="K10" s="148">
        <v>75492</v>
      </c>
      <c r="L10" s="148">
        <v>248758</v>
      </c>
      <c r="M10" s="148">
        <v>115861</v>
      </c>
      <c r="N10" s="148">
        <v>364619</v>
      </c>
      <c r="O10" s="164">
        <v>329</v>
      </c>
      <c r="P10" s="164">
        <v>199</v>
      </c>
      <c r="Q10" s="164">
        <v>528</v>
      </c>
      <c r="R10" s="164">
        <v>45697</v>
      </c>
      <c r="S10" s="164">
        <v>18812</v>
      </c>
      <c r="T10" s="164">
        <v>64509</v>
      </c>
      <c r="U10" s="164">
        <v>25217</v>
      </c>
      <c r="V10" s="164">
        <v>22809</v>
      </c>
      <c r="W10" s="164">
        <v>48026</v>
      </c>
      <c r="X10" s="164">
        <v>11128</v>
      </c>
      <c r="Y10" s="164">
        <v>5152</v>
      </c>
      <c r="Z10" s="164">
        <v>16280</v>
      </c>
    </row>
    <row r="11" spans="1:26" ht="54" customHeight="1">
      <c r="A11" s="435">
        <v>7</v>
      </c>
      <c r="B11" s="452" t="s">
        <v>160</v>
      </c>
      <c r="C11" s="148">
        <v>2096</v>
      </c>
      <c r="D11" s="148">
        <v>1137</v>
      </c>
      <c r="E11" s="148">
        <v>3233</v>
      </c>
      <c r="F11" s="148"/>
      <c r="G11" s="148"/>
      <c r="H11" s="148"/>
      <c r="I11" s="148">
        <v>1430</v>
      </c>
      <c r="J11" s="148">
        <v>766</v>
      </c>
      <c r="K11" s="148">
        <v>2196</v>
      </c>
      <c r="L11" s="148"/>
      <c r="M11" s="148"/>
      <c r="N11" s="148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</row>
    <row r="12" spans="1:26" ht="54" customHeight="1">
      <c r="A12" s="435">
        <v>8</v>
      </c>
      <c r="B12" s="452" t="s">
        <v>161</v>
      </c>
      <c r="C12" s="148">
        <v>2665</v>
      </c>
      <c r="D12" s="148">
        <v>4427</v>
      </c>
      <c r="E12" s="148">
        <v>7092</v>
      </c>
      <c r="F12" s="148">
        <v>374</v>
      </c>
      <c r="G12" s="148">
        <v>570</v>
      </c>
      <c r="H12" s="148">
        <v>944</v>
      </c>
      <c r="I12" s="148">
        <v>290</v>
      </c>
      <c r="J12" s="148">
        <v>296</v>
      </c>
      <c r="K12" s="148">
        <v>586</v>
      </c>
      <c r="L12" s="148">
        <v>696</v>
      </c>
      <c r="M12" s="148">
        <v>1176</v>
      </c>
      <c r="N12" s="148">
        <v>1872</v>
      </c>
      <c r="O12" s="164">
        <v>7</v>
      </c>
      <c r="P12" s="164">
        <v>9</v>
      </c>
      <c r="Q12" s="164">
        <v>16</v>
      </c>
      <c r="R12" s="164">
        <v>30</v>
      </c>
      <c r="S12" s="164">
        <v>103</v>
      </c>
      <c r="T12" s="164">
        <v>133</v>
      </c>
      <c r="U12" s="164"/>
      <c r="V12" s="164"/>
      <c r="W12" s="164"/>
      <c r="X12" s="164">
        <v>82</v>
      </c>
      <c r="Y12" s="164">
        <v>141</v>
      </c>
      <c r="Z12" s="164">
        <v>223</v>
      </c>
    </row>
    <row r="13" spans="1:26" ht="54" customHeight="1">
      <c r="A13" s="435">
        <v>9</v>
      </c>
      <c r="B13" s="452" t="s">
        <v>162</v>
      </c>
      <c r="C13" s="148">
        <v>21673</v>
      </c>
      <c r="D13" s="148">
        <v>9146</v>
      </c>
      <c r="E13" s="148">
        <v>30819</v>
      </c>
      <c r="F13" s="148">
        <v>2387</v>
      </c>
      <c r="G13" s="148">
        <v>994</v>
      </c>
      <c r="H13" s="148">
        <v>3381</v>
      </c>
      <c r="I13" s="148">
        <v>1977</v>
      </c>
      <c r="J13" s="148">
        <v>1038</v>
      </c>
      <c r="K13" s="148">
        <v>3015</v>
      </c>
      <c r="L13" s="148">
        <v>5272</v>
      </c>
      <c r="M13" s="148">
        <v>2117</v>
      </c>
      <c r="N13" s="148">
        <v>7389</v>
      </c>
      <c r="O13" s="164">
        <v>89</v>
      </c>
      <c r="P13" s="164">
        <v>25</v>
      </c>
      <c r="Q13" s="164">
        <v>114</v>
      </c>
      <c r="R13" s="164">
        <v>357</v>
      </c>
      <c r="S13" s="164">
        <v>79</v>
      </c>
      <c r="T13" s="164">
        <v>436</v>
      </c>
      <c r="U13" s="164">
        <v>1063</v>
      </c>
      <c r="V13" s="164">
        <v>557</v>
      </c>
      <c r="W13" s="164">
        <v>1620</v>
      </c>
      <c r="X13" s="164">
        <v>1086</v>
      </c>
      <c r="Y13" s="164">
        <v>387</v>
      </c>
      <c r="Z13" s="164">
        <v>1473</v>
      </c>
    </row>
    <row r="14" spans="1:26" ht="54" customHeight="1">
      <c r="A14" s="435">
        <v>10</v>
      </c>
      <c r="B14" s="452" t="s">
        <v>163</v>
      </c>
      <c r="C14" s="148">
        <v>30161</v>
      </c>
      <c r="D14" s="148">
        <v>29775</v>
      </c>
      <c r="E14" s="148">
        <v>59936</v>
      </c>
      <c r="F14" s="148">
        <v>2756</v>
      </c>
      <c r="G14" s="148">
        <v>2906</v>
      </c>
      <c r="H14" s="148">
        <v>5662</v>
      </c>
      <c r="I14" s="148">
        <v>752</v>
      </c>
      <c r="J14" s="148">
        <v>766</v>
      </c>
      <c r="K14" s="148">
        <v>1518</v>
      </c>
      <c r="L14" s="148">
        <v>6389</v>
      </c>
      <c r="M14" s="148">
        <v>7692</v>
      </c>
      <c r="N14" s="148">
        <v>14081</v>
      </c>
      <c r="O14" s="164">
        <v>84</v>
      </c>
      <c r="P14" s="164">
        <v>94</v>
      </c>
      <c r="Q14" s="164">
        <v>178</v>
      </c>
      <c r="R14" s="164">
        <v>3748</v>
      </c>
      <c r="S14" s="164">
        <v>3884</v>
      </c>
      <c r="T14" s="164">
        <v>7632</v>
      </c>
      <c r="U14" s="164">
        <v>738</v>
      </c>
      <c r="V14" s="164">
        <v>1219</v>
      </c>
      <c r="W14" s="164">
        <v>1957</v>
      </c>
      <c r="X14" s="164">
        <v>718</v>
      </c>
      <c r="Y14" s="164">
        <v>672</v>
      </c>
      <c r="Z14" s="164">
        <v>1390</v>
      </c>
    </row>
    <row r="15" spans="1:26" ht="54" customHeight="1">
      <c r="A15" s="435">
        <v>11</v>
      </c>
      <c r="B15" s="452" t="s">
        <v>164</v>
      </c>
      <c r="C15" s="148">
        <v>502655</v>
      </c>
      <c r="D15" s="148">
        <v>349996</v>
      </c>
      <c r="E15" s="148">
        <v>852651</v>
      </c>
      <c r="F15" s="148">
        <v>29021</v>
      </c>
      <c r="G15" s="148">
        <v>18826</v>
      </c>
      <c r="H15" s="148">
        <v>47847</v>
      </c>
      <c r="I15" s="148">
        <v>7610</v>
      </c>
      <c r="J15" s="148">
        <v>5311</v>
      </c>
      <c r="K15" s="148">
        <v>12921</v>
      </c>
      <c r="L15" s="148">
        <v>156320</v>
      </c>
      <c r="M15" s="148">
        <v>95933</v>
      </c>
      <c r="N15" s="148">
        <v>252253</v>
      </c>
      <c r="O15" s="164">
        <v>589</v>
      </c>
      <c r="P15" s="164">
        <v>362</v>
      </c>
      <c r="Q15" s="164">
        <v>951</v>
      </c>
      <c r="R15" s="164">
        <v>20734</v>
      </c>
      <c r="S15" s="164">
        <v>10106</v>
      </c>
      <c r="T15" s="164">
        <v>30840</v>
      </c>
      <c r="U15" s="164">
        <v>27971</v>
      </c>
      <c r="V15" s="164">
        <v>20212</v>
      </c>
      <c r="W15" s="164">
        <v>48183</v>
      </c>
      <c r="X15" s="164">
        <v>9650</v>
      </c>
      <c r="Y15" s="164">
        <v>5735</v>
      </c>
      <c r="Z15" s="164">
        <v>15385</v>
      </c>
    </row>
    <row r="16" spans="1:26" s="235" customFormat="1" ht="54" customHeight="1">
      <c r="A16" s="1136" t="s">
        <v>60</v>
      </c>
      <c r="B16" s="1136"/>
      <c r="C16" s="163">
        <v>5520955</v>
      </c>
      <c r="D16" s="163">
        <v>4117390</v>
      </c>
      <c r="E16" s="163">
        <v>9638345</v>
      </c>
      <c r="F16" s="163">
        <v>705896</v>
      </c>
      <c r="G16" s="163">
        <v>514679</v>
      </c>
      <c r="H16" s="163">
        <v>1220575</v>
      </c>
      <c r="I16" s="163">
        <v>292075</v>
      </c>
      <c r="J16" s="163">
        <v>228634</v>
      </c>
      <c r="K16" s="163">
        <v>520709</v>
      </c>
      <c r="L16" s="163">
        <v>1680502</v>
      </c>
      <c r="M16" s="163">
        <v>1174721</v>
      </c>
      <c r="N16" s="163">
        <v>2855223</v>
      </c>
      <c r="O16" s="115">
        <v>16303</v>
      </c>
      <c r="P16" s="115">
        <v>7673</v>
      </c>
      <c r="Q16" s="115">
        <v>23976</v>
      </c>
      <c r="R16" s="115">
        <v>229703</v>
      </c>
      <c r="S16" s="115">
        <v>157676</v>
      </c>
      <c r="T16" s="115">
        <v>387379</v>
      </c>
      <c r="U16" s="115">
        <v>98118</v>
      </c>
      <c r="V16" s="115">
        <v>88015</v>
      </c>
      <c r="W16" s="115">
        <v>186133</v>
      </c>
      <c r="X16" s="115">
        <v>106459</v>
      </c>
      <c r="Y16" s="115">
        <v>64061</v>
      </c>
      <c r="Z16" s="115">
        <v>170520</v>
      </c>
    </row>
    <row r="17" spans="1:26" s="232" customFormat="1" ht="54" customHeight="1">
      <c r="A17" s="435"/>
      <c r="B17" s="434" t="s">
        <v>132</v>
      </c>
      <c r="C17" s="1134" t="s">
        <v>1064</v>
      </c>
      <c r="D17" s="1134"/>
      <c r="E17" s="1134"/>
      <c r="F17" s="1134"/>
      <c r="G17" s="1134"/>
      <c r="H17" s="1134"/>
      <c r="I17" s="1134"/>
      <c r="J17" s="1134"/>
      <c r="K17" s="1134"/>
      <c r="L17" s="1134"/>
      <c r="M17" s="1134"/>
      <c r="N17" s="1134"/>
      <c r="O17" s="1134" t="s">
        <v>885</v>
      </c>
      <c r="P17" s="1134"/>
      <c r="Q17" s="1134"/>
      <c r="R17" s="1134"/>
      <c r="S17" s="1134"/>
      <c r="T17" s="1134"/>
      <c r="U17" s="1134"/>
      <c r="V17" s="1134"/>
      <c r="W17" s="1134"/>
      <c r="X17" s="1134"/>
      <c r="Y17" s="1134"/>
      <c r="Z17" s="1134"/>
    </row>
    <row r="18" spans="1:26" ht="54" customHeight="1">
      <c r="A18" s="435">
        <v>1</v>
      </c>
      <c r="B18" s="452" t="s">
        <v>120</v>
      </c>
      <c r="C18" s="148">
        <v>395969</v>
      </c>
      <c r="D18" s="148">
        <v>450353</v>
      </c>
      <c r="E18" s="148">
        <v>846322</v>
      </c>
      <c r="F18" s="148">
        <v>42048</v>
      </c>
      <c r="G18" s="148">
        <v>44017</v>
      </c>
      <c r="H18" s="148">
        <v>86065</v>
      </c>
      <c r="I18" s="148">
        <v>109876</v>
      </c>
      <c r="J18" s="148">
        <v>118511</v>
      </c>
      <c r="K18" s="148">
        <v>228387</v>
      </c>
      <c r="L18" s="148">
        <v>93643</v>
      </c>
      <c r="M18" s="148">
        <v>101792</v>
      </c>
      <c r="N18" s="148">
        <v>195435</v>
      </c>
      <c r="O18" s="164">
        <v>1972</v>
      </c>
      <c r="P18" s="164">
        <v>1864</v>
      </c>
      <c r="Q18" s="164">
        <v>3836</v>
      </c>
      <c r="R18" s="164">
        <v>13440</v>
      </c>
      <c r="S18" s="164">
        <v>14879</v>
      </c>
      <c r="T18" s="164">
        <v>28319</v>
      </c>
      <c r="U18" s="164">
        <v>23095</v>
      </c>
      <c r="V18" s="164">
        <v>28319</v>
      </c>
      <c r="W18" s="164">
        <v>51414</v>
      </c>
      <c r="X18" s="164">
        <v>7684</v>
      </c>
      <c r="Y18" s="164">
        <v>7683</v>
      </c>
      <c r="Z18" s="164">
        <v>15367</v>
      </c>
    </row>
    <row r="19" spans="1:26" ht="54" customHeight="1">
      <c r="A19" s="435">
        <v>2</v>
      </c>
      <c r="B19" s="452" t="s">
        <v>123</v>
      </c>
      <c r="C19" s="148">
        <v>14729907</v>
      </c>
      <c r="D19" s="148">
        <v>14771797</v>
      </c>
      <c r="E19" s="148">
        <v>29501704</v>
      </c>
      <c r="F19" s="148">
        <v>2363740</v>
      </c>
      <c r="G19" s="148">
        <v>2349509</v>
      </c>
      <c r="H19" s="148">
        <v>4713249</v>
      </c>
      <c r="I19" s="148">
        <v>864740</v>
      </c>
      <c r="J19" s="148">
        <v>888405</v>
      </c>
      <c r="K19" s="148">
        <v>1753145</v>
      </c>
      <c r="L19" s="148">
        <v>5991077</v>
      </c>
      <c r="M19" s="148">
        <v>6055162</v>
      </c>
      <c r="N19" s="148">
        <v>12046239</v>
      </c>
      <c r="O19" s="164">
        <v>26916</v>
      </c>
      <c r="P19" s="164">
        <v>23404</v>
      </c>
      <c r="Q19" s="164">
        <v>50320</v>
      </c>
      <c r="R19" s="164">
        <v>727942</v>
      </c>
      <c r="S19" s="164">
        <v>799601</v>
      </c>
      <c r="T19" s="164">
        <v>1527543</v>
      </c>
      <c r="U19" s="164">
        <v>268163</v>
      </c>
      <c r="V19" s="164">
        <v>332142</v>
      </c>
      <c r="W19" s="164">
        <v>600305</v>
      </c>
      <c r="X19" s="164">
        <v>210462</v>
      </c>
      <c r="Y19" s="164">
        <v>209911</v>
      </c>
      <c r="Z19" s="164">
        <v>420373</v>
      </c>
    </row>
    <row r="20" spans="1:26" s="235" customFormat="1" ht="54" customHeight="1">
      <c r="A20" s="1136" t="s">
        <v>60</v>
      </c>
      <c r="B20" s="1136"/>
      <c r="C20" s="163">
        <v>15125876</v>
      </c>
      <c r="D20" s="163">
        <v>15222150</v>
      </c>
      <c r="E20" s="163">
        <v>30348026</v>
      </c>
      <c r="F20" s="163">
        <v>2405788</v>
      </c>
      <c r="G20" s="163">
        <v>2393526</v>
      </c>
      <c r="H20" s="163">
        <v>4799314</v>
      </c>
      <c r="I20" s="163">
        <v>974616</v>
      </c>
      <c r="J20" s="163">
        <v>1006916</v>
      </c>
      <c r="K20" s="163">
        <v>1981532</v>
      </c>
      <c r="L20" s="163">
        <v>6084720</v>
      </c>
      <c r="M20" s="163">
        <v>6156954</v>
      </c>
      <c r="N20" s="163">
        <v>12241674</v>
      </c>
      <c r="O20" s="115">
        <v>28888</v>
      </c>
      <c r="P20" s="115">
        <v>25268</v>
      </c>
      <c r="Q20" s="115">
        <v>54156</v>
      </c>
      <c r="R20" s="115">
        <v>741382</v>
      </c>
      <c r="S20" s="115">
        <v>814480</v>
      </c>
      <c r="T20" s="115">
        <v>1555862</v>
      </c>
      <c r="U20" s="115">
        <v>291258</v>
      </c>
      <c r="V20" s="115">
        <v>360461</v>
      </c>
      <c r="W20" s="115">
        <v>651719</v>
      </c>
      <c r="X20" s="115">
        <v>218146</v>
      </c>
      <c r="Y20" s="115">
        <v>217594</v>
      </c>
      <c r="Z20" s="115">
        <v>435740</v>
      </c>
    </row>
  </sheetData>
  <mergeCells count="17">
    <mergeCell ref="O17:Z17"/>
    <mergeCell ref="C17:N17"/>
    <mergeCell ref="A2:A3"/>
    <mergeCell ref="A20:B20"/>
    <mergeCell ref="A16:B16"/>
    <mergeCell ref="B2:B3"/>
    <mergeCell ref="C2:E2"/>
    <mergeCell ref="A1:B1"/>
    <mergeCell ref="O1:Z1"/>
    <mergeCell ref="C1:N1"/>
    <mergeCell ref="O2:Q2"/>
    <mergeCell ref="R2:T2"/>
    <mergeCell ref="U2:W2"/>
    <mergeCell ref="F2:H2"/>
    <mergeCell ref="I2:K2"/>
    <mergeCell ref="L2:N2"/>
    <mergeCell ref="X2:Z2"/>
  </mergeCells>
  <printOptions horizontalCentered="1"/>
  <pageMargins left="0.27559055118110237" right="0.11811023622047245" top="0.6692913385826772" bottom="0.51181102362204722" header="0.23622047244094491" footer="0.23622047244094491"/>
  <pageSetup paperSize="9" scale="63" firstPageNumber="27" pageOrder="overThenDown" orientation="portrait" useFirstPageNumber="1" r:id="rId1"/>
  <headerFooter alignWithMargins="0">
    <oddFooter>&amp;L&amp;"Arial,Italic"&amp;9AISHE 2021-22&amp;CT-&amp;P</oddFooter>
  </headerFooter>
  <colBreaks count="1" manualBreakCount="1">
    <brk id="14" max="19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X20"/>
  <sheetViews>
    <sheetView view="pageBreakPreview" zoomScaleSheetLayoutView="100" workbookViewId="0">
      <selection activeCell="F15" sqref="F15"/>
    </sheetView>
  </sheetViews>
  <sheetFormatPr defaultColWidth="9.28515625" defaultRowHeight="15"/>
  <cols>
    <col min="1" max="1" width="9.28515625" style="856"/>
    <col min="2" max="2" width="22.28515625" style="856" bestFit="1" customWidth="1"/>
    <col min="3" max="11" width="9.28515625" style="856" customWidth="1"/>
    <col min="12" max="12" width="7" style="856" bestFit="1" customWidth="1"/>
    <col min="13" max="13" width="8.28515625" style="856" bestFit="1" customWidth="1"/>
    <col min="14" max="15" width="7" style="856" bestFit="1" customWidth="1"/>
    <col min="16" max="16" width="8.28515625" style="856" bestFit="1" customWidth="1"/>
    <col min="17" max="17" width="7" style="856" bestFit="1" customWidth="1"/>
    <col min="18" max="18" width="6.140625" style="856" bestFit="1" customWidth="1"/>
    <col min="19" max="19" width="8.28515625" style="856" bestFit="1" customWidth="1"/>
    <col min="20" max="20" width="6.28515625" style="856" bestFit="1" customWidth="1"/>
    <col min="21" max="22" width="8.28515625" style="856" bestFit="1" customWidth="1"/>
    <col min="23" max="23" width="9.42578125" style="856" bestFit="1" customWidth="1"/>
    <col min="24" max="16384" width="9.28515625" style="856"/>
  </cols>
  <sheetData>
    <row r="1" spans="1:23" s="858" customFormat="1" ht="63.75" customHeight="1">
      <c r="A1" s="1143" t="s">
        <v>786</v>
      </c>
      <c r="B1" s="1144"/>
      <c r="C1" s="983" t="s">
        <v>886</v>
      </c>
      <c r="D1" s="983"/>
      <c r="E1" s="983"/>
      <c r="F1" s="983"/>
      <c r="G1" s="983"/>
      <c r="H1" s="983"/>
      <c r="I1" s="983"/>
      <c r="J1" s="983"/>
      <c r="K1" s="983"/>
      <c r="L1" s="983" t="str">
        <f>C1</f>
        <v>Post-wise Number of Teachers in various types of Universities 
(Based on Actual Response)
(a) Teaching Departments and it's Constituent Units/Off-campus Centres</v>
      </c>
      <c r="M1" s="983"/>
      <c r="N1" s="983"/>
      <c r="O1" s="983"/>
      <c r="P1" s="983"/>
      <c r="Q1" s="983"/>
      <c r="R1" s="983"/>
      <c r="S1" s="983"/>
      <c r="T1" s="983"/>
      <c r="U1" s="983"/>
      <c r="V1" s="983"/>
      <c r="W1" s="983"/>
    </row>
    <row r="2" spans="1:23" s="859" customFormat="1" ht="33.75" customHeight="1">
      <c r="A2" s="1124" t="s">
        <v>988</v>
      </c>
      <c r="B2" s="984" t="s">
        <v>119</v>
      </c>
      <c r="C2" s="1141" t="s">
        <v>263</v>
      </c>
      <c r="D2" s="1141"/>
      <c r="E2" s="1141"/>
      <c r="F2" s="1141" t="s">
        <v>264</v>
      </c>
      <c r="G2" s="1142"/>
      <c r="H2" s="1142"/>
      <c r="I2" s="1141" t="s">
        <v>265</v>
      </c>
      <c r="J2" s="1142"/>
      <c r="K2" s="1142"/>
      <c r="L2" s="1141" t="s">
        <v>266</v>
      </c>
      <c r="M2" s="1142"/>
      <c r="N2" s="1142"/>
      <c r="O2" s="1141" t="s">
        <v>267</v>
      </c>
      <c r="P2" s="1142"/>
      <c r="Q2" s="1142"/>
      <c r="R2" s="1141" t="s">
        <v>269</v>
      </c>
      <c r="S2" s="1142"/>
      <c r="T2" s="1142"/>
      <c r="U2" s="1141" t="s">
        <v>60</v>
      </c>
      <c r="V2" s="1141"/>
      <c r="W2" s="1141"/>
    </row>
    <row r="3" spans="1:23" s="859" customFormat="1" ht="27" customHeight="1">
      <c r="A3" s="1124"/>
      <c r="B3" s="984"/>
      <c r="C3" s="845" t="s">
        <v>87</v>
      </c>
      <c r="D3" s="845" t="s">
        <v>88</v>
      </c>
      <c r="E3" s="845" t="s">
        <v>12</v>
      </c>
      <c r="F3" s="845" t="s">
        <v>87</v>
      </c>
      <c r="G3" s="845" t="s">
        <v>88</v>
      </c>
      <c r="H3" s="845" t="s">
        <v>12</v>
      </c>
      <c r="I3" s="845" t="s">
        <v>87</v>
      </c>
      <c r="J3" s="845" t="s">
        <v>88</v>
      </c>
      <c r="K3" s="845" t="s">
        <v>12</v>
      </c>
      <c r="L3" s="845" t="s">
        <v>87</v>
      </c>
      <c r="M3" s="845" t="s">
        <v>88</v>
      </c>
      <c r="N3" s="845" t="s">
        <v>12</v>
      </c>
      <c r="O3" s="845" t="s">
        <v>87</v>
      </c>
      <c r="P3" s="845" t="s">
        <v>88</v>
      </c>
      <c r="Q3" s="845" t="s">
        <v>12</v>
      </c>
      <c r="R3" s="845" t="s">
        <v>87</v>
      </c>
      <c r="S3" s="845" t="s">
        <v>88</v>
      </c>
      <c r="T3" s="845" t="s">
        <v>12</v>
      </c>
      <c r="U3" s="845" t="s">
        <v>87</v>
      </c>
      <c r="V3" s="845" t="s">
        <v>88</v>
      </c>
      <c r="W3" s="845" t="s">
        <v>12</v>
      </c>
    </row>
    <row r="4" spans="1:23" s="860" customFormat="1" ht="22.5" customHeight="1">
      <c r="A4" s="850">
        <v>1</v>
      </c>
      <c r="B4" s="850">
        <v>2</v>
      </c>
      <c r="C4" s="850">
        <v>3</v>
      </c>
      <c r="D4" s="850">
        <v>4</v>
      </c>
      <c r="E4" s="850">
        <v>5</v>
      </c>
      <c r="F4" s="850">
        <v>6</v>
      </c>
      <c r="G4" s="850">
        <v>7</v>
      </c>
      <c r="H4" s="850">
        <v>8</v>
      </c>
      <c r="I4" s="850">
        <v>9</v>
      </c>
      <c r="J4" s="850">
        <v>10</v>
      </c>
      <c r="K4" s="850">
        <v>11</v>
      </c>
      <c r="L4" s="850">
        <v>12</v>
      </c>
      <c r="M4" s="850">
        <v>13</v>
      </c>
      <c r="N4" s="850">
        <v>14</v>
      </c>
      <c r="O4" s="850">
        <v>15</v>
      </c>
      <c r="P4" s="850">
        <v>16</v>
      </c>
      <c r="Q4" s="850">
        <v>17</v>
      </c>
      <c r="R4" s="850">
        <v>18</v>
      </c>
      <c r="S4" s="850">
        <v>19</v>
      </c>
      <c r="T4" s="850">
        <v>20</v>
      </c>
      <c r="U4" s="850">
        <v>21</v>
      </c>
      <c r="V4" s="850">
        <v>22</v>
      </c>
      <c r="W4" s="850">
        <v>23</v>
      </c>
    </row>
    <row r="5" spans="1:23" ht="51.75" customHeight="1">
      <c r="A5" s="478">
        <v>1</v>
      </c>
      <c r="B5" s="160" t="s">
        <v>873</v>
      </c>
      <c r="C5" s="148">
        <v>3006</v>
      </c>
      <c r="D5" s="148">
        <v>861</v>
      </c>
      <c r="E5" s="148">
        <v>3867</v>
      </c>
      <c r="F5" s="148">
        <v>1523</v>
      </c>
      <c r="G5" s="148">
        <v>492</v>
      </c>
      <c r="H5" s="148">
        <v>2015</v>
      </c>
      <c r="I5" s="148">
        <v>4795</v>
      </c>
      <c r="J5" s="148">
        <v>2149</v>
      </c>
      <c r="K5" s="148">
        <v>6944</v>
      </c>
      <c r="L5" s="148">
        <v>312</v>
      </c>
      <c r="M5" s="148">
        <v>6</v>
      </c>
      <c r="N5" s="148">
        <v>318</v>
      </c>
      <c r="O5" s="148">
        <v>644</v>
      </c>
      <c r="P5" s="148">
        <v>345</v>
      </c>
      <c r="Q5" s="148">
        <v>989</v>
      </c>
      <c r="R5" s="148">
        <v>15</v>
      </c>
      <c r="S5" s="148">
        <v>7</v>
      </c>
      <c r="T5" s="148">
        <v>22</v>
      </c>
      <c r="U5" s="148">
        <v>10295</v>
      </c>
      <c r="V5" s="148">
        <v>3860</v>
      </c>
      <c r="W5" s="148">
        <v>14155</v>
      </c>
    </row>
    <row r="6" spans="1:23" ht="51.75" customHeight="1">
      <c r="A6" s="478">
        <v>2</v>
      </c>
      <c r="B6" s="160" t="s">
        <v>156</v>
      </c>
      <c r="C6" s="148">
        <v>37</v>
      </c>
      <c r="D6" s="148">
        <v>17</v>
      </c>
      <c r="E6" s="148">
        <v>54</v>
      </c>
      <c r="F6" s="148">
        <v>47</v>
      </c>
      <c r="G6" s="148">
        <v>32</v>
      </c>
      <c r="H6" s="148">
        <v>79</v>
      </c>
      <c r="I6" s="148">
        <v>61</v>
      </c>
      <c r="J6" s="148">
        <v>52</v>
      </c>
      <c r="K6" s="148">
        <v>113</v>
      </c>
      <c r="L6" s="148">
        <v>0</v>
      </c>
      <c r="M6" s="148">
        <v>0</v>
      </c>
      <c r="N6" s="148">
        <v>0</v>
      </c>
      <c r="O6" s="148">
        <v>0</v>
      </c>
      <c r="P6" s="148">
        <v>0</v>
      </c>
      <c r="Q6" s="148">
        <v>0</v>
      </c>
      <c r="R6" s="148">
        <v>0</v>
      </c>
      <c r="S6" s="148">
        <v>0</v>
      </c>
      <c r="T6" s="148">
        <v>0</v>
      </c>
      <c r="U6" s="148">
        <v>145</v>
      </c>
      <c r="V6" s="148">
        <v>101</v>
      </c>
      <c r="W6" s="148">
        <v>246</v>
      </c>
    </row>
    <row r="7" spans="1:23" ht="51.75" customHeight="1">
      <c r="A7" s="478">
        <v>3</v>
      </c>
      <c r="B7" s="160" t="s">
        <v>157</v>
      </c>
      <c r="C7" s="148">
        <v>4618</v>
      </c>
      <c r="D7" s="148">
        <v>931</v>
      </c>
      <c r="E7" s="148">
        <v>5549</v>
      </c>
      <c r="F7" s="148">
        <v>3891</v>
      </c>
      <c r="G7" s="148">
        <v>997</v>
      </c>
      <c r="H7" s="148">
        <v>4888</v>
      </c>
      <c r="I7" s="148">
        <v>7460</v>
      </c>
      <c r="J7" s="148">
        <v>2259</v>
      </c>
      <c r="K7" s="148">
        <v>9719</v>
      </c>
      <c r="L7" s="148">
        <v>71</v>
      </c>
      <c r="M7" s="148">
        <v>89</v>
      </c>
      <c r="N7" s="148">
        <v>160</v>
      </c>
      <c r="O7" s="148">
        <v>387</v>
      </c>
      <c r="P7" s="148">
        <v>214</v>
      </c>
      <c r="Q7" s="148">
        <v>601</v>
      </c>
      <c r="R7" s="148">
        <v>107</v>
      </c>
      <c r="S7" s="148">
        <v>25</v>
      </c>
      <c r="T7" s="148">
        <v>132</v>
      </c>
      <c r="U7" s="148">
        <v>16534</v>
      </c>
      <c r="V7" s="148">
        <v>4515</v>
      </c>
      <c r="W7" s="148">
        <v>21049</v>
      </c>
    </row>
    <row r="8" spans="1:23" ht="51.75" customHeight="1">
      <c r="A8" s="478">
        <v>4</v>
      </c>
      <c r="B8" s="160" t="s">
        <v>874</v>
      </c>
      <c r="C8" s="148">
        <v>9056</v>
      </c>
      <c r="D8" s="148">
        <v>3249</v>
      </c>
      <c r="E8" s="148">
        <v>12305</v>
      </c>
      <c r="F8" s="148">
        <v>4574</v>
      </c>
      <c r="G8" s="148">
        <v>2079</v>
      </c>
      <c r="H8" s="148">
        <v>6653</v>
      </c>
      <c r="I8" s="148">
        <v>17440</v>
      </c>
      <c r="J8" s="148">
        <v>12493</v>
      </c>
      <c r="K8" s="148">
        <v>29933</v>
      </c>
      <c r="L8" s="148">
        <v>429</v>
      </c>
      <c r="M8" s="148">
        <v>417</v>
      </c>
      <c r="N8" s="148">
        <v>846</v>
      </c>
      <c r="O8" s="148">
        <v>3584</v>
      </c>
      <c r="P8" s="148">
        <v>2970</v>
      </c>
      <c r="Q8" s="148">
        <v>6554</v>
      </c>
      <c r="R8" s="148">
        <v>703</v>
      </c>
      <c r="S8" s="148">
        <v>514</v>
      </c>
      <c r="T8" s="148">
        <v>1217</v>
      </c>
      <c r="U8" s="148">
        <v>35786</v>
      </c>
      <c r="V8" s="148">
        <v>21722</v>
      </c>
      <c r="W8" s="148">
        <v>57508</v>
      </c>
    </row>
    <row r="9" spans="1:23" ht="51.75" customHeight="1">
      <c r="A9" s="478">
        <v>5</v>
      </c>
      <c r="B9" s="160" t="s">
        <v>158</v>
      </c>
      <c r="C9" s="148">
        <v>75</v>
      </c>
      <c r="D9" s="148">
        <v>15</v>
      </c>
      <c r="E9" s="148">
        <v>90</v>
      </c>
      <c r="F9" s="148">
        <v>62</v>
      </c>
      <c r="G9" s="148">
        <v>13</v>
      </c>
      <c r="H9" s="148">
        <v>75</v>
      </c>
      <c r="I9" s="148">
        <v>239</v>
      </c>
      <c r="J9" s="148">
        <v>157</v>
      </c>
      <c r="K9" s="148">
        <v>396</v>
      </c>
      <c r="L9" s="148">
        <v>0</v>
      </c>
      <c r="M9" s="148">
        <v>1</v>
      </c>
      <c r="N9" s="148">
        <v>1</v>
      </c>
      <c r="O9" s="148">
        <v>117</v>
      </c>
      <c r="P9" s="148">
        <v>77</v>
      </c>
      <c r="Q9" s="148">
        <v>194</v>
      </c>
      <c r="R9" s="148">
        <v>12</v>
      </c>
      <c r="S9" s="148">
        <v>2</v>
      </c>
      <c r="T9" s="148">
        <v>14</v>
      </c>
      <c r="U9" s="148">
        <v>505</v>
      </c>
      <c r="V9" s="148">
        <v>265</v>
      </c>
      <c r="W9" s="148">
        <v>770</v>
      </c>
    </row>
    <row r="10" spans="1:23" ht="51.75" customHeight="1">
      <c r="A10" s="478">
        <v>6</v>
      </c>
      <c r="B10" s="160" t="s">
        <v>159</v>
      </c>
      <c r="C10" s="148">
        <v>7957</v>
      </c>
      <c r="D10" s="148">
        <v>2940</v>
      </c>
      <c r="E10" s="148">
        <v>10897</v>
      </c>
      <c r="F10" s="148">
        <v>7213</v>
      </c>
      <c r="G10" s="148">
        <v>4147</v>
      </c>
      <c r="H10" s="148">
        <v>11360</v>
      </c>
      <c r="I10" s="148">
        <v>35703</v>
      </c>
      <c r="J10" s="148">
        <v>27931</v>
      </c>
      <c r="K10" s="148">
        <v>63634</v>
      </c>
      <c r="L10" s="148">
        <v>1982</v>
      </c>
      <c r="M10" s="148">
        <v>2726</v>
      </c>
      <c r="N10" s="148">
        <v>4708</v>
      </c>
      <c r="O10" s="148">
        <v>406</v>
      </c>
      <c r="P10" s="148">
        <v>505</v>
      </c>
      <c r="Q10" s="148">
        <v>911</v>
      </c>
      <c r="R10" s="148">
        <v>870</v>
      </c>
      <c r="S10" s="148">
        <v>645</v>
      </c>
      <c r="T10" s="148">
        <v>1515</v>
      </c>
      <c r="U10" s="148">
        <v>54131</v>
      </c>
      <c r="V10" s="148">
        <v>38894</v>
      </c>
      <c r="W10" s="148">
        <v>93025</v>
      </c>
    </row>
    <row r="11" spans="1:23" ht="51.75" customHeight="1">
      <c r="A11" s="478">
        <v>7</v>
      </c>
      <c r="B11" s="160" t="s">
        <v>161</v>
      </c>
      <c r="C11" s="148">
        <v>5</v>
      </c>
      <c r="D11" s="148">
        <v>0</v>
      </c>
      <c r="E11" s="148">
        <v>5</v>
      </c>
      <c r="F11" s="148">
        <v>2</v>
      </c>
      <c r="G11" s="148">
        <v>3</v>
      </c>
      <c r="H11" s="148">
        <v>5</v>
      </c>
      <c r="I11" s="148">
        <v>14</v>
      </c>
      <c r="J11" s="148">
        <v>17</v>
      </c>
      <c r="K11" s="148">
        <v>31</v>
      </c>
      <c r="L11" s="148">
        <v>0</v>
      </c>
      <c r="M11" s="148">
        <v>0</v>
      </c>
      <c r="N11" s="148">
        <v>0</v>
      </c>
      <c r="O11" s="148">
        <v>0</v>
      </c>
      <c r="P11" s="148">
        <v>0</v>
      </c>
      <c r="Q11" s="148">
        <v>0</v>
      </c>
      <c r="R11" s="148">
        <v>0</v>
      </c>
      <c r="S11" s="148">
        <v>0</v>
      </c>
      <c r="T11" s="148">
        <v>0</v>
      </c>
      <c r="U11" s="148">
        <v>21</v>
      </c>
      <c r="V11" s="148">
        <v>20</v>
      </c>
      <c r="W11" s="148">
        <v>41</v>
      </c>
    </row>
    <row r="12" spans="1:23" ht="51.75" customHeight="1">
      <c r="A12" s="478">
        <v>8</v>
      </c>
      <c r="B12" s="160" t="s">
        <v>160</v>
      </c>
      <c r="C12" s="148">
        <v>281</v>
      </c>
      <c r="D12" s="148">
        <v>98</v>
      </c>
      <c r="E12" s="148">
        <v>379</v>
      </c>
      <c r="F12" s="148">
        <v>125</v>
      </c>
      <c r="G12" s="148">
        <v>58</v>
      </c>
      <c r="H12" s="148">
        <v>183</v>
      </c>
      <c r="I12" s="148">
        <v>326</v>
      </c>
      <c r="J12" s="148">
        <v>161</v>
      </c>
      <c r="K12" s="148">
        <v>487</v>
      </c>
      <c r="L12" s="148">
        <v>165</v>
      </c>
      <c r="M12" s="148">
        <v>123</v>
      </c>
      <c r="N12" s="148">
        <v>288</v>
      </c>
      <c r="O12" s="148">
        <v>3</v>
      </c>
      <c r="P12" s="148">
        <v>4</v>
      </c>
      <c r="Q12" s="148">
        <v>7</v>
      </c>
      <c r="R12" s="148">
        <v>57</v>
      </c>
      <c r="S12" s="148">
        <v>27</v>
      </c>
      <c r="T12" s="148">
        <v>84</v>
      </c>
      <c r="U12" s="148">
        <v>957</v>
      </c>
      <c r="V12" s="148">
        <v>471</v>
      </c>
      <c r="W12" s="148">
        <v>1428</v>
      </c>
    </row>
    <row r="13" spans="1:23" ht="51.75" customHeight="1">
      <c r="A13" s="478">
        <v>9</v>
      </c>
      <c r="B13" s="160" t="s">
        <v>162</v>
      </c>
      <c r="C13" s="148">
        <v>1273</v>
      </c>
      <c r="D13" s="148">
        <v>273</v>
      </c>
      <c r="E13" s="148">
        <v>1546</v>
      </c>
      <c r="F13" s="148">
        <v>865</v>
      </c>
      <c r="G13" s="148">
        <v>239</v>
      </c>
      <c r="H13" s="148">
        <v>1104</v>
      </c>
      <c r="I13" s="148">
        <v>1110</v>
      </c>
      <c r="J13" s="148">
        <v>403</v>
      </c>
      <c r="K13" s="148">
        <v>1513</v>
      </c>
      <c r="L13" s="148">
        <v>39</v>
      </c>
      <c r="M13" s="148">
        <v>13</v>
      </c>
      <c r="N13" s="148">
        <v>52</v>
      </c>
      <c r="O13" s="148">
        <v>42</v>
      </c>
      <c r="P13" s="148">
        <v>16</v>
      </c>
      <c r="Q13" s="148">
        <v>58</v>
      </c>
      <c r="R13" s="148">
        <v>19</v>
      </c>
      <c r="S13" s="148">
        <v>9</v>
      </c>
      <c r="T13" s="148">
        <v>28</v>
      </c>
      <c r="U13" s="148">
        <v>3348</v>
      </c>
      <c r="V13" s="148">
        <v>953</v>
      </c>
      <c r="W13" s="148">
        <v>4301</v>
      </c>
    </row>
    <row r="14" spans="1:23" ht="51.75" customHeight="1">
      <c r="A14" s="478">
        <v>10</v>
      </c>
      <c r="B14" s="160" t="s">
        <v>163</v>
      </c>
      <c r="C14" s="148">
        <v>294</v>
      </c>
      <c r="D14" s="148">
        <v>198</v>
      </c>
      <c r="E14" s="148">
        <v>492</v>
      </c>
      <c r="F14" s="148">
        <v>126</v>
      </c>
      <c r="G14" s="148">
        <v>103</v>
      </c>
      <c r="H14" s="148">
        <v>229</v>
      </c>
      <c r="I14" s="148">
        <v>665</v>
      </c>
      <c r="J14" s="148">
        <v>670</v>
      </c>
      <c r="K14" s="148">
        <v>1335</v>
      </c>
      <c r="L14" s="148">
        <v>28</v>
      </c>
      <c r="M14" s="148">
        <v>25</v>
      </c>
      <c r="N14" s="148">
        <v>53</v>
      </c>
      <c r="O14" s="148">
        <v>44</v>
      </c>
      <c r="P14" s="148">
        <v>166</v>
      </c>
      <c r="Q14" s="148">
        <v>210</v>
      </c>
      <c r="R14" s="148">
        <v>3</v>
      </c>
      <c r="S14" s="148">
        <v>0</v>
      </c>
      <c r="T14" s="148">
        <v>3</v>
      </c>
      <c r="U14" s="148">
        <v>1160</v>
      </c>
      <c r="V14" s="148">
        <v>1162</v>
      </c>
      <c r="W14" s="148">
        <v>2322</v>
      </c>
    </row>
    <row r="15" spans="1:23" ht="51.75" customHeight="1">
      <c r="A15" s="478">
        <v>11</v>
      </c>
      <c r="B15" s="160" t="s">
        <v>164</v>
      </c>
      <c r="C15" s="148">
        <v>6256</v>
      </c>
      <c r="D15" s="148">
        <v>2983</v>
      </c>
      <c r="E15" s="148">
        <v>9239</v>
      </c>
      <c r="F15" s="148">
        <v>5999</v>
      </c>
      <c r="G15" s="148">
        <v>3814</v>
      </c>
      <c r="H15" s="148">
        <v>9813</v>
      </c>
      <c r="I15" s="148">
        <v>17333</v>
      </c>
      <c r="J15" s="148">
        <v>15281</v>
      </c>
      <c r="K15" s="148">
        <v>32614</v>
      </c>
      <c r="L15" s="148">
        <v>1012</v>
      </c>
      <c r="M15" s="148">
        <v>1568</v>
      </c>
      <c r="N15" s="148">
        <v>2580</v>
      </c>
      <c r="O15" s="148">
        <v>380</v>
      </c>
      <c r="P15" s="148">
        <v>277</v>
      </c>
      <c r="Q15" s="148">
        <v>657</v>
      </c>
      <c r="R15" s="148">
        <v>347</v>
      </c>
      <c r="S15" s="148">
        <v>197</v>
      </c>
      <c r="T15" s="148">
        <v>544</v>
      </c>
      <c r="U15" s="148">
        <v>31327</v>
      </c>
      <c r="V15" s="148">
        <v>24120</v>
      </c>
      <c r="W15" s="148">
        <v>55447</v>
      </c>
    </row>
    <row r="16" spans="1:23" s="861" customFormat="1" ht="58.5" customHeight="1">
      <c r="A16" s="1139" t="s">
        <v>60</v>
      </c>
      <c r="B16" s="1139"/>
      <c r="C16" s="163">
        <v>32858</v>
      </c>
      <c r="D16" s="163">
        <v>11565</v>
      </c>
      <c r="E16" s="163">
        <v>44423</v>
      </c>
      <c r="F16" s="163">
        <v>24427</v>
      </c>
      <c r="G16" s="163">
        <v>11977</v>
      </c>
      <c r="H16" s="163">
        <v>36404</v>
      </c>
      <c r="I16" s="163">
        <v>85146</v>
      </c>
      <c r="J16" s="163">
        <v>61573</v>
      </c>
      <c r="K16" s="163">
        <v>146719</v>
      </c>
      <c r="L16" s="163">
        <v>4038</v>
      </c>
      <c r="M16" s="163">
        <v>4968</v>
      </c>
      <c r="N16" s="163">
        <v>9006</v>
      </c>
      <c r="O16" s="163">
        <v>5607</v>
      </c>
      <c r="P16" s="163">
        <v>4574</v>
      </c>
      <c r="Q16" s="163">
        <v>10181</v>
      </c>
      <c r="R16" s="163">
        <v>2133</v>
      </c>
      <c r="S16" s="163">
        <v>1426</v>
      </c>
      <c r="T16" s="163">
        <v>3559</v>
      </c>
      <c r="U16" s="163">
        <v>154209</v>
      </c>
      <c r="V16" s="163">
        <v>96083</v>
      </c>
      <c r="W16" s="163">
        <v>250292</v>
      </c>
    </row>
    <row r="17" spans="1:24" s="858" customFormat="1" ht="58.5" customHeight="1">
      <c r="A17" s="478"/>
      <c r="B17" s="862" t="s">
        <v>786</v>
      </c>
      <c r="C17" s="1140" t="s">
        <v>887</v>
      </c>
      <c r="D17" s="1140"/>
      <c r="E17" s="1140"/>
      <c r="F17" s="1140"/>
      <c r="G17" s="1140"/>
      <c r="H17" s="1140"/>
      <c r="I17" s="1140"/>
      <c r="J17" s="1140"/>
      <c r="K17" s="1140"/>
      <c r="L17" s="1140" t="str">
        <f>C17</f>
        <v>Post-wise Number of Teachers in various types of Universities 
(Based on Actual Response)
(b) Affiliated and Constituent Colleges</v>
      </c>
      <c r="M17" s="1140"/>
      <c r="N17" s="1140"/>
      <c r="O17" s="1140"/>
      <c r="P17" s="1140"/>
      <c r="Q17" s="1140"/>
      <c r="R17" s="1140"/>
      <c r="S17" s="1140"/>
      <c r="T17" s="1140"/>
      <c r="U17" s="1140"/>
      <c r="V17" s="1140"/>
      <c r="W17" s="1140"/>
    </row>
    <row r="18" spans="1:24" ht="50.25" customHeight="1">
      <c r="A18" s="478">
        <v>1</v>
      </c>
      <c r="B18" s="160" t="s">
        <v>120</v>
      </c>
      <c r="C18" s="148">
        <v>1460</v>
      </c>
      <c r="D18" s="148">
        <v>974</v>
      </c>
      <c r="E18" s="148">
        <v>2434</v>
      </c>
      <c r="F18" s="148">
        <v>2666</v>
      </c>
      <c r="G18" s="148">
        <v>3068</v>
      </c>
      <c r="H18" s="148">
        <v>5734</v>
      </c>
      <c r="I18" s="148">
        <v>10011</v>
      </c>
      <c r="J18" s="148">
        <v>11613</v>
      </c>
      <c r="K18" s="148">
        <v>21624</v>
      </c>
      <c r="L18" s="148">
        <v>421</v>
      </c>
      <c r="M18" s="148">
        <v>790</v>
      </c>
      <c r="N18" s="148">
        <v>1211</v>
      </c>
      <c r="O18" s="148">
        <v>1040</v>
      </c>
      <c r="P18" s="148">
        <v>1279</v>
      </c>
      <c r="Q18" s="148">
        <v>2319</v>
      </c>
      <c r="R18" s="148">
        <v>105</v>
      </c>
      <c r="S18" s="148">
        <v>108</v>
      </c>
      <c r="T18" s="148">
        <v>213</v>
      </c>
      <c r="U18" s="148">
        <v>15703</v>
      </c>
      <c r="V18" s="148">
        <v>17832</v>
      </c>
      <c r="W18" s="148">
        <v>33535</v>
      </c>
    </row>
    <row r="19" spans="1:24" ht="50.25" customHeight="1">
      <c r="A19" s="478">
        <v>2</v>
      </c>
      <c r="B19" s="160" t="s">
        <v>123</v>
      </c>
      <c r="C19" s="148">
        <v>65047</v>
      </c>
      <c r="D19" s="148">
        <v>27569</v>
      </c>
      <c r="E19" s="148">
        <v>92616</v>
      </c>
      <c r="F19" s="148">
        <v>71029</v>
      </c>
      <c r="G19" s="148">
        <v>44506</v>
      </c>
      <c r="H19" s="148">
        <v>115535</v>
      </c>
      <c r="I19" s="148">
        <v>446323</v>
      </c>
      <c r="J19" s="148">
        <v>362034</v>
      </c>
      <c r="K19" s="148">
        <v>808357</v>
      </c>
      <c r="L19" s="148">
        <v>18125</v>
      </c>
      <c r="M19" s="148">
        <v>33855</v>
      </c>
      <c r="N19" s="148">
        <v>51980</v>
      </c>
      <c r="O19" s="148">
        <v>37426</v>
      </c>
      <c r="P19" s="148">
        <v>35039</v>
      </c>
      <c r="Q19" s="148">
        <v>72465</v>
      </c>
      <c r="R19" s="148">
        <v>4492</v>
      </c>
      <c r="S19" s="148">
        <v>3944</v>
      </c>
      <c r="T19" s="148">
        <v>8436</v>
      </c>
      <c r="U19" s="148">
        <v>642442</v>
      </c>
      <c r="V19" s="148">
        <v>506947</v>
      </c>
      <c r="W19" s="148">
        <v>1149389</v>
      </c>
    </row>
    <row r="20" spans="1:24" s="861" customFormat="1" ht="58.5" customHeight="1">
      <c r="A20" s="1139" t="s">
        <v>60</v>
      </c>
      <c r="B20" s="1139"/>
      <c r="C20" s="115">
        <v>66507</v>
      </c>
      <c r="D20" s="115">
        <v>28543</v>
      </c>
      <c r="E20" s="115">
        <v>95050</v>
      </c>
      <c r="F20" s="115">
        <v>73695</v>
      </c>
      <c r="G20" s="115">
        <v>47574</v>
      </c>
      <c r="H20" s="115">
        <v>121269</v>
      </c>
      <c r="I20" s="115">
        <v>456334</v>
      </c>
      <c r="J20" s="115">
        <v>373647</v>
      </c>
      <c r="K20" s="115">
        <v>829981</v>
      </c>
      <c r="L20" s="115">
        <v>18546</v>
      </c>
      <c r="M20" s="115">
        <v>34645</v>
      </c>
      <c r="N20" s="115">
        <v>53191</v>
      </c>
      <c r="O20" s="115">
        <v>38466</v>
      </c>
      <c r="P20" s="115">
        <v>36318</v>
      </c>
      <c r="Q20" s="115">
        <v>74784</v>
      </c>
      <c r="R20" s="115">
        <v>4597</v>
      </c>
      <c r="S20" s="115">
        <v>4052</v>
      </c>
      <c r="T20" s="115">
        <v>8649</v>
      </c>
      <c r="U20" s="115">
        <v>658145</v>
      </c>
      <c r="V20" s="115">
        <v>524779</v>
      </c>
      <c r="W20" s="115">
        <v>1182924</v>
      </c>
      <c r="X20" s="856"/>
    </row>
  </sheetData>
  <mergeCells count="16">
    <mergeCell ref="A20:B20"/>
    <mergeCell ref="A16:B16"/>
    <mergeCell ref="C17:K17"/>
    <mergeCell ref="L17:W17"/>
    <mergeCell ref="C1:K1"/>
    <mergeCell ref="L1:W1"/>
    <mergeCell ref="B2:B3"/>
    <mergeCell ref="C2:E2"/>
    <mergeCell ref="F2:H2"/>
    <mergeCell ref="I2:K2"/>
    <mergeCell ref="L2:N2"/>
    <mergeCell ref="O2:Q2"/>
    <mergeCell ref="U2:W2"/>
    <mergeCell ref="R2:T2"/>
    <mergeCell ref="A1:B1"/>
    <mergeCell ref="A2:A3"/>
  </mergeCells>
  <printOptions horizontalCentered="1"/>
  <pageMargins left="0.39370078740157483" right="0.39370078740157483" top="0.43307086614173229" bottom="0.39370078740157483" header="0.27559055118110237" footer="0.23622047244094491"/>
  <pageSetup paperSize="9" scale="76" firstPageNumber="2" pageOrder="overThenDown" orientation="portrait" useFirstPageNumber="1" r:id="rId1"/>
  <headerFooter alignWithMargins="0">
    <oddFooter>&amp;LAISHE 2021-22&amp;CT-29</oddFooter>
  </headerFooter>
  <colBreaks count="1" manualBreakCount="1">
    <brk id="11" max="19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Z20"/>
  <sheetViews>
    <sheetView view="pageBreakPreview" zoomScale="70" zoomScaleSheetLayoutView="70" workbookViewId="0">
      <selection activeCell="F15" sqref="F15"/>
    </sheetView>
  </sheetViews>
  <sheetFormatPr defaultColWidth="9.28515625" defaultRowHeight="15"/>
  <cols>
    <col min="1" max="1" width="9.28515625" style="865"/>
    <col min="2" max="2" width="22.7109375" style="856" customWidth="1"/>
    <col min="3" max="11" width="13" style="856" customWidth="1"/>
    <col min="12" max="23" width="10.42578125" style="856" customWidth="1"/>
    <col min="24" max="16384" width="9.28515625" style="856"/>
  </cols>
  <sheetData>
    <row r="1" spans="1:26" s="858" customFormat="1" ht="69.75" customHeight="1">
      <c r="A1" s="1143" t="s">
        <v>787</v>
      </c>
      <c r="B1" s="1144"/>
      <c r="C1" s="983" t="s">
        <v>902</v>
      </c>
      <c r="D1" s="983"/>
      <c r="E1" s="983"/>
      <c r="F1" s="983"/>
      <c r="G1" s="983"/>
      <c r="H1" s="983"/>
      <c r="I1" s="983"/>
      <c r="J1" s="983"/>
      <c r="K1" s="983"/>
      <c r="L1" s="983" t="str">
        <f>C1</f>
        <v>Social Group-wise Number of Teachers in various types of Universities
(Based on Actual Response)
(a) Teaching Departments and it's Constituent Units/Off-campus Centres</v>
      </c>
      <c r="M1" s="983"/>
      <c r="N1" s="983"/>
      <c r="O1" s="983"/>
      <c r="P1" s="983"/>
      <c r="Q1" s="983"/>
      <c r="R1" s="983"/>
      <c r="S1" s="983"/>
      <c r="T1" s="983"/>
      <c r="U1" s="983"/>
      <c r="V1" s="983"/>
      <c r="W1" s="983"/>
    </row>
    <row r="2" spans="1:26" s="859" customFormat="1" ht="36" customHeight="1">
      <c r="A2" s="1124" t="s">
        <v>988</v>
      </c>
      <c r="B2" s="984" t="s">
        <v>119</v>
      </c>
      <c r="C2" s="1080" t="s">
        <v>136</v>
      </c>
      <c r="D2" s="1080"/>
      <c r="E2" s="1080"/>
      <c r="F2" s="1060" t="s">
        <v>460</v>
      </c>
      <c r="G2" s="1061"/>
      <c r="H2" s="1062"/>
      <c r="I2" s="1060" t="s">
        <v>242</v>
      </c>
      <c r="J2" s="1061"/>
      <c r="K2" s="1062"/>
      <c r="L2" s="1060" t="s">
        <v>243</v>
      </c>
      <c r="M2" s="1061"/>
      <c r="N2" s="1062"/>
      <c r="O2" s="1063" t="s">
        <v>105</v>
      </c>
      <c r="P2" s="1064"/>
      <c r="Q2" s="1065"/>
      <c r="R2" s="1063" t="s">
        <v>106</v>
      </c>
      <c r="S2" s="1064"/>
      <c r="T2" s="1065"/>
      <c r="U2" s="1063" t="s">
        <v>107</v>
      </c>
      <c r="V2" s="1064"/>
      <c r="W2" s="1065"/>
      <c r="X2" s="1063"/>
      <c r="Y2" s="1064"/>
      <c r="Z2" s="1065"/>
    </row>
    <row r="3" spans="1:26" s="859" customFormat="1" ht="29.25" customHeight="1">
      <c r="A3" s="1124"/>
      <c r="B3" s="984"/>
      <c r="C3" s="292" t="s">
        <v>87</v>
      </c>
      <c r="D3" s="292" t="s">
        <v>88</v>
      </c>
      <c r="E3" s="292" t="s">
        <v>12</v>
      </c>
      <c r="F3" s="292" t="s">
        <v>87</v>
      </c>
      <c r="G3" s="292" t="s">
        <v>88</v>
      </c>
      <c r="H3" s="292" t="s">
        <v>12</v>
      </c>
      <c r="I3" s="292" t="s">
        <v>87</v>
      </c>
      <c r="J3" s="292" t="s">
        <v>88</v>
      </c>
      <c r="K3" s="292" t="s">
        <v>12</v>
      </c>
      <c r="L3" s="292" t="s">
        <v>87</v>
      </c>
      <c r="M3" s="292" t="s">
        <v>88</v>
      </c>
      <c r="N3" s="292" t="s">
        <v>12</v>
      </c>
      <c r="O3" s="292" t="s">
        <v>87</v>
      </c>
      <c r="P3" s="292" t="s">
        <v>88</v>
      </c>
      <c r="Q3" s="292" t="s">
        <v>12</v>
      </c>
      <c r="R3" s="292" t="s">
        <v>87</v>
      </c>
      <c r="S3" s="292" t="s">
        <v>88</v>
      </c>
      <c r="T3" s="292" t="s">
        <v>12</v>
      </c>
      <c r="U3" s="292" t="s">
        <v>87</v>
      </c>
      <c r="V3" s="292" t="s">
        <v>88</v>
      </c>
      <c r="W3" s="292" t="s">
        <v>12</v>
      </c>
    </row>
    <row r="4" spans="1:26" s="863" customFormat="1" ht="18" customHeight="1">
      <c r="A4" s="850">
        <v>1</v>
      </c>
      <c r="B4" s="850">
        <v>2</v>
      </c>
      <c r="C4" s="850">
        <v>3</v>
      </c>
      <c r="D4" s="850">
        <v>4</v>
      </c>
      <c r="E4" s="850">
        <v>5</v>
      </c>
      <c r="F4" s="850">
        <v>6</v>
      </c>
      <c r="G4" s="850">
        <v>7</v>
      </c>
      <c r="H4" s="850">
        <v>8</v>
      </c>
      <c r="I4" s="850">
        <v>9</v>
      </c>
      <c r="J4" s="850">
        <v>10</v>
      </c>
      <c r="K4" s="850">
        <v>11</v>
      </c>
      <c r="L4" s="850">
        <v>12</v>
      </c>
      <c r="M4" s="850">
        <v>13</v>
      </c>
      <c r="N4" s="850">
        <v>14</v>
      </c>
      <c r="O4" s="850">
        <v>15</v>
      </c>
      <c r="P4" s="850">
        <v>16</v>
      </c>
      <c r="Q4" s="850">
        <v>17</v>
      </c>
      <c r="R4" s="850">
        <v>18</v>
      </c>
      <c r="S4" s="850">
        <v>19</v>
      </c>
      <c r="T4" s="850">
        <v>20</v>
      </c>
      <c r="U4" s="850">
        <v>21</v>
      </c>
      <c r="V4" s="850">
        <v>22</v>
      </c>
      <c r="W4" s="850">
        <v>23</v>
      </c>
    </row>
    <row r="5" spans="1:26" ht="53.25" customHeight="1">
      <c r="A5" s="478">
        <v>1</v>
      </c>
      <c r="B5" s="160" t="s">
        <v>873</v>
      </c>
      <c r="C5" s="148">
        <v>10295</v>
      </c>
      <c r="D5" s="148">
        <v>3860</v>
      </c>
      <c r="E5" s="148">
        <v>14155</v>
      </c>
      <c r="F5" s="148">
        <v>1148</v>
      </c>
      <c r="G5" s="148">
        <v>345</v>
      </c>
      <c r="H5" s="148">
        <v>1493</v>
      </c>
      <c r="I5" s="148">
        <v>573</v>
      </c>
      <c r="J5" s="148">
        <v>375</v>
      </c>
      <c r="K5" s="148">
        <v>948</v>
      </c>
      <c r="L5" s="148">
        <v>1691</v>
      </c>
      <c r="M5" s="148">
        <v>568</v>
      </c>
      <c r="N5" s="148">
        <v>2259</v>
      </c>
      <c r="O5" s="148">
        <v>175</v>
      </c>
      <c r="P5" s="148">
        <v>29</v>
      </c>
      <c r="Q5" s="148">
        <v>204</v>
      </c>
      <c r="R5" s="148">
        <v>1910</v>
      </c>
      <c r="S5" s="148">
        <v>625</v>
      </c>
      <c r="T5" s="148">
        <v>2535</v>
      </c>
      <c r="U5" s="148">
        <v>586</v>
      </c>
      <c r="V5" s="148">
        <v>478</v>
      </c>
      <c r="W5" s="148">
        <v>1064</v>
      </c>
    </row>
    <row r="6" spans="1:26" ht="53.25" customHeight="1">
      <c r="A6" s="478">
        <v>2</v>
      </c>
      <c r="B6" s="160" t="s">
        <v>156</v>
      </c>
      <c r="C6" s="148">
        <v>145</v>
      </c>
      <c r="D6" s="148">
        <v>101</v>
      </c>
      <c r="E6" s="148">
        <v>246</v>
      </c>
      <c r="F6" s="148">
        <v>23</v>
      </c>
      <c r="G6" s="148">
        <v>13</v>
      </c>
      <c r="H6" s="148">
        <v>36</v>
      </c>
      <c r="I6" s="148">
        <v>8</v>
      </c>
      <c r="J6" s="148">
        <v>4</v>
      </c>
      <c r="K6" s="148">
        <v>12</v>
      </c>
      <c r="L6" s="148">
        <v>28</v>
      </c>
      <c r="M6" s="148">
        <v>3</v>
      </c>
      <c r="N6" s="148">
        <v>31</v>
      </c>
      <c r="O6" s="148">
        <v>2</v>
      </c>
      <c r="P6" s="148"/>
      <c r="Q6" s="148">
        <v>2</v>
      </c>
      <c r="R6" s="148">
        <v>8</v>
      </c>
      <c r="S6" s="148">
        <v>1</v>
      </c>
      <c r="T6" s="148">
        <v>9</v>
      </c>
      <c r="U6" s="148">
        <v>7</v>
      </c>
      <c r="V6" s="148">
        <v>8</v>
      </c>
      <c r="W6" s="148">
        <v>15</v>
      </c>
    </row>
    <row r="7" spans="1:26" ht="53.25" customHeight="1">
      <c r="A7" s="478">
        <v>3</v>
      </c>
      <c r="B7" s="160" t="s">
        <v>157</v>
      </c>
      <c r="C7" s="148">
        <v>16534</v>
      </c>
      <c r="D7" s="148">
        <v>4515</v>
      </c>
      <c r="E7" s="148">
        <v>21049</v>
      </c>
      <c r="F7" s="148">
        <v>1261</v>
      </c>
      <c r="G7" s="148">
        <v>333</v>
      </c>
      <c r="H7" s="148">
        <v>1594</v>
      </c>
      <c r="I7" s="148">
        <v>289</v>
      </c>
      <c r="J7" s="148">
        <v>112</v>
      </c>
      <c r="K7" s="148">
        <v>401</v>
      </c>
      <c r="L7" s="148">
        <v>2434</v>
      </c>
      <c r="M7" s="148">
        <v>560</v>
      </c>
      <c r="N7" s="148">
        <v>2994</v>
      </c>
      <c r="O7" s="148">
        <v>112</v>
      </c>
      <c r="P7" s="148">
        <v>26</v>
      </c>
      <c r="Q7" s="148">
        <v>138</v>
      </c>
      <c r="R7" s="148">
        <v>493</v>
      </c>
      <c r="S7" s="148">
        <v>111</v>
      </c>
      <c r="T7" s="148">
        <v>604</v>
      </c>
      <c r="U7" s="148">
        <v>761</v>
      </c>
      <c r="V7" s="148">
        <v>305</v>
      </c>
      <c r="W7" s="148">
        <v>1066</v>
      </c>
    </row>
    <row r="8" spans="1:26" ht="53.25" customHeight="1">
      <c r="A8" s="478">
        <v>4</v>
      </c>
      <c r="B8" s="160" t="s">
        <v>874</v>
      </c>
      <c r="C8" s="148">
        <v>35786</v>
      </c>
      <c r="D8" s="148">
        <v>21722</v>
      </c>
      <c r="E8" s="148">
        <v>57508</v>
      </c>
      <c r="F8" s="148">
        <v>4927</v>
      </c>
      <c r="G8" s="148">
        <v>2250</v>
      </c>
      <c r="H8" s="148">
        <v>7177</v>
      </c>
      <c r="I8" s="148">
        <v>1230</v>
      </c>
      <c r="J8" s="148">
        <v>597</v>
      </c>
      <c r="K8" s="148">
        <v>1827</v>
      </c>
      <c r="L8" s="148">
        <v>9502</v>
      </c>
      <c r="M8" s="148">
        <v>5297</v>
      </c>
      <c r="N8" s="148">
        <v>14799</v>
      </c>
      <c r="O8" s="148">
        <v>262</v>
      </c>
      <c r="P8" s="148">
        <v>99</v>
      </c>
      <c r="Q8" s="148">
        <v>361</v>
      </c>
      <c r="R8" s="148">
        <v>2437</v>
      </c>
      <c r="S8" s="148">
        <v>1127</v>
      </c>
      <c r="T8" s="148">
        <v>3564</v>
      </c>
      <c r="U8" s="148">
        <v>2261</v>
      </c>
      <c r="V8" s="148">
        <v>2235</v>
      </c>
      <c r="W8" s="148">
        <v>4496</v>
      </c>
    </row>
    <row r="9" spans="1:26" ht="53.25" customHeight="1">
      <c r="A9" s="478">
        <v>5</v>
      </c>
      <c r="B9" s="160" t="s">
        <v>158</v>
      </c>
      <c r="C9" s="148">
        <v>505</v>
      </c>
      <c r="D9" s="148">
        <v>265</v>
      </c>
      <c r="E9" s="148">
        <v>770</v>
      </c>
      <c r="F9" s="148">
        <v>85</v>
      </c>
      <c r="G9" s="148">
        <v>29</v>
      </c>
      <c r="H9" s="148">
        <v>114</v>
      </c>
      <c r="I9" s="148">
        <v>15</v>
      </c>
      <c r="J9" s="148">
        <v>5</v>
      </c>
      <c r="K9" s="148">
        <v>20</v>
      </c>
      <c r="L9" s="148">
        <v>126</v>
      </c>
      <c r="M9" s="148">
        <v>74</v>
      </c>
      <c r="N9" s="148">
        <v>200</v>
      </c>
      <c r="O9" s="148">
        <v>3</v>
      </c>
      <c r="P9" s="148">
        <v>1</v>
      </c>
      <c r="Q9" s="148">
        <v>4</v>
      </c>
      <c r="R9" s="148">
        <v>21</v>
      </c>
      <c r="S9" s="148">
        <v>4</v>
      </c>
      <c r="T9" s="148">
        <v>25</v>
      </c>
      <c r="U9" s="148">
        <v>18</v>
      </c>
      <c r="V9" s="148">
        <v>8</v>
      </c>
      <c r="W9" s="148">
        <v>26</v>
      </c>
    </row>
    <row r="10" spans="1:26" ht="53.25" customHeight="1">
      <c r="A10" s="478">
        <v>6</v>
      </c>
      <c r="B10" s="160" t="s">
        <v>159</v>
      </c>
      <c r="C10" s="148">
        <v>54131</v>
      </c>
      <c r="D10" s="148">
        <v>38894</v>
      </c>
      <c r="E10" s="148">
        <v>93025</v>
      </c>
      <c r="F10" s="148">
        <v>2068</v>
      </c>
      <c r="G10" s="148">
        <v>1273</v>
      </c>
      <c r="H10" s="148">
        <v>3341</v>
      </c>
      <c r="I10" s="148">
        <v>716</v>
      </c>
      <c r="J10" s="148">
        <v>843</v>
      </c>
      <c r="K10" s="148">
        <v>1559</v>
      </c>
      <c r="L10" s="148">
        <v>8741</v>
      </c>
      <c r="M10" s="148">
        <v>5108</v>
      </c>
      <c r="N10" s="148">
        <v>13849</v>
      </c>
      <c r="O10" s="148">
        <v>279</v>
      </c>
      <c r="P10" s="148">
        <v>133</v>
      </c>
      <c r="Q10" s="148">
        <v>412</v>
      </c>
      <c r="R10" s="148">
        <v>3077</v>
      </c>
      <c r="S10" s="148">
        <v>1497</v>
      </c>
      <c r="T10" s="148">
        <v>4574</v>
      </c>
      <c r="U10" s="148">
        <v>3212</v>
      </c>
      <c r="V10" s="148">
        <v>3847</v>
      </c>
      <c r="W10" s="148">
        <v>7059</v>
      </c>
    </row>
    <row r="11" spans="1:26" ht="53.25" customHeight="1">
      <c r="A11" s="478">
        <v>7</v>
      </c>
      <c r="B11" s="160" t="s">
        <v>161</v>
      </c>
      <c r="C11" s="148">
        <v>21</v>
      </c>
      <c r="D11" s="148">
        <v>20</v>
      </c>
      <c r="E11" s="148">
        <v>41</v>
      </c>
      <c r="F11" s="148">
        <v>1</v>
      </c>
      <c r="G11" s="148"/>
      <c r="H11" s="148">
        <v>1</v>
      </c>
      <c r="I11" s="148">
        <v>2</v>
      </c>
      <c r="J11" s="148">
        <v>4</v>
      </c>
      <c r="K11" s="148">
        <v>6</v>
      </c>
      <c r="L11" s="148"/>
      <c r="M11" s="148"/>
      <c r="N11" s="148"/>
      <c r="O11" s="148">
        <v>1</v>
      </c>
      <c r="P11" s="148"/>
      <c r="Q11" s="148">
        <v>1</v>
      </c>
      <c r="R11" s="148"/>
      <c r="S11" s="148"/>
      <c r="T11" s="148"/>
      <c r="U11" s="148">
        <v>1</v>
      </c>
      <c r="V11" s="148">
        <v>3</v>
      </c>
      <c r="W11" s="148">
        <v>4</v>
      </c>
    </row>
    <row r="12" spans="1:26" ht="53.25" customHeight="1">
      <c r="A12" s="478">
        <v>8</v>
      </c>
      <c r="B12" s="160" t="s">
        <v>160</v>
      </c>
      <c r="C12" s="148">
        <v>957</v>
      </c>
      <c r="D12" s="148">
        <v>471</v>
      </c>
      <c r="E12" s="148">
        <v>1428</v>
      </c>
      <c r="F12" s="148">
        <v>81</v>
      </c>
      <c r="G12" s="148">
        <v>32</v>
      </c>
      <c r="H12" s="148">
        <v>113</v>
      </c>
      <c r="I12" s="148">
        <v>8</v>
      </c>
      <c r="J12" s="148">
        <v>3</v>
      </c>
      <c r="K12" s="148">
        <v>11</v>
      </c>
      <c r="L12" s="148">
        <v>176</v>
      </c>
      <c r="M12" s="148">
        <v>94</v>
      </c>
      <c r="N12" s="148">
        <v>270</v>
      </c>
      <c r="O12" s="148"/>
      <c r="P12" s="148">
        <v>1</v>
      </c>
      <c r="Q12" s="148">
        <v>1</v>
      </c>
      <c r="R12" s="148">
        <v>163</v>
      </c>
      <c r="S12" s="148">
        <v>53</v>
      </c>
      <c r="T12" s="148">
        <v>216</v>
      </c>
      <c r="U12" s="148">
        <v>18</v>
      </c>
      <c r="V12" s="148">
        <v>33</v>
      </c>
      <c r="W12" s="148">
        <v>51</v>
      </c>
    </row>
    <row r="13" spans="1:26" ht="53.25" customHeight="1">
      <c r="A13" s="478">
        <v>9</v>
      </c>
      <c r="B13" s="160" t="s">
        <v>162</v>
      </c>
      <c r="C13" s="148">
        <v>3348</v>
      </c>
      <c r="D13" s="148">
        <v>953</v>
      </c>
      <c r="E13" s="148">
        <v>4301</v>
      </c>
      <c r="F13" s="148">
        <v>218</v>
      </c>
      <c r="G13" s="148">
        <v>37</v>
      </c>
      <c r="H13" s="148">
        <v>255</v>
      </c>
      <c r="I13" s="148">
        <v>101</v>
      </c>
      <c r="J13" s="148">
        <v>28</v>
      </c>
      <c r="K13" s="148">
        <v>129</v>
      </c>
      <c r="L13" s="148">
        <v>375</v>
      </c>
      <c r="M13" s="148">
        <v>110</v>
      </c>
      <c r="N13" s="148">
        <v>485</v>
      </c>
      <c r="O13" s="148">
        <v>16</v>
      </c>
      <c r="P13" s="148">
        <v>6</v>
      </c>
      <c r="Q13" s="148">
        <v>22</v>
      </c>
      <c r="R13" s="148">
        <v>59</v>
      </c>
      <c r="S13" s="148">
        <v>18</v>
      </c>
      <c r="T13" s="148">
        <v>77</v>
      </c>
      <c r="U13" s="148">
        <v>389</v>
      </c>
      <c r="V13" s="148">
        <v>82</v>
      </c>
      <c r="W13" s="148">
        <v>471</v>
      </c>
    </row>
    <row r="14" spans="1:26" ht="53.25" customHeight="1">
      <c r="A14" s="478">
        <v>10</v>
      </c>
      <c r="B14" s="160" t="s">
        <v>163</v>
      </c>
      <c r="C14" s="148">
        <v>1160</v>
      </c>
      <c r="D14" s="148">
        <v>1162</v>
      </c>
      <c r="E14" s="148">
        <v>2322</v>
      </c>
      <c r="F14" s="148">
        <v>105</v>
      </c>
      <c r="G14" s="148">
        <v>72</v>
      </c>
      <c r="H14" s="148">
        <v>177</v>
      </c>
      <c r="I14" s="148">
        <v>35</v>
      </c>
      <c r="J14" s="148">
        <v>27</v>
      </c>
      <c r="K14" s="148">
        <v>62</v>
      </c>
      <c r="L14" s="148">
        <v>176</v>
      </c>
      <c r="M14" s="148">
        <v>390</v>
      </c>
      <c r="N14" s="148">
        <v>566</v>
      </c>
      <c r="O14" s="148">
        <v>6</v>
      </c>
      <c r="P14" s="148">
        <v>5</v>
      </c>
      <c r="Q14" s="148">
        <v>11</v>
      </c>
      <c r="R14" s="148">
        <v>205</v>
      </c>
      <c r="S14" s="148">
        <v>133</v>
      </c>
      <c r="T14" s="148">
        <v>338</v>
      </c>
      <c r="U14" s="148">
        <v>176</v>
      </c>
      <c r="V14" s="148">
        <v>149</v>
      </c>
      <c r="W14" s="148">
        <v>325</v>
      </c>
    </row>
    <row r="15" spans="1:26" ht="53.25" customHeight="1">
      <c r="A15" s="478">
        <v>11</v>
      </c>
      <c r="B15" s="160" t="s">
        <v>164</v>
      </c>
      <c r="C15" s="148">
        <v>31327</v>
      </c>
      <c r="D15" s="148">
        <v>24120</v>
      </c>
      <c r="E15" s="148">
        <v>55447</v>
      </c>
      <c r="F15" s="148">
        <v>1356</v>
      </c>
      <c r="G15" s="148">
        <v>1011</v>
      </c>
      <c r="H15" s="148">
        <v>2367</v>
      </c>
      <c r="I15" s="148">
        <v>161</v>
      </c>
      <c r="J15" s="148">
        <v>117</v>
      </c>
      <c r="K15" s="148">
        <v>278</v>
      </c>
      <c r="L15" s="148">
        <v>10034</v>
      </c>
      <c r="M15" s="148">
        <v>8019</v>
      </c>
      <c r="N15" s="148">
        <v>18053</v>
      </c>
      <c r="O15" s="148">
        <v>102</v>
      </c>
      <c r="P15" s="148">
        <v>86</v>
      </c>
      <c r="Q15" s="148">
        <v>188</v>
      </c>
      <c r="R15" s="148">
        <v>1036</v>
      </c>
      <c r="S15" s="148">
        <v>616</v>
      </c>
      <c r="T15" s="148">
        <v>1652</v>
      </c>
      <c r="U15" s="148">
        <v>2291</v>
      </c>
      <c r="V15" s="148">
        <v>2651</v>
      </c>
      <c r="W15" s="148">
        <v>4942</v>
      </c>
    </row>
    <row r="16" spans="1:26" s="861" customFormat="1" ht="53.25" customHeight="1">
      <c r="A16" s="1145" t="s">
        <v>60</v>
      </c>
      <c r="B16" s="1145"/>
      <c r="C16" s="115">
        <v>154209</v>
      </c>
      <c r="D16" s="115">
        <v>96083</v>
      </c>
      <c r="E16" s="115">
        <v>250292</v>
      </c>
      <c r="F16" s="115">
        <v>11273</v>
      </c>
      <c r="G16" s="115">
        <v>5395</v>
      </c>
      <c r="H16" s="115">
        <v>16668</v>
      </c>
      <c r="I16" s="115">
        <v>3138</v>
      </c>
      <c r="J16" s="115">
        <v>2115</v>
      </c>
      <c r="K16" s="115">
        <v>5253</v>
      </c>
      <c r="L16" s="115">
        <v>33283</v>
      </c>
      <c r="M16" s="115">
        <v>20223</v>
      </c>
      <c r="N16" s="115">
        <v>53506</v>
      </c>
      <c r="O16" s="115">
        <v>958</v>
      </c>
      <c r="P16" s="115">
        <v>386</v>
      </c>
      <c r="Q16" s="115">
        <v>1344</v>
      </c>
      <c r="R16" s="115">
        <v>9409</v>
      </c>
      <c r="S16" s="115">
        <v>4185</v>
      </c>
      <c r="T16" s="115">
        <v>13594</v>
      </c>
      <c r="U16" s="115">
        <v>9720</v>
      </c>
      <c r="V16" s="115">
        <v>9799</v>
      </c>
      <c r="W16" s="115">
        <v>19519</v>
      </c>
    </row>
    <row r="17" spans="1:23" s="858" customFormat="1" ht="53.25" customHeight="1">
      <c r="A17" s="478"/>
      <c r="B17" s="864" t="s">
        <v>787</v>
      </c>
      <c r="C17" s="1146" t="s">
        <v>903</v>
      </c>
      <c r="D17" s="1146"/>
      <c r="E17" s="1146"/>
      <c r="F17" s="1146"/>
      <c r="G17" s="1146"/>
      <c r="H17" s="1146"/>
      <c r="I17" s="1146"/>
      <c r="J17" s="1146"/>
      <c r="K17" s="1146"/>
      <c r="L17" s="1146" t="str">
        <f>C17</f>
        <v>Social Group-wise Number of Teachers in various types of Universities (Based on Actual Response)
(b) Affiliated and Constituent Colleges</v>
      </c>
      <c r="M17" s="1146"/>
      <c r="N17" s="1146"/>
      <c r="O17" s="1146"/>
      <c r="P17" s="1146"/>
      <c r="Q17" s="1146"/>
      <c r="R17" s="1146"/>
      <c r="S17" s="1146"/>
      <c r="T17" s="1146"/>
      <c r="U17" s="1146"/>
      <c r="V17" s="1146"/>
      <c r="W17" s="1146"/>
    </row>
    <row r="18" spans="1:23" ht="53.25" customHeight="1">
      <c r="A18" s="478">
        <v>1</v>
      </c>
      <c r="B18" s="160" t="s">
        <v>120</v>
      </c>
      <c r="C18" s="148">
        <v>15703</v>
      </c>
      <c r="D18" s="148">
        <v>17832</v>
      </c>
      <c r="E18" s="148">
        <v>33535</v>
      </c>
      <c r="F18" s="148">
        <v>1536</v>
      </c>
      <c r="G18" s="148">
        <v>1176</v>
      </c>
      <c r="H18" s="148">
        <v>2712</v>
      </c>
      <c r="I18" s="148">
        <v>3297</v>
      </c>
      <c r="J18" s="148">
        <v>4460</v>
      </c>
      <c r="K18" s="148">
        <v>7757</v>
      </c>
      <c r="L18" s="148">
        <v>3537</v>
      </c>
      <c r="M18" s="148">
        <v>3161</v>
      </c>
      <c r="N18" s="148">
        <v>6698</v>
      </c>
      <c r="O18" s="148">
        <v>205</v>
      </c>
      <c r="P18" s="148">
        <v>98</v>
      </c>
      <c r="Q18" s="148">
        <v>303</v>
      </c>
      <c r="R18" s="148">
        <v>869</v>
      </c>
      <c r="S18" s="148">
        <v>451</v>
      </c>
      <c r="T18" s="148">
        <v>1320</v>
      </c>
      <c r="U18" s="148">
        <v>3438</v>
      </c>
      <c r="V18" s="148">
        <v>4991</v>
      </c>
      <c r="W18" s="148">
        <v>8429</v>
      </c>
    </row>
    <row r="19" spans="1:23" ht="53.25" customHeight="1">
      <c r="A19" s="478">
        <v>2</v>
      </c>
      <c r="B19" s="160" t="s">
        <v>123</v>
      </c>
      <c r="C19" s="148">
        <v>642442</v>
      </c>
      <c r="D19" s="148">
        <v>506947</v>
      </c>
      <c r="E19" s="148">
        <v>1149389</v>
      </c>
      <c r="F19" s="148">
        <v>69169</v>
      </c>
      <c r="G19" s="148">
        <v>41517</v>
      </c>
      <c r="H19" s="148">
        <v>110686</v>
      </c>
      <c r="I19" s="148">
        <v>14518</v>
      </c>
      <c r="J19" s="148">
        <v>8993</v>
      </c>
      <c r="K19" s="148">
        <v>23511</v>
      </c>
      <c r="L19" s="148">
        <v>225937</v>
      </c>
      <c r="M19" s="148">
        <v>170806</v>
      </c>
      <c r="N19" s="148">
        <v>396743</v>
      </c>
      <c r="O19" s="148">
        <v>4841</v>
      </c>
      <c r="P19" s="148">
        <v>2639</v>
      </c>
      <c r="Q19" s="148">
        <v>7480</v>
      </c>
      <c r="R19" s="148">
        <v>39550</v>
      </c>
      <c r="S19" s="148">
        <v>26115</v>
      </c>
      <c r="T19" s="148">
        <v>65665</v>
      </c>
      <c r="U19" s="148">
        <v>34666</v>
      </c>
      <c r="V19" s="148">
        <v>59466</v>
      </c>
      <c r="W19" s="148">
        <v>94132</v>
      </c>
    </row>
    <row r="20" spans="1:23" s="861" customFormat="1" ht="53.25" customHeight="1">
      <c r="A20" s="1145" t="s">
        <v>60</v>
      </c>
      <c r="B20" s="1145"/>
      <c r="C20" s="115">
        <v>658145</v>
      </c>
      <c r="D20" s="115">
        <v>524779</v>
      </c>
      <c r="E20" s="115">
        <v>1182924</v>
      </c>
      <c r="F20" s="115">
        <v>70705</v>
      </c>
      <c r="G20" s="115">
        <v>42693</v>
      </c>
      <c r="H20" s="115">
        <v>113398</v>
      </c>
      <c r="I20" s="115">
        <v>17815</v>
      </c>
      <c r="J20" s="115">
        <v>13453</v>
      </c>
      <c r="K20" s="115">
        <v>31268</v>
      </c>
      <c r="L20" s="115">
        <v>229474</v>
      </c>
      <c r="M20" s="115">
        <v>173967</v>
      </c>
      <c r="N20" s="115">
        <v>403441</v>
      </c>
      <c r="O20" s="115">
        <v>5046</v>
      </c>
      <c r="P20" s="115">
        <v>2737</v>
      </c>
      <c r="Q20" s="115">
        <v>7783</v>
      </c>
      <c r="R20" s="115">
        <v>40419</v>
      </c>
      <c r="S20" s="115">
        <v>26566</v>
      </c>
      <c r="T20" s="115">
        <v>66985</v>
      </c>
      <c r="U20" s="115">
        <v>38104</v>
      </c>
      <c r="V20" s="115">
        <v>64457</v>
      </c>
      <c r="W20" s="115">
        <v>102561</v>
      </c>
    </row>
  </sheetData>
  <mergeCells count="17">
    <mergeCell ref="A16:B16"/>
    <mergeCell ref="A20:B20"/>
    <mergeCell ref="X2:Z2"/>
    <mergeCell ref="C17:K17"/>
    <mergeCell ref="L17:W17"/>
    <mergeCell ref="C1:K1"/>
    <mergeCell ref="L1:W1"/>
    <mergeCell ref="B2:B3"/>
    <mergeCell ref="C2:E2"/>
    <mergeCell ref="F2:H2"/>
    <mergeCell ref="I2:K2"/>
    <mergeCell ref="L2:N2"/>
    <mergeCell ref="O2:Q2"/>
    <mergeCell ref="R2:T2"/>
    <mergeCell ref="U2:W2"/>
    <mergeCell ref="A1:B1"/>
    <mergeCell ref="A2:A3"/>
  </mergeCells>
  <printOptions horizontalCentered="1"/>
  <pageMargins left="0.23" right="0.28000000000000003" top="0.54" bottom="0.51181102362204722" header="0.27559055118110237" footer="0.23622047244094491"/>
  <pageSetup paperSize="9" scale="61" firstPageNumber="2" pageOrder="overThenDown" orientation="portrait" useFirstPageNumber="1" r:id="rId1"/>
  <headerFooter alignWithMargins="0">
    <oddFooter>&amp;LAISHE 2021-22&amp;CT-30</oddFooter>
  </headerFooter>
  <colBreaks count="1" manualBreakCount="1">
    <brk id="11" max="19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N41"/>
  <sheetViews>
    <sheetView view="pageBreakPreview" zoomScaleSheetLayoutView="100" workbookViewId="0">
      <selection activeCell="F15" sqref="F15"/>
    </sheetView>
  </sheetViews>
  <sheetFormatPr defaultColWidth="9.28515625" defaultRowHeight="15"/>
  <cols>
    <col min="1" max="1" width="7.28515625" style="866" bestFit="1" customWidth="1"/>
    <col min="2" max="2" width="27.7109375" style="875" customWidth="1"/>
    <col min="3" max="3" width="8.5703125" style="866" bestFit="1" customWidth="1"/>
    <col min="4" max="4" width="9" style="866" bestFit="1" customWidth="1"/>
    <col min="5" max="5" width="10" style="866" customWidth="1"/>
    <col min="6" max="6" width="8.5703125" style="866" bestFit="1" customWidth="1"/>
    <col min="7" max="7" width="9" style="866" bestFit="1" customWidth="1"/>
    <col min="8" max="8" width="9.7109375" style="866" customWidth="1"/>
    <col min="9" max="9" width="8.5703125" style="866" bestFit="1" customWidth="1"/>
    <col min="10" max="10" width="7.85546875" style="866" bestFit="1" customWidth="1"/>
    <col min="11" max="11" width="10.7109375" style="866" customWidth="1"/>
    <col min="12" max="12" width="8.5703125" style="866" bestFit="1" customWidth="1"/>
    <col min="13" max="13" width="9" style="866" bestFit="1" customWidth="1"/>
    <col min="14" max="14" width="10.5703125" style="866" customWidth="1"/>
    <col min="15" max="16384" width="9.28515625" style="866"/>
  </cols>
  <sheetData>
    <row r="1" spans="1:14" ht="38.25" customHeight="1">
      <c r="B1" s="1148" t="s">
        <v>1102</v>
      </c>
      <c r="C1" s="1148"/>
      <c r="D1" s="1148"/>
      <c r="E1" s="1148"/>
      <c r="F1" s="1148"/>
      <c r="G1" s="1148"/>
      <c r="H1" s="1148"/>
      <c r="I1" s="1148"/>
      <c r="J1" s="1148"/>
      <c r="K1" s="1148"/>
      <c r="L1" s="1148"/>
      <c r="M1" s="1148"/>
      <c r="N1" s="1148"/>
    </row>
    <row r="2" spans="1:14" ht="17.25" customHeight="1">
      <c r="A2" s="1149" t="s">
        <v>988</v>
      </c>
      <c r="B2" s="1149" t="s">
        <v>168</v>
      </c>
      <c r="C2" s="1150" t="s">
        <v>211</v>
      </c>
      <c r="D2" s="1150"/>
      <c r="E2" s="1150"/>
      <c r="F2" s="1150" t="s">
        <v>212</v>
      </c>
      <c r="G2" s="1150"/>
      <c r="H2" s="1150"/>
      <c r="I2" s="1150" t="s">
        <v>213</v>
      </c>
      <c r="J2" s="1150"/>
      <c r="K2" s="1150"/>
      <c r="L2" s="1150" t="s">
        <v>214</v>
      </c>
      <c r="M2" s="1150"/>
      <c r="N2" s="1150"/>
    </row>
    <row r="3" spans="1:14">
      <c r="A3" s="1149"/>
      <c r="B3" s="1149"/>
      <c r="C3" s="867" t="s">
        <v>205</v>
      </c>
      <c r="D3" s="867" t="s">
        <v>215</v>
      </c>
      <c r="E3" s="867" t="s">
        <v>216</v>
      </c>
      <c r="F3" s="867" t="s">
        <v>205</v>
      </c>
      <c r="G3" s="867" t="s">
        <v>215</v>
      </c>
      <c r="H3" s="867" t="s">
        <v>216</v>
      </c>
      <c r="I3" s="867" t="s">
        <v>205</v>
      </c>
      <c r="J3" s="867" t="s">
        <v>215</v>
      </c>
      <c r="K3" s="867" t="s">
        <v>216</v>
      </c>
      <c r="L3" s="867" t="s">
        <v>205</v>
      </c>
      <c r="M3" s="867" t="s">
        <v>215</v>
      </c>
      <c r="N3" s="867" t="s">
        <v>216</v>
      </c>
    </row>
    <row r="4" spans="1:14" s="870" customFormat="1">
      <c r="A4" s="868">
        <v>1</v>
      </c>
      <c r="B4" s="869">
        <v>2</v>
      </c>
      <c r="C4" s="868">
        <v>3</v>
      </c>
      <c r="D4" s="869">
        <v>4</v>
      </c>
      <c r="E4" s="868">
        <v>5</v>
      </c>
      <c r="F4" s="869">
        <v>6</v>
      </c>
      <c r="G4" s="868">
        <v>7</v>
      </c>
      <c r="H4" s="869">
        <v>8</v>
      </c>
      <c r="I4" s="868">
        <v>9</v>
      </c>
      <c r="J4" s="869">
        <v>10</v>
      </c>
      <c r="K4" s="868">
        <v>11</v>
      </c>
      <c r="L4" s="869">
        <v>12</v>
      </c>
      <c r="M4" s="868">
        <v>13</v>
      </c>
      <c r="N4" s="869">
        <v>14</v>
      </c>
    </row>
    <row r="5" spans="1:14" s="870" customFormat="1" ht="30" customHeight="1">
      <c r="A5" s="871">
        <v>1</v>
      </c>
      <c r="B5" s="872" t="s">
        <v>1061</v>
      </c>
      <c r="C5" s="873">
        <v>9</v>
      </c>
      <c r="D5" s="873">
        <v>851</v>
      </c>
      <c r="E5" s="873">
        <v>681</v>
      </c>
      <c r="F5" s="873">
        <v>8</v>
      </c>
      <c r="G5" s="873">
        <v>786</v>
      </c>
      <c r="H5" s="873">
        <v>1030</v>
      </c>
      <c r="I5" s="873">
        <v>0</v>
      </c>
      <c r="J5" s="873">
        <v>0</v>
      </c>
      <c r="K5" s="873">
        <v>0</v>
      </c>
      <c r="L5" s="873">
        <v>17</v>
      </c>
      <c r="M5" s="873">
        <v>1637</v>
      </c>
      <c r="N5" s="873">
        <v>1711</v>
      </c>
    </row>
    <row r="6" spans="1:14" ht="28.5" customHeight="1">
      <c r="A6" s="871">
        <v>2</v>
      </c>
      <c r="B6" s="872" t="s">
        <v>15</v>
      </c>
      <c r="C6" s="873">
        <v>896</v>
      </c>
      <c r="D6" s="873">
        <v>225367</v>
      </c>
      <c r="E6" s="873">
        <v>145435</v>
      </c>
      <c r="F6" s="873">
        <v>1336</v>
      </c>
      <c r="G6" s="873">
        <v>335735</v>
      </c>
      <c r="H6" s="873">
        <v>200776</v>
      </c>
      <c r="I6" s="873">
        <v>27</v>
      </c>
      <c r="J6" s="873">
        <v>5525</v>
      </c>
      <c r="K6" s="873">
        <v>2983</v>
      </c>
      <c r="L6" s="873">
        <v>2259</v>
      </c>
      <c r="M6" s="873">
        <v>566627</v>
      </c>
      <c r="N6" s="873">
        <v>349194</v>
      </c>
    </row>
    <row r="7" spans="1:14" ht="28.5" customHeight="1">
      <c r="A7" s="871">
        <v>3</v>
      </c>
      <c r="B7" s="872" t="s">
        <v>16</v>
      </c>
      <c r="C7" s="873">
        <v>56</v>
      </c>
      <c r="D7" s="873">
        <v>5565</v>
      </c>
      <c r="E7" s="873">
        <v>4363</v>
      </c>
      <c r="F7" s="873">
        <v>68</v>
      </c>
      <c r="G7" s="873">
        <v>5404</v>
      </c>
      <c r="H7" s="873">
        <v>4205</v>
      </c>
      <c r="I7" s="873">
        <v>1</v>
      </c>
      <c r="J7" s="873">
        <v>58</v>
      </c>
      <c r="K7" s="873">
        <v>58</v>
      </c>
      <c r="L7" s="873">
        <v>125</v>
      </c>
      <c r="M7" s="873">
        <v>11027</v>
      </c>
      <c r="N7" s="873">
        <v>8626</v>
      </c>
    </row>
    <row r="8" spans="1:14" ht="28.5" customHeight="1">
      <c r="A8" s="871">
        <v>4</v>
      </c>
      <c r="B8" s="872" t="s">
        <v>17</v>
      </c>
      <c r="C8" s="873">
        <v>360</v>
      </c>
      <c r="D8" s="873">
        <v>35663</v>
      </c>
      <c r="E8" s="873">
        <v>25729</v>
      </c>
      <c r="F8" s="873">
        <v>588</v>
      </c>
      <c r="G8" s="873">
        <v>49939</v>
      </c>
      <c r="H8" s="873">
        <v>33739</v>
      </c>
      <c r="I8" s="873">
        <v>7</v>
      </c>
      <c r="J8" s="873">
        <v>540</v>
      </c>
      <c r="K8" s="873">
        <v>428</v>
      </c>
      <c r="L8" s="873">
        <v>955</v>
      </c>
      <c r="M8" s="873">
        <v>86142</v>
      </c>
      <c r="N8" s="873">
        <v>59896</v>
      </c>
    </row>
    <row r="9" spans="1:14" s="870" customFormat="1" ht="28.5" customHeight="1">
      <c r="A9" s="871">
        <v>5</v>
      </c>
      <c r="B9" s="872" t="s">
        <v>18</v>
      </c>
      <c r="C9" s="873">
        <v>618</v>
      </c>
      <c r="D9" s="873">
        <v>76407</v>
      </c>
      <c r="E9" s="873">
        <v>44523</v>
      </c>
      <c r="F9" s="873">
        <v>734</v>
      </c>
      <c r="G9" s="873">
        <v>71020</v>
      </c>
      <c r="H9" s="873">
        <v>35387</v>
      </c>
      <c r="I9" s="873">
        <v>24</v>
      </c>
      <c r="J9" s="873">
        <v>2333</v>
      </c>
      <c r="K9" s="873">
        <v>1249</v>
      </c>
      <c r="L9" s="873">
        <v>1376</v>
      </c>
      <c r="M9" s="873">
        <v>149760</v>
      </c>
      <c r="N9" s="873">
        <v>81159</v>
      </c>
    </row>
    <row r="10" spans="1:14" ht="28.5" customHeight="1">
      <c r="A10" s="871">
        <v>6</v>
      </c>
      <c r="B10" s="872" t="s">
        <v>19</v>
      </c>
      <c r="C10" s="873">
        <v>33</v>
      </c>
      <c r="D10" s="873">
        <v>7116</v>
      </c>
      <c r="E10" s="873">
        <v>2797</v>
      </c>
      <c r="F10" s="873">
        <v>60</v>
      </c>
      <c r="G10" s="873">
        <v>10730</v>
      </c>
      <c r="H10" s="873">
        <v>5979</v>
      </c>
      <c r="I10" s="873">
        <v>9</v>
      </c>
      <c r="J10" s="873">
        <v>716</v>
      </c>
      <c r="K10" s="873">
        <v>502</v>
      </c>
      <c r="L10" s="873">
        <v>102</v>
      </c>
      <c r="M10" s="873">
        <v>18562</v>
      </c>
      <c r="N10" s="873">
        <v>9278</v>
      </c>
    </row>
    <row r="11" spans="1:14" ht="28.5" customHeight="1">
      <c r="A11" s="871">
        <v>7</v>
      </c>
      <c r="B11" s="872" t="s">
        <v>20</v>
      </c>
      <c r="C11" s="873">
        <v>344</v>
      </c>
      <c r="D11" s="873">
        <v>36956</v>
      </c>
      <c r="E11" s="873">
        <v>18072</v>
      </c>
      <c r="F11" s="873">
        <v>497</v>
      </c>
      <c r="G11" s="873">
        <v>55608</v>
      </c>
      <c r="H11" s="873">
        <v>28244</v>
      </c>
      <c r="I11" s="873">
        <v>5</v>
      </c>
      <c r="J11" s="873">
        <v>483</v>
      </c>
      <c r="K11" s="873">
        <v>387</v>
      </c>
      <c r="L11" s="873">
        <v>846</v>
      </c>
      <c r="M11" s="873">
        <v>93047</v>
      </c>
      <c r="N11" s="873">
        <v>46703</v>
      </c>
    </row>
    <row r="12" spans="1:14" ht="28.5" customHeight="1">
      <c r="A12" s="871">
        <v>8</v>
      </c>
      <c r="B12" s="872" t="s">
        <v>23</v>
      </c>
      <c r="C12" s="873">
        <v>152</v>
      </c>
      <c r="D12" s="873">
        <v>24732</v>
      </c>
      <c r="E12" s="873">
        <v>16816</v>
      </c>
      <c r="F12" s="873">
        <v>172</v>
      </c>
      <c r="G12" s="873">
        <v>25838</v>
      </c>
      <c r="H12" s="873">
        <v>15067</v>
      </c>
      <c r="I12" s="873">
        <v>28</v>
      </c>
      <c r="J12" s="873">
        <v>4684</v>
      </c>
      <c r="K12" s="873">
        <v>3341</v>
      </c>
      <c r="L12" s="873">
        <v>352</v>
      </c>
      <c r="M12" s="873">
        <v>55254</v>
      </c>
      <c r="N12" s="873">
        <v>35224</v>
      </c>
    </row>
    <row r="13" spans="1:14" ht="28.5" customHeight="1">
      <c r="A13" s="871">
        <v>9</v>
      </c>
      <c r="B13" s="872" t="s">
        <v>24</v>
      </c>
      <c r="C13" s="873">
        <v>51</v>
      </c>
      <c r="D13" s="873">
        <v>8008</v>
      </c>
      <c r="E13" s="873">
        <v>5121</v>
      </c>
      <c r="F13" s="873">
        <v>33</v>
      </c>
      <c r="G13" s="873">
        <v>2840</v>
      </c>
      <c r="H13" s="873">
        <v>1854</v>
      </c>
      <c r="I13" s="873">
        <v>6</v>
      </c>
      <c r="J13" s="873">
        <v>363</v>
      </c>
      <c r="K13" s="873">
        <v>362</v>
      </c>
      <c r="L13" s="873">
        <v>90</v>
      </c>
      <c r="M13" s="873">
        <v>11211</v>
      </c>
      <c r="N13" s="873">
        <v>7337</v>
      </c>
    </row>
    <row r="14" spans="1:14" ht="28.5" customHeight="1">
      <c r="A14" s="871">
        <v>10</v>
      </c>
      <c r="B14" s="872" t="s">
        <v>25</v>
      </c>
      <c r="C14" s="873">
        <v>1506</v>
      </c>
      <c r="D14" s="873">
        <v>246189</v>
      </c>
      <c r="E14" s="873">
        <v>104428</v>
      </c>
      <c r="F14" s="873">
        <v>1700</v>
      </c>
      <c r="G14" s="873">
        <v>296128</v>
      </c>
      <c r="H14" s="873">
        <v>104364</v>
      </c>
      <c r="I14" s="873">
        <v>93</v>
      </c>
      <c r="J14" s="873">
        <v>16676</v>
      </c>
      <c r="K14" s="873">
        <v>7274</v>
      </c>
      <c r="L14" s="873">
        <v>3299</v>
      </c>
      <c r="M14" s="873">
        <v>558993</v>
      </c>
      <c r="N14" s="873">
        <v>216066</v>
      </c>
    </row>
    <row r="15" spans="1:14" ht="28.5" customHeight="1">
      <c r="A15" s="871">
        <v>11</v>
      </c>
      <c r="B15" s="872" t="s">
        <v>26</v>
      </c>
      <c r="C15" s="873">
        <v>490</v>
      </c>
      <c r="D15" s="873">
        <v>90821</v>
      </c>
      <c r="E15" s="873">
        <v>41941</v>
      </c>
      <c r="F15" s="873">
        <v>592</v>
      </c>
      <c r="G15" s="873">
        <v>93291</v>
      </c>
      <c r="H15" s="873">
        <v>43933</v>
      </c>
      <c r="I15" s="873">
        <v>29</v>
      </c>
      <c r="J15" s="873">
        <v>2918</v>
      </c>
      <c r="K15" s="873">
        <v>1505</v>
      </c>
      <c r="L15" s="873">
        <v>1111</v>
      </c>
      <c r="M15" s="873">
        <v>187030</v>
      </c>
      <c r="N15" s="873">
        <v>87379</v>
      </c>
    </row>
    <row r="16" spans="1:14" ht="28.5" customHeight="1">
      <c r="A16" s="871">
        <v>12</v>
      </c>
      <c r="B16" s="872" t="s">
        <v>27</v>
      </c>
      <c r="C16" s="873">
        <v>209</v>
      </c>
      <c r="D16" s="873">
        <v>29236</v>
      </c>
      <c r="E16" s="873">
        <v>13986</v>
      </c>
      <c r="F16" s="873">
        <v>336</v>
      </c>
      <c r="G16" s="873">
        <v>37581</v>
      </c>
      <c r="H16" s="873">
        <v>21459</v>
      </c>
      <c r="I16" s="873">
        <v>9</v>
      </c>
      <c r="J16" s="873">
        <v>1210</v>
      </c>
      <c r="K16" s="873">
        <v>197</v>
      </c>
      <c r="L16" s="873">
        <v>554</v>
      </c>
      <c r="M16" s="873">
        <v>68027</v>
      </c>
      <c r="N16" s="873">
        <v>35642</v>
      </c>
    </row>
    <row r="17" spans="1:14" ht="28.5" customHeight="1">
      <c r="A17" s="871">
        <v>13</v>
      </c>
      <c r="B17" s="872" t="s">
        <v>57</v>
      </c>
      <c r="C17" s="873">
        <v>220</v>
      </c>
      <c r="D17" s="873">
        <v>25124</v>
      </c>
      <c r="E17" s="873">
        <v>13009</v>
      </c>
      <c r="F17" s="873">
        <v>254</v>
      </c>
      <c r="G17" s="873">
        <v>26490</v>
      </c>
      <c r="H17" s="873">
        <v>11956</v>
      </c>
      <c r="I17" s="873">
        <v>19</v>
      </c>
      <c r="J17" s="873">
        <v>1519</v>
      </c>
      <c r="K17" s="873">
        <v>595</v>
      </c>
      <c r="L17" s="873">
        <v>493</v>
      </c>
      <c r="M17" s="873">
        <v>53133</v>
      </c>
      <c r="N17" s="873">
        <v>25560</v>
      </c>
    </row>
    <row r="18" spans="1:14" ht="28.5" customHeight="1">
      <c r="A18" s="871">
        <v>14</v>
      </c>
      <c r="B18" s="872" t="s">
        <v>29</v>
      </c>
      <c r="C18" s="873">
        <v>360</v>
      </c>
      <c r="D18" s="873">
        <v>55079</v>
      </c>
      <c r="E18" s="873">
        <v>37788</v>
      </c>
      <c r="F18" s="873">
        <v>305</v>
      </c>
      <c r="G18" s="873">
        <v>42375</v>
      </c>
      <c r="H18" s="873">
        <v>23585</v>
      </c>
      <c r="I18" s="873">
        <v>11</v>
      </c>
      <c r="J18" s="873">
        <v>491</v>
      </c>
      <c r="K18" s="873">
        <v>309</v>
      </c>
      <c r="L18" s="873">
        <v>676</v>
      </c>
      <c r="M18" s="873">
        <v>97945</v>
      </c>
      <c r="N18" s="873">
        <v>61682</v>
      </c>
    </row>
    <row r="19" spans="1:14" ht="28.5" customHeight="1">
      <c r="A19" s="871">
        <v>15</v>
      </c>
      <c r="B19" s="872" t="s">
        <v>30</v>
      </c>
      <c r="C19" s="873">
        <v>3004</v>
      </c>
      <c r="D19" s="873">
        <v>486848</v>
      </c>
      <c r="E19" s="873">
        <v>216469</v>
      </c>
      <c r="F19" s="873">
        <v>3406</v>
      </c>
      <c r="G19" s="873">
        <v>586580</v>
      </c>
      <c r="H19" s="873">
        <v>272820</v>
      </c>
      <c r="I19" s="873">
        <v>95</v>
      </c>
      <c r="J19" s="873">
        <v>13587</v>
      </c>
      <c r="K19" s="873">
        <v>7840</v>
      </c>
      <c r="L19" s="873">
        <v>6505</v>
      </c>
      <c r="M19" s="873">
        <v>1087015</v>
      </c>
      <c r="N19" s="873">
        <v>497129</v>
      </c>
    </row>
    <row r="20" spans="1:14" ht="28.5" customHeight="1">
      <c r="A20" s="871">
        <v>16</v>
      </c>
      <c r="B20" s="872" t="s">
        <v>31</v>
      </c>
      <c r="C20" s="873">
        <v>833</v>
      </c>
      <c r="D20" s="873">
        <v>95990</v>
      </c>
      <c r="E20" s="873">
        <v>52841</v>
      </c>
      <c r="F20" s="873">
        <v>1433</v>
      </c>
      <c r="G20" s="873">
        <v>198006</v>
      </c>
      <c r="H20" s="873">
        <v>123151</v>
      </c>
      <c r="I20" s="873">
        <v>34</v>
      </c>
      <c r="J20" s="873">
        <v>2616</v>
      </c>
      <c r="K20" s="873">
        <v>1669</v>
      </c>
      <c r="L20" s="873">
        <v>2300</v>
      </c>
      <c r="M20" s="873">
        <v>296612</v>
      </c>
      <c r="N20" s="873">
        <v>177661</v>
      </c>
    </row>
    <row r="21" spans="1:14" s="870" customFormat="1" ht="28.5" customHeight="1">
      <c r="A21" s="871">
        <v>17</v>
      </c>
      <c r="B21" s="872" t="s">
        <v>154</v>
      </c>
      <c r="C21" s="873">
        <v>6</v>
      </c>
      <c r="D21" s="873">
        <v>346</v>
      </c>
      <c r="E21" s="873">
        <v>301</v>
      </c>
      <c r="F21" s="873">
        <v>7</v>
      </c>
      <c r="G21" s="873">
        <v>344</v>
      </c>
      <c r="H21" s="873">
        <v>250</v>
      </c>
      <c r="I21" s="873">
        <v>1</v>
      </c>
      <c r="J21" s="873">
        <v>50</v>
      </c>
      <c r="K21" s="873">
        <v>0</v>
      </c>
      <c r="L21" s="873">
        <v>14</v>
      </c>
      <c r="M21" s="873">
        <v>740</v>
      </c>
      <c r="N21" s="873">
        <v>551</v>
      </c>
    </row>
    <row r="22" spans="1:14" ht="28.5" customHeight="1">
      <c r="A22" s="871">
        <v>18</v>
      </c>
      <c r="B22" s="872" t="s">
        <v>32</v>
      </c>
      <c r="C22" s="873">
        <v>1</v>
      </c>
      <c r="D22" s="873">
        <v>25</v>
      </c>
      <c r="E22" s="873">
        <v>10</v>
      </c>
      <c r="F22" s="873">
        <v>1</v>
      </c>
      <c r="G22" s="873">
        <v>50</v>
      </c>
      <c r="H22" s="873">
        <v>35</v>
      </c>
      <c r="I22" s="873">
        <v>0</v>
      </c>
      <c r="J22" s="873">
        <v>0</v>
      </c>
      <c r="K22" s="873">
        <v>0</v>
      </c>
      <c r="L22" s="873">
        <v>2</v>
      </c>
      <c r="M22" s="873">
        <v>75</v>
      </c>
      <c r="N22" s="873">
        <v>45</v>
      </c>
    </row>
    <row r="23" spans="1:14" ht="28.5" customHeight="1">
      <c r="A23" s="871">
        <v>19</v>
      </c>
      <c r="B23" s="872" t="s">
        <v>33</v>
      </c>
      <c r="C23" s="873">
        <v>763</v>
      </c>
      <c r="D23" s="873">
        <v>99224</v>
      </c>
      <c r="E23" s="873">
        <v>53804</v>
      </c>
      <c r="F23" s="873">
        <v>794</v>
      </c>
      <c r="G23" s="873">
        <v>92168</v>
      </c>
      <c r="H23" s="873">
        <v>47504</v>
      </c>
      <c r="I23" s="873">
        <v>42</v>
      </c>
      <c r="J23" s="873">
        <v>5362</v>
      </c>
      <c r="K23" s="873">
        <v>2428</v>
      </c>
      <c r="L23" s="873">
        <v>1599</v>
      </c>
      <c r="M23" s="873">
        <v>196754</v>
      </c>
      <c r="N23" s="873">
        <v>103736</v>
      </c>
    </row>
    <row r="24" spans="1:14" ht="28.5" customHeight="1">
      <c r="A24" s="871">
        <v>20</v>
      </c>
      <c r="B24" s="872" t="s">
        <v>34</v>
      </c>
      <c r="C24" s="873">
        <v>2527</v>
      </c>
      <c r="D24" s="873">
        <v>342891</v>
      </c>
      <c r="E24" s="873">
        <v>158054</v>
      </c>
      <c r="F24" s="873">
        <v>3428</v>
      </c>
      <c r="G24" s="873">
        <v>388848</v>
      </c>
      <c r="H24" s="873">
        <v>177621</v>
      </c>
      <c r="I24" s="873">
        <v>142</v>
      </c>
      <c r="J24" s="873">
        <v>15223</v>
      </c>
      <c r="K24" s="873">
        <v>8378</v>
      </c>
      <c r="L24" s="873">
        <v>6097</v>
      </c>
      <c r="M24" s="873">
        <v>746962</v>
      </c>
      <c r="N24" s="873">
        <v>344053</v>
      </c>
    </row>
    <row r="25" spans="1:14" ht="28.5" customHeight="1">
      <c r="A25" s="871">
        <v>21</v>
      </c>
      <c r="B25" s="872" t="s">
        <v>35</v>
      </c>
      <c r="C25" s="873">
        <v>118</v>
      </c>
      <c r="D25" s="873">
        <v>7143</v>
      </c>
      <c r="E25" s="873">
        <v>5308</v>
      </c>
      <c r="F25" s="873">
        <v>160</v>
      </c>
      <c r="G25" s="873">
        <v>11328</v>
      </c>
      <c r="H25" s="873">
        <v>8064</v>
      </c>
      <c r="I25" s="873">
        <v>8</v>
      </c>
      <c r="J25" s="873">
        <v>971</v>
      </c>
      <c r="K25" s="873">
        <v>586</v>
      </c>
      <c r="L25" s="873">
        <v>286</v>
      </c>
      <c r="M25" s="873">
        <v>19442</v>
      </c>
      <c r="N25" s="873">
        <v>13958</v>
      </c>
    </row>
    <row r="26" spans="1:14" ht="28.5" customHeight="1">
      <c r="A26" s="871">
        <v>22</v>
      </c>
      <c r="B26" s="872" t="s">
        <v>36</v>
      </c>
      <c r="C26" s="873">
        <v>69</v>
      </c>
      <c r="D26" s="873">
        <v>5854</v>
      </c>
      <c r="E26" s="873">
        <v>4877</v>
      </c>
      <c r="F26" s="873">
        <v>87</v>
      </c>
      <c r="G26" s="873">
        <v>6697</v>
      </c>
      <c r="H26" s="873">
        <v>5420</v>
      </c>
      <c r="I26" s="873">
        <v>8</v>
      </c>
      <c r="J26" s="873">
        <v>362</v>
      </c>
      <c r="K26" s="873">
        <v>264</v>
      </c>
      <c r="L26" s="873">
        <v>164</v>
      </c>
      <c r="M26" s="873">
        <v>12913</v>
      </c>
      <c r="N26" s="873">
        <v>10561</v>
      </c>
    </row>
    <row r="27" spans="1:14" ht="28.5" customHeight="1">
      <c r="A27" s="871">
        <v>23</v>
      </c>
      <c r="B27" s="872" t="s">
        <v>37</v>
      </c>
      <c r="C27" s="873">
        <v>47</v>
      </c>
      <c r="D27" s="873">
        <v>2842</v>
      </c>
      <c r="E27" s="873">
        <v>2125</v>
      </c>
      <c r="F27" s="873">
        <v>58</v>
      </c>
      <c r="G27" s="873">
        <v>3478</v>
      </c>
      <c r="H27" s="873">
        <v>2583</v>
      </c>
      <c r="I27" s="873">
        <v>2</v>
      </c>
      <c r="J27" s="873">
        <v>155</v>
      </c>
      <c r="K27" s="873">
        <v>153</v>
      </c>
      <c r="L27" s="873">
        <v>107</v>
      </c>
      <c r="M27" s="873">
        <v>6475</v>
      </c>
      <c r="N27" s="873">
        <v>4861</v>
      </c>
    </row>
    <row r="28" spans="1:14" ht="28.5" customHeight="1">
      <c r="A28" s="871">
        <v>24</v>
      </c>
      <c r="B28" s="872" t="s">
        <v>38</v>
      </c>
      <c r="C28" s="873">
        <v>92</v>
      </c>
      <c r="D28" s="873">
        <v>5462</v>
      </c>
      <c r="E28" s="873">
        <v>3717</v>
      </c>
      <c r="F28" s="873">
        <v>87</v>
      </c>
      <c r="G28" s="873">
        <v>5528</v>
      </c>
      <c r="H28" s="873">
        <v>4061</v>
      </c>
      <c r="I28" s="873">
        <v>2</v>
      </c>
      <c r="J28" s="873">
        <v>126</v>
      </c>
      <c r="K28" s="873">
        <v>15</v>
      </c>
      <c r="L28" s="873">
        <v>181</v>
      </c>
      <c r="M28" s="873">
        <v>11116</v>
      </c>
      <c r="N28" s="873">
        <v>7793</v>
      </c>
    </row>
    <row r="29" spans="1:14" ht="28.5" customHeight="1">
      <c r="A29" s="871">
        <v>25</v>
      </c>
      <c r="B29" s="872" t="s">
        <v>39</v>
      </c>
      <c r="C29" s="873">
        <v>1341</v>
      </c>
      <c r="D29" s="873">
        <v>181510</v>
      </c>
      <c r="E29" s="873">
        <v>133185</v>
      </c>
      <c r="F29" s="873">
        <v>1537</v>
      </c>
      <c r="G29" s="873">
        <v>169815</v>
      </c>
      <c r="H29" s="873">
        <v>118149</v>
      </c>
      <c r="I29" s="873">
        <v>30</v>
      </c>
      <c r="J29" s="873">
        <v>4593</v>
      </c>
      <c r="K29" s="873">
        <v>2865</v>
      </c>
      <c r="L29" s="873">
        <v>2908</v>
      </c>
      <c r="M29" s="873">
        <v>355918</v>
      </c>
      <c r="N29" s="873">
        <v>254199</v>
      </c>
    </row>
    <row r="30" spans="1:14" s="870" customFormat="1" ht="28.5" customHeight="1">
      <c r="A30" s="871">
        <v>26</v>
      </c>
      <c r="B30" s="872" t="s">
        <v>40</v>
      </c>
      <c r="C30" s="873">
        <v>83</v>
      </c>
      <c r="D30" s="873">
        <v>13844</v>
      </c>
      <c r="E30" s="873">
        <v>9963</v>
      </c>
      <c r="F30" s="873">
        <v>82</v>
      </c>
      <c r="G30" s="873">
        <v>13181</v>
      </c>
      <c r="H30" s="873">
        <v>9438</v>
      </c>
      <c r="I30" s="873">
        <v>2</v>
      </c>
      <c r="J30" s="873">
        <v>260</v>
      </c>
      <c r="K30" s="873">
        <v>247</v>
      </c>
      <c r="L30" s="873">
        <v>167</v>
      </c>
      <c r="M30" s="873">
        <v>27285</v>
      </c>
      <c r="N30" s="873">
        <v>19648</v>
      </c>
    </row>
    <row r="31" spans="1:14" ht="28.5" customHeight="1">
      <c r="A31" s="871">
        <v>27</v>
      </c>
      <c r="B31" s="872" t="s">
        <v>41</v>
      </c>
      <c r="C31" s="873">
        <v>710</v>
      </c>
      <c r="D31" s="873">
        <v>161273</v>
      </c>
      <c r="E31" s="873">
        <v>80728</v>
      </c>
      <c r="F31" s="873">
        <v>911</v>
      </c>
      <c r="G31" s="873">
        <v>155353</v>
      </c>
      <c r="H31" s="873">
        <v>64371</v>
      </c>
      <c r="I31" s="873">
        <v>40</v>
      </c>
      <c r="J31" s="873">
        <v>8127</v>
      </c>
      <c r="K31" s="873">
        <v>4701</v>
      </c>
      <c r="L31" s="873">
        <v>1661</v>
      </c>
      <c r="M31" s="873">
        <v>324753</v>
      </c>
      <c r="N31" s="873">
        <v>149800</v>
      </c>
    </row>
    <row r="32" spans="1:14" ht="28.5" customHeight="1">
      <c r="A32" s="871">
        <v>28</v>
      </c>
      <c r="B32" s="872" t="s">
        <v>42</v>
      </c>
      <c r="C32" s="873">
        <v>991</v>
      </c>
      <c r="D32" s="873">
        <v>125649</v>
      </c>
      <c r="E32" s="873">
        <v>60842</v>
      </c>
      <c r="F32" s="873">
        <v>1079</v>
      </c>
      <c r="G32" s="873">
        <v>128433</v>
      </c>
      <c r="H32" s="873">
        <v>54338</v>
      </c>
      <c r="I32" s="873">
        <v>49</v>
      </c>
      <c r="J32" s="873">
        <v>4875</v>
      </c>
      <c r="K32" s="873">
        <v>2683</v>
      </c>
      <c r="L32" s="873">
        <v>2119</v>
      </c>
      <c r="M32" s="873">
        <v>258957</v>
      </c>
      <c r="N32" s="873">
        <v>117863</v>
      </c>
    </row>
    <row r="33" spans="1:14" ht="28.5" customHeight="1">
      <c r="A33" s="871">
        <v>29</v>
      </c>
      <c r="B33" s="872" t="s">
        <v>43</v>
      </c>
      <c r="C33" s="873">
        <v>34</v>
      </c>
      <c r="D33" s="873">
        <v>5184</v>
      </c>
      <c r="E33" s="873">
        <v>3151</v>
      </c>
      <c r="F33" s="873">
        <v>33</v>
      </c>
      <c r="G33" s="873">
        <v>3537</v>
      </c>
      <c r="H33" s="873">
        <v>2069</v>
      </c>
      <c r="I33" s="873">
        <v>1</v>
      </c>
      <c r="J33" s="873">
        <v>30</v>
      </c>
      <c r="K33" s="873">
        <v>30</v>
      </c>
      <c r="L33" s="873">
        <v>68</v>
      </c>
      <c r="M33" s="873">
        <v>8751</v>
      </c>
      <c r="N33" s="873">
        <v>5250</v>
      </c>
    </row>
    <row r="34" spans="1:14" ht="28.5" customHeight="1">
      <c r="A34" s="871">
        <v>30</v>
      </c>
      <c r="B34" s="872" t="s">
        <v>44</v>
      </c>
      <c r="C34" s="873">
        <v>2479</v>
      </c>
      <c r="D34" s="873">
        <v>618791</v>
      </c>
      <c r="E34" s="873">
        <v>301283</v>
      </c>
      <c r="F34" s="873">
        <v>2816</v>
      </c>
      <c r="G34" s="873">
        <v>604018</v>
      </c>
      <c r="H34" s="873">
        <v>272971</v>
      </c>
      <c r="I34" s="873">
        <v>53</v>
      </c>
      <c r="J34" s="873">
        <v>8197</v>
      </c>
      <c r="K34" s="873">
        <v>3162</v>
      </c>
      <c r="L34" s="873">
        <v>5348</v>
      </c>
      <c r="M34" s="873">
        <v>1231006</v>
      </c>
      <c r="N34" s="873">
        <v>577416</v>
      </c>
    </row>
    <row r="35" spans="1:14" ht="28.5" customHeight="1">
      <c r="A35" s="871">
        <v>31</v>
      </c>
      <c r="B35" s="872" t="s">
        <v>131</v>
      </c>
      <c r="C35" s="873">
        <v>542</v>
      </c>
      <c r="D35" s="873">
        <v>121501</v>
      </c>
      <c r="E35" s="873">
        <v>81298</v>
      </c>
      <c r="F35" s="873">
        <v>766</v>
      </c>
      <c r="G35" s="873">
        <v>190163</v>
      </c>
      <c r="H35" s="873">
        <v>131156</v>
      </c>
      <c r="I35" s="873">
        <v>21</v>
      </c>
      <c r="J35" s="873">
        <v>3705</v>
      </c>
      <c r="K35" s="873">
        <v>2644</v>
      </c>
      <c r="L35" s="873">
        <v>1329</v>
      </c>
      <c r="M35" s="873">
        <v>315369</v>
      </c>
      <c r="N35" s="873">
        <v>215098</v>
      </c>
    </row>
    <row r="36" spans="1:14" ht="36.75" customHeight="1">
      <c r="A36" s="871">
        <v>32</v>
      </c>
      <c r="B36" s="872" t="s">
        <v>1062</v>
      </c>
      <c r="C36" s="873">
        <v>11</v>
      </c>
      <c r="D36" s="873">
        <v>1471</v>
      </c>
      <c r="E36" s="873">
        <v>507</v>
      </c>
      <c r="F36" s="873">
        <v>11</v>
      </c>
      <c r="G36" s="873">
        <v>1724</v>
      </c>
      <c r="H36" s="873">
        <v>936</v>
      </c>
      <c r="I36" s="873">
        <v>1</v>
      </c>
      <c r="J36" s="873">
        <v>220</v>
      </c>
      <c r="K36" s="873">
        <v>172</v>
      </c>
      <c r="L36" s="873">
        <v>23</v>
      </c>
      <c r="M36" s="873">
        <v>3415</v>
      </c>
      <c r="N36" s="873">
        <v>1615</v>
      </c>
    </row>
    <row r="37" spans="1:14" ht="28.5" customHeight="1">
      <c r="A37" s="871">
        <v>33</v>
      </c>
      <c r="B37" s="872" t="s">
        <v>45</v>
      </c>
      <c r="C37" s="873">
        <v>43</v>
      </c>
      <c r="D37" s="873">
        <v>6288</v>
      </c>
      <c r="E37" s="873">
        <v>4497</v>
      </c>
      <c r="F37" s="873">
        <v>38</v>
      </c>
      <c r="G37" s="873">
        <v>4274</v>
      </c>
      <c r="H37" s="873">
        <v>3075</v>
      </c>
      <c r="I37" s="873">
        <v>8</v>
      </c>
      <c r="J37" s="873">
        <v>680</v>
      </c>
      <c r="K37" s="873">
        <v>558</v>
      </c>
      <c r="L37" s="873">
        <v>89</v>
      </c>
      <c r="M37" s="873">
        <v>11242</v>
      </c>
      <c r="N37" s="873">
        <v>8130</v>
      </c>
    </row>
    <row r="38" spans="1:14" ht="28.5" customHeight="1">
      <c r="A38" s="871">
        <v>34</v>
      </c>
      <c r="B38" s="872" t="s">
        <v>47</v>
      </c>
      <c r="C38" s="873">
        <v>2065</v>
      </c>
      <c r="D38" s="873">
        <v>309158</v>
      </c>
      <c r="E38" s="873">
        <v>166558</v>
      </c>
      <c r="F38" s="873">
        <v>1807</v>
      </c>
      <c r="G38" s="873">
        <v>224520</v>
      </c>
      <c r="H38" s="873">
        <v>113900</v>
      </c>
      <c r="I38" s="873">
        <v>110</v>
      </c>
      <c r="J38" s="873">
        <v>14765</v>
      </c>
      <c r="K38" s="873">
        <v>9478</v>
      </c>
      <c r="L38" s="873">
        <v>3982</v>
      </c>
      <c r="M38" s="873">
        <v>548443</v>
      </c>
      <c r="N38" s="873">
        <v>289936</v>
      </c>
    </row>
    <row r="39" spans="1:14" ht="28.5" customHeight="1">
      <c r="A39" s="871">
        <v>35</v>
      </c>
      <c r="B39" s="872" t="s">
        <v>46</v>
      </c>
      <c r="C39" s="873">
        <v>369</v>
      </c>
      <c r="D39" s="873">
        <v>56922</v>
      </c>
      <c r="E39" s="873">
        <v>32250</v>
      </c>
      <c r="F39" s="873">
        <v>332</v>
      </c>
      <c r="G39" s="873">
        <v>46688</v>
      </c>
      <c r="H39" s="873">
        <v>25824</v>
      </c>
      <c r="I39" s="873">
        <v>20</v>
      </c>
      <c r="J39" s="873">
        <v>1646</v>
      </c>
      <c r="K39" s="873">
        <v>1377</v>
      </c>
      <c r="L39" s="873">
        <v>721</v>
      </c>
      <c r="M39" s="873">
        <v>105256</v>
      </c>
      <c r="N39" s="873">
        <v>59451</v>
      </c>
    </row>
    <row r="40" spans="1:14" ht="28.5" customHeight="1">
      <c r="A40" s="871">
        <v>36</v>
      </c>
      <c r="B40" s="872" t="s">
        <v>48</v>
      </c>
      <c r="C40" s="873">
        <v>1188</v>
      </c>
      <c r="D40" s="873">
        <v>125227</v>
      </c>
      <c r="E40" s="873">
        <v>71190</v>
      </c>
      <c r="F40" s="873">
        <v>1295</v>
      </c>
      <c r="G40" s="873">
        <v>119044</v>
      </c>
      <c r="H40" s="873">
        <v>65597</v>
      </c>
      <c r="I40" s="873">
        <v>69</v>
      </c>
      <c r="J40" s="873">
        <v>7148</v>
      </c>
      <c r="K40" s="873">
        <v>5223</v>
      </c>
      <c r="L40" s="873">
        <v>2552</v>
      </c>
      <c r="M40" s="873">
        <v>251419</v>
      </c>
      <c r="N40" s="873">
        <v>142010</v>
      </c>
    </row>
    <row r="41" spans="1:14" ht="21.75" customHeight="1">
      <c r="A41" s="1147" t="s">
        <v>49</v>
      </c>
      <c r="B41" s="1147"/>
      <c r="C41" s="874">
        <v>22620</v>
      </c>
      <c r="D41" s="874">
        <v>3640557</v>
      </c>
      <c r="E41" s="874">
        <v>1917647</v>
      </c>
      <c r="F41" s="874">
        <v>26851</v>
      </c>
      <c r="G41" s="874">
        <v>4007542</v>
      </c>
      <c r="H41" s="874">
        <v>2034911</v>
      </c>
      <c r="I41" s="874">
        <v>1006</v>
      </c>
      <c r="J41" s="874">
        <v>130214</v>
      </c>
      <c r="K41" s="874">
        <v>73663</v>
      </c>
      <c r="L41" s="874">
        <v>50477</v>
      </c>
      <c r="M41" s="874">
        <v>7778313</v>
      </c>
      <c r="N41" s="874">
        <v>4026221</v>
      </c>
    </row>
  </sheetData>
  <mergeCells count="8">
    <mergeCell ref="A41:B41"/>
    <mergeCell ref="B1:N1"/>
    <mergeCell ref="A2:A3"/>
    <mergeCell ref="B2:B3"/>
    <mergeCell ref="C2:E2"/>
    <mergeCell ref="F2:H2"/>
    <mergeCell ref="I2:K2"/>
    <mergeCell ref="L2:N2"/>
  </mergeCells>
  <pageMargins left="0.31496062992125984" right="0.16" top="0.51181102362204722" bottom="0.47244094488188981" header="0.31496062992125984" footer="0.19685039370078741"/>
  <pageSetup paperSize="9" scale="67" firstPageNumber="31" orientation="portrait" useFirstPageNumber="1" r:id="rId1"/>
  <headerFooter>
    <oddFooter>&amp;L&amp;"Arial,Italic"&amp;9AISHE 2021-22&amp;CT-31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N20"/>
  <sheetViews>
    <sheetView view="pageBreakPreview" topLeftCell="A4" zoomScaleSheetLayoutView="100" workbookViewId="0">
      <selection activeCell="F15" sqref="F15"/>
    </sheetView>
  </sheetViews>
  <sheetFormatPr defaultColWidth="9.28515625" defaultRowHeight="15"/>
  <cols>
    <col min="1" max="1" width="6.140625" style="881" bestFit="1" customWidth="1"/>
    <col min="2" max="2" width="19" style="877" bestFit="1" customWidth="1"/>
    <col min="3" max="3" width="8.5703125" style="877" bestFit="1" customWidth="1"/>
    <col min="4" max="4" width="9" style="877" bestFit="1" customWidth="1"/>
    <col min="5" max="5" width="9.140625" style="877" bestFit="1" customWidth="1"/>
    <col min="6" max="6" width="8.5703125" style="877" bestFit="1" customWidth="1"/>
    <col min="7" max="7" width="9.85546875" style="877" customWidth="1"/>
    <col min="8" max="8" width="9.140625" style="877" bestFit="1" customWidth="1"/>
    <col min="9" max="9" width="8.5703125" style="877" bestFit="1" customWidth="1"/>
    <col min="10" max="10" width="7.28515625" style="877" bestFit="1" customWidth="1"/>
    <col min="11" max="11" width="9.140625" style="877" bestFit="1" customWidth="1"/>
    <col min="12" max="12" width="8.5703125" style="877" bestFit="1" customWidth="1"/>
    <col min="13" max="13" width="9.5703125" style="877" customWidth="1"/>
    <col min="14" max="14" width="10" style="877" customWidth="1"/>
    <col min="15" max="16384" width="9.28515625" style="877"/>
  </cols>
  <sheetData>
    <row r="1" spans="1:14" ht="39.75" customHeight="1">
      <c r="A1" s="876"/>
      <c r="B1" s="774" t="s">
        <v>217</v>
      </c>
      <c r="C1" s="983" t="s">
        <v>888</v>
      </c>
      <c r="D1" s="983"/>
      <c r="E1" s="983"/>
      <c r="F1" s="983"/>
      <c r="G1" s="983"/>
      <c r="H1" s="983"/>
      <c r="I1" s="983"/>
      <c r="J1" s="983"/>
      <c r="K1" s="983"/>
      <c r="L1" s="983"/>
      <c r="M1" s="983"/>
      <c r="N1" s="983"/>
    </row>
    <row r="2" spans="1:14" ht="27" customHeight="1">
      <c r="A2" s="984" t="s">
        <v>988</v>
      </c>
      <c r="B2" s="984" t="s">
        <v>119</v>
      </c>
      <c r="C2" s="1138" t="s">
        <v>211</v>
      </c>
      <c r="D2" s="1138"/>
      <c r="E2" s="1138"/>
      <c r="F2" s="1138" t="s">
        <v>212</v>
      </c>
      <c r="G2" s="1138"/>
      <c r="H2" s="1138"/>
      <c r="I2" s="1138" t="s">
        <v>213</v>
      </c>
      <c r="J2" s="1138"/>
      <c r="K2" s="1138"/>
      <c r="L2" s="1138" t="s">
        <v>214</v>
      </c>
      <c r="M2" s="1138"/>
      <c r="N2" s="1138"/>
    </row>
    <row r="3" spans="1:14" ht="27" customHeight="1">
      <c r="A3" s="984"/>
      <c r="B3" s="984"/>
      <c r="C3" s="233" t="s">
        <v>205</v>
      </c>
      <c r="D3" s="233" t="s">
        <v>215</v>
      </c>
      <c r="E3" s="233" t="s">
        <v>216</v>
      </c>
      <c r="F3" s="233" t="s">
        <v>205</v>
      </c>
      <c r="G3" s="233" t="s">
        <v>215</v>
      </c>
      <c r="H3" s="233" t="s">
        <v>216</v>
      </c>
      <c r="I3" s="233" t="s">
        <v>205</v>
      </c>
      <c r="J3" s="233" t="s">
        <v>215</v>
      </c>
      <c r="K3" s="233" t="s">
        <v>216</v>
      </c>
      <c r="L3" s="233" t="s">
        <v>205</v>
      </c>
      <c r="M3" s="233" t="s">
        <v>215</v>
      </c>
      <c r="N3" s="233" t="s">
        <v>216</v>
      </c>
    </row>
    <row r="4" spans="1:14" s="879" customFormat="1">
      <c r="A4" s="878">
        <v>1</v>
      </c>
      <c r="B4" s="878">
        <v>2</v>
      </c>
      <c r="C4" s="878">
        <v>3</v>
      </c>
      <c r="D4" s="878">
        <v>4</v>
      </c>
      <c r="E4" s="878">
        <v>5</v>
      </c>
      <c r="F4" s="878">
        <v>6</v>
      </c>
      <c r="G4" s="878">
        <v>7</v>
      </c>
      <c r="H4" s="878">
        <v>8</v>
      </c>
      <c r="I4" s="878">
        <v>9</v>
      </c>
      <c r="J4" s="878">
        <v>10</v>
      </c>
      <c r="K4" s="878">
        <v>11</v>
      </c>
      <c r="L4" s="878">
        <v>12</v>
      </c>
      <c r="M4" s="878">
        <v>13</v>
      </c>
      <c r="N4" s="878">
        <v>14</v>
      </c>
    </row>
    <row r="5" spans="1:14" ht="49.5" customHeight="1">
      <c r="A5" s="876">
        <v>1</v>
      </c>
      <c r="B5" s="452" t="s">
        <v>120</v>
      </c>
      <c r="C5" s="873">
        <v>295</v>
      </c>
      <c r="D5" s="873">
        <v>58744</v>
      </c>
      <c r="E5" s="873">
        <v>48714</v>
      </c>
      <c r="F5" s="873">
        <v>259</v>
      </c>
      <c r="G5" s="873">
        <v>42634</v>
      </c>
      <c r="H5" s="873">
        <v>34382</v>
      </c>
      <c r="I5" s="873">
        <v>20</v>
      </c>
      <c r="J5" s="873">
        <v>3937</v>
      </c>
      <c r="K5" s="873">
        <v>3573</v>
      </c>
      <c r="L5" s="873">
        <f t="shared" ref="L5:N15" si="0">C5+F5+I5</f>
        <v>574</v>
      </c>
      <c r="M5" s="873">
        <f t="shared" si="0"/>
        <v>105315</v>
      </c>
      <c r="N5" s="873">
        <f t="shared" si="0"/>
        <v>86669</v>
      </c>
    </row>
    <row r="6" spans="1:14" ht="49.5" customHeight="1">
      <c r="A6" s="876">
        <v>2</v>
      </c>
      <c r="B6" s="452" t="s">
        <v>121</v>
      </c>
      <c r="C6" s="873"/>
      <c r="D6" s="873"/>
      <c r="E6" s="873"/>
      <c r="F6" s="873"/>
      <c r="G6" s="873"/>
      <c r="H6" s="873"/>
      <c r="I6" s="873"/>
      <c r="J6" s="873"/>
      <c r="K6" s="873"/>
      <c r="L6" s="873">
        <f>C6+F6+I6</f>
        <v>0</v>
      </c>
      <c r="M6" s="873">
        <f t="shared" si="0"/>
        <v>0</v>
      </c>
      <c r="N6" s="873">
        <f t="shared" si="0"/>
        <v>0</v>
      </c>
    </row>
    <row r="7" spans="1:14" ht="49.5" customHeight="1">
      <c r="A7" s="876">
        <v>3</v>
      </c>
      <c r="B7" s="452" t="s">
        <v>122</v>
      </c>
      <c r="C7" s="873">
        <v>710</v>
      </c>
      <c r="D7" s="873">
        <v>201970</v>
      </c>
      <c r="E7" s="873">
        <v>161049</v>
      </c>
      <c r="F7" s="873">
        <v>374</v>
      </c>
      <c r="G7" s="873">
        <v>78952</v>
      </c>
      <c r="H7" s="873">
        <v>57878</v>
      </c>
      <c r="I7" s="873">
        <v>92</v>
      </c>
      <c r="J7" s="873">
        <v>13813</v>
      </c>
      <c r="K7" s="873">
        <v>11298</v>
      </c>
      <c r="L7" s="873">
        <f t="shared" ref="L7:L15" si="1">C7+F7+I7</f>
        <v>1176</v>
      </c>
      <c r="M7" s="873">
        <f t="shared" si="0"/>
        <v>294735</v>
      </c>
      <c r="N7" s="873">
        <f t="shared" si="0"/>
        <v>230225</v>
      </c>
    </row>
    <row r="8" spans="1:14" ht="49.5" customHeight="1">
      <c r="A8" s="876">
        <v>4</v>
      </c>
      <c r="B8" s="452" t="s">
        <v>123</v>
      </c>
      <c r="C8" s="873">
        <v>1454</v>
      </c>
      <c r="D8" s="873">
        <v>242174</v>
      </c>
      <c r="E8" s="873">
        <v>174420</v>
      </c>
      <c r="F8" s="873">
        <v>1248</v>
      </c>
      <c r="G8" s="873">
        <v>221456</v>
      </c>
      <c r="H8" s="873">
        <v>173736</v>
      </c>
      <c r="I8" s="873">
        <v>47</v>
      </c>
      <c r="J8" s="873">
        <v>2969</v>
      </c>
      <c r="K8" s="873">
        <v>1785</v>
      </c>
      <c r="L8" s="873">
        <f t="shared" si="1"/>
        <v>2749</v>
      </c>
      <c r="M8" s="873">
        <f t="shared" si="0"/>
        <v>466599</v>
      </c>
      <c r="N8" s="873">
        <f t="shared" si="0"/>
        <v>349941</v>
      </c>
    </row>
    <row r="9" spans="1:14" ht="49.5" customHeight="1">
      <c r="A9" s="876">
        <v>5</v>
      </c>
      <c r="B9" s="452" t="s">
        <v>158</v>
      </c>
      <c r="C9" s="873">
        <v>2</v>
      </c>
      <c r="D9" s="873">
        <v>220</v>
      </c>
      <c r="E9" s="873">
        <v>0</v>
      </c>
      <c r="F9" s="873">
        <v>2</v>
      </c>
      <c r="G9" s="873">
        <v>170</v>
      </c>
      <c r="H9" s="873">
        <v>0</v>
      </c>
      <c r="I9" s="873">
        <v>0</v>
      </c>
      <c r="J9" s="873">
        <v>0</v>
      </c>
      <c r="K9" s="873">
        <v>0</v>
      </c>
      <c r="L9" s="873">
        <f t="shared" si="1"/>
        <v>4</v>
      </c>
      <c r="M9" s="873">
        <f t="shared" si="0"/>
        <v>390</v>
      </c>
      <c r="N9" s="873">
        <f t="shared" si="0"/>
        <v>0</v>
      </c>
    </row>
    <row r="10" spans="1:14" ht="49.5" customHeight="1">
      <c r="A10" s="876">
        <v>6</v>
      </c>
      <c r="B10" s="452" t="s">
        <v>125</v>
      </c>
      <c r="C10" s="873">
        <v>1036</v>
      </c>
      <c r="D10" s="873">
        <v>296199</v>
      </c>
      <c r="E10" s="873">
        <v>177135</v>
      </c>
      <c r="F10" s="873">
        <v>884</v>
      </c>
      <c r="G10" s="873">
        <v>217409</v>
      </c>
      <c r="H10" s="873">
        <v>126052</v>
      </c>
      <c r="I10" s="873">
        <v>52</v>
      </c>
      <c r="J10" s="873">
        <v>13490</v>
      </c>
      <c r="K10" s="873">
        <v>7951</v>
      </c>
      <c r="L10" s="873">
        <f t="shared" si="1"/>
        <v>1972</v>
      </c>
      <c r="M10" s="873">
        <f t="shared" si="0"/>
        <v>527098</v>
      </c>
      <c r="N10" s="873">
        <f t="shared" si="0"/>
        <v>311138</v>
      </c>
    </row>
    <row r="11" spans="1:14" ht="49.5" customHeight="1">
      <c r="A11" s="876">
        <v>7</v>
      </c>
      <c r="B11" s="452" t="s">
        <v>126</v>
      </c>
      <c r="C11" s="873">
        <v>20</v>
      </c>
      <c r="D11" s="873">
        <v>1398</v>
      </c>
      <c r="E11" s="873">
        <v>1043</v>
      </c>
      <c r="F11" s="873">
        <v>26</v>
      </c>
      <c r="G11" s="873">
        <v>2812</v>
      </c>
      <c r="H11" s="873">
        <v>2349</v>
      </c>
      <c r="I11" s="873">
        <v>12</v>
      </c>
      <c r="J11" s="873">
        <v>960</v>
      </c>
      <c r="K11" s="873">
        <v>619</v>
      </c>
      <c r="L11" s="873">
        <f t="shared" si="1"/>
        <v>58</v>
      </c>
      <c r="M11" s="873">
        <f t="shared" si="0"/>
        <v>5170</v>
      </c>
      <c r="N11" s="873">
        <f t="shared" si="0"/>
        <v>4011</v>
      </c>
    </row>
    <row r="12" spans="1:14" ht="49.5" customHeight="1">
      <c r="A12" s="876">
        <v>8</v>
      </c>
      <c r="B12" s="452" t="s">
        <v>127</v>
      </c>
      <c r="C12" s="873">
        <v>125</v>
      </c>
      <c r="D12" s="873">
        <v>19270</v>
      </c>
      <c r="E12" s="873">
        <v>14862</v>
      </c>
      <c r="F12" s="873">
        <v>60</v>
      </c>
      <c r="G12" s="873">
        <v>7847</v>
      </c>
      <c r="H12" s="873">
        <v>5719</v>
      </c>
      <c r="I12" s="873">
        <v>56</v>
      </c>
      <c r="J12" s="873">
        <v>5021</v>
      </c>
      <c r="K12" s="873">
        <v>3030</v>
      </c>
      <c r="L12" s="873">
        <f t="shared" si="1"/>
        <v>241</v>
      </c>
      <c r="M12" s="873">
        <f t="shared" si="0"/>
        <v>32138</v>
      </c>
      <c r="N12" s="873">
        <f t="shared" si="0"/>
        <v>23611</v>
      </c>
    </row>
    <row r="13" spans="1:14" ht="49.5" customHeight="1">
      <c r="A13" s="876">
        <v>9</v>
      </c>
      <c r="B13" s="452" t="s">
        <v>128</v>
      </c>
      <c r="C13" s="873">
        <v>30</v>
      </c>
      <c r="D13" s="873">
        <v>4907</v>
      </c>
      <c r="E13" s="873">
        <v>4023</v>
      </c>
      <c r="F13" s="873">
        <v>33</v>
      </c>
      <c r="G13" s="873">
        <v>8529</v>
      </c>
      <c r="H13" s="873">
        <v>6115</v>
      </c>
      <c r="I13" s="873">
        <v>4</v>
      </c>
      <c r="J13" s="873">
        <v>149</v>
      </c>
      <c r="K13" s="873">
        <v>95</v>
      </c>
      <c r="L13" s="873">
        <f t="shared" si="1"/>
        <v>67</v>
      </c>
      <c r="M13" s="873">
        <f t="shared" si="0"/>
        <v>13585</v>
      </c>
      <c r="N13" s="873">
        <f t="shared" si="0"/>
        <v>10233</v>
      </c>
    </row>
    <row r="14" spans="1:14" ht="49.5" customHeight="1">
      <c r="A14" s="876">
        <v>10</v>
      </c>
      <c r="B14" s="452" t="s">
        <v>129</v>
      </c>
      <c r="C14" s="873">
        <v>662</v>
      </c>
      <c r="D14" s="873">
        <v>248726</v>
      </c>
      <c r="E14" s="873">
        <v>152171</v>
      </c>
      <c r="F14" s="873">
        <v>633</v>
      </c>
      <c r="G14" s="873">
        <v>199471</v>
      </c>
      <c r="H14" s="873">
        <v>113453</v>
      </c>
      <c r="I14" s="873">
        <v>32</v>
      </c>
      <c r="J14" s="873">
        <v>4609</v>
      </c>
      <c r="K14" s="873">
        <v>3245</v>
      </c>
      <c r="L14" s="873">
        <f t="shared" si="1"/>
        <v>1327</v>
      </c>
      <c r="M14" s="873">
        <f t="shared" si="0"/>
        <v>452806</v>
      </c>
      <c r="N14" s="873">
        <f t="shared" si="0"/>
        <v>268869</v>
      </c>
    </row>
    <row r="15" spans="1:14" ht="49.5" customHeight="1">
      <c r="A15" s="876">
        <v>11</v>
      </c>
      <c r="B15" s="452" t="s">
        <v>133</v>
      </c>
      <c r="C15" s="873">
        <v>0</v>
      </c>
      <c r="D15" s="873">
        <v>0</v>
      </c>
      <c r="E15" s="873">
        <v>0</v>
      </c>
      <c r="F15" s="873">
        <v>1</v>
      </c>
      <c r="G15" s="873">
        <v>40</v>
      </c>
      <c r="H15" s="873">
        <v>25</v>
      </c>
      <c r="I15" s="873">
        <v>0</v>
      </c>
      <c r="J15" s="873">
        <v>0</v>
      </c>
      <c r="K15" s="873">
        <v>0</v>
      </c>
      <c r="L15" s="873">
        <f t="shared" si="1"/>
        <v>1</v>
      </c>
      <c r="M15" s="873">
        <f t="shared" si="0"/>
        <v>40</v>
      </c>
      <c r="N15" s="873">
        <f t="shared" si="0"/>
        <v>25</v>
      </c>
    </row>
    <row r="16" spans="1:14" ht="49.5" customHeight="1">
      <c r="A16" s="1151" t="s">
        <v>60</v>
      </c>
      <c r="B16" s="1151"/>
      <c r="C16" s="880">
        <v>4334</v>
      </c>
      <c r="D16" s="880">
        <v>1073608</v>
      </c>
      <c r="E16" s="880">
        <v>733417</v>
      </c>
      <c r="F16" s="880">
        <v>3520</v>
      </c>
      <c r="G16" s="880">
        <v>779320</v>
      </c>
      <c r="H16" s="880">
        <v>519709</v>
      </c>
      <c r="I16" s="880">
        <v>315</v>
      </c>
      <c r="J16" s="880">
        <v>44948</v>
      </c>
      <c r="K16" s="880">
        <v>31596</v>
      </c>
      <c r="L16" s="880">
        <v>8169</v>
      </c>
      <c r="M16" s="880">
        <v>1897876</v>
      </c>
      <c r="N16" s="880">
        <v>1284722</v>
      </c>
    </row>
    <row r="17" spans="1:14" ht="49.5" customHeight="1">
      <c r="A17" s="876"/>
      <c r="B17" s="774" t="s">
        <v>217</v>
      </c>
      <c r="C17" s="983" t="s">
        <v>218</v>
      </c>
      <c r="D17" s="983"/>
      <c r="E17" s="983"/>
      <c r="F17" s="983"/>
      <c r="G17" s="983"/>
      <c r="H17" s="983"/>
      <c r="I17" s="983"/>
      <c r="J17" s="983"/>
      <c r="K17" s="983"/>
      <c r="L17" s="983"/>
      <c r="M17" s="983"/>
      <c r="N17" s="983"/>
    </row>
    <row r="18" spans="1:14" ht="49.5" customHeight="1">
      <c r="A18" s="876">
        <v>1</v>
      </c>
      <c r="B18" s="452" t="s">
        <v>120</v>
      </c>
      <c r="C18" s="873">
        <v>398</v>
      </c>
      <c r="D18" s="873">
        <v>41537</v>
      </c>
      <c r="E18" s="873">
        <v>23252</v>
      </c>
      <c r="F18" s="873">
        <v>492</v>
      </c>
      <c r="G18" s="873">
        <v>44548</v>
      </c>
      <c r="H18" s="873">
        <v>27195</v>
      </c>
      <c r="I18" s="873">
        <v>20</v>
      </c>
      <c r="J18" s="873">
        <v>1701</v>
      </c>
      <c r="K18" s="873">
        <v>1212</v>
      </c>
      <c r="L18" s="873">
        <f>C18+F18+I18</f>
        <v>910</v>
      </c>
      <c r="M18" s="873">
        <f t="shared" ref="M18:N19" si="2">D18+G18+J18</f>
        <v>87786</v>
      </c>
      <c r="N18" s="873">
        <f t="shared" si="2"/>
        <v>51659</v>
      </c>
    </row>
    <row r="19" spans="1:14" ht="49.5" customHeight="1">
      <c r="A19" s="876">
        <v>2</v>
      </c>
      <c r="B19" s="452" t="s">
        <v>123</v>
      </c>
      <c r="C19" s="873">
        <v>13914</v>
      </c>
      <c r="D19" s="873">
        <v>2072492</v>
      </c>
      <c r="E19" s="873">
        <v>976221</v>
      </c>
      <c r="F19" s="873">
        <v>16851</v>
      </c>
      <c r="G19" s="873">
        <v>2540313</v>
      </c>
      <c r="H19" s="873">
        <v>1199465</v>
      </c>
      <c r="I19" s="873">
        <v>547</v>
      </c>
      <c r="J19" s="873">
        <v>70568</v>
      </c>
      <c r="K19" s="873">
        <v>35043</v>
      </c>
      <c r="L19" s="873">
        <f t="shared" ref="L19" si="3">C19+F19+I19</f>
        <v>31312</v>
      </c>
      <c r="M19" s="873">
        <f t="shared" si="2"/>
        <v>4683373</v>
      </c>
      <c r="N19" s="873">
        <f t="shared" si="2"/>
        <v>2210729</v>
      </c>
    </row>
    <row r="20" spans="1:14" ht="49.5" customHeight="1">
      <c r="A20" s="1152" t="s">
        <v>60</v>
      </c>
      <c r="B20" s="1153"/>
      <c r="C20" s="880">
        <f>SUM(C18:C19)</f>
        <v>14312</v>
      </c>
      <c r="D20" s="880">
        <f t="shared" ref="D20:N20" si="4">SUM(D18:D19)</f>
        <v>2114029</v>
      </c>
      <c r="E20" s="880">
        <f t="shared" si="4"/>
        <v>999473</v>
      </c>
      <c r="F20" s="880">
        <f t="shared" si="4"/>
        <v>17343</v>
      </c>
      <c r="G20" s="880">
        <f t="shared" si="4"/>
        <v>2584861</v>
      </c>
      <c r="H20" s="880">
        <f t="shared" si="4"/>
        <v>1226660</v>
      </c>
      <c r="I20" s="880">
        <f t="shared" si="4"/>
        <v>567</v>
      </c>
      <c r="J20" s="880">
        <f t="shared" si="4"/>
        <v>72269</v>
      </c>
      <c r="K20" s="880">
        <f t="shared" si="4"/>
        <v>36255</v>
      </c>
      <c r="L20" s="880">
        <f t="shared" si="4"/>
        <v>32222</v>
      </c>
      <c r="M20" s="880">
        <f t="shared" si="4"/>
        <v>4771159</v>
      </c>
      <c r="N20" s="880">
        <f t="shared" si="4"/>
        <v>2262388</v>
      </c>
    </row>
  </sheetData>
  <mergeCells count="10">
    <mergeCell ref="A2:A3"/>
    <mergeCell ref="A16:B16"/>
    <mergeCell ref="A20:B20"/>
    <mergeCell ref="C17:N17"/>
    <mergeCell ref="C1:N1"/>
    <mergeCell ref="B2:B3"/>
    <mergeCell ref="C2:E2"/>
    <mergeCell ref="F2:H2"/>
    <mergeCell ref="I2:K2"/>
    <mergeCell ref="L2:N2"/>
  </mergeCells>
  <pageMargins left="0.70866141732283472" right="0.31" top="0.74803149606299213" bottom="0.74803149606299213" header="0.31496062992125984" footer="0.31496062992125984"/>
  <pageSetup paperSize="9" scale="67" orientation="portrait" r:id="rId1"/>
  <headerFooter>
    <oddFooter>&amp;LAISHE 2021-22&amp;CT-32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AC41"/>
  <sheetViews>
    <sheetView view="pageBreakPreview" zoomScaleSheetLayoutView="100" workbookViewId="0">
      <pane xSplit="2" ySplit="3" topLeftCell="C4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"/>
  <cols>
    <col min="1" max="1" width="8.28515625" style="306" customWidth="1"/>
    <col min="2" max="2" width="25.7109375" style="306" customWidth="1"/>
    <col min="3" max="3" width="7.7109375" style="306" customWidth="1"/>
    <col min="4" max="4" width="8.5703125" style="306" customWidth="1"/>
    <col min="5" max="5" width="8.28515625" style="306" customWidth="1"/>
    <col min="6" max="6" width="7.28515625" style="306" customWidth="1"/>
    <col min="7" max="7" width="8.5703125" style="306" customWidth="1"/>
    <col min="8" max="8" width="7.7109375" style="306" customWidth="1"/>
    <col min="9" max="10" width="9.28515625" style="306" customWidth="1"/>
    <col min="11" max="11" width="9.7109375" style="306" customWidth="1"/>
    <col min="12" max="12" width="10" style="306" customWidth="1"/>
    <col min="13" max="13" width="9.7109375" style="306" customWidth="1"/>
    <col min="14" max="14" width="10.28515625" style="306" customWidth="1"/>
    <col min="15" max="15" width="7.7109375" style="306" customWidth="1"/>
    <col min="16" max="16" width="8.42578125" style="306" customWidth="1"/>
    <col min="17" max="20" width="8.7109375" style="306" customWidth="1"/>
    <col min="21" max="21" width="7.28515625" style="306" customWidth="1"/>
    <col min="22" max="22" width="8.42578125" style="306" customWidth="1"/>
    <col min="23" max="23" width="7.5703125" style="306" customWidth="1"/>
    <col min="24" max="24" width="7.7109375" style="306" customWidth="1"/>
    <col min="25" max="25" width="8.7109375" style="306" customWidth="1"/>
    <col min="26" max="26" width="7.5703125" style="306" customWidth="1"/>
    <col min="27" max="27" width="9.7109375" style="306" customWidth="1"/>
    <col min="28" max="28" width="10" style="306" customWidth="1"/>
    <col min="29" max="29" width="12.7109375" style="306" customWidth="1"/>
    <col min="30" max="16384" width="9.28515625" style="306"/>
  </cols>
  <sheetData>
    <row r="1" spans="1:29" ht="36.6" customHeight="1">
      <c r="B1" s="794" t="s">
        <v>778</v>
      </c>
      <c r="C1" s="1123" t="s">
        <v>904</v>
      </c>
      <c r="D1" s="1123"/>
      <c r="E1" s="1123"/>
      <c r="F1" s="1123"/>
      <c r="G1" s="1123"/>
      <c r="H1" s="1123"/>
      <c r="I1" s="1123"/>
      <c r="J1" s="1123"/>
      <c r="K1" s="1123"/>
      <c r="L1" s="1123" t="str">
        <f>C1</f>
        <v>State-wise Out-turn/Pass-Out at various levels
(Based on Actual Response)</v>
      </c>
      <c r="M1" s="1123"/>
      <c r="N1" s="1123"/>
      <c r="O1" s="1123"/>
      <c r="P1" s="1123"/>
      <c r="Q1" s="1123"/>
      <c r="R1" s="1123"/>
      <c r="S1" s="1123"/>
      <c r="T1" s="1123"/>
      <c r="U1" s="1123" t="str">
        <f>C1</f>
        <v>State-wise Out-turn/Pass-Out at various levels
(Based on Actual Response)</v>
      </c>
      <c r="V1" s="1123"/>
      <c r="W1" s="1123"/>
      <c r="X1" s="1123"/>
      <c r="Y1" s="1123"/>
      <c r="Z1" s="1123"/>
      <c r="AA1" s="1123"/>
      <c r="AB1" s="1123"/>
      <c r="AC1" s="1123"/>
    </row>
    <row r="2" spans="1:29" s="882" customFormat="1" ht="31.5" customHeight="1">
      <c r="A2" s="1156" t="s">
        <v>988</v>
      </c>
      <c r="B2" s="984" t="s">
        <v>168</v>
      </c>
      <c r="C2" s="1158" t="s">
        <v>89</v>
      </c>
      <c r="D2" s="1159"/>
      <c r="E2" s="1160"/>
      <c r="F2" s="1158" t="s">
        <v>90</v>
      </c>
      <c r="G2" s="1159"/>
      <c r="H2" s="1160"/>
      <c r="I2" s="1158" t="s">
        <v>85</v>
      </c>
      <c r="J2" s="1159"/>
      <c r="K2" s="1160"/>
      <c r="L2" s="1158" t="s">
        <v>86</v>
      </c>
      <c r="M2" s="1159"/>
      <c r="N2" s="1160"/>
      <c r="O2" s="1158" t="s">
        <v>91</v>
      </c>
      <c r="P2" s="1159"/>
      <c r="Q2" s="1160"/>
      <c r="R2" s="1158" t="s">
        <v>92</v>
      </c>
      <c r="S2" s="1159"/>
      <c r="T2" s="1160"/>
      <c r="U2" s="1158" t="s">
        <v>93</v>
      </c>
      <c r="V2" s="1159"/>
      <c r="W2" s="1160"/>
      <c r="X2" s="1158" t="s">
        <v>94</v>
      </c>
      <c r="Y2" s="1159"/>
      <c r="Z2" s="1160"/>
      <c r="AA2" s="1158" t="s">
        <v>60</v>
      </c>
      <c r="AB2" s="1159"/>
      <c r="AC2" s="1160"/>
    </row>
    <row r="3" spans="1:29" s="207" customFormat="1" ht="24.75" customHeight="1">
      <c r="A3" s="1157"/>
      <c r="B3" s="984"/>
      <c r="C3" s="229" t="s">
        <v>87</v>
      </c>
      <c r="D3" s="229" t="s">
        <v>88</v>
      </c>
      <c r="E3" s="229" t="s">
        <v>12</v>
      </c>
      <c r="F3" s="229" t="s">
        <v>87</v>
      </c>
      <c r="G3" s="229" t="s">
        <v>88</v>
      </c>
      <c r="H3" s="229" t="s">
        <v>12</v>
      </c>
      <c r="I3" s="229" t="s">
        <v>87</v>
      </c>
      <c r="J3" s="229" t="s">
        <v>88</v>
      </c>
      <c r="K3" s="229" t="s">
        <v>12</v>
      </c>
      <c r="L3" s="229" t="s">
        <v>87</v>
      </c>
      <c r="M3" s="229" t="s">
        <v>88</v>
      </c>
      <c r="N3" s="229" t="s">
        <v>12</v>
      </c>
      <c r="O3" s="229" t="s">
        <v>87</v>
      </c>
      <c r="P3" s="229" t="s">
        <v>88</v>
      </c>
      <c r="Q3" s="229" t="s">
        <v>12</v>
      </c>
      <c r="R3" s="229" t="s">
        <v>87</v>
      </c>
      <c r="S3" s="229" t="s">
        <v>88</v>
      </c>
      <c r="T3" s="229" t="s">
        <v>12</v>
      </c>
      <c r="U3" s="229" t="s">
        <v>87</v>
      </c>
      <c r="V3" s="229" t="s">
        <v>88</v>
      </c>
      <c r="W3" s="229" t="s">
        <v>12</v>
      </c>
      <c r="X3" s="229" t="s">
        <v>87</v>
      </c>
      <c r="Y3" s="229" t="s">
        <v>88</v>
      </c>
      <c r="Z3" s="229" t="s">
        <v>12</v>
      </c>
      <c r="AA3" s="229" t="s">
        <v>87</v>
      </c>
      <c r="AB3" s="229" t="s">
        <v>88</v>
      </c>
      <c r="AC3" s="229" t="s">
        <v>12</v>
      </c>
    </row>
    <row r="4" spans="1:29" s="213" customFormat="1" ht="15" customHeight="1">
      <c r="A4" s="883">
        <v>1</v>
      </c>
      <c r="B4" s="883">
        <v>2</v>
      </c>
      <c r="C4" s="883">
        <v>3</v>
      </c>
      <c r="D4" s="883">
        <v>4</v>
      </c>
      <c r="E4" s="883">
        <v>5</v>
      </c>
      <c r="F4" s="883">
        <v>6</v>
      </c>
      <c r="G4" s="883">
        <v>7</v>
      </c>
      <c r="H4" s="883">
        <v>8</v>
      </c>
      <c r="I4" s="883">
        <v>9</v>
      </c>
      <c r="J4" s="883">
        <v>10</v>
      </c>
      <c r="K4" s="883">
        <v>11</v>
      </c>
      <c r="L4" s="883">
        <v>12</v>
      </c>
      <c r="M4" s="883">
        <v>13</v>
      </c>
      <c r="N4" s="883">
        <v>14</v>
      </c>
      <c r="O4" s="883">
        <v>15</v>
      </c>
      <c r="P4" s="883">
        <v>16</v>
      </c>
      <c r="Q4" s="883">
        <v>17</v>
      </c>
      <c r="R4" s="883">
        <v>18</v>
      </c>
      <c r="S4" s="883">
        <v>19</v>
      </c>
      <c r="T4" s="883">
        <v>20</v>
      </c>
      <c r="U4" s="883">
        <v>21</v>
      </c>
      <c r="V4" s="883">
        <v>22</v>
      </c>
      <c r="W4" s="883">
        <v>23</v>
      </c>
      <c r="X4" s="883">
        <v>24</v>
      </c>
      <c r="Y4" s="883">
        <v>25</v>
      </c>
      <c r="Z4" s="883">
        <v>26</v>
      </c>
      <c r="AA4" s="883">
        <v>27</v>
      </c>
      <c r="AB4" s="883">
        <v>28</v>
      </c>
      <c r="AC4" s="883">
        <v>29</v>
      </c>
    </row>
    <row r="5" spans="1:29" s="211" customFormat="1" ht="26.25" customHeight="1">
      <c r="A5" s="115">
        <v>1</v>
      </c>
      <c r="B5" s="872" t="s">
        <v>1061</v>
      </c>
      <c r="C5" s="148">
        <v>4</v>
      </c>
      <c r="D5" s="148">
        <v>4</v>
      </c>
      <c r="E5" s="148">
        <v>8</v>
      </c>
      <c r="F5" s="148">
        <v>0</v>
      </c>
      <c r="G5" s="148"/>
      <c r="H5" s="148"/>
      <c r="I5" s="148">
        <v>28</v>
      </c>
      <c r="J5" s="148">
        <v>124</v>
      </c>
      <c r="K5" s="148">
        <v>152</v>
      </c>
      <c r="L5" s="148">
        <v>509</v>
      </c>
      <c r="M5" s="148">
        <v>815</v>
      </c>
      <c r="N5" s="148">
        <v>1324</v>
      </c>
      <c r="O5" s="148">
        <v>0</v>
      </c>
      <c r="P5" s="148"/>
      <c r="Q5" s="148"/>
      <c r="R5" s="148">
        <v>41</v>
      </c>
      <c r="S5" s="148">
        <v>31</v>
      </c>
      <c r="T5" s="148">
        <v>72</v>
      </c>
      <c r="U5" s="148">
        <v>25</v>
      </c>
      <c r="V5" s="148">
        <v>20</v>
      </c>
      <c r="W5" s="148">
        <v>45</v>
      </c>
      <c r="X5" s="148">
        <v>80</v>
      </c>
      <c r="Y5" s="148">
        <v>55</v>
      </c>
      <c r="Z5" s="148">
        <v>135</v>
      </c>
      <c r="AA5" s="148">
        <v>687</v>
      </c>
      <c r="AB5" s="148">
        <v>1049</v>
      </c>
      <c r="AC5" s="148">
        <v>1736</v>
      </c>
    </row>
    <row r="6" spans="1:29" s="211" customFormat="1" ht="21.75" customHeight="1">
      <c r="A6" s="115">
        <v>2</v>
      </c>
      <c r="B6" s="872" t="s">
        <v>15</v>
      </c>
      <c r="C6" s="148">
        <v>743</v>
      </c>
      <c r="D6" s="148">
        <v>459</v>
      </c>
      <c r="E6" s="148">
        <v>1202</v>
      </c>
      <c r="F6" s="148">
        <v>0</v>
      </c>
      <c r="G6" s="148"/>
      <c r="H6" s="148"/>
      <c r="I6" s="148">
        <v>35615</v>
      </c>
      <c r="J6" s="148">
        <v>36878</v>
      </c>
      <c r="K6" s="148">
        <v>72493</v>
      </c>
      <c r="L6" s="148">
        <v>178254</v>
      </c>
      <c r="M6" s="148">
        <v>176316</v>
      </c>
      <c r="N6" s="148">
        <v>354570</v>
      </c>
      <c r="O6" s="148">
        <v>566</v>
      </c>
      <c r="P6" s="148">
        <v>550</v>
      </c>
      <c r="Q6" s="148">
        <v>1116</v>
      </c>
      <c r="R6" s="148">
        <v>28406</v>
      </c>
      <c r="S6" s="148">
        <v>18181</v>
      </c>
      <c r="T6" s="148">
        <v>46587</v>
      </c>
      <c r="U6" s="148">
        <v>120</v>
      </c>
      <c r="V6" s="148">
        <v>171</v>
      </c>
      <c r="W6" s="148">
        <v>291</v>
      </c>
      <c r="X6" s="148">
        <v>979</v>
      </c>
      <c r="Y6" s="148">
        <v>623</v>
      </c>
      <c r="Z6" s="148">
        <v>1602</v>
      </c>
      <c r="AA6" s="148">
        <v>244683</v>
      </c>
      <c r="AB6" s="148">
        <v>233178</v>
      </c>
      <c r="AC6" s="148">
        <v>477861</v>
      </c>
    </row>
    <row r="7" spans="1:29" s="211" customFormat="1" ht="21.75" customHeight="1">
      <c r="A7" s="115">
        <v>3</v>
      </c>
      <c r="B7" s="872" t="s">
        <v>16</v>
      </c>
      <c r="C7" s="148">
        <v>24</v>
      </c>
      <c r="D7" s="148">
        <v>14</v>
      </c>
      <c r="E7" s="148">
        <v>38</v>
      </c>
      <c r="F7" s="148">
        <v>0</v>
      </c>
      <c r="G7" s="148"/>
      <c r="H7" s="148"/>
      <c r="I7" s="148">
        <v>1538</v>
      </c>
      <c r="J7" s="148">
        <v>1194</v>
      </c>
      <c r="K7" s="148">
        <v>2732</v>
      </c>
      <c r="L7" s="148">
        <v>4934</v>
      </c>
      <c r="M7" s="148">
        <v>4220</v>
      </c>
      <c r="N7" s="148">
        <v>9154</v>
      </c>
      <c r="O7" s="148">
        <v>82</v>
      </c>
      <c r="P7" s="148">
        <v>8</v>
      </c>
      <c r="Q7" s="148">
        <v>90</v>
      </c>
      <c r="R7" s="148">
        <v>998</v>
      </c>
      <c r="S7" s="148">
        <v>939</v>
      </c>
      <c r="T7" s="148">
        <v>1937</v>
      </c>
      <c r="U7" s="148">
        <v>143</v>
      </c>
      <c r="V7" s="148">
        <v>104</v>
      </c>
      <c r="W7" s="148">
        <v>247</v>
      </c>
      <c r="X7" s="148">
        <v>220</v>
      </c>
      <c r="Y7" s="148">
        <v>142</v>
      </c>
      <c r="Z7" s="148">
        <v>362</v>
      </c>
      <c r="AA7" s="148">
        <v>7939</v>
      </c>
      <c r="AB7" s="148">
        <v>6621</v>
      </c>
      <c r="AC7" s="148">
        <v>14560</v>
      </c>
    </row>
    <row r="8" spans="1:29" s="211" customFormat="1" ht="21.75" customHeight="1">
      <c r="A8" s="115">
        <v>4</v>
      </c>
      <c r="B8" s="872" t="s">
        <v>17</v>
      </c>
      <c r="C8" s="148">
        <v>538</v>
      </c>
      <c r="D8" s="148">
        <v>446</v>
      </c>
      <c r="E8" s="148">
        <v>984</v>
      </c>
      <c r="F8" s="148">
        <v>46</v>
      </c>
      <c r="G8" s="148">
        <v>68</v>
      </c>
      <c r="H8" s="148">
        <v>114</v>
      </c>
      <c r="I8" s="148">
        <v>6472</v>
      </c>
      <c r="J8" s="148">
        <v>11303</v>
      </c>
      <c r="K8" s="148">
        <v>17775</v>
      </c>
      <c r="L8" s="148">
        <v>45362</v>
      </c>
      <c r="M8" s="148">
        <v>53146</v>
      </c>
      <c r="N8" s="148">
        <v>98508</v>
      </c>
      <c r="O8" s="148">
        <v>275</v>
      </c>
      <c r="P8" s="148">
        <v>385</v>
      </c>
      <c r="Q8" s="148">
        <v>660</v>
      </c>
      <c r="R8" s="148">
        <v>1259</v>
      </c>
      <c r="S8" s="148">
        <v>1295</v>
      </c>
      <c r="T8" s="148">
        <v>2554</v>
      </c>
      <c r="U8" s="148">
        <v>41</v>
      </c>
      <c r="V8" s="148">
        <v>601</v>
      </c>
      <c r="W8" s="148">
        <v>642</v>
      </c>
      <c r="X8" s="148">
        <v>537</v>
      </c>
      <c r="Y8" s="148">
        <v>541</v>
      </c>
      <c r="Z8" s="148">
        <v>1078</v>
      </c>
      <c r="AA8" s="148">
        <v>54530</v>
      </c>
      <c r="AB8" s="148">
        <v>67785</v>
      </c>
      <c r="AC8" s="148">
        <v>122315</v>
      </c>
    </row>
    <row r="9" spans="1:29" s="211" customFormat="1" ht="21.75" customHeight="1">
      <c r="A9" s="115">
        <v>5</v>
      </c>
      <c r="B9" s="872" t="s">
        <v>18</v>
      </c>
      <c r="C9" s="148">
        <v>836</v>
      </c>
      <c r="D9" s="148">
        <v>520</v>
      </c>
      <c r="E9" s="148">
        <v>1356</v>
      </c>
      <c r="F9" s="148">
        <v>0</v>
      </c>
      <c r="G9" s="148"/>
      <c r="H9" s="148"/>
      <c r="I9" s="148">
        <v>26113</v>
      </c>
      <c r="J9" s="148">
        <v>17867</v>
      </c>
      <c r="K9" s="148">
        <v>43980</v>
      </c>
      <c r="L9" s="148">
        <v>187524</v>
      </c>
      <c r="M9" s="148">
        <v>150741</v>
      </c>
      <c r="N9" s="148">
        <v>338265</v>
      </c>
      <c r="O9" s="148">
        <v>609</v>
      </c>
      <c r="P9" s="148">
        <v>357</v>
      </c>
      <c r="Q9" s="148">
        <v>966</v>
      </c>
      <c r="R9" s="148">
        <v>12064</v>
      </c>
      <c r="S9" s="148">
        <v>12682</v>
      </c>
      <c r="T9" s="148">
        <v>24746</v>
      </c>
      <c r="U9" s="148">
        <v>313</v>
      </c>
      <c r="V9" s="148">
        <v>266</v>
      </c>
      <c r="W9" s="148">
        <v>579</v>
      </c>
      <c r="X9" s="148">
        <v>382</v>
      </c>
      <c r="Y9" s="148">
        <v>211</v>
      </c>
      <c r="Z9" s="148">
        <v>593</v>
      </c>
      <c r="AA9" s="148">
        <v>227841</v>
      </c>
      <c r="AB9" s="148">
        <v>182644</v>
      </c>
      <c r="AC9" s="148">
        <v>410485</v>
      </c>
    </row>
    <row r="10" spans="1:29" s="211" customFormat="1" ht="21.75" customHeight="1">
      <c r="A10" s="115">
        <v>6</v>
      </c>
      <c r="B10" s="872" t="s">
        <v>19</v>
      </c>
      <c r="C10" s="148">
        <v>136</v>
      </c>
      <c r="D10" s="148">
        <v>134</v>
      </c>
      <c r="E10" s="148">
        <v>270</v>
      </c>
      <c r="F10" s="148">
        <v>99</v>
      </c>
      <c r="G10" s="148">
        <v>5</v>
      </c>
      <c r="H10" s="148">
        <v>104</v>
      </c>
      <c r="I10" s="148">
        <v>2392</v>
      </c>
      <c r="J10" s="148">
        <v>4924</v>
      </c>
      <c r="K10" s="148">
        <v>7316</v>
      </c>
      <c r="L10" s="148">
        <v>8041</v>
      </c>
      <c r="M10" s="148">
        <v>9144</v>
      </c>
      <c r="N10" s="148">
        <v>17185</v>
      </c>
      <c r="O10" s="148">
        <v>413</v>
      </c>
      <c r="P10" s="148">
        <v>528</v>
      </c>
      <c r="Q10" s="148">
        <v>941</v>
      </c>
      <c r="R10" s="148">
        <v>1471</v>
      </c>
      <c r="S10" s="148">
        <v>454</v>
      </c>
      <c r="T10" s="148">
        <v>1925</v>
      </c>
      <c r="U10" s="148">
        <v>131</v>
      </c>
      <c r="V10" s="148">
        <v>150</v>
      </c>
      <c r="W10" s="148">
        <v>281</v>
      </c>
      <c r="X10" s="148">
        <v>178</v>
      </c>
      <c r="Y10" s="148">
        <v>204</v>
      </c>
      <c r="Z10" s="148">
        <v>382</v>
      </c>
      <c r="AA10" s="148">
        <v>12861</v>
      </c>
      <c r="AB10" s="148">
        <v>15543</v>
      </c>
      <c r="AC10" s="148">
        <v>28404</v>
      </c>
    </row>
    <row r="11" spans="1:29" s="211" customFormat="1" ht="21.75" customHeight="1">
      <c r="A11" s="115">
        <v>7</v>
      </c>
      <c r="B11" s="872" t="s">
        <v>20</v>
      </c>
      <c r="C11" s="148">
        <v>68</v>
      </c>
      <c r="D11" s="148">
        <v>63</v>
      </c>
      <c r="E11" s="148">
        <v>131</v>
      </c>
      <c r="F11" s="148">
        <v>4</v>
      </c>
      <c r="G11" s="148">
        <v>7</v>
      </c>
      <c r="H11" s="148">
        <v>11</v>
      </c>
      <c r="I11" s="148">
        <v>13786</v>
      </c>
      <c r="J11" s="148">
        <v>20300</v>
      </c>
      <c r="K11" s="148">
        <v>34086</v>
      </c>
      <c r="L11" s="148">
        <v>59260</v>
      </c>
      <c r="M11" s="148">
        <v>78114</v>
      </c>
      <c r="N11" s="148">
        <v>137374</v>
      </c>
      <c r="O11" s="148">
        <v>12776</v>
      </c>
      <c r="P11" s="148">
        <v>14169</v>
      </c>
      <c r="Q11" s="148">
        <v>26945</v>
      </c>
      <c r="R11" s="148">
        <v>24270</v>
      </c>
      <c r="S11" s="148">
        <v>15976</v>
      </c>
      <c r="T11" s="148">
        <v>40246</v>
      </c>
      <c r="U11" s="148">
        <v>129</v>
      </c>
      <c r="V11" s="148">
        <v>254</v>
      </c>
      <c r="W11" s="148">
        <v>383</v>
      </c>
      <c r="X11" s="148">
        <v>575</v>
      </c>
      <c r="Y11" s="148">
        <v>494</v>
      </c>
      <c r="Z11" s="148">
        <v>1069</v>
      </c>
      <c r="AA11" s="148">
        <v>110868</v>
      </c>
      <c r="AB11" s="148">
        <v>129377</v>
      </c>
      <c r="AC11" s="148">
        <v>240245</v>
      </c>
    </row>
    <row r="12" spans="1:29" s="211" customFormat="1" ht="21.75" customHeight="1">
      <c r="A12" s="115">
        <v>8</v>
      </c>
      <c r="B12" s="872" t="s">
        <v>23</v>
      </c>
      <c r="C12" s="148">
        <v>1214</v>
      </c>
      <c r="D12" s="148">
        <v>1084</v>
      </c>
      <c r="E12" s="148">
        <v>2298</v>
      </c>
      <c r="F12" s="148">
        <v>189</v>
      </c>
      <c r="G12" s="148">
        <v>214</v>
      </c>
      <c r="H12" s="148">
        <v>403</v>
      </c>
      <c r="I12" s="148">
        <v>53487</v>
      </c>
      <c r="J12" s="148">
        <v>81036</v>
      </c>
      <c r="K12" s="148">
        <v>134523</v>
      </c>
      <c r="L12" s="148">
        <v>218034</v>
      </c>
      <c r="M12" s="148">
        <v>194274</v>
      </c>
      <c r="N12" s="148">
        <v>412308</v>
      </c>
      <c r="O12" s="148">
        <v>14699</v>
      </c>
      <c r="P12" s="148">
        <v>18450</v>
      </c>
      <c r="Q12" s="148">
        <v>33149</v>
      </c>
      <c r="R12" s="148">
        <v>8364</v>
      </c>
      <c r="S12" s="148">
        <v>21977</v>
      </c>
      <c r="T12" s="148">
        <v>30341</v>
      </c>
      <c r="U12" s="148">
        <v>288</v>
      </c>
      <c r="V12" s="148">
        <v>550</v>
      </c>
      <c r="W12" s="148">
        <v>838</v>
      </c>
      <c r="X12" s="148">
        <v>515</v>
      </c>
      <c r="Y12" s="148">
        <v>333</v>
      </c>
      <c r="Z12" s="148">
        <v>848</v>
      </c>
      <c r="AA12" s="148">
        <v>296790</v>
      </c>
      <c r="AB12" s="148">
        <v>317918</v>
      </c>
      <c r="AC12" s="148">
        <v>614708</v>
      </c>
    </row>
    <row r="13" spans="1:29" s="211" customFormat="1" ht="21.75" customHeight="1">
      <c r="A13" s="115">
        <v>9</v>
      </c>
      <c r="B13" s="872" t="s">
        <v>24</v>
      </c>
      <c r="C13" s="148">
        <v>71</v>
      </c>
      <c r="D13" s="148">
        <v>48</v>
      </c>
      <c r="E13" s="148">
        <v>119</v>
      </c>
      <c r="F13" s="148">
        <v>5</v>
      </c>
      <c r="G13" s="148">
        <v>0</v>
      </c>
      <c r="H13" s="148">
        <v>5</v>
      </c>
      <c r="I13" s="148">
        <v>631</v>
      </c>
      <c r="J13" s="148">
        <v>1283</v>
      </c>
      <c r="K13" s="148">
        <v>1914</v>
      </c>
      <c r="L13" s="148">
        <v>4818</v>
      </c>
      <c r="M13" s="148">
        <v>6059</v>
      </c>
      <c r="N13" s="148">
        <v>10877</v>
      </c>
      <c r="O13" s="148">
        <v>45</v>
      </c>
      <c r="P13" s="148">
        <v>69</v>
      </c>
      <c r="Q13" s="148">
        <v>114</v>
      </c>
      <c r="R13" s="148">
        <v>631</v>
      </c>
      <c r="S13" s="148">
        <v>221</v>
      </c>
      <c r="T13" s="148">
        <v>852</v>
      </c>
      <c r="U13" s="148">
        <v>10</v>
      </c>
      <c r="V13" s="148">
        <v>0</v>
      </c>
      <c r="W13" s="148">
        <v>10</v>
      </c>
      <c r="X13" s="148">
        <v>233</v>
      </c>
      <c r="Y13" s="148">
        <v>232</v>
      </c>
      <c r="Z13" s="148">
        <v>465</v>
      </c>
      <c r="AA13" s="148">
        <v>6444</v>
      </c>
      <c r="AB13" s="148">
        <v>7912</v>
      </c>
      <c r="AC13" s="148">
        <v>14356</v>
      </c>
    </row>
    <row r="14" spans="1:29" s="211" customFormat="1" ht="21.75" customHeight="1">
      <c r="A14" s="115">
        <v>10</v>
      </c>
      <c r="B14" s="872" t="s">
        <v>25</v>
      </c>
      <c r="C14" s="148">
        <v>717</v>
      </c>
      <c r="D14" s="148">
        <v>516</v>
      </c>
      <c r="E14" s="148">
        <v>1233</v>
      </c>
      <c r="F14" s="148">
        <v>22</v>
      </c>
      <c r="G14" s="148">
        <v>32</v>
      </c>
      <c r="H14" s="148">
        <v>54</v>
      </c>
      <c r="I14" s="148">
        <v>30621</v>
      </c>
      <c r="J14" s="148">
        <v>41887</v>
      </c>
      <c r="K14" s="148">
        <v>72508</v>
      </c>
      <c r="L14" s="148">
        <v>153818</v>
      </c>
      <c r="M14" s="148">
        <v>134019</v>
      </c>
      <c r="N14" s="148">
        <v>287837</v>
      </c>
      <c r="O14" s="148">
        <v>1675</v>
      </c>
      <c r="P14" s="148">
        <v>2163</v>
      </c>
      <c r="Q14" s="148">
        <v>3838</v>
      </c>
      <c r="R14" s="148">
        <v>29680</v>
      </c>
      <c r="S14" s="148">
        <v>14081</v>
      </c>
      <c r="T14" s="148">
        <v>43761</v>
      </c>
      <c r="U14" s="148">
        <v>879</v>
      </c>
      <c r="V14" s="148">
        <v>797</v>
      </c>
      <c r="W14" s="148">
        <v>1676</v>
      </c>
      <c r="X14" s="148">
        <v>1447</v>
      </c>
      <c r="Y14" s="148">
        <v>1512</v>
      </c>
      <c r="Z14" s="148">
        <v>2959</v>
      </c>
      <c r="AA14" s="148">
        <v>218859</v>
      </c>
      <c r="AB14" s="148">
        <v>195007</v>
      </c>
      <c r="AC14" s="148">
        <v>413866</v>
      </c>
    </row>
    <row r="15" spans="1:29" s="211" customFormat="1" ht="21.75" customHeight="1">
      <c r="A15" s="115">
        <v>11</v>
      </c>
      <c r="B15" s="872" t="s">
        <v>26</v>
      </c>
      <c r="C15" s="148">
        <v>430</v>
      </c>
      <c r="D15" s="148">
        <v>373</v>
      </c>
      <c r="E15" s="148">
        <v>803</v>
      </c>
      <c r="F15" s="148">
        <v>7</v>
      </c>
      <c r="G15" s="148">
        <v>34</v>
      </c>
      <c r="H15" s="148">
        <v>41</v>
      </c>
      <c r="I15" s="148">
        <v>12256</v>
      </c>
      <c r="J15" s="148">
        <v>25139</v>
      </c>
      <c r="K15" s="148">
        <v>37395</v>
      </c>
      <c r="L15" s="148">
        <v>58899</v>
      </c>
      <c r="M15" s="148">
        <v>99453</v>
      </c>
      <c r="N15" s="148">
        <v>158352</v>
      </c>
      <c r="O15" s="148">
        <v>400</v>
      </c>
      <c r="P15" s="148">
        <v>711</v>
      </c>
      <c r="Q15" s="148">
        <v>1111</v>
      </c>
      <c r="R15" s="148">
        <v>16646</v>
      </c>
      <c r="S15" s="148">
        <v>7721</v>
      </c>
      <c r="T15" s="148">
        <v>24367</v>
      </c>
      <c r="U15" s="148">
        <v>69</v>
      </c>
      <c r="V15" s="148">
        <v>126</v>
      </c>
      <c r="W15" s="148">
        <v>195</v>
      </c>
      <c r="X15" s="148">
        <v>1370</v>
      </c>
      <c r="Y15" s="148">
        <v>1055</v>
      </c>
      <c r="Z15" s="148">
        <v>2425</v>
      </c>
      <c r="AA15" s="148">
        <v>90077</v>
      </c>
      <c r="AB15" s="148">
        <v>134612</v>
      </c>
      <c r="AC15" s="148">
        <v>224689</v>
      </c>
    </row>
    <row r="16" spans="1:29" s="211" customFormat="1" ht="21.75" customHeight="1">
      <c r="A16" s="115">
        <v>12</v>
      </c>
      <c r="B16" s="872" t="s">
        <v>27</v>
      </c>
      <c r="C16" s="148">
        <v>98</v>
      </c>
      <c r="D16" s="148">
        <v>109</v>
      </c>
      <c r="E16" s="148">
        <v>207</v>
      </c>
      <c r="F16" s="148">
        <v>0</v>
      </c>
      <c r="G16" s="148">
        <v>0</v>
      </c>
      <c r="H16" s="148">
        <v>0</v>
      </c>
      <c r="I16" s="148">
        <v>2855</v>
      </c>
      <c r="J16" s="148">
        <v>4198</v>
      </c>
      <c r="K16" s="148">
        <v>7053</v>
      </c>
      <c r="L16" s="148">
        <v>19122</v>
      </c>
      <c r="M16" s="148">
        <v>30065</v>
      </c>
      <c r="N16" s="148">
        <v>49187</v>
      </c>
      <c r="O16" s="148">
        <v>512</v>
      </c>
      <c r="P16" s="148">
        <v>559</v>
      </c>
      <c r="Q16" s="148">
        <v>1071</v>
      </c>
      <c r="R16" s="148">
        <v>3486</v>
      </c>
      <c r="S16" s="148">
        <v>5311</v>
      </c>
      <c r="T16" s="148">
        <v>8797</v>
      </c>
      <c r="U16" s="148">
        <v>34</v>
      </c>
      <c r="V16" s="148">
        <v>40</v>
      </c>
      <c r="W16" s="148">
        <v>74</v>
      </c>
      <c r="X16" s="148">
        <v>160</v>
      </c>
      <c r="Y16" s="148">
        <v>109</v>
      </c>
      <c r="Z16" s="148">
        <v>269</v>
      </c>
      <c r="AA16" s="148">
        <v>26267</v>
      </c>
      <c r="AB16" s="148">
        <v>40391</v>
      </c>
      <c r="AC16" s="148">
        <v>66658</v>
      </c>
    </row>
    <row r="17" spans="1:29" s="211" customFormat="1" ht="21.75" customHeight="1">
      <c r="A17" s="115">
        <v>13</v>
      </c>
      <c r="B17" s="872" t="s">
        <v>57</v>
      </c>
      <c r="C17" s="148">
        <v>356</v>
      </c>
      <c r="D17" s="148">
        <v>339</v>
      </c>
      <c r="E17" s="148">
        <v>695</v>
      </c>
      <c r="F17" s="148">
        <v>70</v>
      </c>
      <c r="G17" s="148">
        <v>95</v>
      </c>
      <c r="H17" s="148">
        <v>165</v>
      </c>
      <c r="I17" s="148">
        <v>4450</v>
      </c>
      <c r="J17" s="148">
        <v>6924</v>
      </c>
      <c r="K17" s="148">
        <v>11374</v>
      </c>
      <c r="L17" s="148">
        <v>21994</v>
      </c>
      <c r="M17" s="148">
        <v>28097</v>
      </c>
      <c r="N17" s="148">
        <v>50091</v>
      </c>
      <c r="O17" s="148">
        <v>713</v>
      </c>
      <c r="P17" s="148">
        <v>426</v>
      </c>
      <c r="Q17" s="148">
        <v>1139</v>
      </c>
      <c r="R17" s="148">
        <v>4311</v>
      </c>
      <c r="S17" s="148">
        <v>3889</v>
      </c>
      <c r="T17" s="148">
        <v>8200</v>
      </c>
      <c r="U17" s="148">
        <v>19</v>
      </c>
      <c r="V17" s="148">
        <v>26</v>
      </c>
      <c r="W17" s="148">
        <v>45</v>
      </c>
      <c r="X17" s="148">
        <v>432</v>
      </c>
      <c r="Y17" s="148">
        <v>594</v>
      </c>
      <c r="Z17" s="148">
        <v>1026</v>
      </c>
      <c r="AA17" s="148">
        <v>32345</v>
      </c>
      <c r="AB17" s="148">
        <v>40390</v>
      </c>
      <c r="AC17" s="148">
        <v>72735</v>
      </c>
    </row>
    <row r="18" spans="1:29" s="211" customFormat="1" ht="21.75" customHeight="1">
      <c r="A18" s="115">
        <v>14</v>
      </c>
      <c r="B18" s="872" t="s">
        <v>29</v>
      </c>
      <c r="C18" s="148">
        <v>227</v>
      </c>
      <c r="D18" s="148">
        <v>137</v>
      </c>
      <c r="E18" s="148">
        <v>364</v>
      </c>
      <c r="F18" s="148">
        <v>9</v>
      </c>
      <c r="G18" s="148">
        <v>32</v>
      </c>
      <c r="H18" s="148">
        <v>41</v>
      </c>
      <c r="I18" s="148">
        <v>14755</v>
      </c>
      <c r="J18" s="148">
        <v>22602</v>
      </c>
      <c r="K18" s="148">
        <v>37357</v>
      </c>
      <c r="L18" s="148">
        <v>73208</v>
      </c>
      <c r="M18" s="148">
        <v>75130</v>
      </c>
      <c r="N18" s="148">
        <v>148338</v>
      </c>
      <c r="O18" s="148">
        <v>279</v>
      </c>
      <c r="P18" s="148">
        <v>100</v>
      </c>
      <c r="Q18" s="148">
        <v>379</v>
      </c>
      <c r="R18" s="148">
        <v>9058</v>
      </c>
      <c r="S18" s="148">
        <v>5102</v>
      </c>
      <c r="T18" s="148">
        <v>14160</v>
      </c>
      <c r="U18" s="148">
        <v>269</v>
      </c>
      <c r="V18" s="148">
        <v>158</v>
      </c>
      <c r="W18" s="148">
        <v>427</v>
      </c>
      <c r="X18" s="148">
        <v>286</v>
      </c>
      <c r="Y18" s="148">
        <v>165</v>
      </c>
      <c r="Z18" s="148">
        <v>451</v>
      </c>
      <c r="AA18" s="148">
        <v>98091</v>
      </c>
      <c r="AB18" s="148">
        <v>103426</v>
      </c>
      <c r="AC18" s="148">
        <v>201517</v>
      </c>
    </row>
    <row r="19" spans="1:29" s="211" customFormat="1" ht="21.75" customHeight="1">
      <c r="A19" s="115">
        <v>15</v>
      </c>
      <c r="B19" s="872" t="s">
        <v>30</v>
      </c>
      <c r="C19" s="148">
        <v>1655</v>
      </c>
      <c r="D19" s="148">
        <v>1259</v>
      </c>
      <c r="E19" s="148">
        <v>2914</v>
      </c>
      <c r="F19" s="148">
        <v>35</v>
      </c>
      <c r="G19" s="148">
        <v>110</v>
      </c>
      <c r="H19" s="148">
        <v>145</v>
      </c>
      <c r="I19" s="148">
        <v>40032</v>
      </c>
      <c r="J19" s="148">
        <v>53730</v>
      </c>
      <c r="K19" s="148">
        <v>93762</v>
      </c>
      <c r="L19" s="148">
        <v>196854</v>
      </c>
      <c r="M19" s="148">
        <v>222467</v>
      </c>
      <c r="N19" s="148">
        <v>419321</v>
      </c>
      <c r="O19" s="148">
        <v>2673</v>
      </c>
      <c r="P19" s="148">
        <v>1996</v>
      </c>
      <c r="Q19" s="148">
        <v>4669</v>
      </c>
      <c r="R19" s="148">
        <v>73330</v>
      </c>
      <c r="S19" s="148">
        <v>43138</v>
      </c>
      <c r="T19" s="148">
        <v>116468</v>
      </c>
      <c r="U19" s="148">
        <v>968</v>
      </c>
      <c r="V19" s="148">
        <v>1133</v>
      </c>
      <c r="W19" s="148">
        <v>2101</v>
      </c>
      <c r="X19" s="148">
        <v>817</v>
      </c>
      <c r="Y19" s="148">
        <v>875</v>
      </c>
      <c r="Z19" s="148">
        <v>1692</v>
      </c>
      <c r="AA19" s="148">
        <v>316364</v>
      </c>
      <c r="AB19" s="148">
        <v>324708</v>
      </c>
      <c r="AC19" s="148">
        <v>641072</v>
      </c>
    </row>
    <row r="20" spans="1:29" s="211" customFormat="1" ht="21.75" customHeight="1">
      <c r="A20" s="115">
        <v>16</v>
      </c>
      <c r="B20" s="872" t="s">
        <v>31</v>
      </c>
      <c r="C20" s="148">
        <v>1298</v>
      </c>
      <c r="D20" s="148">
        <v>1179</v>
      </c>
      <c r="E20" s="148">
        <v>2477</v>
      </c>
      <c r="F20" s="148">
        <v>117</v>
      </c>
      <c r="G20" s="148">
        <v>363</v>
      </c>
      <c r="H20" s="148">
        <v>480</v>
      </c>
      <c r="I20" s="148">
        <v>15823</v>
      </c>
      <c r="J20" s="148">
        <v>39021</v>
      </c>
      <c r="K20" s="148">
        <v>54844</v>
      </c>
      <c r="L20" s="148">
        <v>52012</v>
      </c>
      <c r="M20" s="148">
        <v>105980</v>
      </c>
      <c r="N20" s="148">
        <v>157992</v>
      </c>
      <c r="O20" s="148">
        <v>794</v>
      </c>
      <c r="P20" s="148">
        <v>910</v>
      </c>
      <c r="Q20" s="148">
        <v>1704</v>
      </c>
      <c r="R20" s="148">
        <v>17934</v>
      </c>
      <c r="S20" s="148">
        <v>7653</v>
      </c>
      <c r="T20" s="148">
        <v>25587</v>
      </c>
      <c r="U20" s="148">
        <v>278</v>
      </c>
      <c r="V20" s="148">
        <v>222</v>
      </c>
      <c r="W20" s="148">
        <v>500</v>
      </c>
      <c r="X20" s="148">
        <v>478</v>
      </c>
      <c r="Y20" s="148">
        <v>807</v>
      </c>
      <c r="Z20" s="148">
        <v>1285</v>
      </c>
      <c r="AA20" s="148">
        <v>88734</v>
      </c>
      <c r="AB20" s="148">
        <v>156135</v>
      </c>
      <c r="AC20" s="148">
        <v>244869</v>
      </c>
    </row>
    <row r="21" spans="1:29" s="211" customFormat="1" ht="21.75" customHeight="1">
      <c r="A21" s="115">
        <v>17</v>
      </c>
      <c r="B21" s="872" t="s">
        <v>154</v>
      </c>
      <c r="C21" s="148">
        <v>0</v>
      </c>
      <c r="D21" s="148">
        <v>0</v>
      </c>
      <c r="E21" s="148">
        <v>0</v>
      </c>
      <c r="F21" s="148">
        <v>0</v>
      </c>
      <c r="G21" s="148"/>
      <c r="H21" s="148"/>
      <c r="I21" s="148">
        <v>50</v>
      </c>
      <c r="J21" s="148">
        <v>54</v>
      </c>
      <c r="K21" s="148">
        <v>104</v>
      </c>
      <c r="L21" s="148">
        <v>49</v>
      </c>
      <c r="M21" s="148">
        <v>176</v>
      </c>
      <c r="N21" s="148">
        <v>225</v>
      </c>
      <c r="O21" s="148">
        <v>0</v>
      </c>
      <c r="P21" s="148"/>
      <c r="Q21" s="148"/>
      <c r="R21" s="148">
        <v>155</v>
      </c>
      <c r="S21" s="148">
        <v>50</v>
      </c>
      <c r="T21" s="148">
        <v>205</v>
      </c>
      <c r="U21" s="148">
        <v>0</v>
      </c>
      <c r="V21" s="148"/>
      <c r="W21" s="148"/>
      <c r="X21" s="148">
        <v>0</v>
      </c>
      <c r="Y21" s="148"/>
      <c r="Z21" s="148"/>
      <c r="AA21" s="148">
        <v>254</v>
      </c>
      <c r="AB21" s="148">
        <v>280</v>
      </c>
      <c r="AC21" s="148">
        <v>534</v>
      </c>
    </row>
    <row r="22" spans="1:29" s="211" customFormat="1" ht="21.75" customHeight="1">
      <c r="A22" s="115">
        <v>18</v>
      </c>
      <c r="B22" s="872" t="s">
        <v>32</v>
      </c>
      <c r="C22" s="148">
        <v>0</v>
      </c>
      <c r="D22" s="148"/>
      <c r="E22" s="148"/>
      <c r="F22" s="148">
        <v>0</v>
      </c>
      <c r="G22" s="148"/>
      <c r="H22" s="148"/>
      <c r="I22" s="148">
        <v>0</v>
      </c>
      <c r="J22" s="148"/>
      <c r="K22" s="148"/>
      <c r="L22" s="148">
        <v>3</v>
      </c>
      <c r="M22" s="148">
        <v>23</v>
      </c>
      <c r="N22" s="148">
        <v>26</v>
      </c>
      <c r="O22" s="148">
        <v>0</v>
      </c>
      <c r="P22" s="148"/>
      <c r="Q22" s="148"/>
      <c r="R22" s="148">
        <v>0</v>
      </c>
      <c r="S22" s="148"/>
      <c r="T22" s="148"/>
      <c r="U22" s="148">
        <v>0</v>
      </c>
      <c r="V22" s="148"/>
      <c r="W22" s="148"/>
      <c r="X22" s="148">
        <v>0</v>
      </c>
      <c r="Y22" s="148"/>
      <c r="Z22" s="148"/>
      <c r="AA22" s="148">
        <v>3</v>
      </c>
      <c r="AB22" s="148">
        <v>23</v>
      </c>
      <c r="AC22" s="148">
        <v>26</v>
      </c>
    </row>
    <row r="23" spans="1:29" s="211" customFormat="1" ht="21.75" customHeight="1">
      <c r="A23" s="115">
        <v>19</v>
      </c>
      <c r="B23" s="872" t="s">
        <v>33</v>
      </c>
      <c r="C23" s="148">
        <v>779</v>
      </c>
      <c r="D23" s="148">
        <v>619</v>
      </c>
      <c r="E23" s="148">
        <v>1398</v>
      </c>
      <c r="F23" s="148">
        <v>52</v>
      </c>
      <c r="G23" s="148">
        <v>85</v>
      </c>
      <c r="H23" s="148">
        <v>137</v>
      </c>
      <c r="I23" s="148">
        <v>59998</v>
      </c>
      <c r="J23" s="148">
        <v>76021</v>
      </c>
      <c r="K23" s="148">
        <v>136019</v>
      </c>
      <c r="L23" s="148">
        <v>268944</v>
      </c>
      <c r="M23" s="148">
        <v>248424</v>
      </c>
      <c r="N23" s="148">
        <v>517368</v>
      </c>
      <c r="O23" s="148">
        <v>13219</v>
      </c>
      <c r="P23" s="148">
        <v>12847</v>
      </c>
      <c r="Q23" s="148">
        <v>26066</v>
      </c>
      <c r="R23" s="148">
        <v>45563</v>
      </c>
      <c r="S23" s="148">
        <v>33307</v>
      </c>
      <c r="T23" s="148">
        <v>78870</v>
      </c>
      <c r="U23" s="148">
        <v>611</v>
      </c>
      <c r="V23" s="148">
        <v>294</v>
      </c>
      <c r="W23" s="148">
        <v>905</v>
      </c>
      <c r="X23" s="148">
        <v>2434</v>
      </c>
      <c r="Y23" s="148">
        <v>2168</v>
      </c>
      <c r="Z23" s="148">
        <v>4602</v>
      </c>
      <c r="AA23" s="148">
        <v>391600</v>
      </c>
      <c r="AB23" s="148">
        <v>373765</v>
      </c>
      <c r="AC23" s="148">
        <v>765365</v>
      </c>
    </row>
    <row r="24" spans="1:29" s="211" customFormat="1" ht="21.75" customHeight="1">
      <c r="A24" s="115">
        <v>20</v>
      </c>
      <c r="B24" s="872" t="s">
        <v>34</v>
      </c>
      <c r="C24" s="148">
        <v>1310</v>
      </c>
      <c r="D24" s="148">
        <v>852</v>
      </c>
      <c r="E24" s="148">
        <v>2162</v>
      </c>
      <c r="F24" s="148">
        <v>101</v>
      </c>
      <c r="G24" s="148">
        <v>104</v>
      </c>
      <c r="H24" s="148">
        <v>205</v>
      </c>
      <c r="I24" s="148">
        <v>88237</v>
      </c>
      <c r="J24" s="148">
        <v>101105</v>
      </c>
      <c r="K24" s="148">
        <v>189342</v>
      </c>
      <c r="L24" s="148">
        <v>485702</v>
      </c>
      <c r="M24" s="148">
        <v>403376</v>
      </c>
      <c r="N24" s="148">
        <v>889078</v>
      </c>
      <c r="O24" s="148">
        <v>7498</v>
      </c>
      <c r="P24" s="148">
        <v>6400</v>
      </c>
      <c r="Q24" s="148">
        <v>13898</v>
      </c>
      <c r="R24" s="148">
        <v>58598</v>
      </c>
      <c r="S24" s="148">
        <v>34721</v>
      </c>
      <c r="T24" s="148">
        <v>93319</v>
      </c>
      <c r="U24" s="148">
        <v>6057</v>
      </c>
      <c r="V24" s="148">
        <v>3133</v>
      </c>
      <c r="W24" s="148">
        <v>9190</v>
      </c>
      <c r="X24" s="148">
        <v>1924</v>
      </c>
      <c r="Y24" s="148">
        <v>1932</v>
      </c>
      <c r="Z24" s="148">
        <v>3856</v>
      </c>
      <c r="AA24" s="148">
        <v>649427</v>
      </c>
      <c r="AB24" s="148">
        <v>551623</v>
      </c>
      <c r="AC24" s="148">
        <v>1201050</v>
      </c>
    </row>
    <row r="25" spans="1:29" s="211" customFormat="1" ht="21.75" customHeight="1">
      <c r="A25" s="115">
        <v>21</v>
      </c>
      <c r="B25" s="872" t="s">
        <v>35</v>
      </c>
      <c r="C25" s="148">
        <v>55</v>
      </c>
      <c r="D25" s="148">
        <v>52</v>
      </c>
      <c r="E25" s="148">
        <v>107</v>
      </c>
      <c r="F25" s="148">
        <v>1</v>
      </c>
      <c r="G25" s="148">
        <v>5</v>
      </c>
      <c r="H25" s="148">
        <v>6</v>
      </c>
      <c r="I25" s="148">
        <v>870</v>
      </c>
      <c r="J25" s="148">
        <v>1269</v>
      </c>
      <c r="K25" s="148">
        <v>2139</v>
      </c>
      <c r="L25" s="148">
        <v>10261</v>
      </c>
      <c r="M25" s="148">
        <v>10365</v>
      </c>
      <c r="N25" s="148">
        <v>20626</v>
      </c>
      <c r="O25" s="148">
        <v>43</v>
      </c>
      <c r="P25" s="148">
        <v>78</v>
      </c>
      <c r="Q25" s="148">
        <v>121</v>
      </c>
      <c r="R25" s="148">
        <v>149</v>
      </c>
      <c r="S25" s="148">
        <v>231</v>
      </c>
      <c r="T25" s="148">
        <v>380</v>
      </c>
      <c r="U25" s="148">
        <v>0</v>
      </c>
      <c r="V25" s="148"/>
      <c r="W25" s="148"/>
      <c r="X25" s="148">
        <v>0</v>
      </c>
      <c r="Y25" s="148"/>
      <c r="Z25" s="148"/>
      <c r="AA25" s="148">
        <v>11379</v>
      </c>
      <c r="AB25" s="148">
        <v>12000</v>
      </c>
      <c r="AC25" s="148">
        <v>23379</v>
      </c>
    </row>
    <row r="26" spans="1:29" s="211" customFormat="1" ht="21.75" customHeight="1">
      <c r="A26" s="115">
        <v>22</v>
      </c>
      <c r="B26" s="872" t="s">
        <v>36</v>
      </c>
      <c r="C26" s="148">
        <v>70</v>
      </c>
      <c r="D26" s="148">
        <v>58</v>
      </c>
      <c r="E26" s="148">
        <v>128</v>
      </c>
      <c r="F26" s="148">
        <v>0</v>
      </c>
      <c r="G26" s="148"/>
      <c r="H26" s="148"/>
      <c r="I26" s="148">
        <v>1615</v>
      </c>
      <c r="J26" s="148">
        <v>2213</v>
      </c>
      <c r="K26" s="148">
        <v>3828</v>
      </c>
      <c r="L26" s="148">
        <v>7203</v>
      </c>
      <c r="M26" s="148">
        <v>9738</v>
      </c>
      <c r="N26" s="148">
        <v>16941</v>
      </c>
      <c r="O26" s="148">
        <v>44</v>
      </c>
      <c r="P26" s="148">
        <v>43</v>
      </c>
      <c r="Q26" s="148">
        <v>87</v>
      </c>
      <c r="R26" s="148">
        <v>58</v>
      </c>
      <c r="S26" s="148">
        <v>34</v>
      </c>
      <c r="T26" s="148">
        <v>92</v>
      </c>
      <c r="U26" s="148">
        <v>7</v>
      </c>
      <c r="V26" s="148">
        <v>7</v>
      </c>
      <c r="W26" s="148">
        <v>14</v>
      </c>
      <c r="X26" s="148">
        <v>0</v>
      </c>
      <c r="Y26" s="148"/>
      <c r="Z26" s="148"/>
      <c r="AA26" s="148">
        <v>8997</v>
      </c>
      <c r="AB26" s="148">
        <v>12093</v>
      </c>
      <c r="AC26" s="148">
        <v>21090</v>
      </c>
    </row>
    <row r="27" spans="1:29" s="211" customFormat="1" ht="21.75" customHeight="1">
      <c r="A27" s="115">
        <v>23</v>
      </c>
      <c r="B27" s="872" t="s">
        <v>37</v>
      </c>
      <c r="C27" s="148">
        <v>46</v>
      </c>
      <c r="D27" s="148">
        <v>29</v>
      </c>
      <c r="E27" s="148">
        <v>75</v>
      </c>
      <c r="F27" s="148">
        <v>0</v>
      </c>
      <c r="G27" s="148"/>
      <c r="H27" s="148"/>
      <c r="I27" s="148">
        <v>526</v>
      </c>
      <c r="J27" s="148">
        <v>621</v>
      </c>
      <c r="K27" s="148">
        <v>1147</v>
      </c>
      <c r="L27" s="148">
        <v>2248</v>
      </c>
      <c r="M27" s="148">
        <v>2298</v>
      </c>
      <c r="N27" s="148">
        <v>4546</v>
      </c>
      <c r="O27" s="148">
        <v>0</v>
      </c>
      <c r="P27" s="148"/>
      <c r="Q27" s="148"/>
      <c r="R27" s="148">
        <v>220</v>
      </c>
      <c r="S27" s="148">
        <v>319</v>
      </c>
      <c r="T27" s="148">
        <v>539</v>
      </c>
      <c r="U27" s="148">
        <v>0</v>
      </c>
      <c r="V27" s="148"/>
      <c r="W27" s="148"/>
      <c r="X27" s="148">
        <v>9</v>
      </c>
      <c r="Y27" s="148">
        <v>10</v>
      </c>
      <c r="Z27" s="148">
        <v>19</v>
      </c>
      <c r="AA27" s="148">
        <v>3049</v>
      </c>
      <c r="AB27" s="148">
        <v>3277</v>
      </c>
      <c r="AC27" s="148">
        <v>6326</v>
      </c>
    </row>
    <row r="28" spans="1:29" s="211" customFormat="1" ht="21.75" customHeight="1">
      <c r="A28" s="115">
        <v>24</v>
      </c>
      <c r="B28" s="872" t="s">
        <v>38</v>
      </c>
      <c r="C28" s="148">
        <v>41</v>
      </c>
      <c r="D28" s="148">
        <v>36</v>
      </c>
      <c r="E28" s="148">
        <v>77</v>
      </c>
      <c r="F28" s="148">
        <v>4</v>
      </c>
      <c r="G28" s="148">
        <v>13</v>
      </c>
      <c r="H28" s="148">
        <v>17</v>
      </c>
      <c r="I28" s="148">
        <v>877</v>
      </c>
      <c r="J28" s="148">
        <v>1126</v>
      </c>
      <c r="K28" s="148">
        <v>2003</v>
      </c>
      <c r="L28" s="148">
        <v>4900</v>
      </c>
      <c r="M28" s="148">
        <v>5564</v>
      </c>
      <c r="N28" s="148">
        <v>10464</v>
      </c>
      <c r="O28" s="148">
        <v>0</v>
      </c>
      <c r="P28" s="148"/>
      <c r="Q28" s="148"/>
      <c r="R28" s="148">
        <v>251</v>
      </c>
      <c r="S28" s="148">
        <v>492</v>
      </c>
      <c r="T28" s="148">
        <v>743</v>
      </c>
      <c r="U28" s="148">
        <v>249</v>
      </c>
      <c r="V28" s="148">
        <v>211</v>
      </c>
      <c r="W28" s="148">
        <v>460</v>
      </c>
      <c r="X28" s="148">
        <v>0</v>
      </c>
      <c r="Y28" s="148"/>
      <c r="Z28" s="148"/>
      <c r="AA28" s="148">
        <v>6322</v>
      </c>
      <c r="AB28" s="148">
        <v>7442</v>
      </c>
      <c r="AC28" s="148">
        <v>13764</v>
      </c>
    </row>
    <row r="29" spans="1:29" s="211" customFormat="1" ht="21.75" customHeight="1">
      <c r="A29" s="115">
        <v>25</v>
      </c>
      <c r="B29" s="872" t="s">
        <v>39</v>
      </c>
      <c r="C29" s="148">
        <v>562</v>
      </c>
      <c r="D29" s="148">
        <v>313</v>
      </c>
      <c r="E29" s="148">
        <v>875</v>
      </c>
      <c r="F29" s="148">
        <v>235</v>
      </c>
      <c r="G29" s="148">
        <v>268</v>
      </c>
      <c r="H29" s="148">
        <v>503</v>
      </c>
      <c r="I29" s="148">
        <v>14733</v>
      </c>
      <c r="J29" s="148">
        <v>15436</v>
      </c>
      <c r="K29" s="148">
        <v>30169</v>
      </c>
      <c r="L29" s="148">
        <v>87912</v>
      </c>
      <c r="M29" s="148">
        <v>86402</v>
      </c>
      <c r="N29" s="148">
        <v>174314</v>
      </c>
      <c r="O29" s="148">
        <v>615</v>
      </c>
      <c r="P29" s="148">
        <v>410</v>
      </c>
      <c r="Q29" s="148">
        <v>1025</v>
      </c>
      <c r="R29" s="148">
        <v>22121</v>
      </c>
      <c r="S29" s="148">
        <v>12155</v>
      </c>
      <c r="T29" s="148">
        <v>34276</v>
      </c>
      <c r="U29" s="148">
        <v>79</v>
      </c>
      <c r="V29" s="148">
        <v>66</v>
      </c>
      <c r="W29" s="148">
        <v>145</v>
      </c>
      <c r="X29" s="148">
        <v>852</v>
      </c>
      <c r="Y29" s="148">
        <v>911</v>
      </c>
      <c r="Z29" s="148">
        <v>1763</v>
      </c>
      <c r="AA29" s="148">
        <v>127109</v>
      </c>
      <c r="AB29" s="148">
        <v>115961</v>
      </c>
      <c r="AC29" s="148">
        <v>243070</v>
      </c>
    </row>
    <row r="30" spans="1:29" s="211" customFormat="1" ht="21.75" customHeight="1">
      <c r="A30" s="115">
        <v>26</v>
      </c>
      <c r="B30" s="872" t="s">
        <v>40</v>
      </c>
      <c r="C30" s="148">
        <v>28</v>
      </c>
      <c r="D30" s="148">
        <v>15</v>
      </c>
      <c r="E30" s="148">
        <v>43</v>
      </c>
      <c r="F30" s="148">
        <v>0</v>
      </c>
      <c r="G30" s="148">
        <v>0</v>
      </c>
      <c r="H30" s="148">
        <v>0</v>
      </c>
      <c r="I30" s="148">
        <v>7456</v>
      </c>
      <c r="J30" s="148">
        <v>8238</v>
      </c>
      <c r="K30" s="148">
        <v>15694</v>
      </c>
      <c r="L30" s="148">
        <v>5772</v>
      </c>
      <c r="M30" s="148">
        <v>7387</v>
      </c>
      <c r="N30" s="148">
        <v>13159</v>
      </c>
      <c r="O30" s="148">
        <v>10</v>
      </c>
      <c r="P30" s="148">
        <v>6</v>
      </c>
      <c r="Q30" s="148">
        <v>16</v>
      </c>
      <c r="R30" s="148">
        <v>300</v>
      </c>
      <c r="S30" s="148">
        <v>110</v>
      </c>
      <c r="T30" s="148">
        <v>410</v>
      </c>
      <c r="U30" s="148">
        <v>2</v>
      </c>
      <c r="V30" s="148">
        <v>12</v>
      </c>
      <c r="W30" s="148">
        <v>14</v>
      </c>
      <c r="X30" s="148">
        <v>103</v>
      </c>
      <c r="Y30" s="148">
        <v>163</v>
      </c>
      <c r="Z30" s="148">
        <v>266</v>
      </c>
      <c r="AA30" s="148">
        <v>13671</v>
      </c>
      <c r="AB30" s="148">
        <v>15931</v>
      </c>
      <c r="AC30" s="148">
        <v>29602</v>
      </c>
    </row>
    <row r="31" spans="1:29" s="211" customFormat="1" ht="21.75" customHeight="1">
      <c r="A31" s="115">
        <v>27</v>
      </c>
      <c r="B31" s="872" t="s">
        <v>41</v>
      </c>
      <c r="C31" s="148">
        <v>520</v>
      </c>
      <c r="D31" s="148">
        <v>506</v>
      </c>
      <c r="E31" s="148">
        <v>1026</v>
      </c>
      <c r="F31" s="148">
        <v>2</v>
      </c>
      <c r="G31" s="148">
        <v>10</v>
      </c>
      <c r="H31" s="148">
        <v>12</v>
      </c>
      <c r="I31" s="148">
        <v>15414</v>
      </c>
      <c r="J31" s="148">
        <v>27170</v>
      </c>
      <c r="K31" s="148">
        <v>42584</v>
      </c>
      <c r="L31" s="148">
        <v>72760</v>
      </c>
      <c r="M31" s="148">
        <v>86549</v>
      </c>
      <c r="N31" s="148">
        <v>159309</v>
      </c>
      <c r="O31" s="148">
        <v>1596</v>
      </c>
      <c r="P31" s="148">
        <v>2005</v>
      </c>
      <c r="Q31" s="148">
        <v>3601</v>
      </c>
      <c r="R31" s="148">
        <v>14235</v>
      </c>
      <c r="S31" s="148">
        <v>13930</v>
      </c>
      <c r="T31" s="148">
        <v>28165</v>
      </c>
      <c r="U31" s="148">
        <v>271</v>
      </c>
      <c r="V31" s="148">
        <v>318</v>
      </c>
      <c r="W31" s="148">
        <v>589</v>
      </c>
      <c r="X31" s="148">
        <v>1264</v>
      </c>
      <c r="Y31" s="148">
        <v>1440</v>
      </c>
      <c r="Z31" s="148">
        <v>2704</v>
      </c>
      <c r="AA31" s="148">
        <v>106062</v>
      </c>
      <c r="AB31" s="148">
        <v>131928</v>
      </c>
      <c r="AC31" s="148">
        <v>237990</v>
      </c>
    </row>
    <row r="32" spans="1:29" s="211" customFormat="1" ht="21.75" customHeight="1">
      <c r="A32" s="115">
        <v>28</v>
      </c>
      <c r="B32" s="872" t="s">
        <v>42</v>
      </c>
      <c r="C32" s="148">
        <v>941</v>
      </c>
      <c r="D32" s="148">
        <v>944</v>
      </c>
      <c r="E32" s="148">
        <v>1885</v>
      </c>
      <c r="F32" s="148">
        <v>0</v>
      </c>
      <c r="G32" s="148">
        <v>33</v>
      </c>
      <c r="H32" s="148">
        <v>33</v>
      </c>
      <c r="I32" s="148">
        <v>46359</v>
      </c>
      <c r="J32" s="148">
        <v>62119</v>
      </c>
      <c r="K32" s="148">
        <v>108478</v>
      </c>
      <c r="L32" s="148">
        <v>271329</v>
      </c>
      <c r="M32" s="148">
        <v>270019</v>
      </c>
      <c r="N32" s="148">
        <v>541348</v>
      </c>
      <c r="O32" s="148">
        <v>2908</v>
      </c>
      <c r="P32" s="148">
        <v>1877</v>
      </c>
      <c r="Q32" s="148">
        <v>4785</v>
      </c>
      <c r="R32" s="148">
        <v>19176</v>
      </c>
      <c r="S32" s="148">
        <v>10017</v>
      </c>
      <c r="T32" s="148">
        <v>29193</v>
      </c>
      <c r="U32" s="148">
        <v>872</v>
      </c>
      <c r="V32" s="148">
        <v>799</v>
      </c>
      <c r="W32" s="148">
        <v>1671</v>
      </c>
      <c r="X32" s="148">
        <v>10041</v>
      </c>
      <c r="Y32" s="148">
        <v>9745</v>
      </c>
      <c r="Z32" s="148">
        <v>19786</v>
      </c>
      <c r="AA32" s="148">
        <v>351626</v>
      </c>
      <c r="AB32" s="148">
        <v>355553</v>
      </c>
      <c r="AC32" s="148">
        <v>707179</v>
      </c>
    </row>
    <row r="33" spans="1:29" s="211" customFormat="1" ht="21.75" customHeight="1">
      <c r="A33" s="115">
        <v>29</v>
      </c>
      <c r="B33" s="872" t="s">
        <v>43</v>
      </c>
      <c r="C33" s="148">
        <v>34</v>
      </c>
      <c r="D33" s="148">
        <v>24</v>
      </c>
      <c r="E33" s="148">
        <v>58</v>
      </c>
      <c r="F33" s="148">
        <v>3</v>
      </c>
      <c r="G33" s="148">
        <v>2</v>
      </c>
      <c r="H33" s="148">
        <v>5</v>
      </c>
      <c r="I33" s="148">
        <v>1810</v>
      </c>
      <c r="J33" s="148">
        <v>1484</v>
      </c>
      <c r="K33" s="148">
        <v>3294</v>
      </c>
      <c r="L33" s="148">
        <v>2698</v>
      </c>
      <c r="M33" s="148">
        <v>2610</v>
      </c>
      <c r="N33" s="148">
        <v>5308</v>
      </c>
      <c r="O33" s="148">
        <v>0</v>
      </c>
      <c r="P33" s="148"/>
      <c r="Q33" s="148"/>
      <c r="R33" s="148">
        <v>115</v>
      </c>
      <c r="S33" s="148">
        <v>142</v>
      </c>
      <c r="T33" s="148">
        <v>257</v>
      </c>
      <c r="U33" s="148">
        <v>42</v>
      </c>
      <c r="V33" s="148">
        <v>0</v>
      </c>
      <c r="W33" s="148">
        <v>42</v>
      </c>
      <c r="X33" s="148">
        <v>18</v>
      </c>
      <c r="Y33" s="148">
        <v>37</v>
      </c>
      <c r="Z33" s="148">
        <v>55</v>
      </c>
      <c r="AA33" s="148">
        <v>4720</v>
      </c>
      <c r="AB33" s="148">
        <v>4299</v>
      </c>
      <c r="AC33" s="148">
        <v>9019</v>
      </c>
    </row>
    <row r="34" spans="1:29" s="211" customFormat="1" ht="21.75" customHeight="1">
      <c r="A34" s="115">
        <v>30</v>
      </c>
      <c r="B34" s="872" t="s">
        <v>44</v>
      </c>
      <c r="C34" s="148">
        <v>1466</v>
      </c>
      <c r="D34" s="148">
        <v>1388</v>
      </c>
      <c r="E34" s="148">
        <v>2854</v>
      </c>
      <c r="F34" s="148">
        <v>809</v>
      </c>
      <c r="G34" s="148">
        <v>2283</v>
      </c>
      <c r="H34" s="148">
        <v>3092</v>
      </c>
      <c r="I34" s="148">
        <v>74270</v>
      </c>
      <c r="J34" s="148">
        <v>111930</v>
      </c>
      <c r="K34" s="148">
        <v>186200</v>
      </c>
      <c r="L34" s="148">
        <v>322096</v>
      </c>
      <c r="M34" s="148">
        <v>390748</v>
      </c>
      <c r="N34" s="148">
        <v>712844</v>
      </c>
      <c r="O34" s="148">
        <v>3330</v>
      </c>
      <c r="P34" s="148">
        <v>3048</v>
      </c>
      <c r="Q34" s="148">
        <v>6378</v>
      </c>
      <c r="R34" s="148">
        <v>30489</v>
      </c>
      <c r="S34" s="148">
        <v>31124</v>
      </c>
      <c r="T34" s="148">
        <v>61613</v>
      </c>
      <c r="U34" s="148">
        <v>1332</v>
      </c>
      <c r="V34" s="148">
        <v>3660</v>
      </c>
      <c r="W34" s="148">
        <v>4992</v>
      </c>
      <c r="X34" s="148">
        <v>2347</v>
      </c>
      <c r="Y34" s="148">
        <v>2336</v>
      </c>
      <c r="Z34" s="148">
        <v>4683</v>
      </c>
      <c r="AA34" s="148">
        <v>436139</v>
      </c>
      <c r="AB34" s="148">
        <v>546517</v>
      </c>
      <c r="AC34" s="148">
        <v>982656</v>
      </c>
    </row>
    <row r="35" spans="1:29" s="211" customFormat="1" ht="21.75" customHeight="1">
      <c r="A35" s="115">
        <v>31</v>
      </c>
      <c r="B35" s="872" t="s">
        <v>131</v>
      </c>
      <c r="C35" s="148">
        <v>610</v>
      </c>
      <c r="D35" s="148">
        <v>318</v>
      </c>
      <c r="E35" s="148">
        <v>928</v>
      </c>
      <c r="F35" s="148">
        <v>1</v>
      </c>
      <c r="G35" s="148">
        <v>10</v>
      </c>
      <c r="H35" s="148">
        <v>11</v>
      </c>
      <c r="I35" s="148">
        <v>28891</v>
      </c>
      <c r="J35" s="148">
        <v>34542</v>
      </c>
      <c r="K35" s="148">
        <v>63433</v>
      </c>
      <c r="L35" s="148">
        <v>113132</v>
      </c>
      <c r="M35" s="148">
        <v>141479</v>
      </c>
      <c r="N35" s="148">
        <v>254611</v>
      </c>
      <c r="O35" s="148">
        <v>680</v>
      </c>
      <c r="P35" s="148">
        <v>552</v>
      </c>
      <c r="Q35" s="148">
        <v>1232</v>
      </c>
      <c r="R35" s="148">
        <v>20429</v>
      </c>
      <c r="S35" s="148">
        <v>12704</v>
      </c>
      <c r="T35" s="148">
        <v>33133</v>
      </c>
      <c r="U35" s="148">
        <v>1287</v>
      </c>
      <c r="V35" s="148">
        <v>597</v>
      </c>
      <c r="W35" s="148">
        <v>1884</v>
      </c>
      <c r="X35" s="148">
        <v>456</v>
      </c>
      <c r="Y35" s="148">
        <v>356</v>
      </c>
      <c r="Z35" s="148">
        <v>812</v>
      </c>
      <c r="AA35" s="148">
        <v>165486</v>
      </c>
      <c r="AB35" s="148">
        <v>190558</v>
      </c>
      <c r="AC35" s="148">
        <v>356044</v>
      </c>
    </row>
    <row r="36" spans="1:29" s="211" customFormat="1" ht="28.5">
      <c r="A36" s="115">
        <v>32</v>
      </c>
      <c r="B36" s="872" t="s">
        <v>1062</v>
      </c>
      <c r="C36" s="148">
        <v>0</v>
      </c>
      <c r="D36" s="148"/>
      <c r="E36" s="148"/>
      <c r="F36" s="148">
        <v>0</v>
      </c>
      <c r="G36" s="148"/>
      <c r="H36" s="148"/>
      <c r="I36" s="148">
        <v>83</v>
      </c>
      <c r="J36" s="148">
        <v>185</v>
      </c>
      <c r="K36" s="148">
        <v>268</v>
      </c>
      <c r="L36" s="148">
        <v>816</v>
      </c>
      <c r="M36" s="148">
        <v>1098</v>
      </c>
      <c r="N36" s="148">
        <v>1914</v>
      </c>
      <c r="O36" s="148">
        <v>0</v>
      </c>
      <c r="P36" s="148"/>
      <c r="Q36" s="148"/>
      <c r="R36" s="148">
        <v>363</v>
      </c>
      <c r="S36" s="148">
        <v>90</v>
      </c>
      <c r="T36" s="148">
        <v>453</v>
      </c>
      <c r="U36" s="148">
        <v>0</v>
      </c>
      <c r="V36" s="148"/>
      <c r="W36" s="148"/>
      <c r="X36" s="148">
        <v>2</v>
      </c>
      <c r="Y36" s="148">
        <v>2</v>
      </c>
      <c r="Z36" s="148">
        <v>4</v>
      </c>
      <c r="AA36" s="148">
        <v>1264</v>
      </c>
      <c r="AB36" s="148">
        <v>1375</v>
      </c>
      <c r="AC36" s="148">
        <v>2639</v>
      </c>
    </row>
    <row r="37" spans="1:29" s="211" customFormat="1" ht="21.75" customHeight="1">
      <c r="A37" s="115">
        <v>33</v>
      </c>
      <c r="B37" s="872" t="s">
        <v>45</v>
      </c>
      <c r="C37" s="148">
        <v>32</v>
      </c>
      <c r="D37" s="148">
        <v>36</v>
      </c>
      <c r="E37" s="148">
        <v>68</v>
      </c>
      <c r="F37" s="148">
        <v>2</v>
      </c>
      <c r="G37" s="148">
        <v>5</v>
      </c>
      <c r="H37" s="148">
        <v>7</v>
      </c>
      <c r="I37" s="148">
        <v>1508</v>
      </c>
      <c r="J37" s="148">
        <v>1772</v>
      </c>
      <c r="K37" s="148">
        <v>3280</v>
      </c>
      <c r="L37" s="148">
        <v>9068</v>
      </c>
      <c r="M37" s="148">
        <v>9152</v>
      </c>
      <c r="N37" s="148">
        <v>18220</v>
      </c>
      <c r="O37" s="148">
        <v>22</v>
      </c>
      <c r="P37" s="148">
        <v>24</v>
      </c>
      <c r="Q37" s="148">
        <v>46</v>
      </c>
      <c r="R37" s="148">
        <v>771</v>
      </c>
      <c r="S37" s="148">
        <v>526</v>
      </c>
      <c r="T37" s="148">
        <v>1297</v>
      </c>
      <c r="U37" s="148">
        <v>4</v>
      </c>
      <c r="V37" s="148">
        <v>6</v>
      </c>
      <c r="W37" s="148">
        <v>10</v>
      </c>
      <c r="X37" s="148">
        <v>180</v>
      </c>
      <c r="Y37" s="148">
        <v>131</v>
      </c>
      <c r="Z37" s="148">
        <v>311</v>
      </c>
      <c r="AA37" s="148">
        <v>11587</v>
      </c>
      <c r="AB37" s="148">
        <v>11652</v>
      </c>
      <c r="AC37" s="148">
        <v>23239</v>
      </c>
    </row>
    <row r="38" spans="1:29" s="211" customFormat="1" ht="21.75" customHeight="1">
      <c r="A38" s="115">
        <v>34</v>
      </c>
      <c r="B38" s="872" t="s">
        <v>47</v>
      </c>
      <c r="C38" s="148">
        <v>2000</v>
      </c>
      <c r="D38" s="148">
        <v>1353</v>
      </c>
      <c r="E38" s="148">
        <v>3353</v>
      </c>
      <c r="F38" s="148">
        <v>9</v>
      </c>
      <c r="G38" s="148">
        <v>37</v>
      </c>
      <c r="H38" s="148">
        <v>46</v>
      </c>
      <c r="I38" s="148">
        <v>115474</v>
      </c>
      <c r="J38" s="148">
        <v>138437</v>
      </c>
      <c r="K38" s="148">
        <v>253911</v>
      </c>
      <c r="L38" s="148">
        <v>640027</v>
      </c>
      <c r="M38" s="148">
        <v>635409</v>
      </c>
      <c r="N38" s="148">
        <v>1275436</v>
      </c>
      <c r="O38" s="148">
        <v>4255</v>
      </c>
      <c r="P38" s="148">
        <v>2520</v>
      </c>
      <c r="Q38" s="148">
        <v>6775</v>
      </c>
      <c r="R38" s="148">
        <v>61144</v>
      </c>
      <c r="S38" s="148">
        <v>24865</v>
      </c>
      <c r="T38" s="148">
        <v>86009</v>
      </c>
      <c r="U38" s="148">
        <v>1579</v>
      </c>
      <c r="V38" s="148">
        <v>1260</v>
      </c>
      <c r="W38" s="148">
        <v>2839</v>
      </c>
      <c r="X38" s="148">
        <v>5404</v>
      </c>
      <c r="Y38" s="148">
        <v>3253</v>
      </c>
      <c r="Z38" s="148">
        <v>8657</v>
      </c>
      <c r="AA38" s="148">
        <v>829892</v>
      </c>
      <c r="AB38" s="148">
        <v>807134</v>
      </c>
      <c r="AC38" s="148">
        <v>1637026</v>
      </c>
    </row>
    <row r="39" spans="1:29" s="211" customFormat="1" ht="21.75" customHeight="1">
      <c r="A39" s="115">
        <v>35</v>
      </c>
      <c r="B39" s="872" t="s">
        <v>46</v>
      </c>
      <c r="C39" s="148">
        <v>439</v>
      </c>
      <c r="D39" s="148">
        <v>229</v>
      </c>
      <c r="E39" s="148">
        <v>668</v>
      </c>
      <c r="F39" s="148">
        <v>0</v>
      </c>
      <c r="G39" s="148"/>
      <c r="H39" s="148"/>
      <c r="I39" s="148">
        <v>13882</v>
      </c>
      <c r="J39" s="148">
        <v>17620</v>
      </c>
      <c r="K39" s="148">
        <v>31502</v>
      </c>
      <c r="L39" s="148">
        <v>36440</v>
      </c>
      <c r="M39" s="148">
        <v>41176</v>
      </c>
      <c r="N39" s="148">
        <v>77616</v>
      </c>
      <c r="O39" s="148">
        <v>914</v>
      </c>
      <c r="P39" s="148">
        <v>636</v>
      </c>
      <c r="Q39" s="148">
        <v>1550</v>
      </c>
      <c r="R39" s="148">
        <v>9208</v>
      </c>
      <c r="S39" s="148">
        <v>3463</v>
      </c>
      <c r="T39" s="148">
        <v>12671</v>
      </c>
      <c r="U39" s="148">
        <v>37</v>
      </c>
      <c r="V39" s="148">
        <v>29</v>
      </c>
      <c r="W39" s="148">
        <v>66</v>
      </c>
      <c r="X39" s="148">
        <v>321</v>
      </c>
      <c r="Y39" s="148">
        <v>194</v>
      </c>
      <c r="Z39" s="148">
        <v>515</v>
      </c>
      <c r="AA39" s="148">
        <v>61241</v>
      </c>
      <c r="AB39" s="148">
        <v>63347</v>
      </c>
      <c r="AC39" s="148">
        <v>124588</v>
      </c>
    </row>
    <row r="40" spans="1:29" s="211" customFormat="1" ht="21.75" customHeight="1">
      <c r="A40" s="115">
        <v>36</v>
      </c>
      <c r="B40" s="872" t="s">
        <v>48</v>
      </c>
      <c r="C40" s="148">
        <v>1116</v>
      </c>
      <c r="D40" s="148">
        <v>668</v>
      </c>
      <c r="E40" s="148">
        <v>1784</v>
      </c>
      <c r="F40" s="148">
        <v>157</v>
      </c>
      <c r="G40" s="148">
        <v>193</v>
      </c>
      <c r="H40" s="148">
        <v>350</v>
      </c>
      <c r="I40" s="148">
        <v>28892</v>
      </c>
      <c r="J40" s="148">
        <v>44287</v>
      </c>
      <c r="K40" s="148">
        <v>73179</v>
      </c>
      <c r="L40" s="148">
        <v>192894</v>
      </c>
      <c r="M40" s="148">
        <v>217293</v>
      </c>
      <c r="N40" s="148">
        <v>410187</v>
      </c>
      <c r="O40" s="148">
        <v>2736</v>
      </c>
      <c r="P40" s="148">
        <v>1733</v>
      </c>
      <c r="Q40" s="148">
        <v>4469</v>
      </c>
      <c r="R40" s="148">
        <v>38131</v>
      </c>
      <c r="S40" s="148">
        <v>29797</v>
      </c>
      <c r="T40" s="148">
        <v>67928</v>
      </c>
      <c r="U40" s="148">
        <v>2178</v>
      </c>
      <c r="V40" s="148">
        <v>1470</v>
      </c>
      <c r="W40" s="148">
        <v>3648</v>
      </c>
      <c r="X40" s="148">
        <v>1239</v>
      </c>
      <c r="Y40" s="148">
        <v>1127</v>
      </c>
      <c r="Z40" s="148">
        <v>2366</v>
      </c>
      <c r="AA40" s="148">
        <v>267343</v>
      </c>
      <c r="AB40" s="148">
        <v>296568</v>
      </c>
      <c r="AC40" s="148">
        <v>563911</v>
      </c>
    </row>
    <row r="41" spans="1:29" s="213" customFormat="1" ht="26.25" customHeight="1">
      <c r="A41" s="1154" t="s">
        <v>49</v>
      </c>
      <c r="B41" s="1155"/>
      <c r="C41" s="115">
        <v>18464</v>
      </c>
      <c r="D41" s="115">
        <v>14124</v>
      </c>
      <c r="E41" s="115">
        <v>32588</v>
      </c>
      <c r="F41" s="115">
        <v>1979</v>
      </c>
      <c r="G41" s="115">
        <v>4008</v>
      </c>
      <c r="H41" s="115">
        <v>5987</v>
      </c>
      <c r="I41" s="115">
        <v>761799</v>
      </c>
      <c r="J41" s="115">
        <v>1014039</v>
      </c>
      <c r="K41" s="115">
        <v>1775838</v>
      </c>
      <c r="L41" s="115">
        <v>3816897</v>
      </c>
      <c r="M41" s="115">
        <v>3937326</v>
      </c>
      <c r="N41" s="115">
        <v>7754223</v>
      </c>
      <c r="O41" s="115">
        <v>74381</v>
      </c>
      <c r="P41" s="115">
        <v>73560</v>
      </c>
      <c r="Q41" s="115">
        <v>147941</v>
      </c>
      <c r="R41" s="115">
        <v>553425</v>
      </c>
      <c r="S41" s="115">
        <v>366728</v>
      </c>
      <c r="T41" s="115">
        <v>920153</v>
      </c>
      <c r="U41" s="115">
        <v>18323</v>
      </c>
      <c r="V41" s="115">
        <v>16480</v>
      </c>
      <c r="W41" s="115">
        <v>34803</v>
      </c>
      <c r="X41" s="115">
        <v>35283</v>
      </c>
      <c r="Y41" s="115">
        <v>31757</v>
      </c>
      <c r="Z41" s="115">
        <v>67040</v>
      </c>
      <c r="AA41" s="115">
        <v>5280551</v>
      </c>
      <c r="AB41" s="115">
        <v>5458022</v>
      </c>
      <c r="AC41" s="115">
        <v>10738573</v>
      </c>
    </row>
  </sheetData>
  <mergeCells count="15">
    <mergeCell ref="A41:B41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rintOptions horizontalCentered="1"/>
  <pageMargins left="0.36" right="0.16" top="0.39370078740157483" bottom="0.39370078740157483" header="0.19685039370078741" footer="0.15748031496062992"/>
  <pageSetup paperSize="9" scale="84" firstPageNumber="104" orientation="portrait" useFirstPageNumber="1" r:id="rId1"/>
  <headerFooter>
    <oddFooter>&amp;LAISHE 2021-22&amp;CT-33</oddFooter>
  </headerFooter>
  <colBreaks count="2" manualBreakCount="2">
    <brk id="11" max="38" man="1"/>
    <brk id="20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Z41"/>
  <sheetViews>
    <sheetView view="pageBreakPreview" zoomScaleSheetLayoutView="100" workbookViewId="0">
      <pane xSplit="2" ySplit="4" topLeftCell="C5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"/>
  <cols>
    <col min="1" max="1" width="6.7109375" style="438" bestFit="1" customWidth="1"/>
    <col min="2" max="2" width="17.7109375" style="197" bestFit="1" customWidth="1"/>
    <col min="3" max="4" width="8" style="197" bestFit="1" customWidth="1"/>
    <col min="5" max="5" width="9" style="197" customWidth="1"/>
    <col min="6" max="6" width="7" style="197" bestFit="1" customWidth="1"/>
    <col min="7" max="7" width="7.140625" style="197" bestFit="1" customWidth="1"/>
    <col min="8" max="8" width="8" style="197" bestFit="1" customWidth="1"/>
    <col min="9" max="9" width="7" style="197" bestFit="1" customWidth="1"/>
    <col min="10" max="10" width="7.140625" style="197" bestFit="1" customWidth="1"/>
    <col min="11" max="11" width="7" style="197" bestFit="1" customWidth="1"/>
    <col min="12" max="14" width="8" style="197" bestFit="1" customWidth="1"/>
    <col min="15" max="26" width="7.85546875" style="197" customWidth="1"/>
    <col min="27" max="16384" width="9.28515625" style="197"/>
  </cols>
  <sheetData>
    <row r="1" spans="1:26" s="129" customFormat="1" ht="27" customHeight="1">
      <c r="A1" s="436"/>
      <c r="B1" s="80" t="s">
        <v>53</v>
      </c>
      <c r="C1" s="977" t="s">
        <v>865</v>
      </c>
      <c r="D1" s="977"/>
      <c r="E1" s="977"/>
      <c r="F1" s="977"/>
      <c r="G1" s="977"/>
      <c r="H1" s="977"/>
      <c r="I1" s="977"/>
      <c r="J1" s="977"/>
      <c r="K1" s="977"/>
      <c r="L1" s="977"/>
      <c r="M1" s="977"/>
      <c r="N1" s="977"/>
      <c r="O1" s="977" t="s">
        <v>866</v>
      </c>
      <c r="P1" s="977"/>
      <c r="Q1" s="977"/>
      <c r="R1" s="977"/>
      <c r="S1" s="977"/>
      <c r="T1" s="977"/>
      <c r="U1" s="977"/>
      <c r="V1" s="977"/>
      <c r="W1" s="977"/>
      <c r="X1" s="977"/>
      <c r="Y1" s="977"/>
      <c r="Z1" s="977"/>
    </row>
    <row r="2" spans="1:26" s="192" customFormat="1" ht="30" customHeight="1">
      <c r="A2" s="1162" t="s">
        <v>988</v>
      </c>
      <c r="B2" s="1164" t="s">
        <v>168</v>
      </c>
      <c r="C2" s="1060" t="s">
        <v>136</v>
      </c>
      <c r="D2" s="1061"/>
      <c r="E2" s="1062"/>
      <c r="F2" s="1060" t="s">
        <v>460</v>
      </c>
      <c r="G2" s="1061"/>
      <c r="H2" s="1062"/>
      <c r="I2" s="1060" t="s">
        <v>242</v>
      </c>
      <c r="J2" s="1061"/>
      <c r="K2" s="1062"/>
      <c r="L2" s="1060" t="s">
        <v>243</v>
      </c>
      <c r="M2" s="1061"/>
      <c r="N2" s="1062"/>
      <c r="O2" s="1063" t="s">
        <v>105</v>
      </c>
      <c r="P2" s="1064"/>
      <c r="Q2" s="1065"/>
      <c r="R2" s="1063" t="s">
        <v>106</v>
      </c>
      <c r="S2" s="1064"/>
      <c r="T2" s="1065"/>
      <c r="U2" s="1060" t="s">
        <v>107</v>
      </c>
      <c r="V2" s="1061"/>
      <c r="W2" s="1062"/>
      <c r="X2" s="1063" t="s">
        <v>225</v>
      </c>
      <c r="Y2" s="1064"/>
      <c r="Z2" s="1065"/>
    </row>
    <row r="3" spans="1:26" s="193" customFormat="1" ht="24.75" customHeight="1">
      <c r="A3" s="1163"/>
      <c r="B3" s="1164"/>
      <c r="C3" s="191" t="s">
        <v>87</v>
      </c>
      <c r="D3" s="191" t="s">
        <v>88</v>
      </c>
      <c r="E3" s="191" t="s">
        <v>12</v>
      </c>
      <c r="F3" s="191" t="s">
        <v>87</v>
      </c>
      <c r="G3" s="191" t="s">
        <v>88</v>
      </c>
      <c r="H3" s="191" t="s">
        <v>12</v>
      </c>
      <c r="I3" s="191" t="s">
        <v>87</v>
      </c>
      <c r="J3" s="191" t="s">
        <v>88</v>
      </c>
      <c r="K3" s="191" t="s">
        <v>12</v>
      </c>
      <c r="L3" s="191" t="s">
        <v>87</v>
      </c>
      <c r="M3" s="191" t="s">
        <v>88</v>
      </c>
      <c r="N3" s="191" t="s">
        <v>12</v>
      </c>
      <c r="O3" s="191" t="s">
        <v>87</v>
      </c>
      <c r="P3" s="191" t="s">
        <v>88</v>
      </c>
      <c r="Q3" s="191" t="s">
        <v>12</v>
      </c>
      <c r="R3" s="191" t="s">
        <v>87</v>
      </c>
      <c r="S3" s="191" t="s">
        <v>88</v>
      </c>
      <c r="T3" s="191" t="s">
        <v>12</v>
      </c>
      <c r="U3" s="191" t="s">
        <v>87</v>
      </c>
      <c r="V3" s="191" t="s">
        <v>88</v>
      </c>
      <c r="W3" s="191" t="s">
        <v>12</v>
      </c>
      <c r="X3" s="191" t="s">
        <v>87</v>
      </c>
      <c r="Y3" s="191" t="s">
        <v>88</v>
      </c>
      <c r="Z3" s="191" t="s">
        <v>12</v>
      </c>
    </row>
    <row r="4" spans="1:26" s="193" customFormat="1" ht="13.5" customHeight="1">
      <c r="A4" s="437">
        <v>1</v>
      </c>
      <c r="B4" s="410">
        <v>2</v>
      </c>
      <c r="C4" s="410">
        <v>3</v>
      </c>
      <c r="D4" s="410">
        <v>4</v>
      </c>
      <c r="E4" s="410">
        <v>5</v>
      </c>
      <c r="F4" s="410">
        <v>6</v>
      </c>
      <c r="G4" s="410">
        <v>7</v>
      </c>
      <c r="H4" s="410">
        <v>8</v>
      </c>
      <c r="I4" s="410">
        <v>9</v>
      </c>
      <c r="J4" s="410">
        <v>10</v>
      </c>
      <c r="K4" s="410">
        <v>11</v>
      </c>
      <c r="L4" s="410">
        <v>12</v>
      </c>
      <c r="M4" s="410">
        <v>13</v>
      </c>
      <c r="N4" s="410">
        <v>14</v>
      </c>
      <c r="O4" s="410">
        <v>3</v>
      </c>
      <c r="P4" s="410">
        <v>4</v>
      </c>
      <c r="Q4" s="410">
        <v>5</v>
      </c>
      <c r="R4" s="410">
        <v>6</v>
      </c>
      <c r="S4" s="410">
        <v>7</v>
      </c>
      <c r="T4" s="410">
        <v>8</v>
      </c>
      <c r="U4" s="410">
        <v>9</v>
      </c>
      <c r="V4" s="410">
        <v>10</v>
      </c>
      <c r="W4" s="410">
        <v>11</v>
      </c>
      <c r="X4" s="410">
        <v>12</v>
      </c>
      <c r="Y4" s="410">
        <v>13</v>
      </c>
      <c r="Z4" s="410">
        <v>14</v>
      </c>
    </row>
    <row r="5" spans="1:26" s="193" customFormat="1" ht="30.75" customHeight="1">
      <c r="A5" s="427">
        <v>1</v>
      </c>
      <c r="B5" s="194" t="s">
        <v>1061</v>
      </c>
      <c r="C5" s="411">
        <v>687</v>
      </c>
      <c r="D5" s="411">
        <v>1049</v>
      </c>
      <c r="E5" s="411">
        <v>1736</v>
      </c>
      <c r="F5" s="411">
        <v>0</v>
      </c>
      <c r="G5" s="411">
        <v>0</v>
      </c>
      <c r="H5" s="411">
        <v>0</v>
      </c>
      <c r="I5" s="411">
        <v>4</v>
      </c>
      <c r="J5" s="411">
        <v>3</v>
      </c>
      <c r="K5" s="411">
        <v>7</v>
      </c>
      <c r="L5" s="411">
        <v>32</v>
      </c>
      <c r="M5" s="411">
        <v>33</v>
      </c>
      <c r="N5" s="411">
        <v>65</v>
      </c>
      <c r="O5" s="411">
        <v>0</v>
      </c>
      <c r="P5" s="411">
        <v>0</v>
      </c>
      <c r="Q5" s="411">
        <v>0</v>
      </c>
      <c r="R5" s="411">
        <v>16</v>
      </c>
      <c r="S5" s="411">
        <v>17</v>
      </c>
      <c r="T5" s="411">
        <v>33</v>
      </c>
      <c r="U5" s="411">
        <v>0</v>
      </c>
      <c r="V5" s="411">
        <v>0</v>
      </c>
      <c r="W5" s="411">
        <v>0</v>
      </c>
      <c r="X5" s="411">
        <v>3</v>
      </c>
      <c r="Y5" s="411">
        <v>2</v>
      </c>
      <c r="Z5" s="411">
        <v>5</v>
      </c>
    </row>
    <row r="6" spans="1:26" s="193" customFormat="1" ht="23.25" customHeight="1">
      <c r="A6" s="427">
        <v>2</v>
      </c>
      <c r="B6" s="195" t="s">
        <v>15</v>
      </c>
      <c r="C6" s="411">
        <v>244683</v>
      </c>
      <c r="D6" s="411">
        <v>233178</v>
      </c>
      <c r="E6" s="411">
        <v>477861</v>
      </c>
      <c r="F6" s="411">
        <v>37504</v>
      </c>
      <c r="G6" s="411">
        <v>37675</v>
      </c>
      <c r="H6" s="411">
        <v>75179</v>
      </c>
      <c r="I6" s="411">
        <v>12685</v>
      </c>
      <c r="J6" s="411">
        <v>13196</v>
      </c>
      <c r="K6" s="411">
        <v>25881</v>
      </c>
      <c r="L6" s="411">
        <v>101695</v>
      </c>
      <c r="M6" s="411">
        <v>93683</v>
      </c>
      <c r="N6" s="411">
        <v>195378</v>
      </c>
      <c r="O6" s="411">
        <v>174</v>
      </c>
      <c r="P6" s="411">
        <v>268</v>
      </c>
      <c r="Q6" s="411">
        <v>442</v>
      </c>
      <c r="R6" s="411">
        <v>6080</v>
      </c>
      <c r="S6" s="411">
        <v>4745</v>
      </c>
      <c r="T6" s="411">
        <v>10825</v>
      </c>
      <c r="U6" s="411">
        <v>860</v>
      </c>
      <c r="V6" s="411">
        <v>941</v>
      </c>
      <c r="W6" s="411">
        <v>1801</v>
      </c>
      <c r="X6" s="411">
        <v>2061</v>
      </c>
      <c r="Y6" s="411">
        <v>2489</v>
      </c>
      <c r="Z6" s="411">
        <v>4550</v>
      </c>
    </row>
    <row r="7" spans="1:26" s="193" customFormat="1" ht="23.25" customHeight="1">
      <c r="A7" s="427">
        <v>3</v>
      </c>
      <c r="B7" s="195" t="s">
        <v>16</v>
      </c>
      <c r="C7" s="411">
        <v>7939</v>
      </c>
      <c r="D7" s="411">
        <v>6621</v>
      </c>
      <c r="E7" s="411">
        <v>14560</v>
      </c>
      <c r="F7" s="411">
        <v>251</v>
      </c>
      <c r="G7" s="411">
        <v>198</v>
      </c>
      <c r="H7" s="411">
        <v>449</v>
      </c>
      <c r="I7" s="411">
        <v>4474</v>
      </c>
      <c r="J7" s="411">
        <v>4290</v>
      </c>
      <c r="K7" s="411">
        <v>8764</v>
      </c>
      <c r="L7" s="411">
        <v>525</v>
      </c>
      <c r="M7" s="411">
        <v>366</v>
      </c>
      <c r="N7" s="411">
        <v>891</v>
      </c>
      <c r="O7" s="411">
        <v>6</v>
      </c>
      <c r="P7" s="411">
        <v>7</v>
      </c>
      <c r="Q7" s="411">
        <v>13</v>
      </c>
      <c r="R7" s="411">
        <v>17</v>
      </c>
      <c r="S7" s="411">
        <v>28</v>
      </c>
      <c r="T7" s="411">
        <v>45</v>
      </c>
      <c r="U7" s="411">
        <v>89</v>
      </c>
      <c r="V7" s="411">
        <v>63</v>
      </c>
      <c r="W7" s="411">
        <v>152</v>
      </c>
      <c r="X7" s="411">
        <v>21</v>
      </c>
      <c r="Y7" s="411">
        <v>9</v>
      </c>
      <c r="Z7" s="411">
        <v>30</v>
      </c>
    </row>
    <row r="8" spans="1:26" s="193" customFormat="1" ht="23.25" customHeight="1">
      <c r="A8" s="427">
        <v>4</v>
      </c>
      <c r="B8" s="195" t="s">
        <v>17</v>
      </c>
      <c r="C8" s="411">
        <v>54530</v>
      </c>
      <c r="D8" s="411">
        <v>67785</v>
      </c>
      <c r="E8" s="411">
        <v>122315</v>
      </c>
      <c r="F8" s="411">
        <v>4313</v>
      </c>
      <c r="G8" s="411">
        <v>4736</v>
      </c>
      <c r="H8" s="411">
        <v>9049</v>
      </c>
      <c r="I8" s="411">
        <v>8315</v>
      </c>
      <c r="J8" s="411">
        <v>10100</v>
      </c>
      <c r="K8" s="411">
        <v>18415</v>
      </c>
      <c r="L8" s="411">
        <v>11883</v>
      </c>
      <c r="M8" s="411">
        <v>16105</v>
      </c>
      <c r="N8" s="411">
        <v>27988</v>
      </c>
      <c r="O8" s="411">
        <v>33</v>
      </c>
      <c r="P8" s="411">
        <v>14</v>
      </c>
      <c r="Q8" s="411">
        <v>47</v>
      </c>
      <c r="R8" s="411">
        <v>6434</v>
      </c>
      <c r="S8" s="411">
        <v>6864</v>
      </c>
      <c r="T8" s="411">
        <v>13298</v>
      </c>
      <c r="U8" s="411">
        <v>965</v>
      </c>
      <c r="V8" s="411">
        <v>1063</v>
      </c>
      <c r="W8" s="411">
        <v>2028</v>
      </c>
      <c r="X8" s="411">
        <v>1233</v>
      </c>
      <c r="Y8" s="411">
        <v>1489</v>
      </c>
      <c r="Z8" s="411">
        <v>2722</v>
      </c>
    </row>
    <row r="9" spans="1:26" s="193" customFormat="1" ht="23.25" customHeight="1">
      <c r="A9" s="427">
        <v>5</v>
      </c>
      <c r="B9" s="195" t="s">
        <v>18</v>
      </c>
      <c r="C9" s="411">
        <v>227841</v>
      </c>
      <c r="D9" s="411">
        <v>182644</v>
      </c>
      <c r="E9" s="411">
        <v>410485</v>
      </c>
      <c r="F9" s="411">
        <v>25151</v>
      </c>
      <c r="G9" s="411">
        <v>17426</v>
      </c>
      <c r="H9" s="411">
        <v>42577</v>
      </c>
      <c r="I9" s="411">
        <v>4147</v>
      </c>
      <c r="J9" s="411">
        <v>3636</v>
      </c>
      <c r="K9" s="411">
        <v>7783</v>
      </c>
      <c r="L9" s="411">
        <v>101719</v>
      </c>
      <c r="M9" s="411">
        <v>75833</v>
      </c>
      <c r="N9" s="411">
        <v>177552</v>
      </c>
      <c r="O9" s="411">
        <v>161</v>
      </c>
      <c r="P9" s="411">
        <v>140</v>
      </c>
      <c r="Q9" s="411">
        <v>301</v>
      </c>
      <c r="R9" s="411">
        <v>16416</v>
      </c>
      <c r="S9" s="411">
        <v>12029</v>
      </c>
      <c r="T9" s="411">
        <v>28445</v>
      </c>
      <c r="U9" s="411">
        <v>818</v>
      </c>
      <c r="V9" s="411">
        <v>797</v>
      </c>
      <c r="W9" s="411">
        <v>1615</v>
      </c>
      <c r="X9" s="411">
        <v>2306</v>
      </c>
      <c r="Y9" s="411">
        <v>1799</v>
      </c>
      <c r="Z9" s="411">
        <v>4105</v>
      </c>
    </row>
    <row r="10" spans="1:26" s="193" customFormat="1" ht="23.25" customHeight="1">
      <c r="A10" s="427">
        <v>6</v>
      </c>
      <c r="B10" s="195" t="s">
        <v>19</v>
      </c>
      <c r="C10" s="411">
        <v>12861</v>
      </c>
      <c r="D10" s="411">
        <v>15543</v>
      </c>
      <c r="E10" s="411">
        <v>28404</v>
      </c>
      <c r="F10" s="411">
        <v>1579</v>
      </c>
      <c r="G10" s="411">
        <v>1754</v>
      </c>
      <c r="H10" s="411">
        <v>3333</v>
      </c>
      <c r="I10" s="411">
        <v>357</v>
      </c>
      <c r="J10" s="411">
        <v>328</v>
      </c>
      <c r="K10" s="411">
        <v>685</v>
      </c>
      <c r="L10" s="411">
        <v>900</v>
      </c>
      <c r="M10" s="411">
        <v>650</v>
      </c>
      <c r="N10" s="411">
        <v>1550</v>
      </c>
      <c r="O10" s="411">
        <v>50</v>
      </c>
      <c r="P10" s="411">
        <v>18</v>
      </c>
      <c r="Q10" s="411">
        <v>68</v>
      </c>
      <c r="R10" s="411">
        <v>122</v>
      </c>
      <c r="S10" s="411">
        <v>82</v>
      </c>
      <c r="T10" s="411">
        <v>204</v>
      </c>
      <c r="U10" s="411">
        <v>580</v>
      </c>
      <c r="V10" s="411">
        <v>709</v>
      </c>
      <c r="W10" s="411">
        <v>1289</v>
      </c>
      <c r="X10" s="411">
        <v>141</v>
      </c>
      <c r="Y10" s="411">
        <v>165</v>
      </c>
      <c r="Z10" s="411">
        <v>306</v>
      </c>
    </row>
    <row r="11" spans="1:26" s="193" customFormat="1" ht="23.25" customHeight="1">
      <c r="A11" s="427">
        <v>7</v>
      </c>
      <c r="B11" s="195" t="s">
        <v>20</v>
      </c>
      <c r="C11" s="411">
        <v>110868</v>
      </c>
      <c r="D11" s="411">
        <v>129377</v>
      </c>
      <c r="E11" s="411">
        <v>240245</v>
      </c>
      <c r="F11" s="411">
        <v>15567</v>
      </c>
      <c r="G11" s="411">
        <v>16551</v>
      </c>
      <c r="H11" s="411">
        <v>32118</v>
      </c>
      <c r="I11" s="411">
        <v>18565</v>
      </c>
      <c r="J11" s="411">
        <v>26607</v>
      </c>
      <c r="K11" s="411">
        <v>45172</v>
      </c>
      <c r="L11" s="411">
        <v>52274</v>
      </c>
      <c r="M11" s="411">
        <v>58465</v>
      </c>
      <c r="N11" s="411">
        <v>110739</v>
      </c>
      <c r="O11" s="411">
        <v>55</v>
      </c>
      <c r="P11" s="411">
        <v>26</v>
      </c>
      <c r="Q11" s="411">
        <v>81</v>
      </c>
      <c r="R11" s="411">
        <v>644</v>
      </c>
      <c r="S11" s="411">
        <v>608</v>
      </c>
      <c r="T11" s="411">
        <v>1252</v>
      </c>
      <c r="U11" s="411">
        <v>614</v>
      </c>
      <c r="V11" s="411">
        <v>861</v>
      </c>
      <c r="W11" s="411">
        <v>1475</v>
      </c>
      <c r="X11" s="411">
        <v>163</v>
      </c>
      <c r="Y11" s="411">
        <v>368</v>
      </c>
      <c r="Z11" s="411">
        <v>531</v>
      </c>
    </row>
    <row r="12" spans="1:26" s="193" customFormat="1" ht="23.25" customHeight="1">
      <c r="A12" s="427">
        <v>8</v>
      </c>
      <c r="B12" s="195" t="s">
        <v>23</v>
      </c>
      <c r="C12" s="411">
        <v>296790</v>
      </c>
      <c r="D12" s="411">
        <v>317918</v>
      </c>
      <c r="E12" s="411">
        <v>614708</v>
      </c>
      <c r="F12" s="411">
        <v>21858</v>
      </c>
      <c r="G12" s="411">
        <v>22800</v>
      </c>
      <c r="H12" s="411">
        <v>44658</v>
      </c>
      <c r="I12" s="411">
        <v>8933</v>
      </c>
      <c r="J12" s="411">
        <v>10853</v>
      </c>
      <c r="K12" s="411">
        <v>19786</v>
      </c>
      <c r="L12" s="411">
        <v>42323</v>
      </c>
      <c r="M12" s="411">
        <v>39813</v>
      </c>
      <c r="N12" s="411">
        <v>82136</v>
      </c>
      <c r="O12" s="411">
        <v>271</v>
      </c>
      <c r="P12" s="411">
        <v>214</v>
      </c>
      <c r="Q12" s="411">
        <v>485</v>
      </c>
      <c r="R12" s="411">
        <v>2570</v>
      </c>
      <c r="S12" s="411">
        <v>1561</v>
      </c>
      <c r="T12" s="411">
        <v>4131</v>
      </c>
      <c r="U12" s="411">
        <v>1095</v>
      </c>
      <c r="V12" s="411">
        <v>1094</v>
      </c>
      <c r="W12" s="411">
        <v>2189</v>
      </c>
      <c r="X12" s="411">
        <v>1915</v>
      </c>
      <c r="Y12" s="411">
        <v>1516</v>
      </c>
      <c r="Z12" s="411">
        <v>3431</v>
      </c>
    </row>
    <row r="13" spans="1:26" s="193" customFormat="1" ht="23.25" customHeight="1">
      <c r="A13" s="427">
        <v>9</v>
      </c>
      <c r="B13" s="195" t="s">
        <v>24</v>
      </c>
      <c r="C13" s="411">
        <v>6444</v>
      </c>
      <c r="D13" s="411">
        <v>7912</v>
      </c>
      <c r="E13" s="411">
        <v>14356</v>
      </c>
      <c r="F13" s="411">
        <v>194</v>
      </c>
      <c r="G13" s="411">
        <v>179</v>
      </c>
      <c r="H13" s="411">
        <v>373</v>
      </c>
      <c r="I13" s="411">
        <v>430</v>
      </c>
      <c r="J13" s="411">
        <v>748</v>
      </c>
      <c r="K13" s="411">
        <v>1178</v>
      </c>
      <c r="L13" s="411">
        <v>809</v>
      </c>
      <c r="M13" s="411">
        <v>1337</v>
      </c>
      <c r="N13" s="411">
        <v>2146</v>
      </c>
      <c r="O13" s="411">
        <v>2</v>
      </c>
      <c r="P13" s="411">
        <v>3</v>
      </c>
      <c r="Q13" s="411">
        <v>5</v>
      </c>
      <c r="R13" s="411">
        <v>301</v>
      </c>
      <c r="S13" s="411">
        <v>381</v>
      </c>
      <c r="T13" s="411">
        <v>682</v>
      </c>
      <c r="U13" s="411">
        <v>735</v>
      </c>
      <c r="V13" s="411">
        <v>1445</v>
      </c>
      <c r="W13" s="411">
        <v>2180</v>
      </c>
      <c r="X13" s="411">
        <v>84</v>
      </c>
      <c r="Y13" s="411">
        <v>38</v>
      </c>
      <c r="Z13" s="411">
        <v>122</v>
      </c>
    </row>
    <row r="14" spans="1:26" s="193" customFormat="1" ht="23.25" customHeight="1">
      <c r="A14" s="427">
        <v>10</v>
      </c>
      <c r="B14" s="195" t="s">
        <v>25</v>
      </c>
      <c r="C14" s="411">
        <v>218859</v>
      </c>
      <c r="D14" s="411">
        <v>195007</v>
      </c>
      <c r="E14" s="411">
        <v>413866</v>
      </c>
      <c r="F14" s="411">
        <v>18646</v>
      </c>
      <c r="G14" s="411">
        <v>16772</v>
      </c>
      <c r="H14" s="411">
        <v>35418</v>
      </c>
      <c r="I14" s="411">
        <v>20529</v>
      </c>
      <c r="J14" s="411">
        <v>22264</v>
      </c>
      <c r="K14" s="411">
        <v>42793</v>
      </c>
      <c r="L14" s="411">
        <v>62497</v>
      </c>
      <c r="M14" s="411">
        <v>52949</v>
      </c>
      <c r="N14" s="411">
        <v>115446</v>
      </c>
      <c r="O14" s="411">
        <v>496</v>
      </c>
      <c r="P14" s="411">
        <v>476</v>
      </c>
      <c r="Q14" s="411">
        <v>972</v>
      </c>
      <c r="R14" s="411">
        <v>3329</v>
      </c>
      <c r="S14" s="411">
        <v>3434</v>
      </c>
      <c r="T14" s="411">
        <v>6763</v>
      </c>
      <c r="U14" s="411">
        <v>1024</v>
      </c>
      <c r="V14" s="411">
        <v>858</v>
      </c>
      <c r="W14" s="411">
        <v>1882</v>
      </c>
      <c r="X14" s="411">
        <v>3285</v>
      </c>
      <c r="Y14" s="411">
        <v>3115</v>
      </c>
      <c r="Z14" s="411">
        <v>6400</v>
      </c>
    </row>
    <row r="15" spans="1:26" s="193" customFormat="1" ht="23.25" customHeight="1">
      <c r="A15" s="427">
        <v>11</v>
      </c>
      <c r="B15" s="195" t="s">
        <v>26</v>
      </c>
      <c r="C15" s="411">
        <v>90077</v>
      </c>
      <c r="D15" s="411">
        <v>134612</v>
      </c>
      <c r="E15" s="411">
        <v>224689</v>
      </c>
      <c r="F15" s="411">
        <v>10438</v>
      </c>
      <c r="G15" s="411">
        <v>14689</v>
      </c>
      <c r="H15" s="411">
        <v>25127</v>
      </c>
      <c r="I15" s="411">
        <v>610</v>
      </c>
      <c r="J15" s="411">
        <v>331</v>
      </c>
      <c r="K15" s="411">
        <v>941</v>
      </c>
      <c r="L15" s="411">
        <v>16663</v>
      </c>
      <c r="M15" s="411">
        <v>24693</v>
      </c>
      <c r="N15" s="411">
        <v>41356</v>
      </c>
      <c r="O15" s="411">
        <v>76</v>
      </c>
      <c r="P15" s="411">
        <v>51</v>
      </c>
      <c r="Q15" s="411">
        <v>127</v>
      </c>
      <c r="R15" s="411">
        <v>1737</v>
      </c>
      <c r="S15" s="411">
        <v>593</v>
      </c>
      <c r="T15" s="411">
        <v>2330</v>
      </c>
      <c r="U15" s="411">
        <v>914</v>
      </c>
      <c r="V15" s="411">
        <v>1357</v>
      </c>
      <c r="W15" s="411">
        <v>2271</v>
      </c>
      <c r="X15" s="411">
        <v>690</v>
      </c>
      <c r="Y15" s="411">
        <v>672</v>
      </c>
      <c r="Z15" s="411">
        <v>1362</v>
      </c>
    </row>
    <row r="16" spans="1:26" s="193" customFormat="1" ht="23.25" customHeight="1">
      <c r="A16" s="427">
        <v>12</v>
      </c>
      <c r="B16" s="195" t="s">
        <v>27</v>
      </c>
      <c r="C16" s="411">
        <v>26267</v>
      </c>
      <c r="D16" s="411">
        <v>40391</v>
      </c>
      <c r="E16" s="411">
        <v>66658</v>
      </c>
      <c r="F16" s="411">
        <v>4264</v>
      </c>
      <c r="G16" s="411">
        <v>6808</v>
      </c>
      <c r="H16" s="411">
        <v>11072</v>
      </c>
      <c r="I16" s="411">
        <v>1430</v>
      </c>
      <c r="J16" s="411">
        <v>2256</v>
      </c>
      <c r="K16" s="411">
        <v>3686</v>
      </c>
      <c r="L16" s="411">
        <v>3783</v>
      </c>
      <c r="M16" s="411">
        <v>6086</v>
      </c>
      <c r="N16" s="411">
        <v>9869</v>
      </c>
      <c r="O16" s="411">
        <v>191</v>
      </c>
      <c r="P16" s="411">
        <v>177</v>
      </c>
      <c r="Q16" s="411">
        <v>368</v>
      </c>
      <c r="R16" s="411">
        <v>282</v>
      </c>
      <c r="S16" s="411">
        <v>180</v>
      </c>
      <c r="T16" s="411">
        <v>462</v>
      </c>
      <c r="U16" s="411">
        <v>150</v>
      </c>
      <c r="V16" s="411">
        <v>172</v>
      </c>
      <c r="W16" s="411">
        <v>322</v>
      </c>
      <c r="X16" s="411">
        <v>340</v>
      </c>
      <c r="Y16" s="411">
        <v>318</v>
      </c>
      <c r="Z16" s="411">
        <v>658</v>
      </c>
    </row>
    <row r="17" spans="1:26" s="193" customFormat="1" ht="28.5">
      <c r="A17" s="427">
        <v>13</v>
      </c>
      <c r="B17" s="194" t="s">
        <v>57</v>
      </c>
      <c r="C17" s="411">
        <v>32345</v>
      </c>
      <c r="D17" s="411">
        <v>40390</v>
      </c>
      <c r="E17" s="411">
        <v>72735</v>
      </c>
      <c r="F17" s="411">
        <v>1595</v>
      </c>
      <c r="G17" s="411">
        <v>2420</v>
      </c>
      <c r="H17" s="411">
        <v>4015</v>
      </c>
      <c r="I17" s="411">
        <v>1832</v>
      </c>
      <c r="J17" s="411">
        <v>1676</v>
      </c>
      <c r="K17" s="411">
        <v>3508</v>
      </c>
      <c r="L17" s="411">
        <v>4064</v>
      </c>
      <c r="M17" s="411">
        <v>2753</v>
      </c>
      <c r="N17" s="411">
        <v>6817</v>
      </c>
      <c r="O17" s="411">
        <v>52</v>
      </c>
      <c r="P17" s="411">
        <v>16</v>
      </c>
      <c r="Q17" s="411">
        <v>68</v>
      </c>
      <c r="R17" s="411">
        <v>11336</v>
      </c>
      <c r="S17" s="411">
        <v>13872</v>
      </c>
      <c r="T17" s="411">
        <v>25208</v>
      </c>
      <c r="U17" s="411">
        <v>570</v>
      </c>
      <c r="V17" s="411">
        <v>551</v>
      </c>
      <c r="W17" s="411">
        <v>1121</v>
      </c>
      <c r="X17" s="411">
        <v>240</v>
      </c>
      <c r="Y17" s="411">
        <v>361</v>
      </c>
      <c r="Z17" s="411">
        <v>601</v>
      </c>
    </row>
    <row r="18" spans="1:26" s="193" customFormat="1" ht="23.25" customHeight="1">
      <c r="A18" s="427">
        <v>14</v>
      </c>
      <c r="B18" s="195" t="s">
        <v>29</v>
      </c>
      <c r="C18" s="411">
        <v>98091</v>
      </c>
      <c r="D18" s="411">
        <v>103426</v>
      </c>
      <c r="E18" s="411">
        <v>201517</v>
      </c>
      <c r="F18" s="411">
        <v>9010</v>
      </c>
      <c r="G18" s="411">
        <v>7699</v>
      </c>
      <c r="H18" s="411">
        <v>16709</v>
      </c>
      <c r="I18" s="411">
        <v>14382</v>
      </c>
      <c r="J18" s="411">
        <v>21291</v>
      </c>
      <c r="K18" s="411">
        <v>35673</v>
      </c>
      <c r="L18" s="411">
        <v>37470</v>
      </c>
      <c r="M18" s="411">
        <v>38654</v>
      </c>
      <c r="N18" s="411">
        <v>76124</v>
      </c>
      <c r="O18" s="411">
        <v>55</v>
      </c>
      <c r="P18" s="411">
        <v>15</v>
      </c>
      <c r="Q18" s="411">
        <v>70</v>
      </c>
      <c r="R18" s="411">
        <v>3965</v>
      </c>
      <c r="S18" s="411">
        <v>3954</v>
      </c>
      <c r="T18" s="411">
        <v>7919</v>
      </c>
      <c r="U18" s="411">
        <v>940</v>
      </c>
      <c r="V18" s="411">
        <v>1761</v>
      </c>
      <c r="W18" s="411">
        <v>2701</v>
      </c>
      <c r="X18" s="411">
        <v>455</v>
      </c>
      <c r="Y18" s="411">
        <v>308</v>
      </c>
      <c r="Z18" s="411">
        <v>763</v>
      </c>
    </row>
    <row r="19" spans="1:26" s="193" customFormat="1" ht="23.25" customHeight="1">
      <c r="A19" s="427">
        <v>15</v>
      </c>
      <c r="B19" s="195" t="s">
        <v>30</v>
      </c>
      <c r="C19" s="411">
        <v>316364</v>
      </c>
      <c r="D19" s="411">
        <v>324708</v>
      </c>
      <c r="E19" s="411">
        <v>641072</v>
      </c>
      <c r="F19" s="411">
        <v>40387</v>
      </c>
      <c r="G19" s="411">
        <v>40198</v>
      </c>
      <c r="H19" s="411">
        <v>80585</v>
      </c>
      <c r="I19" s="411">
        <v>14288</v>
      </c>
      <c r="J19" s="411">
        <v>15952</v>
      </c>
      <c r="K19" s="411">
        <v>30240</v>
      </c>
      <c r="L19" s="411">
        <v>138209</v>
      </c>
      <c r="M19" s="411">
        <v>150862</v>
      </c>
      <c r="N19" s="411">
        <v>289071</v>
      </c>
      <c r="O19" s="411">
        <v>611</v>
      </c>
      <c r="P19" s="411">
        <v>487</v>
      </c>
      <c r="Q19" s="411">
        <v>1098</v>
      </c>
      <c r="R19" s="411">
        <v>14302</v>
      </c>
      <c r="S19" s="411">
        <v>14490</v>
      </c>
      <c r="T19" s="411">
        <v>28792</v>
      </c>
      <c r="U19" s="411">
        <v>8442</v>
      </c>
      <c r="V19" s="411">
        <v>11582</v>
      </c>
      <c r="W19" s="411">
        <v>20024</v>
      </c>
      <c r="X19" s="411">
        <v>5532</v>
      </c>
      <c r="Y19" s="411">
        <v>5957</v>
      </c>
      <c r="Z19" s="411">
        <v>11489</v>
      </c>
    </row>
    <row r="20" spans="1:26" s="193" customFormat="1" ht="23.25" customHeight="1">
      <c r="A20" s="427">
        <v>16</v>
      </c>
      <c r="B20" s="195" t="s">
        <v>31</v>
      </c>
      <c r="C20" s="411">
        <v>88734</v>
      </c>
      <c r="D20" s="411">
        <v>156135</v>
      </c>
      <c r="E20" s="411">
        <v>244869</v>
      </c>
      <c r="F20" s="411">
        <v>6307</v>
      </c>
      <c r="G20" s="411">
        <v>9849</v>
      </c>
      <c r="H20" s="411">
        <v>16156</v>
      </c>
      <c r="I20" s="411">
        <v>1454</v>
      </c>
      <c r="J20" s="411">
        <v>1819</v>
      </c>
      <c r="K20" s="411">
        <v>3273</v>
      </c>
      <c r="L20" s="411">
        <v>34284</v>
      </c>
      <c r="M20" s="411">
        <v>65042</v>
      </c>
      <c r="N20" s="411">
        <v>99326</v>
      </c>
      <c r="O20" s="411">
        <v>416</v>
      </c>
      <c r="P20" s="411">
        <v>385</v>
      </c>
      <c r="Q20" s="411">
        <v>801</v>
      </c>
      <c r="R20" s="411">
        <v>7688</v>
      </c>
      <c r="S20" s="411">
        <v>16816</v>
      </c>
      <c r="T20" s="411">
        <v>24504</v>
      </c>
      <c r="U20" s="411">
        <v>7207</v>
      </c>
      <c r="V20" s="411">
        <v>13693</v>
      </c>
      <c r="W20" s="411">
        <v>20900</v>
      </c>
      <c r="X20" s="411">
        <v>1214</v>
      </c>
      <c r="Y20" s="411">
        <v>3238</v>
      </c>
      <c r="Z20" s="411">
        <v>4452</v>
      </c>
    </row>
    <row r="21" spans="1:26" s="193" customFormat="1" ht="23.25" customHeight="1">
      <c r="A21" s="427">
        <v>17</v>
      </c>
      <c r="B21" s="140" t="s">
        <v>154</v>
      </c>
      <c r="C21" s="411">
        <v>254</v>
      </c>
      <c r="D21" s="411">
        <v>280</v>
      </c>
      <c r="E21" s="411">
        <v>534</v>
      </c>
      <c r="F21" s="411">
        <v>47</v>
      </c>
      <c r="G21" s="411">
        <v>17</v>
      </c>
      <c r="H21" s="411">
        <v>64</v>
      </c>
      <c r="I21" s="411">
        <v>99</v>
      </c>
      <c r="J21" s="411">
        <v>255</v>
      </c>
      <c r="K21" s="411">
        <v>354</v>
      </c>
      <c r="L21" s="411">
        <v>9</v>
      </c>
      <c r="M21" s="411">
        <v>0</v>
      </c>
      <c r="N21" s="411">
        <v>9</v>
      </c>
      <c r="O21" s="411">
        <v>0</v>
      </c>
      <c r="P21" s="411">
        <v>0</v>
      </c>
      <c r="Q21" s="411">
        <v>0</v>
      </c>
      <c r="R21" s="411">
        <v>27</v>
      </c>
      <c r="S21" s="411">
        <v>42</v>
      </c>
      <c r="T21" s="411">
        <v>69</v>
      </c>
      <c r="U21" s="411">
        <v>45</v>
      </c>
      <c r="V21" s="411">
        <v>99</v>
      </c>
      <c r="W21" s="411">
        <v>144</v>
      </c>
      <c r="X21" s="411">
        <v>0</v>
      </c>
      <c r="Y21" s="411">
        <v>0</v>
      </c>
      <c r="Z21" s="411">
        <v>0</v>
      </c>
    </row>
    <row r="22" spans="1:26" s="193" customFormat="1" ht="23.25" customHeight="1">
      <c r="A22" s="427">
        <v>18</v>
      </c>
      <c r="B22" s="195" t="s">
        <v>32</v>
      </c>
      <c r="C22" s="411">
        <v>3</v>
      </c>
      <c r="D22" s="411">
        <v>23</v>
      </c>
      <c r="E22" s="411">
        <v>26</v>
      </c>
      <c r="F22" s="411">
        <v>0</v>
      </c>
      <c r="G22" s="411">
        <v>0</v>
      </c>
      <c r="H22" s="411">
        <v>0</v>
      </c>
      <c r="I22" s="411">
        <v>0</v>
      </c>
      <c r="J22" s="411">
        <v>0</v>
      </c>
      <c r="K22" s="411">
        <v>0</v>
      </c>
      <c r="L22" s="411">
        <v>0</v>
      </c>
      <c r="M22" s="411">
        <v>0</v>
      </c>
      <c r="N22" s="411">
        <v>0</v>
      </c>
      <c r="O22" s="411">
        <v>0</v>
      </c>
      <c r="P22" s="411">
        <v>0</v>
      </c>
      <c r="Q22" s="411">
        <v>0</v>
      </c>
      <c r="R22" s="411">
        <v>0</v>
      </c>
      <c r="S22" s="411">
        <v>0</v>
      </c>
      <c r="T22" s="411">
        <v>0</v>
      </c>
      <c r="U22" s="411">
        <v>0</v>
      </c>
      <c r="V22" s="411">
        <v>0</v>
      </c>
      <c r="W22" s="411">
        <v>0</v>
      </c>
      <c r="X22" s="411">
        <v>0</v>
      </c>
      <c r="Y22" s="411">
        <v>0</v>
      </c>
      <c r="Z22" s="411">
        <v>0</v>
      </c>
    </row>
    <row r="23" spans="1:26" s="193" customFormat="1" ht="23.25" customHeight="1">
      <c r="A23" s="427">
        <v>19</v>
      </c>
      <c r="B23" s="195" t="s">
        <v>33</v>
      </c>
      <c r="C23" s="411">
        <v>391600</v>
      </c>
      <c r="D23" s="411">
        <v>373765</v>
      </c>
      <c r="E23" s="411">
        <v>765365</v>
      </c>
      <c r="F23" s="411">
        <v>56193</v>
      </c>
      <c r="G23" s="411">
        <v>52352</v>
      </c>
      <c r="H23" s="411">
        <v>108545</v>
      </c>
      <c r="I23" s="411">
        <v>37492</v>
      </c>
      <c r="J23" s="411">
        <v>40414</v>
      </c>
      <c r="K23" s="411">
        <v>77906</v>
      </c>
      <c r="L23" s="411">
        <v>149250</v>
      </c>
      <c r="M23" s="411">
        <v>147138</v>
      </c>
      <c r="N23" s="411">
        <v>296388</v>
      </c>
      <c r="O23" s="411">
        <v>290</v>
      </c>
      <c r="P23" s="411">
        <v>123</v>
      </c>
      <c r="Q23" s="411">
        <v>413</v>
      </c>
      <c r="R23" s="411">
        <v>4698</v>
      </c>
      <c r="S23" s="411">
        <v>4259</v>
      </c>
      <c r="T23" s="411">
        <v>8957</v>
      </c>
      <c r="U23" s="411">
        <v>2606</v>
      </c>
      <c r="V23" s="411">
        <v>2715</v>
      </c>
      <c r="W23" s="411">
        <v>5321</v>
      </c>
      <c r="X23" s="411">
        <v>1576</v>
      </c>
      <c r="Y23" s="411">
        <v>1137</v>
      </c>
      <c r="Z23" s="411">
        <v>2713</v>
      </c>
    </row>
    <row r="24" spans="1:26" s="193" customFormat="1" ht="23.25" customHeight="1">
      <c r="A24" s="427">
        <v>20</v>
      </c>
      <c r="B24" s="195" t="s">
        <v>34</v>
      </c>
      <c r="C24" s="411">
        <v>649427</v>
      </c>
      <c r="D24" s="411">
        <v>551623</v>
      </c>
      <c r="E24" s="411">
        <v>1201050</v>
      </c>
      <c r="F24" s="411">
        <v>67939</v>
      </c>
      <c r="G24" s="411">
        <v>60001</v>
      </c>
      <c r="H24" s="411">
        <v>127940</v>
      </c>
      <c r="I24" s="411">
        <v>26556</v>
      </c>
      <c r="J24" s="411">
        <v>20818</v>
      </c>
      <c r="K24" s="411">
        <v>47374</v>
      </c>
      <c r="L24" s="411">
        <v>177712</v>
      </c>
      <c r="M24" s="411">
        <v>154844</v>
      </c>
      <c r="N24" s="411">
        <v>332556</v>
      </c>
      <c r="O24" s="411">
        <v>1028</v>
      </c>
      <c r="P24" s="411">
        <v>621</v>
      </c>
      <c r="Q24" s="411">
        <v>1649</v>
      </c>
      <c r="R24" s="411">
        <v>13440</v>
      </c>
      <c r="S24" s="411">
        <v>13006</v>
      </c>
      <c r="T24" s="411">
        <v>26446</v>
      </c>
      <c r="U24" s="411">
        <v>8623</v>
      </c>
      <c r="V24" s="411">
        <v>8832</v>
      </c>
      <c r="W24" s="411">
        <v>17455</v>
      </c>
      <c r="X24" s="411">
        <v>4808</v>
      </c>
      <c r="Y24" s="411">
        <v>4125</v>
      </c>
      <c r="Z24" s="411">
        <v>8933</v>
      </c>
    </row>
    <row r="25" spans="1:26" s="193" customFormat="1" ht="23.25" customHeight="1">
      <c r="A25" s="427">
        <v>21</v>
      </c>
      <c r="B25" s="195" t="s">
        <v>35</v>
      </c>
      <c r="C25" s="411">
        <v>11379</v>
      </c>
      <c r="D25" s="411">
        <v>12000</v>
      </c>
      <c r="E25" s="411">
        <v>23379</v>
      </c>
      <c r="F25" s="411">
        <v>703</v>
      </c>
      <c r="G25" s="411">
        <v>749</v>
      </c>
      <c r="H25" s="411">
        <v>1452</v>
      </c>
      <c r="I25" s="411">
        <v>3445</v>
      </c>
      <c r="J25" s="411">
        <v>3655</v>
      </c>
      <c r="K25" s="411">
        <v>7100</v>
      </c>
      <c r="L25" s="411">
        <v>3327</v>
      </c>
      <c r="M25" s="411">
        <v>4119</v>
      </c>
      <c r="N25" s="411">
        <v>7446</v>
      </c>
      <c r="O25" s="411">
        <v>0</v>
      </c>
      <c r="P25" s="411">
        <v>3</v>
      </c>
      <c r="Q25" s="411">
        <v>3</v>
      </c>
      <c r="R25" s="411">
        <v>103</v>
      </c>
      <c r="S25" s="411">
        <v>174</v>
      </c>
      <c r="T25" s="411">
        <v>277</v>
      </c>
      <c r="U25" s="411">
        <v>78</v>
      </c>
      <c r="V25" s="411">
        <v>583</v>
      </c>
      <c r="W25" s="411">
        <v>661</v>
      </c>
      <c r="X25" s="411">
        <v>1</v>
      </c>
      <c r="Y25" s="411">
        <v>35</v>
      </c>
      <c r="Z25" s="411">
        <v>36</v>
      </c>
    </row>
    <row r="26" spans="1:26" s="193" customFormat="1" ht="23.25" customHeight="1">
      <c r="A26" s="427">
        <v>22</v>
      </c>
      <c r="B26" s="195" t="s">
        <v>36</v>
      </c>
      <c r="C26" s="411">
        <v>8997</v>
      </c>
      <c r="D26" s="411">
        <v>12093</v>
      </c>
      <c r="E26" s="411">
        <v>21090</v>
      </c>
      <c r="F26" s="411">
        <v>146</v>
      </c>
      <c r="G26" s="411">
        <v>119</v>
      </c>
      <c r="H26" s="411">
        <v>265</v>
      </c>
      <c r="I26" s="411">
        <v>6869</v>
      </c>
      <c r="J26" s="411">
        <v>9846</v>
      </c>
      <c r="K26" s="411">
        <v>16715</v>
      </c>
      <c r="L26" s="411">
        <v>215</v>
      </c>
      <c r="M26" s="411">
        <v>302</v>
      </c>
      <c r="N26" s="411">
        <v>517</v>
      </c>
      <c r="O26" s="411">
        <v>2</v>
      </c>
      <c r="P26" s="411">
        <v>2</v>
      </c>
      <c r="Q26" s="411">
        <v>4</v>
      </c>
      <c r="R26" s="411">
        <v>239</v>
      </c>
      <c r="S26" s="411">
        <v>275</v>
      </c>
      <c r="T26" s="411">
        <v>514</v>
      </c>
      <c r="U26" s="411">
        <v>1597</v>
      </c>
      <c r="V26" s="411">
        <v>2340</v>
      </c>
      <c r="W26" s="411">
        <v>3937</v>
      </c>
      <c r="X26" s="411">
        <v>1</v>
      </c>
      <c r="Y26" s="411">
        <v>5</v>
      </c>
      <c r="Z26" s="411">
        <v>6</v>
      </c>
    </row>
    <row r="27" spans="1:26" s="193" customFormat="1" ht="23.25" customHeight="1">
      <c r="A27" s="427">
        <v>23</v>
      </c>
      <c r="B27" s="195" t="s">
        <v>37</v>
      </c>
      <c r="C27" s="411">
        <v>3049</v>
      </c>
      <c r="D27" s="411">
        <v>3277</v>
      </c>
      <c r="E27" s="411">
        <v>6326</v>
      </c>
      <c r="F27" s="411">
        <v>42</v>
      </c>
      <c r="G27" s="411">
        <v>67</v>
      </c>
      <c r="H27" s="411">
        <v>109</v>
      </c>
      <c r="I27" s="411">
        <v>2690</v>
      </c>
      <c r="J27" s="411">
        <v>2865</v>
      </c>
      <c r="K27" s="411">
        <v>5555</v>
      </c>
      <c r="L27" s="411">
        <v>110</v>
      </c>
      <c r="M27" s="411">
        <v>92</v>
      </c>
      <c r="N27" s="411">
        <v>202</v>
      </c>
      <c r="O27" s="411">
        <v>3</v>
      </c>
      <c r="P27" s="411">
        <v>0</v>
      </c>
      <c r="Q27" s="411">
        <v>3</v>
      </c>
      <c r="R27" s="411">
        <v>6</v>
      </c>
      <c r="S27" s="411">
        <v>4</v>
      </c>
      <c r="T27" s="411">
        <v>10</v>
      </c>
      <c r="U27" s="411">
        <v>1286</v>
      </c>
      <c r="V27" s="411">
        <v>1424</v>
      </c>
      <c r="W27" s="411">
        <v>2710</v>
      </c>
      <c r="X27" s="411">
        <v>0</v>
      </c>
      <c r="Y27" s="411">
        <v>0</v>
      </c>
      <c r="Z27" s="411">
        <v>0</v>
      </c>
    </row>
    <row r="28" spans="1:26" s="193" customFormat="1" ht="23.25" customHeight="1">
      <c r="A28" s="427">
        <v>24</v>
      </c>
      <c r="B28" s="195" t="s">
        <v>38</v>
      </c>
      <c r="C28" s="411">
        <v>6322</v>
      </c>
      <c r="D28" s="411">
        <v>7442</v>
      </c>
      <c r="E28" s="411">
        <v>13764</v>
      </c>
      <c r="F28" s="411">
        <v>163</v>
      </c>
      <c r="G28" s="411">
        <v>173</v>
      </c>
      <c r="H28" s="411">
        <v>336</v>
      </c>
      <c r="I28" s="411">
        <v>5143</v>
      </c>
      <c r="J28" s="411">
        <v>6328</v>
      </c>
      <c r="K28" s="411">
        <v>11471</v>
      </c>
      <c r="L28" s="411">
        <v>241</v>
      </c>
      <c r="M28" s="411">
        <v>268</v>
      </c>
      <c r="N28" s="411">
        <v>509</v>
      </c>
      <c r="O28" s="411">
        <v>2</v>
      </c>
      <c r="P28" s="411">
        <v>1</v>
      </c>
      <c r="Q28" s="411">
        <v>3</v>
      </c>
      <c r="R28" s="411">
        <v>155</v>
      </c>
      <c r="S28" s="411">
        <v>137</v>
      </c>
      <c r="T28" s="411">
        <v>292</v>
      </c>
      <c r="U28" s="411">
        <v>2305</v>
      </c>
      <c r="V28" s="411">
        <v>2982</v>
      </c>
      <c r="W28" s="411">
        <v>5287</v>
      </c>
      <c r="X28" s="411">
        <v>0</v>
      </c>
      <c r="Y28" s="411">
        <v>68</v>
      </c>
      <c r="Z28" s="411">
        <v>68</v>
      </c>
    </row>
    <row r="29" spans="1:26" s="193" customFormat="1" ht="23.25" customHeight="1">
      <c r="A29" s="427">
        <v>25</v>
      </c>
      <c r="B29" s="195" t="s">
        <v>39</v>
      </c>
      <c r="C29" s="411">
        <v>127109</v>
      </c>
      <c r="D29" s="411">
        <v>115961</v>
      </c>
      <c r="E29" s="411">
        <v>243070</v>
      </c>
      <c r="F29" s="411">
        <v>18971</v>
      </c>
      <c r="G29" s="411">
        <v>16622</v>
      </c>
      <c r="H29" s="411">
        <v>35593</v>
      </c>
      <c r="I29" s="411">
        <v>12709</v>
      </c>
      <c r="J29" s="411">
        <v>13039</v>
      </c>
      <c r="K29" s="411">
        <v>25748</v>
      </c>
      <c r="L29" s="411">
        <v>31739</v>
      </c>
      <c r="M29" s="411">
        <v>27920</v>
      </c>
      <c r="N29" s="411">
        <v>59659</v>
      </c>
      <c r="O29" s="411">
        <v>160</v>
      </c>
      <c r="P29" s="411">
        <v>60</v>
      </c>
      <c r="Q29" s="411">
        <v>220</v>
      </c>
      <c r="R29" s="411">
        <v>1404</v>
      </c>
      <c r="S29" s="411">
        <v>1042</v>
      </c>
      <c r="T29" s="411">
        <v>2446</v>
      </c>
      <c r="U29" s="411">
        <v>775</v>
      </c>
      <c r="V29" s="411">
        <v>666</v>
      </c>
      <c r="W29" s="411">
        <v>1441</v>
      </c>
      <c r="X29" s="411">
        <v>1127</v>
      </c>
      <c r="Y29" s="411">
        <v>774</v>
      </c>
      <c r="Z29" s="411">
        <v>1901</v>
      </c>
    </row>
    <row r="30" spans="1:26" s="193" customFormat="1" ht="23.25" customHeight="1">
      <c r="A30" s="427">
        <v>26</v>
      </c>
      <c r="B30" s="195" t="s">
        <v>40</v>
      </c>
      <c r="C30" s="411">
        <v>13671</v>
      </c>
      <c r="D30" s="411">
        <v>15931</v>
      </c>
      <c r="E30" s="411">
        <v>29602</v>
      </c>
      <c r="F30" s="411">
        <v>804</v>
      </c>
      <c r="G30" s="411">
        <v>717</v>
      </c>
      <c r="H30" s="411">
        <v>1521</v>
      </c>
      <c r="I30" s="411">
        <v>53</v>
      </c>
      <c r="J30" s="411">
        <v>28</v>
      </c>
      <c r="K30" s="411">
        <v>81</v>
      </c>
      <c r="L30" s="411">
        <v>3703</v>
      </c>
      <c r="M30" s="411">
        <v>4551</v>
      </c>
      <c r="N30" s="411">
        <v>8254</v>
      </c>
      <c r="O30" s="411">
        <v>22</v>
      </c>
      <c r="P30" s="411">
        <v>4</v>
      </c>
      <c r="Q30" s="411">
        <v>26</v>
      </c>
      <c r="R30" s="411">
        <v>172</v>
      </c>
      <c r="S30" s="411">
        <v>168</v>
      </c>
      <c r="T30" s="411">
        <v>340</v>
      </c>
      <c r="U30" s="411">
        <v>133</v>
      </c>
      <c r="V30" s="411">
        <v>372</v>
      </c>
      <c r="W30" s="411">
        <v>505</v>
      </c>
      <c r="X30" s="411">
        <v>21</v>
      </c>
      <c r="Y30" s="411">
        <v>13</v>
      </c>
      <c r="Z30" s="411">
        <v>34</v>
      </c>
    </row>
    <row r="31" spans="1:26" s="193" customFormat="1" ht="23.25" customHeight="1">
      <c r="A31" s="427">
        <v>27</v>
      </c>
      <c r="B31" s="195" t="s">
        <v>41</v>
      </c>
      <c r="C31" s="411">
        <v>106062</v>
      </c>
      <c r="D31" s="411">
        <v>131928</v>
      </c>
      <c r="E31" s="411">
        <v>237990</v>
      </c>
      <c r="F31" s="411">
        <v>17417</v>
      </c>
      <c r="G31" s="411">
        <v>28849</v>
      </c>
      <c r="H31" s="411">
        <v>46266</v>
      </c>
      <c r="I31" s="411">
        <v>709</v>
      </c>
      <c r="J31" s="411">
        <v>1019</v>
      </c>
      <c r="K31" s="411">
        <v>1728</v>
      </c>
      <c r="L31" s="411">
        <v>15214</v>
      </c>
      <c r="M31" s="411">
        <v>18263</v>
      </c>
      <c r="N31" s="411">
        <v>33477</v>
      </c>
      <c r="O31" s="411">
        <v>80</v>
      </c>
      <c r="P31" s="411">
        <v>54</v>
      </c>
      <c r="Q31" s="411">
        <v>134</v>
      </c>
      <c r="R31" s="411">
        <v>3598</v>
      </c>
      <c r="S31" s="411">
        <v>1448</v>
      </c>
      <c r="T31" s="411">
        <v>5046</v>
      </c>
      <c r="U31" s="411">
        <v>8469</v>
      </c>
      <c r="V31" s="411">
        <v>15182</v>
      </c>
      <c r="W31" s="411">
        <v>23651</v>
      </c>
      <c r="X31" s="411">
        <v>1673</v>
      </c>
      <c r="Y31" s="411">
        <v>1495</v>
      </c>
      <c r="Z31" s="411">
        <v>3168</v>
      </c>
    </row>
    <row r="32" spans="1:26" s="193" customFormat="1" ht="23.25" customHeight="1">
      <c r="A32" s="427">
        <v>28</v>
      </c>
      <c r="B32" s="195" t="s">
        <v>42</v>
      </c>
      <c r="C32" s="411">
        <v>351626</v>
      </c>
      <c r="D32" s="411">
        <v>355553</v>
      </c>
      <c r="E32" s="411">
        <v>707179</v>
      </c>
      <c r="F32" s="411">
        <v>57546</v>
      </c>
      <c r="G32" s="411">
        <v>55491</v>
      </c>
      <c r="H32" s="411">
        <v>113037</v>
      </c>
      <c r="I32" s="411">
        <v>42199</v>
      </c>
      <c r="J32" s="411">
        <v>45081</v>
      </c>
      <c r="K32" s="411">
        <v>87280</v>
      </c>
      <c r="L32" s="411">
        <v>145932</v>
      </c>
      <c r="M32" s="411">
        <v>152742</v>
      </c>
      <c r="N32" s="411">
        <v>298674</v>
      </c>
      <c r="O32" s="411">
        <v>253</v>
      </c>
      <c r="P32" s="411">
        <v>253</v>
      </c>
      <c r="Q32" s="411">
        <v>506</v>
      </c>
      <c r="R32" s="411">
        <v>4359</v>
      </c>
      <c r="S32" s="411">
        <v>4597</v>
      </c>
      <c r="T32" s="411">
        <v>8956</v>
      </c>
      <c r="U32" s="411">
        <v>1717</v>
      </c>
      <c r="V32" s="411">
        <v>2222</v>
      </c>
      <c r="W32" s="411">
        <v>3939</v>
      </c>
      <c r="X32" s="411">
        <v>4846</v>
      </c>
      <c r="Y32" s="411">
        <v>5271</v>
      </c>
      <c r="Z32" s="411">
        <v>10117</v>
      </c>
    </row>
    <row r="33" spans="1:26" s="193" customFormat="1" ht="23.25" customHeight="1">
      <c r="A33" s="427">
        <v>29</v>
      </c>
      <c r="B33" s="195" t="s">
        <v>43</v>
      </c>
      <c r="C33" s="411">
        <v>4720</v>
      </c>
      <c r="D33" s="411">
        <v>4299</v>
      </c>
      <c r="E33" s="411">
        <v>9019</v>
      </c>
      <c r="F33" s="411">
        <v>158</v>
      </c>
      <c r="G33" s="411">
        <v>127</v>
      </c>
      <c r="H33" s="411">
        <v>285</v>
      </c>
      <c r="I33" s="411">
        <v>550</v>
      </c>
      <c r="J33" s="411">
        <v>821</v>
      </c>
      <c r="K33" s="411">
        <v>1371</v>
      </c>
      <c r="L33" s="411">
        <v>609</v>
      </c>
      <c r="M33" s="411">
        <v>827</v>
      </c>
      <c r="N33" s="411">
        <v>1436</v>
      </c>
      <c r="O33" s="411">
        <v>0</v>
      </c>
      <c r="P33" s="411">
        <v>1</v>
      </c>
      <c r="Q33" s="411">
        <v>1</v>
      </c>
      <c r="R33" s="411">
        <v>30</v>
      </c>
      <c r="S33" s="411">
        <v>85</v>
      </c>
      <c r="T33" s="411">
        <v>115</v>
      </c>
      <c r="U33" s="411">
        <v>208</v>
      </c>
      <c r="V33" s="411">
        <v>343</v>
      </c>
      <c r="W33" s="411">
        <v>551</v>
      </c>
      <c r="X33" s="411">
        <v>2</v>
      </c>
      <c r="Y33" s="411">
        <v>0</v>
      </c>
      <c r="Z33" s="411">
        <v>2</v>
      </c>
    </row>
    <row r="34" spans="1:26" s="193" customFormat="1" ht="23.25" customHeight="1">
      <c r="A34" s="427">
        <v>30</v>
      </c>
      <c r="B34" s="195" t="s">
        <v>44</v>
      </c>
      <c r="C34" s="411">
        <v>436139</v>
      </c>
      <c r="D34" s="411">
        <v>546517</v>
      </c>
      <c r="E34" s="411">
        <v>982656</v>
      </c>
      <c r="F34" s="411">
        <v>66243</v>
      </c>
      <c r="G34" s="411">
        <v>95993</v>
      </c>
      <c r="H34" s="411">
        <v>162236</v>
      </c>
      <c r="I34" s="411">
        <v>7860</v>
      </c>
      <c r="J34" s="411">
        <v>8435</v>
      </c>
      <c r="K34" s="411">
        <v>16295</v>
      </c>
      <c r="L34" s="411">
        <v>252908</v>
      </c>
      <c r="M34" s="411">
        <v>337016</v>
      </c>
      <c r="N34" s="411">
        <v>589924</v>
      </c>
      <c r="O34" s="411">
        <v>543</v>
      </c>
      <c r="P34" s="411">
        <v>838</v>
      </c>
      <c r="Q34" s="411">
        <v>1381</v>
      </c>
      <c r="R34" s="411">
        <v>14265</v>
      </c>
      <c r="S34" s="411">
        <v>13795</v>
      </c>
      <c r="T34" s="411">
        <v>28060</v>
      </c>
      <c r="U34" s="411">
        <v>19379</v>
      </c>
      <c r="V34" s="411">
        <v>25777</v>
      </c>
      <c r="W34" s="411">
        <v>45156</v>
      </c>
      <c r="X34" s="411">
        <v>2846</v>
      </c>
      <c r="Y34" s="411">
        <v>4840</v>
      </c>
      <c r="Z34" s="411">
        <v>7686</v>
      </c>
    </row>
    <row r="35" spans="1:26" s="193" customFormat="1" ht="23.25" customHeight="1">
      <c r="A35" s="427">
        <v>31</v>
      </c>
      <c r="B35" s="195" t="s">
        <v>131</v>
      </c>
      <c r="C35" s="411">
        <v>165486</v>
      </c>
      <c r="D35" s="411">
        <v>190558</v>
      </c>
      <c r="E35" s="411">
        <v>356044</v>
      </c>
      <c r="F35" s="411">
        <v>20472</v>
      </c>
      <c r="G35" s="411">
        <v>26072</v>
      </c>
      <c r="H35" s="411">
        <v>46544</v>
      </c>
      <c r="I35" s="411">
        <v>12102</v>
      </c>
      <c r="J35" s="411">
        <v>12875</v>
      </c>
      <c r="K35" s="411">
        <v>24977</v>
      </c>
      <c r="L35" s="411">
        <v>64894</v>
      </c>
      <c r="M35" s="411">
        <v>74566</v>
      </c>
      <c r="N35" s="411">
        <v>139460</v>
      </c>
      <c r="O35" s="411">
        <v>444</v>
      </c>
      <c r="P35" s="411">
        <v>326</v>
      </c>
      <c r="Q35" s="411">
        <v>770</v>
      </c>
      <c r="R35" s="411">
        <v>14344</v>
      </c>
      <c r="S35" s="411">
        <v>15511</v>
      </c>
      <c r="T35" s="411">
        <v>29855</v>
      </c>
      <c r="U35" s="411">
        <v>968</v>
      </c>
      <c r="V35" s="411">
        <v>1308</v>
      </c>
      <c r="W35" s="411">
        <v>2276</v>
      </c>
      <c r="X35" s="411">
        <v>1472</v>
      </c>
      <c r="Y35" s="411">
        <v>2432</v>
      </c>
      <c r="Z35" s="411">
        <v>3904</v>
      </c>
    </row>
    <row r="36" spans="1:26" s="193" customFormat="1" ht="42.75">
      <c r="A36" s="427">
        <v>32</v>
      </c>
      <c r="B36" s="194" t="s">
        <v>1062</v>
      </c>
      <c r="C36" s="411">
        <v>1264</v>
      </c>
      <c r="D36" s="411">
        <v>1375</v>
      </c>
      <c r="E36" s="411">
        <v>2639</v>
      </c>
      <c r="F36" s="411">
        <v>53</v>
      </c>
      <c r="G36" s="411">
        <v>70</v>
      </c>
      <c r="H36" s="411">
        <v>123</v>
      </c>
      <c r="I36" s="411">
        <v>185</v>
      </c>
      <c r="J36" s="411">
        <v>290</v>
      </c>
      <c r="K36" s="411">
        <v>475</v>
      </c>
      <c r="L36" s="411">
        <v>181</v>
      </c>
      <c r="M36" s="411">
        <v>229</v>
      </c>
      <c r="N36" s="411">
        <v>410</v>
      </c>
      <c r="O36" s="411">
        <v>2</v>
      </c>
      <c r="P36" s="411">
        <v>2</v>
      </c>
      <c r="Q36" s="411">
        <v>4</v>
      </c>
      <c r="R36" s="411">
        <v>19</v>
      </c>
      <c r="S36" s="411">
        <v>15</v>
      </c>
      <c r="T36" s="411">
        <v>34</v>
      </c>
      <c r="U36" s="411">
        <v>5</v>
      </c>
      <c r="V36" s="411">
        <v>82</v>
      </c>
      <c r="W36" s="411">
        <v>87</v>
      </c>
      <c r="X36" s="411">
        <v>1</v>
      </c>
      <c r="Y36" s="411">
        <v>2</v>
      </c>
      <c r="Z36" s="411">
        <v>3</v>
      </c>
    </row>
    <row r="37" spans="1:26" s="193" customFormat="1" ht="23.25" customHeight="1">
      <c r="A37" s="427">
        <v>33</v>
      </c>
      <c r="B37" s="195" t="s">
        <v>45</v>
      </c>
      <c r="C37" s="411">
        <v>11587</v>
      </c>
      <c r="D37" s="411">
        <v>11652</v>
      </c>
      <c r="E37" s="411">
        <v>23239</v>
      </c>
      <c r="F37" s="411">
        <v>2057</v>
      </c>
      <c r="G37" s="411">
        <v>2011</v>
      </c>
      <c r="H37" s="411">
        <v>4068</v>
      </c>
      <c r="I37" s="411">
        <v>2332</v>
      </c>
      <c r="J37" s="411">
        <v>2535</v>
      </c>
      <c r="K37" s="411">
        <v>4867</v>
      </c>
      <c r="L37" s="411">
        <v>1775</v>
      </c>
      <c r="M37" s="411">
        <v>1911</v>
      </c>
      <c r="N37" s="411">
        <v>3686</v>
      </c>
      <c r="O37" s="411">
        <v>50</v>
      </c>
      <c r="P37" s="411">
        <v>25</v>
      </c>
      <c r="Q37" s="411">
        <v>75</v>
      </c>
      <c r="R37" s="411">
        <v>180</v>
      </c>
      <c r="S37" s="411">
        <v>184</v>
      </c>
      <c r="T37" s="411">
        <v>364</v>
      </c>
      <c r="U37" s="411">
        <v>75</v>
      </c>
      <c r="V37" s="411">
        <v>72</v>
      </c>
      <c r="W37" s="411">
        <v>147</v>
      </c>
      <c r="X37" s="411">
        <v>45</v>
      </c>
      <c r="Y37" s="411">
        <v>29</v>
      </c>
      <c r="Z37" s="411">
        <v>74</v>
      </c>
    </row>
    <row r="38" spans="1:26" s="193" customFormat="1" ht="23.25" customHeight="1">
      <c r="A38" s="427">
        <v>34</v>
      </c>
      <c r="B38" s="195" t="s">
        <v>47</v>
      </c>
      <c r="C38" s="411">
        <v>829892</v>
      </c>
      <c r="D38" s="411">
        <v>807134</v>
      </c>
      <c r="E38" s="411">
        <v>1637026</v>
      </c>
      <c r="F38" s="411">
        <v>125563</v>
      </c>
      <c r="G38" s="411">
        <v>123709</v>
      </c>
      <c r="H38" s="411">
        <v>249272</v>
      </c>
      <c r="I38" s="411">
        <v>5246</v>
      </c>
      <c r="J38" s="411">
        <v>5143</v>
      </c>
      <c r="K38" s="411">
        <v>10389</v>
      </c>
      <c r="L38" s="411">
        <v>307702</v>
      </c>
      <c r="M38" s="411">
        <v>308592</v>
      </c>
      <c r="N38" s="411">
        <v>616294</v>
      </c>
      <c r="O38" s="411">
        <v>552</v>
      </c>
      <c r="P38" s="411">
        <v>732</v>
      </c>
      <c r="Q38" s="411">
        <v>1284</v>
      </c>
      <c r="R38" s="411">
        <v>25964</v>
      </c>
      <c r="S38" s="411">
        <v>29747</v>
      </c>
      <c r="T38" s="411">
        <v>55711</v>
      </c>
      <c r="U38" s="411">
        <v>2730</v>
      </c>
      <c r="V38" s="411">
        <v>2952</v>
      </c>
      <c r="W38" s="411">
        <v>5682</v>
      </c>
      <c r="X38" s="411">
        <v>3475</v>
      </c>
      <c r="Y38" s="411">
        <v>3417</v>
      </c>
      <c r="Z38" s="411">
        <v>6892</v>
      </c>
    </row>
    <row r="39" spans="1:26" s="193" customFormat="1" ht="23.25" customHeight="1">
      <c r="A39" s="427">
        <v>35</v>
      </c>
      <c r="B39" s="195" t="s">
        <v>46</v>
      </c>
      <c r="C39" s="411">
        <v>61241</v>
      </c>
      <c r="D39" s="411">
        <v>63347</v>
      </c>
      <c r="E39" s="411">
        <v>124588</v>
      </c>
      <c r="F39" s="411">
        <v>6225</v>
      </c>
      <c r="G39" s="411">
        <v>7651</v>
      </c>
      <c r="H39" s="411">
        <v>13876</v>
      </c>
      <c r="I39" s="411">
        <v>2013</v>
      </c>
      <c r="J39" s="411">
        <v>1965</v>
      </c>
      <c r="K39" s="411">
        <v>3978</v>
      </c>
      <c r="L39" s="411">
        <v>8657</v>
      </c>
      <c r="M39" s="411">
        <v>8757</v>
      </c>
      <c r="N39" s="411">
        <v>17414</v>
      </c>
      <c r="O39" s="411">
        <v>73</v>
      </c>
      <c r="P39" s="411">
        <v>47</v>
      </c>
      <c r="Q39" s="411">
        <v>120</v>
      </c>
      <c r="R39" s="411">
        <v>1799</v>
      </c>
      <c r="S39" s="411">
        <v>1460</v>
      </c>
      <c r="T39" s="411">
        <v>3259</v>
      </c>
      <c r="U39" s="411">
        <v>503</v>
      </c>
      <c r="V39" s="411">
        <v>583</v>
      </c>
      <c r="W39" s="411">
        <v>1086</v>
      </c>
      <c r="X39" s="411">
        <v>437</v>
      </c>
      <c r="Y39" s="411">
        <v>353</v>
      </c>
      <c r="Z39" s="411">
        <v>790</v>
      </c>
    </row>
    <row r="40" spans="1:26" s="193" customFormat="1" ht="23.25" customHeight="1">
      <c r="A40" s="427">
        <v>36</v>
      </c>
      <c r="B40" s="195" t="s">
        <v>48</v>
      </c>
      <c r="C40" s="411">
        <v>267343</v>
      </c>
      <c r="D40" s="411">
        <v>296568</v>
      </c>
      <c r="E40" s="411">
        <v>563911</v>
      </c>
      <c r="F40" s="411">
        <v>43871</v>
      </c>
      <c r="G40" s="411">
        <v>48106</v>
      </c>
      <c r="H40" s="411">
        <v>91977</v>
      </c>
      <c r="I40" s="411">
        <v>9634</v>
      </c>
      <c r="J40" s="411">
        <v>10893</v>
      </c>
      <c r="K40" s="411">
        <v>20527</v>
      </c>
      <c r="L40" s="411">
        <v>53172</v>
      </c>
      <c r="M40" s="411">
        <v>51948</v>
      </c>
      <c r="N40" s="411">
        <v>105120</v>
      </c>
      <c r="O40" s="411">
        <v>335</v>
      </c>
      <c r="P40" s="411">
        <v>256</v>
      </c>
      <c r="Q40" s="411">
        <v>591</v>
      </c>
      <c r="R40" s="411">
        <v>22218</v>
      </c>
      <c r="S40" s="411">
        <v>26441</v>
      </c>
      <c r="T40" s="411">
        <v>48659</v>
      </c>
      <c r="U40" s="411">
        <v>4136</v>
      </c>
      <c r="V40" s="411">
        <v>4651</v>
      </c>
      <c r="W40" s="411">
        <v>8787</v>
      </c>
      <c r="X40" s="411">
        <v>1051</v>
      </c>
      <c r="Y40" s="411">
        <v>1195</v>
      </c>
      <c r="Z40" s="411">
        <v>2246</v>
      </c>
    </row>
    <row r="41" spans="1:26" s="196" customFormat="1" ht="22.5" customHeight="1">
      <c r="A41" s="1054" t="s">
        <v>49</v>
      </c>
      <c r="B41" s="1161"/>
      <c r="C41" s="412">
        <v>5280551</v>
      </c>
      <c r="D41" s="412">
        <v>5458022</v>
      </c>
      <c r="E41" s="412">
        <v>10738573</v>
      </c>
      <c r="F41" s="412">
        <v>681677</v>
      </c>
      <c r="G41" s="412">
        <v>718650</v>
      </c>
      <c r="H41" s="412">
        <v>1400327</v>
      </c>
      <c r="I41" s="412">
        <v>290321</v>
      </c>
      <c r="J41" s="412">
        <v>321655</v>
      </c>
      <c r="K41" s="412">
        <v>611976</v>
      </c>
      <c r="L41" s="412">
        <v>1826480</v>
      </c>
      <c r="M41" s="412">
        <v>1921409</v>
      </c>
      <c r="N41" s="412">
        <v>3747889</v>
      </c>
      <c r="O41" s="412">
        <v>6488</v>
      </c>
      <c r="P41" s="412">
        <v>5645</v>
      </c>
      <c r="Q41" s="412">
        <v>12133</v>
      </c>
      <c r="R41" s="412">
        <v>182259</v>
      </c>
      <c r="S41" s="412">
        <v>192044</v>
      </c>
      <c r="T41" s="412">
        <v>374303</v>
      </c>
      <c r="U41" s="412">
        <v>80641</v>
      </c>
      <c r="V41" s="412">
        <v>110132</v>
      </c>
      <c r="W41" s="412">
        <v>190773</v>
      </c>
      <c r="X41" s="412">
        <v>43065</v>
      </c>
      <c r="Y41" s="412">
        <v>47035</v>
      </c>
      <c r="Z41" s="412">
        <v>90100</v>
      </c>
    </row>
  </sheetData>
  <mergeCells count="13">
    <mergeCell ref="U2:W2"/>
    <mergeCell ref="A41:B41"/>
    <mergeCell ref="X2:Z2"/>
    <mergeCell ref="C1:N1"/>
    <mergeCell ref="A2:A3"/>
    <mergeCell ref="B2:B3"/>
    <mergeCell ref="C2:E2"/>
    <mergeCell ref="F2:H2"/>
    <mergeCell ref="I2:K2"/>
    <mergeCell ref="L2:N2"/>
    <mergeCell ref="O2:Q2"/>
    <mergeCell ref="R2:T2"/>
    <mergeCell ref="O1:Z1"/>
  </mergeCells>
  <printOptions horizontalCentered="1"/>
  <pageMargins left="0.31496062992125984" right="0.15748031496062992" top="0.51181102362204722" bottom="0.39370078740157483" header="0.19685039370078741" footer="0.15748031496062992"/>
  <pageSetup paperSize="9" scale="77" firstPageNumber="21" orientation="portrait" useFirstPageNumber="1" r:id="rId1"/>
  <headerFooter>
    <oddFooter>&amp;L&amp;"Arial,Italic"&amp;9AISHE 2021-22&amp;CT-33a</oddFooter>
  </headerFooter>
  <colBreaks count="1" manualBreakCount="1">
    <brk id="14" max="40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E230"/>
  <sheetViews>
    <sheetView view="pageBreakPreview" topLeftCell="A208" zoomScaleSheetLayoutView="100" workbookViewId="0">
      <selection activeCell="C234" sqref="C234"/>
    </sheetView>
  </sheetViews>
  <sheetFormatPr defaultColWidth="9.28515625" defaultRowHeight="15"/>
  <cols>
    <col min="1" max="1" width="7.5703125" style="256" customWidth="1"/>
    <col min="2" max="2" width="76.42578125" style="258" customWidth="1"/>
    <col min="3" max="5" width="12" style="256" customWidth="1"/>
    <col min="6" max="16384" width="9.28515625" style="256"/>
  </cols>
  <sheetData>
    <row r="1" spans="1:5" s="180" customFormat="1" ht="25.9" customHeight="1">
      <c r="A1" s="1165" t="s">
        <v>905</v>
      </c>
      <c r="B1" s="1165"/>
      <c r="C1" s="1165"/>
      <c r="D1" s="1165"/>
      <c r="E1" s="1165"/>
    </row>
    <row r="2" spans="1:5" s="308" customFormat="1" ht="28.9" customHeight="1">
      <c r="A2" s="260" t="s">
        <v>988</v>
      </c>
      <c r="B2" s="260" t="s">
        <v>459</v>
      </c>
      <c r="C2" s="307" t="s">
        <v>87</v>
      </c>
      <c r="D2" s="307" t="s">
        <v>88</v>
      </c>
      <c r="E2" s="307" t="s">
        <v>12</v>
      </c>
    </row>
    <row r="3" spans="1:5" s="254" customFormat="1" ht="12">
      <c r="A3" s="253">
        <v>1</v>
      </c>
      <c r="B3" s="253">
        <v>2</v>
      </c>
      <c r="C3" s="253">
        <v>3</v>
      </c>
      <c r="D3" s="253">
        <v>4</v>
      </c>
      <c r="E3" s="253">
        <v>5</v>
      </c>
    </row>
    <row r="4" spans="1:5" ht="17.25" customHeight="1">
      <c r="A4" s="164">
        <v>1</v>
      </c>
      <c r="B4" s="255" t="s">
        <v>438</v>
      </c>
      <c r="C4" s="113">
        <v>457</v>
      </c>
      <c r="D4" s="113">
        <v>29464</v>
      </c>
      <c r="E4" s="113">
        <v>29921</v>
      </c>
    </row>
    <row r="5" spans="1:5" ht="17.25" customHeight="1">
      <c r="A5" s="164">
        <v>2</v>
      </c>
      <c r="B5" s="255" t="s">
        <v>298</v>
      </c>
      <c r="C5" s="113">
        <v>5545</v>
      </c>
      <c r="D5" s="113">
        <v>3349</v>
      </c>
      <c r="E5" s="113">
        <v>8894</v>
      </c>
    </row>
    <row r="6" spans="1:5" ht="17.25" customHeight="1">
      <c r="A6" s="164">
        <v>3</v>
      </c>
      <c r="B6" s="255" t="s">
        <v>406</v>
      </c>
      <c r="C6" s="113">
        <v>11</v>
      </c>
      <c r="D6" s="113">
        <v>3</v>
      </c>
      <c r="E6" s="113">
        <v>14</v>
      </c>
    </row>
    <row r="7" spans="1:5" ht="17.25" customHeight="1">
      <c r="A7" s="164">
        <v>4</v>
      </c>
      <c r="B7" s="255" t="s">
        <v>796</v>
      </c>
      <c r="C7" s="113">
        <v>199</v>
      </c>
      <c r="D7" s="113">
        <v>139</v>
      </c>
      <c r="E7" s="113">
        <v>338</v>
      </c>
    </row>
    <row r="8" spans="1:5" ht="17.25" customHeight="1">
      <c r="A8" s="164">
        <v>5</v>
      </c>
      <c r="B8" s="255" t="s">
        <v>807</v>
      </c>
      <c r="C8" s="113">
        <v>9</v>
      </c>
      <c r="D8" s="113">
        <v>0</v>
      </c>
      <c r="E8" s="113">
        <v>9</v>
      </c>
    </row>
    <row r="9" spans="1:5" ht="17.25" customHeight="1">
      <c r="A9" s="164">
        <v>6</v>
      </c>
      <c r="B9" s="255" t="s">
        <v>281</v>
      </c>
      <c r="C9" s="113">
        <v>29</v>
      </c>
      <c r="D9" s="113">
        <v>30</v>
      </c>
      <c r="E9" s="113">
        <v>59</v>
      </c>
    </row>
    <row r="10" spans="1:5" ht="17.25" customHeight="1">
      <c r="A10" s="164">
        <v>7</v>
      </c>
      <c r="B10" s="255" t="s">
        <v>382</v>
      </c>
      <c r="C10" s="113">
        <v>1732</v>
      </c>
      <c r="D10" s="113">
        <v>2911</v>
      </c>
      <c r="E10" s="113">
        <v>4643</v>
      </c>
    </row>
    <row r="11" spans="1:5" ht="17.25" customHeight="1">
      <c r="A11" s="164">
        <v>8</v>
      </c>
      <c r="B11" s="255" t="s">
        <v>442</v>
      </c>
      <c r="C11" s="113">
        <v>5546</v>
      </c>
      <c r="D11" s="113">
        <v>7393</v>
      </c>
      <c r="E11" s="113">
        <v>12939</v>
      </c>
    </row>
    <row r="12" spans="1:5" ht="17.25" customHeight="1">
      <c r="A12" s="164">
        <v>9</v>
      </c>
      <c r="B12" s="255" t="s">
        <v>441</v>
      </c>
      <c r="C12" s="113">
        <v>12042</v>
      </c>
      <c r="D12" s="113">
        <v>9412</v>
      </c>
      <c r="E12" s="113">
        <v>21454</v>
      </c>
    </row>
    <row r="13" spans="1:5" ht="17.25" customHeight="1">
      <c r="A13" s="164">
        <v>10</v>
      </c>
      <c r="B13" s="255" t="s">
        <v>356</v>
      </c>
      <c r="C13" s="113">
        <v>175802</v>
      </c>
      <c r="D13" s="113">
        <v>227304</v>
      </c>
      <c r="E13" s="113">
        <v>403106</v>
      </c>
    </row>
    <row r="14" spans="1:5" ht="17.25" customHeight="1">
      <c r="A14" s="164">
        <v>11</v>
      </c>
      <c r="B14" s="255" t="s">
        <v>352</v>
      </c>
      <c r="C14" s="113">
        <v>1110737</v>
      </c>
      <c r="D14" s="113">
        <v>1305578</v>
      </c>
      <c r="E14" s="113">
        <v>2416315</v>
      </c>
    </row>
    <row r="15" spans="1:5" ht="17.25" customHeight="1">
      <c r="A15" s="164">
        <v>12</v>
      </c>
      <c r="B15" s="255" t="s">
        <v>408</v>
      </c>
      <c r="C15" s="113">
        <v>274</v>
      </c>
      <c r="D15" s="113">
        <v>547</v>
      </c>
      <c r="E15" s="113">
        <v>821</v>
      </c>
    </row>
    <row r="16" spans="1:5" ht="17.25" customHeight="1">
      <c r="A16" s="164">
        <v>13</v>
      </c>
      <c r="B16" s="255" t="s">
        <v>370</v>
      </c>
      <c r="C16" s="113">
        <v>3837</v>
      </c>
      <c r="D16" s="113">
        <v>5993</v>
      </c>
      <c r="E16" s="113">
        <v>9830</v>
      </c>
    </row>
    <row r="17" spans="1:5" ht="17.25" customHeight="1">
      <c r="A17" s="164">
        <v>14</v>
      </c>
      <c r="B17" s="255" t="s">
        <v>402</v>
      </c>
      <c r="C17" s="113">
        <v>185</v>
      </c>
      <c r="D17" s="113">
        <v>472</v>
      </c>
      <c r="E17" s="113">
        <v>657</v>
      </c>
    </row>
    <row r="18" spans="1:5" ht="17.25" customHeight="1">
      <c r="A18" s="164">
        <v>15</v>
      </c>
      <c r="B18" s="255" t="s">
        <v>366</v>
      </c>
      <c r="C18" s="113">
        <v>24647</v>
      </c>
      <c r="D18" s="113">
        <v>7817</v>
      </c>
      <c r="E18" s="113">
        <v>32464</v>
      </c>
    </row>
    <row r="19" spans="1:5" ht="17.25" customHeight="1">
      <c r="A19" s="164">
        <v>16</v>
      </c>
      <c r="B19" s="255" t="s">
        <v>368</v>
      </c>
      <c r="C19" s="113">
        <v>6027</v>
      </c>
      <c r="D19" s="113">
        <v>7514</v>
      </c>
      <c r="E19" s="113">
        <v>13541</v>
      </c>
    </row>
    <row r="20" spans="1:5" ht="17.25" customHeight="1">
      <c r="A20" s="164">
        <v>17</v>
      </c>
      <c r="B20" s="255" t="s">
        <v>445</v>
      </c>
      <c r="C20" s="113">
        <v>1790</v>
      </c>
      <c r="D20" s="113">
        <v>1531</v>
      </c>
      <c r="E20" s="113">
        <v>3321</v>
      </c>
    </row>
    <row r="21" spans="1:5" ht="17.25" customHeight="1">
      <c r="A21" s="164">
        <v>18</v>
      </c>
      <c r="B21" s="255" t="s">
        <v>360</v>
      </c>
      <c r="C21" s="113">
        <v>95217</v>
      </c>
      <c r="D21" s="113">
        <v>69004</v>
      </c>
      <c r="E21" s="113">
        <v>164221</v>
      </c>
    </row>
    <row r="22" spans="1:5" ht="17.25" customHeight="1">
      <c r="A22" s="164">
        <v>19</v>
      </c>
      <c r="B22" s="255" t="s">
        <v>379</v>
      </c>
      <c r="C22" s="113">
        <v>2511</v>
      </c>
      <c r="D22" s="113">
        <v>1827</v>
      </c>
      <c r="E22" s="113">
        <v>4338</v>
      </c>
    </row>
    <row r="23" spans="1:5" ht="17.25" customHeight="1">
      <c r="A23" s="164">
        <v>20</v>
      </c>
      <c r="B23" s="255" t="s">
        <v>420</v>
      </c>
      <c r="C23" s="113">
        <v>76</v>
      </c>
      <c r="D23" s="113">
        <v>16</v>
      </c>
      <c r="E23" s="113">
        <v>92</v>
      </c>
    </row>
    <row r="24" spans="1:5" ht="17.25" customHeight="1">
      <c r="A24" s="164">
        <v>21</v>
      </c>
      <c r="B24" s="255" t="s">
        <v>361</v>
      </c>
      <c r="C24" s="113">
        <v>86041</v>
      </c>
      <c r="D24" s="113">
        <v>59837</v>
      </c>
      <c r="E24" s="113">
        <v>145878</v>
      </c>
    </row>
    <row r="25" spans="1:5" ht="17.25" customHeight="1">
      <c r="A25" s="164">
        <v>22</v>
      </c>
      <c r="B25" s="255" t="s">
        <v>424</v>
      </c>
      <c r="C25" s="113">
        <v>37</v>
      </c>
      <c r="D25" s="113">
        <v>17</v>
      </c>
      <c r="E25" s="113">
        <v>54</v>
      </c>
    </row>
    <row r="26" spans="1:5" ht="17.25" customHeight="1">
      <c r="A26" s="164">
        <v>23</v>
      </c>
      <c r="B26" s="255" t="s">
        <v>416</v>
      </c>
      <c r="C26" s="113">
        <v>171</v>
      </c>
      <c r="D26" s="113">
        <v>52</v>
      </c>
      <c r="E26" s="113">
        <v>223</v>
      </c>
    </row>
    <row r="27" spans="1:5" ht="17.25" customHeight="1">
      <c r="A27" s="164">
        <v>24</v>
      </c>
      <c r="B27" s="255" t="s">
        <v>423</v>
      </c>
      <c r="C27" s="113">
        <v>73</v>
      </c>
      <c r="D27" s="113">
        <v>24</v>
      </c>
      <c r="E27" s="113">
        <v>97</v>
      </c>
    </row>
    <row r="28" spans="1:5" ht="17.25" customHeight="1">
      <c r="A28" s="164">
        <v>25</v>
      </c>
      <c r="B28" s="255" t="s">
        <v>457</v>
      </c>
      <c r="C28" s="113">
        <v>7</v>
      </c>
      <c r="D28" s="113">
        <v>52</v>
      </c>
      <c r="E28" s="113">
        <v>59</v>
      </c>
    </row>
    <row r="29" spans="1:5" ht="17.25" customHeight="1">
      <c r="A29" s="164">
        <v>26</v>
      </c>
      <c r="B29" s="255" t="s">
        <v>448</v>
      </c>
      <c r="C29" s="113">
        <v>666</v>
      </c>
      <c r="D29" s="113">
        <v>684</v>
      </c>
      <c r="E29" s="113">
        <v>1350</v>
      </c>
    </row>
    <row r="30" spans="1:5" ht="17.25" customHeight="1">
      <c r="A30" s="164">
        <v>27</v>
      </c>
      <c r="B30" s="255" t="s">
        <v>961</v>
      </c>
      <c r="C30" s="113">
        <v>10998</v>
      </c>
      <c r="D30" s="113">
        <v>8543</v>
      </c>
      <c r="E30" s="113">
        <v>19541</v>
      </c>
    </row>
    <row r="31" spans="1:5" ht="17.25" customHeight="1">
      <c r="A31" s="164">
        <v>28</v>
      </c>
      <c r="B31" s="255" t="s">
        <v>354</v>
      </c>
      <c r="C31" s="113">
        <v>548678</v>
      </c>
      <c r="D31" s="113">
        <v>559288</v>
      </c>
      <c r="E31" s="113">
        <v>1107966</v>
      </c>
    </row>
    <row r="32" spans="1:5" ht="17.25" customHeight="1">
      <c r="A32" s="164">
        <v>29</v>
      </c>
      <c r="B32" s="255" t="s">
        <v>367</v>
      </c>
      <c r="C32" s="113">
        <v>5267</v>
      </c>
      <c r="D32" s="113">
        <v>14715</v>
      </c>
      <c r="E32" s="113">
        <v>19982</v>
      </c>
    </row>
    <row r="33" spans="1:5" ht="17.25" customHeight="1">
      <c r="A33" s="164">
        <v>30</v>
      </c>
      <c r="B33" s="255" t="s">
        <v>425</v>
      </c>
      <c r="C33" s="113">
        <v>6</v>
      </c>
      <c r="D33" s="113">
        <v>22</v>
      </c>
      <c r="E33" s="113">
        <v>28</v>
      </c>
    </row>
    <row r="34" spans="1:5" ht="17.25" customHeight="1">
      <c r="A34" s="164">
        <v>31</v>
      </c>
      <c r="B34" s="255" t="s">
        <v>806</v>
      </c>
      <c r="C34" s="113">
        <v>11</v>
      </c>
      <c r="D34" s="113">
        <v>19</v>
      </c>
      <c r="E34" s="113">
        <v>30</v>
      </c>
    </row>
    <row r="35" spans="1:5" ht="17.25" customHeight="1">
      <c r="A35" s="164">
        <v>32</v>
      </c>
      <c r="B35" s="255" t="s">
        <v>380</v>
      </c>
      <c r="C35" s="113">
        <v>2202</v>
      </c>
      <c r="D35" s="113">
        <v>4805</v>
      </c>
      <c r="E35" s="113">
        <v>7007</v>
      </c>
    </row>
    <row r="36" spans="1:5" ht="17.25" customHeight="1">
      <c r="A36" s="164">
        <v>33</v>
      </c>
      <c r="B36" s="255" t="s">
        <v>357</v>
      </c>
      <c r="C36" s="113">
        <v>239989</v>
      </c>
      <c r="D36" s="113">
        <v>97264</v>
      </c>
      <c r="E36" s="113">
        <v>337253</v>
      </c>
    </row>
    <row r="37" spans="1:5" ht="17.25" customHeight="1">
      <c r="A37" s="164">
        <v>34</v>
      </c>
      <c r="B37" s="255" t="s">
        <v>967</v>
      </c>
      <c r="C37" s="113">
        <v>149</v>
      </c>
      <c r="D37" s="113">
        <v>200</v>
      </c>
      <c r="E37" s="113">
        <v>349</v>
      </c>
    </row>
    <row r="38" spans="1:5" ht="17.25" customHeight="1">
      <c r="A38" s="164">
        <v>35</v>
      </c>
      <c r="B38" s="255" t="s">
        <v>358</v>
      </c>
      <c r="C38" s="113">
        <v>231142</v>
      </c>
      <c r="D38" s="113">
        <v>432720</v>
      </c>
      <c r="E38" s="113">
        <v>663862</v>
      </c>
    </row>
    <row r="39" spans="1:5" ht="17.25" customHeight="1">
      <c r="A39" s="164">
        <v>36</v>
      </c>
      <c r="B39" s="255" t="s">
        <v>964</v>
      </c>
      <c r="C39" s="113">
        <v>541</v>
      </c>
      <c r="D39" s="113">
        <v>827</v>
      </c>
      <c r="E39" s="113">
        <v>1368</v>
      </c>
    </row>
    <row r="40" spans="1:5" ht="17.25" customHeight="1">
      <c r="A40" s="164">
        <v>37</v>
      </c>
      <c r="B40" s="255" t="s">
        <v>384</v>
      </c>
      <c r="C40" s="113">
        <v>2728</v>
      </c>
      <c r="D40" s="113">
        <v>2677</v>
      </c>
      <c r="E40" s="113">
        <v>5405</v>
      </c>
    </row>
    <row r="41" spans="1:5" ht="17.25" customHeight="1">
      <c r="A41" s="164">
        <v>38</v>
      </c>
      <c r="B41" s="255" t="s">
        <v>400</v>
      </c>
      <c r="C41" s="113">
        <v>515</v>
      </c>
      <c r="D41" s="113">
        <v>399</v>
      </c>
      <c r="E41" s="113">
        <v>914</v>
      </c>
    </row>
    <row r="42" spans="1:5" ht="17.25" customHeight="1">
      <c r="A42" s="164">
        <v>39</v>
      </c>
      <c r="B42" s="255" t="s">
        <v>404</v>
      </c>
      <c r="C42" s="113">
        <v>99</v>
      </c>
      <c r="D42" s="113">
        <v>541</v>
      </c>
      <c r="E42" s="113">
        <v>640</v>
      </c>
    </row>
    <row r="43" spans="1:5" ht="17.25" customHeight="1">
      <c r="A43" s="164">
        <v>40</v>
      </c>
      <c r="B43" s="255" t="s">
        <v>411</v>
      </c>
      <c r="C43" s="113">
        <v>375</v>
      </c>
      <c r="D43" s="113">
        <v>322</v>
      </c>
      <c r="E43" s="113">
        <v>697</v>
      </c>
    </row>
    <row r="44" spans="1:5" ht="17.25" customHeight="1">
      <c r="A44" s="164">
        <v>41</v>
      </c>
      <c r="B44" s="255" t="s">
        <v>398</v>
      </c>
      <c r="C44" s="113">
        <v>351</v>
      </c>
      <c r="D44" s="113">
        <v>462</v>
      </c>
      <c r="E44" s="113">
        <v>813</v>
      </c>
    </row>
    <row r="45" spans="1:5" ht="17.25" customHeight="1">
      <c r="A45" s="164">
        <v>42</v>
      </c>
      <c r="B45" s="255" t="s">
        <v>378</v>
      </c>
      <c r="C45" s="113">
        <v>11922</v>
      </c>
      <c r="D45" s="113">
        <v>1774</v>
      </c>
      <c r="E45" s="113">
        <v>13696</v>
      </c>
    </row>
    <row r="46" spans="1:5" ht="17.25" customHeight="1">
      <c r="A46" s="164">
        <v>43</v>
      </c>
      <c r="B46" s="255" t="s">
        <v>385</v>
      </c>
      <c r="C46" s="113">
        <v>3706</v>
      </c>
      <c r="D46" s="113">
        <v>670</v>
      </c>
      <c r="E46" s="113">
        <v>4376</v>
      </c>
    </row>
    <row r="47" spans="1:5" ht="17.25" customHeight="1">
      <c r="A47" s="164">
        <v>44</v>
      </c>
      <c r="B47" s="255" t="s">
        <v>371</v>
      </c>
      <c r="C47" s="113">
        <v>3504</v>
      </c>
      <c r="D47" s="113">
        <v>6507</v>
      </c>
      <c r="E47" s="113">
        <v>10011</v>
      </c>
    </row>
    <row r="48" spans="1:5" ht="17.25" customHeight="1">
      <c r="A48" s="164">
        <v>45</v>
      </c>
      <c r="B48" s="255" t="s">
        <v>399</v>
      </c>
      <c r="C48" s="113">
        <v>1818</v>
      </c>
      <c r="D48" s="113">
        <v>815</v>
      </c>
      <c r="E48" s="113">
        <v>2633</v>
      </c>
    </row>
    <row r="49" spans="1:5" ht="17.25" customHeight="1">
      <c r="A49" s="164">
        <v>46</v>
      </c>
      <c r="B49" s="255" t="s">
        <v>403</v>
      </c>
      <c r="C49" s="113">
        <v>387</v>
      </c>
      <c r="D49" s="113">
        <v>196</v>
      </c>
      <c r="E49" s="113">
        <v>583</v>
      </c>
    </row>
    <row r="50" spans="1:5" ht="17.25" customHeight="1">
      <c r="A50" s="164">
        <v>47</v>
      </c>
      <c r="B50" s="255" t="s">
        <v>427</v>
      </c>
      <c r="C50" s="113">
        <v>82</v>
      </c>
      <c r="D50" s="113">
        <v>47</v>
      </c>
      <c r="E50" s="113">
        <v>129</v>
      </c>
    </row>
    <row r="51" spans="1:5" ht="17.25" customHeight="1">
      <c r="A51" s="164">
        <v>48</v>
      </c>
      <c r="B51" s="255" t="s">
        <v>432</v>
      </c>
      <c r="C51" s="113">
        <v>60</v>
      </c>
      <c r="D51" s="113">
        <v>75</v>
      </c>
      <c r="E51" s="113">
        <v>135</v>
      </c>
    </row>
    <row r="52" spans="1:5" ht="17.25" customHeight="1">
      <c r="A52" s="164">
        <v>49</v>
      </c>
      <c r="B52" s="255" t="s">
        <v>405</v>
      </c>
      <c r="C52" s="113">
        <v>654</v>
      </c>
      <c r="D52" s="113">
        <v>397</v>
      </c>
      <c r="E52" s="113">
        <v>1051</v>
      </c>
    </row>
    <row r="53" spans="1:5" ht="17.25" customHeight="1">
      <c r="A53" s="164">
        <v>50</v>
      </c>
      <c r="B53" s="255" t="s">
        <v>388</v>
      </c>
      <c r="C53" s="113">
        <v>3513</v>
      </c>
      <c r="D53" s="113">
        <v>3307</v>
      </c>
      <c r="E53" s="113">
        <v>6820</v>
      </c>
    </row>
    <row r="54" spans="1:5" ht="17.25" customHeight="1">
      <c r="A54" s="164">
        <v>51</v>
      </c>
      <c r="B54" s="255" t="s">
        <v>377</v>
      </c>
      <c r="C54" s="113">
        <v>7327</v>
      </c>
      <c r="D54" s="113">
        <v>3952</v>
      </c>
      <c r="E54" s="113">
        <v>11279</v>
      </c>
    </row>
    <row r="55" spans="1:5" ht="17.25" customHeight="1">
      <c r="A55" s="164">
        <v>52</v>
      </c>
      <c r="B55" s="255" t="s">
        <v>376</v>
      </c>
      <c r="C55" s="113">
        <v>3979</v>
      </c>
      <c r="D55" s="113">
        <v>3781</v>
      </c>
      <c r="E55" s="113">
        <v>7760</v>
      </c>
    </row>
    <row r="56" spans="1:5" ht="17.25" customHeight="1">
      <c r="A56" s="164">
        <v>53</v>
      </c>
      <c r="B56" s="255" t="s">
        <v>394</v>
      </c>
      <c r="C56" s="113">
        <v>7005</v>
      </c>
      <c r="D56" s="113">
        <v>7137</v>
      </c>
      <c r="E56" s="113">
        <v>14142</v>
      </c>
    </row>
    <row r="57" spans="1:5" ht="17.25" customHeight="1">
      <c r="A57" s="164">
        <v>54</v>
      </c>
      <c r="B57" s="255" t="s">
        <v>383</v>
      </c>
      <c r="C57" s="113">
        <v>1617</v>
      </c>
      <c r="D57" s="113">
        <v>2320</v>
      </c>
      <c r="E57" s="113">
        <v>3937</v>
      </c>
    </row>
    <row r="58" spans="1:5" ht="17.25" customHeight="1">
      <c r="A58" s="164">
        <v>55</v>
      </c>
      <c r="B58" s="255" t="s">
        <v>963</v>
      </c>
      <c r="C58" s="113">
        <v>29</v>
      </c>
      <c r="D58" s="113">
        <v>48</v>
      </c>
      <c r="E58" s="113">
        <v>77</v>
      </c>
    </row>
    <row r="59" spans="1:5" ht="17.25" customHeight="1">
      <c r="A59" s="164">
        <v>56</v>
      </c>
      <c r="B59" s="255" t="s">
        <v>390</v>
      </c>
      <c r="C59" s="113">
        <v>897</v>
      </c>
      <c r="D59" s="113">
        <v>790</v>
      </c>
      <c r="E59" s="113">
        <v>1687</v>
      </c>
    </row>
    <row r="60" spans="1:5" ht="17.25" customHeight="1">
      <c r="A60" s="164">
        <v>57</v>
      </c>
      <c r="B60" s="255" t="s">
        <v>374</v>
      </c>
      <c r="C60" s="113">
        <v>9596</v>
      </c>
      <c r="D60" s="113">
        <v>7461</v>
      </c>
      <c r="E60" s="113">
        <v>17057</v>
      </c>
    </row>
    <row r="61" spans="1:5" ht="17.25" customHeight="1">
      <c r="A61" s="164">
        <v>58</v>
      </c>
      <c r="B61" s="255" t="s">
        <v>407</v>
      </c>
      <c r="C61" s="113">
        <v>141</v>
      </c>
      <c r="D61" s="113">
        <v>335</v>
      </c>
      <c r="E61" s="113">
        <v>476</v>
      </c>
    </row>
    <row r="62" spans="1:5" ht="17.25" customHeight="1">
      <c r="A62" s="164">
        <v>59</v>
      </c>
      <c r="B62" s="255" t="s">
        <v>395</v>
      </c>
      <c r="C62" s="113">
        <v>229</v>
      </c>
      <c r="D62" s="113">
        <v>571</v>
      </c>
      <c r="E62" s="113">
        <v>800</v>
      </c>
    </row>
    <row r="63" spans="1:5" ht="17.25" customHeight="1">
      <c r="A63" s="164">
        <v>60</v>
      </c>
      <c r="B63" s="255" t="s">
        <v>414</v>
      </c>
      <c r="C63" s="113">
        <v>34</v>
      </c>
      <c r="D63" s="113">
        <v>79</v>
      </c>
      <c r="E63" s="113">
        <v>113</v>
      </c>
    </row>
    <row r="64" spans="1:5" ht="17.25" customHeight="1">
      <c r="A64" s="164">
        <v>61</v>
      </c>
      <c r="B64" s="255" t="s">
        <v>421</v>
      </c>
      <c r="C64" s="113">
        <v>45</v>
      </c>
      <c r="D64" s="113">
        <v>107</v>
      </c>
      <c r="E64" s="113">
        <v>152</v>
      </c>
    </row>
    <row r="65" spans="1:5" ht="17.25" customHeight="1">
      <c r="A65" s="164">
        <v>62</v>
      </c>
      <c r="B65" s="255" t="s">
        <v>397</v>
      </c>
      <c r="C65" s="113">
        <v>229</v>
      </c>
      <c r="D65" s="113">
        <v>490</v>
      </c>
      <c r="E65" s="113">
        <v>719</v>
      </c>
    </row>
    <row r="66" spans="1:5" ht="17.25" customHeight="1">
      <c r="A66" s="164">
        <v>63</v>
      </c>
      <c r="B66" s="255" t="s">
        <v>392</v>
      </c>
      <c r="C66" s="113">
        <v>618</v>
      </c>
      <c r="D66" s="113">
        <v>1025</v>
      </c>
      <c r="E66" s="113">
        <v>1643</v>
      </c>
    </row>
    <row r="67" spans="1:5" ht="17.25" customHeight="1">
      <c r="A67" s="164">
        <v>64</v>
      </c>
      <c r="B67" s="255" t="s">
        <v>396</v>
      </c>
      <c r="C67" s="113">
        <v>757</v>
      </c>
      <c r="D67" s="113">
        <v>615</v>
      </c>
      <c r="E67" s="113">
        <v>1372</v>
      </c>
    </row>
    <row r="68" spans="1:5" ht="17.25" customHeight="1">
      <c r="A68" s="164">
        <v>65</v>
      </c>
      <c r="B68" s="255" t="s">
        <v>386</v>
      </c>
      <c r="C68" s="113">
        <v>4868</v>
      </c>
      <c r="D68" s="113">
        <v>1445</v>
      </c>
      <c r="E68" s="113">
        <v>6313</v>
      </c>
    </row>
    <row r="69" spans="1:5" ht="17.25" customHeight="1">
      <c r="A69" s="164">
        <v>66</v>
      </c>
      <c r="B69" s="255" t="s">
        <v>375</v>
      </c>
      <c r="C69" s="113">
        <v>12632</v>
      </c>
      <c r="D69" s="113">
        <v>6148</v>
      </c>
      <c r="E69" s="113">
        <v>18780</v>
      </c>
    </row>
    <row r="70" spans="1:5" ht="17.25" customHeight="1">
      <c r="A70" s="164">
        <v>67</v>
      </c>
      <c r="B70" s="255" t="s">
        <v>969</v>
      </c>
      <c r="C70" s="113">
        <v>8</v>
      </c>
      <c r="D70" s="113">
        <v>19</v>
      </c>
      <c r="E70" s="113">
        <v>27</v>
      </c>
    </row>
    <row r="71" spans="1:5" ht="17.25" customHeight="1">
      <c r="A71" s="164">
        <v>68</v>
      </c>
      <c r="B71" s="255" t="s">
        <v>418</v>
      </c>
      <c r="C71" s="113">
        <v>110</v>
      </c>
      <c r="D71" s="113">
        <v>148</v>
      </c>
      <c r="E71" s="113">
        <v>258</v>
      </c>
    </row>
    <row r="72" spans="1:5" ht="17.25" customHeight="1">
      <c r="A72" s="164">
        <v>69</v>
      </c>
      <c r="B72" s="255" t="s">
        <v>369</v>
      </c>
      <c r="C72" s="113">
        <v>4377</v>
      </c>
      <c r="D72" s="113">
        <v>9654</v>
      </c>
      <c r="E72" s="113">
        <v>14031</v>
      </c>
    </row>
    <row r="73" spans="1:5" ht="17.25" customHeight="1">
      <c r="A73" s="164">
        <v>70</v>
      </c>
      <c r="B73" s="255" t="s">
        <v>389</v>
      </c>
      <c r="C73" s="113">
        <v>180</v>
      </c>
      <c r="D73" s="113">
        <v>157</v>
      </c>
      <c r="E73" s="113">
        <v>337</v>
      </c>
    </row>
    <row r="74" spans="1:5" ht="17.25" customHeight="1">
      <c r="A74" s="164">
        <v>71</v>
      </c>
      <c r="B74" s="255" t="s">
        <v>363</v>
      </c>
      <c r="C74" s="113">
        <v>40200</v>
      </c>
      <c r="D74" s="113">
        <v>29812</v>
      </c>
      <c r="E74" s="113">
        <v>70012</v>
      </c>
    </row>
    <row r="75" spans="1:5" ht="17.25" customHeight="1">
      <c r="A75" s="164">
        <v>72</v>
      </c>
      <c r="B75" s="255" t="s">
        <v>412</v>
      </c>
      <c r="C75" s="113">
        <v>135</v>
      </c>
      <c r="D75" s="113">
        <v>124</v>
      </c>
      <c r="E75" s="113">
        <v>259</v>
      </c>
    </row>
    <row r="76" spans="1:5" ht="17.25" customHeight="1">
      <c r="A76" s="164">
        <v>73</v>
      </c>
      <c r="B76" s="255" t="s">
        <v>449</v>
      </c>
      <c r="C76" s="113">
        <v>1125</v>
      </c>
      <c r="D76" s="113">
        <v>709</v>
      </c>
      <c r="E76" s="113">
        <v>1834</v>
      </c>
    </row>
    <row r="77" spans="1:5" ht="17.25" customHeight="1">
      <c r="A77" s="164">
        <v>74</v>
      </c>
      <c r="B77" s="255" t="s">
        <v>401</v>
      </c>
      <c r="C77" s="113">
        <v>266</v>
      </c>
      <c r="D77" s="113">
        <v>453</v>
      </c>
      <c r="E77" s="113">
        <v>719</v>
      </c>
    </row>
    <row r="78" spans="1:5" ht="17.25" customHeight="1">
      <c r="A78" s="164">
        <v>75</v>
      </c>
      <c r="B78" s="255" t="s">
        <v>410</v>
      </c>
      <c r="C78" s="113">
        <v>127</v>
      </c>
      <c r="D78" s="113">
        <v>338</v>
      </c>
      <c r="E78" s="113">
        <v>465</v>
      </c>
    </row>
    <row r="79" spans="1:5" ht="17.25" customHeight="1">
      <c r="A79" s="164">
        <v>76</v>
      </c>
      <c r="B79" s="255" t="s">
        <v>415</v>
      </c>
      <c r="C79" s="113">
        <v>163</v>
      </c>
      <c r="D79" s="113">
        <v>150</v>
      </c>
      <c r="E79" s="113">
        <v>313</v>
      </c>
    </row>
    <row r="80" spans="1:5" ht="17.25" customHeight="1">
      <c r="A80" s="164">
        <v>77</v>
      </c>
      <c r="B80" s="255" t="s">
        <v>372</v>
      </c>
      <c r="C80" s="113">
        <v>3113</v>
      </c>
      <c r="D80" s="113">
        <v>3473</v>
      </c>
      <c r="E80" s="113">
        <v>6586</v>
      </c>
    </row>
    <row r="81" spans="1:5" ht="17.25" customHeight="1">
      <c r="A81" s="164">
        <v>78</v>
      </c>
      <c r="B81" s="255" t="s">
        <v>811</v>
      </c>
      <c r="C81" s="113">
        <v>204</v>
      </c>
      <c r="D81" s="113">
        <v>193</v>
      </c>
      <c r="E81" s="113">
        <v>397</v>
      </c>
    </row>
    <row r="82" spans="1:5" ht="17.25" customHeight="1">
      <c r="A82" s="164">
        <v>79</v>
      </c>
      <c r="B82" s="255" t="s">
        <v>443</v>
      </c>
      <c r="C82" s="113">
        <v>5625</v>
      </c>
      <c r="D82" s="113">
        <v>6063</v>
      </c>
      <c r="E82" s="113">
        <v>11688</v>
      </c>
    </row>
    <row r="83" spans="1:5" ht="17.25" customHeight="1">
      <c r="A83" s="164">
        <v>80</v>
      </c>
      <c r="B83" s="255" t="s">
        <v>455</v>
      </c>
      <c r="C83" s="113">
        <v>8</v>
      </c>
      <c r="D83" s="113">
        <v>16</v>
      </c>
      <c r="E83" s="113">
        <v>24</v>
      </c>
    </row>
    <row r="84" spans="1:5" ht="17.25" customHeight="1">
      <c r="A84" s="164">
        <v>81</v>
      </c>
      <c r="B84" s="255" t="s">
        <v>429</v>
      </c>
      <c r="C84" s="113">
        <v>0</v>
      </c>
      <c r="D84" s="113">
        <v>0</v>
      </c>
      <c r="E84" s="113">
        <v>0</v>
      </c>
    </row>
    <row r="85" spans="1:5" ht="17.25" customHeight="1">
      <c r="A85" s="164">
        <v>82</v>
      </c>
      <c r="B85" s="255" t="s">
        <v>359</v>
      </c>
      <c r="C85" s="113">
        <v>75201</v>
      </c>
      <c r="D85" s="113">
        <v>60523</v>
      </c>
      <c r="E85" s="113">
        <v>135724</v>
      </c>
    </row>
    <row r="86" spans="1:5" ht="17.25" customHeight="1">
      <c r="A86" s="164">
        <v>83</v>
      </c>
      <c r="B86" s="255" t="s">
        <v>364</v>
      </c>
      <c r="C86" s="113">
        <v>14849</v>
      </c>
      <c r="D86" s="113">
        <v>53251</v>
      </c>
      <c r="E86" s="113">
        <v>68100</v>
      </c>
    </row>
    <row r="87" spans="1:5" ht="17.25" customHeight="1">
      <c r="A87" s="164">
        <v>84</v>
      </c>
      <c r="B87" s="255" t="s">
        <v>381</v>
      </c>
      <c r="C87" s="113">
        <v>2720</v>
      </c>
      <c r="D87" s="113">
        <v>12158</v>
      </c>
      <c r="E87" s="113">
        <v>14878</v>
      </c>
    </row>
    <row r="88" spans="1:5" ht="17.25" customHeight="1">
      <c r="A88" s="164">
        <v>85</v>
      </c>
      <c r="B88" s="255" t="s">
        <v>422</v>
      </c>
      <c r="C88" s="113">
        <v>210</v>
      </c>
      <c r="D88" s="113">
        <v>84</v>
      </c>
      <c r="E88" s="113">
        <v>294</v>
      </c>
    </row>
    <row r="89" spans="1:5" ht="17.25" customHeight="1">
      <c r="A89" s="164">
        <v>86</v>
      </c>
      <c r="B89" s="255" t="s">
        <v>353</v>
      </c>
      <c r="C89" s="113">
        <v>575713</v>
      </c>
      <c r="D89" s="113">
        <v>677669</v>
      </c>
      <c r="E89" s="113">
        <v>1253382</v>
      </c>
    </row>
    <row r="90" spans="1:5" ht="17.25" customHeight="1">
      <c r="A90" s="164">
        <v>87</v>
      </c>
      <c r="B90" s="255" t="s">
        <v>413</v>
      </c>
      <c r="C90" s="113">
        <v>652</v>
      </c>
      <c r="D90" s="113">
        <v>445</v>
      </c>
      <c r="E90" s="113">
        <v>1097</v>
      </c>
    </row>
    <row r="91" spans="1:5" ht="17.25" customHeight="1">
      <c r="A91" s="164">
        <v>88</v>
      </c>
      <c r="B91" s="255" t="s">
        <v>446</v>
      </c>
      <c r="C91" s="113">
        <v>2367</v>
      </c>
      <c r="D91" s="113">
        <v>767</v>
      </c>
      <c r="E91" s="113">
        <v>3134</v>
      </c>
    </row>
    <row r="92" spans="1:5" ht="17.25" customHeight="1">
      <c r="A92" s="164">
        <v>89</v>
      </c>
      <c r="B92" s="255" t="s">
        <v>355</v>
      </c>
      <c r="C92" s="113">
        <v>360331</v>
      </c>
      <c r="D92" s="113">
        <v>149029</v>
      </c>
      <c r="E92" s="113">
        <v>509360</v>
      </c>
    </row>
    <row r="93" spans="1:5" ht="17.25" customHeight="1">
      <c r="A93" s="164">
        <v>90</v>
      </c>
      <c r="B93" s="255" t="s">
        <v>391</v>
      </c>
      <c r="C93" s="113">
        <v>912</v>
      </c>
      <c r="D93" s="113">
        <v>1136</v>
      </c>
      <c r="E93" s="113">
        <v>2048</v>
      </c>
    </row>
    <row r="94" spans="1:5" ht="17.25" customHeight="1">
      <c r="A94" s="164">
        <v>91</v>
      </c>
      <c r="B94" s="255" t="s">
        <v>970</v>
      </c>
      <c r="C94" s="113">
        <v>62</v>
      </c>
      <c r="D94" s="113">
        <v>92</v>
      </c>
      <c r="E94" s="113">
        <v>154</v>
      </c>
    </row>
    <row r="95" spans="1:5" ht="17.25" customHeight="1">
      <c r="A95" s="164">
        <v>92</v>
      </c>
      <c r="B95" s="255" t="s">
        <v>387</v>
      </c>
      <c r="C95" s="113">
        <v>1705</v>
      </c>
      <c r="D95" s="113">
        <v>1437</v>
      </c>
      <c r="E95" s="113">
        <v>3142</v>
      </c>
    </row>
    <row r="96" spans="1:5" ht="17.25" customHeight="1">
      <c r="A96" s="164">
        <v>93</v>
      </c>
      <c r="B96" s="255" t="s">
        <v>409</v>
      </c>
      <c r="C96" s="113">
        <v>366</v>
      </c>
      <c r="D96" s="113">
        <v>207</v>
      </c>
      <c r="E96" s="113">
        <v>573</v>
      </c>
    </row>
    <row r="97" spans="1:5" ht="17.25" customHeight="1">
      <c r="A97" s="164">
        <v>94</v>
      </c>
      <c r="B97" s="255" t="s">
        <v>798</v>
      </c>
      <c r="C97" s="113">
        <v>6154</v>
      </c>
      <c r="D97" s="113">
        <v>5738</v>
      </c>
      <c r="E97" s="113">
        <v>11892</v>
      </c>
    </row>
    <row r="98" spans="1:5" ht="17.25" customHeight="1">
      <c r="A98" s="164">
        <v>95</v>
      </c>
      <c r="B98" s="255" t="s">
        <v>971</v>
      </c>
      <c r="C98" s="113">
        <v>4</v>
      </c>
      <c r="D98" s="113">
        <v>4</v>
      </c>
      <c r="E98" s="113">
        <v>8</v>
      </c>
    </row>
    <row r="99" spans="1:5" ht="17.25" customHeight="1">
      <c r="A99" s="164">
        <v>96</v>
      </c>
      <c r="B99" s="255" t="s">
        <v>809</v>
      </c>
      <c r="C99" s="113">
        <v>0</v>
      </c>
      <c r="D99" s="113">
        <v>24</v>
      </c>
      <c r="E99" s="113">
        <v>24</v>
      </c>
    </row>
    <row r="100" spans="1:5" ht="17.25" customHeight="1">
      <c r="A100" s="164">
        <v>97</v>
      </c>
      <c r="B100" s="255" t="s">
        <v>810</v>
      </c>
      <c r="C100" s="113">
        <v>375</v>
      </c>
      <c r="D100" s="113">
        <v>302</v>
      </c>
      <c r="E100" s="113">
        <v>677</v>
      </c>
    </row>
    <row r="101" spans="1:5" ht="17.25" customHeight="1">
      <c r="A101" s="164">
        <v>98</v>
      </c>
      <c r="B101" s="255" t="s">
        <v>813</v>
      </c>
      <c r="C101" s="113">
        <v>39</v>
      </c>
      <c r="D101" s="113">
        <v>5</v>
      </c>
      <c r="E101" s="113">
        <v>44</v>
      </c>
    </row>
    <row r="102" spans="1:5" ht="17.25" customHeight="1">
      <c r="A102" s="164">
        <v>99</v>
      </c>
      <c r="B102" s="255" t="s">
        <v>440</v>
      </c>
      <c r="C102" s="113">
        <v>18378</v>
      </c>
      <c r="D102" s="113">
        <v>16625</v>
      </c>
      <c r="E102" s="113">
        <v>35003</v>
      </c>
    </row>
    <row r="103" spans="1:5" ht="17.25" customHeight="1">
      <c r="A103" s="164">
        <v>100</v>
      </c>
      <c r="B103" s="255" t="s">
        <v>435</v>
      </c>
      <c r="C103" s="113">
        <v>46535</v>
      </c>
      <c r="D103" s="113">
        <v>71453</v>
      </c>
      <c r="E103" s="113">
        <v>117988</v>
      </c>
    </row>
    <row r="104" spans="1:5" ht="17.25" customHeight="1">
      <c r="A104" s="164">
        <v>101</v>
      </c>
      <c r="B104" s="255" t="s">
        <v>972</v>
      </c>
      <c r="C104" s="113">
        <v>8864</v>
      </c>
      <c r="D104" s="113">
        <v>13253</v>
      </c>
      <c r="E104" s="113">
        <v>22117</v>
      </c>
    </row>
    <row r="105" spans="1:5" ht="17.25" customHeight="1">
      <c r="A105" s="164">
        <v>102</v>
      </c>
      <c r="B105" s="255" t="s">
        <v>788</v>
      </c>
      <c r="C105" s="113">
        <v>18</v>
      </c>
      <c r="D105" s="113">
        <v>4</v>
      </c>
      <c r="E105" s="113">
        <v>22</v>
      </c>
    </row>
    <row r="106" spans="1:5" ht="17.25" customHeight="1">
      <c r="A106" s="164">
        <v>103</v>
      </c>
      <c r="B106" s="255" t="s">
        <v>277</v>
      </c>
      <c r="C106" s="113">
        <v>362</v>
      </c>
      <c r="D106" s="113">
        <v>107</v>
      </c>
      <c r="E106" s="113">
        <v>469</v>
      </c>
    </row>
    <row r="107" spans="1:5" ht="17.25" customHeight="1">
      <c r="A107" s="164">
        <v>104</v>
      </c>
      <c r="B107" s="255" t="s">
        <v>973</v>
      </c>
      <c r="C107" s="113">
        <v>76</v>
      </c>
      <c r="D107" s="113">
        <v>109</v>
      </c>
      <c r="E107" s="113">
        <v>185</v>
      </c>
    </row>
    <row r="108" spans="1:5" ht="17.25" customHeight="1">
      <c r="A108" s="164">
        <v>105</v>
      </c>
      <c r="B108" s="255" t="s">
        <v>974</v>
      </c>
      <c r="C108" s="113">
        <v>0</v>
      </c>
      <c r="D108" s="113">
        <v>1</v>
      </c>
      <c r="E108" s="113">
        <v>1</v>
      </c>
    </row>
    <row r="109" spans="1:5" ht="17.25" customHeight="1">
      <c r="A109" s="164">
        <v>106</v>
      </c>
      <c r="B109" s="255" t="s">
        <v>962</v>
      </c>
      <c r="C109" s="113">
        <v>16</v>
      </c>
      <c r="D109" s="113">
        <v>46</v>
      </c>
      <c r="E109" s="113">
        <v>62</v>
      </c>
    </row>
    <row r="110" spans="1:5" ht="17.25" customHeight="1">
      <c r="A110" s="164">
        <v>107</v>
      </c>
      <c r="B110" s="255" t="s">
        <v>437</v>
      </c>
      <c r="C110" s="113">
        <v>49897</v>
      </c>
      <c r="D110" s="113">
        <v>19904</v>
      </c>
      <c r="E110" s="113">
        <v>69801</v>
      </c>
    </row>
    <row r="111" spans="1:5" ht="17.25" customHeight="1">
      <c r="A111" s="164">
        <v>108</v>
      </c>
      <c r="B111" s="255" t="s">
        <v>279</v>
      </c>
      <c r="C111" s="113">
        <v>38</v>
      </c>
      <c r="D111" s="113">
        <v>54</v>
      </c>
      <c r="E111" s="113">
        <v>92</v>
      </c>
    </row>
    <row r="112" spans="1:5" ht="17.25" customHeight="1">
      <c r="A112" s="164">
        <v>109</v>
      </c>
      <c r="B112" s="255" t="s">
        <v>282</v>
      </c>
      <c r="C112" s="113">
        <v>8</v>
      </c>
      <c r="D112" s="113">
        <v>10</v>
      </c>
      <c r="E112" s="113">
        <v>18</v>
      </c>
    </row>
    <row r="113" spans="1:5" ht="17.25" customHeight="1">
      <c r="A113" s="164">
        <v>110</v>
      </c>
      <c r="B113" s="255" t="s">
        <v>439</v>
      </c>
      <c r="C113" s="113">
        <v>162</v>
      </c>
      <c r="D113" s="113">
        <v>264</v>
      </c>
      <c r="E113" s="113">
        <v>426</v>
      </c>
    </row>
    <row r="114" spans="1:5" ht="17.25" customHeight="1">
      <c r="A114" s="164">
        <v>111</v>
      </c>
      <c r="B114" s="255" t="s">
        <v>976</v>
      </c>
      <c r="C114" s="113">
        <v>25</v>
      </c>
      <c r="D114" s="113">
        <v>29</v>
      </c>
      <c r="E114" s="113">
        <v>54</v>
      </c>
    </row>
    <row r="115" spans="1:5" ht="17.25" customHeight="1">
      <c r="A115" s="164">
        <v>112</v>
      </c>
      <c r="B115" s="255" t="s">
        <v>434</v>
      </c>
      <c r="C115" s="113">
        <v>430972</v>
      </c>
      <c r="D115" s="113">
        <v>164782</v>
      </c>
      <c r="E115" s="113">
        <v>595754</v>
      </c>
    </row>
    <row r="116" spans="1:5" ht="17.25" customHeight="1">
      <c r="A116" s="164">
        <v>113</v>
      </c>
      <c r="B116" s="255" t="s">
        <v>791</v>
      </c>
      <c r="C116" s="113">
        <v>512</v>
      </c>
      <c r="D116" s="113">
        <v>167</v>
      </c>
      <c r="E116" s="113">
        <v>679</v>
      </c>
    </row>
    <row r="117" spans="1:5" ht="17.25" customHeight="1">
      <c r="A117" s="164">
        <v>114</v>
      </c>
      <c r="B117" s="255" t="s">
        <v>977</v>
      </c>
      <c r="C117" s="113">
        <v>15</v>
      </c>
      <c r="D117" s="113">
        <v>12</v>
      </c>
      <c r="E117" s="113">
        <v>27</v>
      </c>
    </row>
    <row r="118" spans="1:5" ht="17.25" customHeight="1">
      <c r="A118" s="164">
        <v>115</v>
      </c>
      <c r="B118" s="255" t="s">
        <v>800</v>
      </c>
      <c r="C118" s="113">
        <v>60</v>
      </c>
      <c r="D118" s="113">
        <v>323</v>
      </c>
      <c r="E118" s="113">
        <v>383</v>
      </c>
    </row>
    <row r="119" spans="1:5" ht="17.25" customHeight="1">
      <c r="A119" s="164">
        <v>116</v>
      </c>
      <c r="B119" s="255" t="s">
        <v>797</v>
      </c>
      <c r="C119" s="113">
        <v>2</v>
      </c>
      <c r="D119" s="113">
        <v>4</v>
      </c>
      <c r="E119" s="113">
        <v>6</v>
      </c>
    </row>
    <row r="120" spans="1:5" ht="17.25" customHeight="1">
      <c r="A120" s="164">
        <v>117</v>
      </c>
      <c r="B120" s="255" t="s">
        <v>436</v>
      </c>
      <c r="C120" s="113">
        <v>16469</v>
      </c>
      <c r="D120" s="113">
        <v>67471</v>
      </c>
      <c r="E120" s="113">
        <v>83940</v>
      </c>
    </row>
    <row r="121" spans="1:5" ht="17.25" customHeight="1">
      <c r="A121" s="164">
        <v>118</v>
      </c>
      <c r="B121" s="255" t="s">
        <v>428</v>
      </c>
      <c r="C121" s="113">
        <v>11</v>
      </c>
      <c r="D121" s="113">
        <v>6</v>
      </c>
      <c r="E121" s="113">
        <v>17</v>
      </c>
    </row>
    <row r="122" spans="1:5" ht="17.25" customHeight="1">
      <c r="A122" s="164">
        <v>119</v>
      </c>
      <c r="B122" s="255" t="s">
        <v>450</v>
      </c>
      <c r="C122" s="113">
        <v>684</v>
      </c>
      <c r="D122" s="113">
        <v>762</v>
      </c>
      <c r="E122" s="113">
        <v>1446</v>
      </c>
    </row>
    <row r="123" spans="1:5" ht="17.25" customHeight="1">
      <c r="A123" s="164">
        <v>120</v>
      </c>
      <c r="B123" s="255" t="s">
        <v>447</v>
      </c>
      <c r="C123" s="113">
        <v>1292</v>
      </c>
      <c r="D123" s="113">
        <v>996</v>
      </c>
      <c r="E123" s="113">
        <v>2288</v>
      </c>
    </row>
    <row r="124" spans="1:5" ht="17.25" customHeight="1">
      <c r="A124" s="164">
        <v>121</v>
      </c>
      <c r="B124" s="255" t="s">
        <v>451</v>
      </c>
      <c r="C124" s="113">
        <v>435</v>
      </c>
      <c r="D124" s="113">
        <v>316</v>
      </c>
      <c r="E124" s="113">
        <v>751</v>
      </c>
    </row>
    <row r="125" spans="1:5" ht="17.25" customHeight="1">
      <c r="A125" s="164">
        <v>122</v>
      </c>
      <c r="B125" s="255" t="s">
        <v>444</v>
      </c>
      <c r="C125" s="113">
        <v>2537</v>
      </c>
      <c r="D125" s="113">
        <v>1960</v>
      </c>
      <c r="E125" s="113">
        <v>4497</v>
      </c>
    </row>
    <row r="126" spans="1:5" ht="17.25" customHeight="1">
      <c r="A126" s="164">
        <v>123</v>
      </c>
      <c r="B126" s="255" t="s">
        <v>452</v>
      </c>
      <c r="C126" s="113">
        <v>156</v>
      </c>
      <c r="D126" s="113">
        <v>148</v>
      </c>
      <c r="E126" s="113">
        <v>304</v>
      </c>
    </row>
    <row r="127" spans="1:5" ht="17.25" customHeight="1">
      <c r="A127" s="164">
        <v>124</v>
      </c>
      <c r="B127" s="255" t="s">
        <v>801</v>
      </c>
      <c r="C127" s="113">
        <v>237</v>
      </c>
      <c r="D127" s="113">
        <v>168</v>
      </c>
      <c r="E127" s="113">
        <v>405</v>
      </c>
    </row>
    <row r="128" spans="1:5" ht="17.25" customHeight="1">
      <c r="A128" s="164">
        <v>125</v>
      </c>
      <c r="B128" s="255" t="s">
        <v>362</v>
      </c>
      <c r="C128" s="113">
        <v>64505</v>
      </c>
      <c r="D128" s="113">
        <v>31464</v>
      </c>
      <c r="E128" s="113">
        <v>95969</v>
      </c>
    </row>
    <row r="129" spans="1:5" ht="17.25" customHeight="1">
      <c r="A129" s="164">
        <v>126</v>
      </c>
      <c r="B129" s="255" t="s">
        <v>280</v>
      </c>
      <c r="C129" s="113">
        <v>13</v>
      </c>
      <c r="D129" s="113">
        <v>11</v>
      </c>
      <c r="E129" s="113">
        <v>24</v>
      </c>
    </row>
    <row r="130" spans="1:5" ht="17.25" customHeight="1">
      <c r="A130" s="164">
        <v>127</v>
      </c>
      <c r="B130" s="255" t="s">
        <v>296</v>
      </c>
      <c r="C130" s="113">
        <v>9032</v>
      </c>
      <c r="D130" s="113">
        <v>7577</v>
      </c>
      <c r="E130" s="113">
        <v>16609</v>
      </c>
    </row>
    <row r="131" spans="1:5" ht="17.25" customHeight="1">
      <c r="A131" s="164">
        <v>128</v>
      </c>
      <c r="B131" s="255" t="s">
        <v>453</v>
      </c>
      <c r="C131" s="113">
        <v>138</v>
      </c>
      <c r="D131" s="113">
        <v>128</v>
      </c>
      <c r="E131" s="113">
        <v>266</v>
      </c>
    </row>
    <row r="132" spans="1:5" ht="17.25" customHeight="1">
      <c r="A132" s="164">
        <v>129</v>
      </c>
      <c r="B132" s="255" t="s">
        <v>344</v>
      </c>
      <c r="C132" s="113">
        <v>21</v>
      </c>
      <c r="D132" s="113">
        <v>42</v>
      </c>
      <c r="E132" s="113">
        <v>63</v>
      </c>
    </row>
    <row r="133" spans="1:5" ht="17.25" customHeight="1">
      <c r="A133" s="164">
        <v>130</v>
      </c>
      <c r="B133" s="255" t="s">
        <v>284</v>
      </c>
      <c r="C133" s="113">
        <v>276343</v>
      </c>
      <c r="D133" s="113">
        <v>425524</v>
      </c>
      <c r="E133" s="113">
        <v>701867</v>
      </c>
    </row>
    <row r="134" spans="1:5" ht="17.25" customHeight="1">
      <c r="A134" s="164">
        <v>131</v>
      </c>
      <c r="B134" s="255" t="s">
        <v>313</v>
      </c>
      <c r="C134" s="113">
        <v>648</v>
      </c>
      <c r="D134" s="113">
        <v>880</v>
      </c>
      <c r="E134" s="113">
        <v>1528</v>
      </c>
    </row>
    <row r="135" spans="1:5" ht="17.25" customHeight="1">
      <c r="A135" s="164">
        <v>132</v>
      </c>
      <c r="B135" s="255" t="s">
        <v>286</v>
      </c>
      <c r="C135" s="113">
        <v>130960</v>
      </c>
      <c r="D135" s="113">
        <v>101305</v>
      </c>
      <c r="E135" s="113">
        <v>232265</v>
      </c>
    </row>
    <row r="136" spans="1:5" ht="17.25" customHeight="1">
      <c r="A136" s="164">
        <v>133</v>
      </c>
      <c r="B136" s="255" t="s">
        <v>343</v>
      </c>
      <c r="C136" s="113">
        <v>68</v>
      </c>
      <c r="D136" s="113">
        <v>58</v>
      </c>
      <c r="E136" s="113">
        <v>126</v>
      </c>
    </row>
    <row r="137" spans="1:5" ht="17.25" customHeight="1">
      <c r="A137" s="164">
        <v>134</v>
      </c>
      <c r="B137" s="255" t="s">
        <v>311</v>
      </c>
      <c r="C137" s="113">
        <v>2291</v>
      </c>
      <c r="D137" s="113">
        <v>2432</v>
      </c>
      <c r="E137" s="113">
        <v>4723</v>
      </c>
    </row>
    <row r="138" spans="1:5" ht="17.25" customHeight="1">
      <c r="A138" s="164">
        <v>135</v>
      </c>
      <c r="B138" s="255" t="s">
        <v>365</v>
      </c>
      <c r="C138" s="113">
        <v>26474</v>
      </c>
      <c r="D138" s="113">
        <v>28073</v>
      </c>
      <c r="E138" s="113">
        <v>54547</v>
      </c>
    </row>
    <row r="139" spans="1:5" ht="17.25" customHeight="1">
      <c r="A139" s="164">
        <v>136</v>
      </c>
      <c r="B139" s="255" t="s">
        <v>288</v>
      </c>
      <c r="C139" s="113">
        <v>26550</v>
      </c>
      <c r="D139" s="113">
        <v>21466</v>
      </c>
      <c r="E139" s="113">
        <v>48016</v>
      </c>
    </row>
    <row r="140" spans="1:5" ht="17.25" customHeight="1">
      <c r="A140" s="164">
        <v>137</v>
      </c>
      <c r="B140" s="255" t="s">
        <v>278</v>
      </c>
      <c r="C140" s="113">
        <v>287</v>
      </c>
      <c r="D140" s="113">
        <v>50</v>
      </c>
      <c r="E140" s="113">
        <v>337</v>
      </c>
    </row>
    <row r="141" spans="1:5" ht="17.25" customHeight="1">
      <c r="A141" s="164">
        <v>138</v>
      </c>
      <c r="B141" s="255" t="s">
        <v>456</v>
      </c>
      <c r="C141" s="113">
        <v>21</v>
      </c>
      <c r="D141" s="113">
        <v>57</v>
      </c>
      <c r="E141" s="113">
        <v>78</v>
      </c>
    </row>
    <row r="142" spans="1:5" ht="17.25" customHeight="1">
      <c r="A142" s="164">
        <v>139</v>
      </c>
      <c r="B142" s="255" t="s">
        <v>287</v>
      </c>
      <c r="C142" s="113">
        <v>67260</v>
      </c>
      <c r="D142" s="113">
        <v>122479</v>
      </c>
      <c r="E142" s="113">
        <v>189739</v>
      </c>
    </row>
    <row r="143" spans="1:5" ht="17.25" customHeight="1">
      <c r="A143" s="164">
        <v>140</v>
      </c>
      <c r="B143" s="255" t="s">
        <v>290</v>
      </c>
      <c r="C143" s="113">
        <v>7343</v>
      </c>
      <c r="D143" s="113">
        <v>8389</v>
      </c>
      <c r="E143" s="113">
        <v>15732</v>
      </c>
    </row>
    <row r="144" spans="1:5" ht="17.25" customHeight="1">
      <c r="A144" s="164">
        <v>141</v>
      </c>
      <c r="B144" s="255" t="s">
        <v>300</v>
      </c>
      <c r="C144" s="113">
        <v>1506</v>
      </c>
      <c r="D144" s="113">
        <v>3284</v>
      </c>
      <c r="E144" s="113">
        <v>4790</v>
      </c>
    </row>
    <row r="145" spans="1:5" ht="17.25" customHeight="1">
      <c r="A145" s="164">
        <v>142</v>
      </c>
      <c r="B145" s="255" t="s">
        <v>347</v>
      </c>
      <c r="C145" s="113">
        <v>21</v>
      </c>
      <c r="D145" s="113">
        <v>79</v>
      </c>
      <c r="E145" s="113">
        <v>100</v>
      </c>
    </row>
    <row r="146" spans="1:5" ht="17.25" customHeight="1">
      <c r="A146" s="164">
        <v>143</v>
      </c>
      <c r="B146" s="255" t="s">
        <v>315</v>
      </c>
      <c r="C146" s="113">
        <v>574</v>
      </c>
      <c r="D146" s="113">
        <v>788</v>
      </c>
      <c r="E146" s="113">
        <v>1362</v>
      </c>
    </row>
    <row r="147" spans="1:5" ht="17.25" customHeight="1">
      <c r="A147" s="164">
        <v>144</v>
      </c>
      <c r="B147" s="255" t="s">
        <v>294</v>
      </c>
      <c r="C147" s="113">
        <v>6970</v>
      </c>
      <c r="D147" s="113">
        <v>4405</v>
      </c>
      <c r="E147" s="113">
        <v>11375</v>
      </c>
    </row>
    <row r="148" spans="1:5" ht="17.25" customHeight="1">
      <c r="A148" s="164">
        <v>145</v>
      </c>
      <c r="B148" s="255" t="s">
        <v>292</v>
      </c>
      <c r="C148" s="113">
        <v>8069</v>
      </c>
      <c r="D148" s="113">
        <v>16589</v>
      </c>
      <c r="E148" s="113">
        <v>24658</v>
      </c>
    </row>
    <row r="149" spans="1:5" ht="17.25" customHeight="1">
      <c r="A149" s="164">
        <v>146</v>
      </c>
      <c r="B149" s="255" t="s">
        <v>308</v>
      </c>
      <c r="C149" s="113">
        <v>1025</v>
      </c>
      <c r="D149" s="113">
        <v>1127</v>
      </c>
      <c r="E149" s="113">
        <v>2152</v>
      </c>
    </row>
    <row r="150" spans="1:5" ht="17.25" customHeight="1">
      <c r="A150" s="164">
        <v>147</v>
      </c>
      <c r="B150" s="255" t="s">
        <v>321</v>
      </c>
      <c r="C150" s="113">
        <v>294</v>
      </c>
      <c r="D150" s="113">
        <v>247</v>
      </c>
      <c r="E150" s="113">
        <v>541</v>
      </c>
    </row>
    <row r="151" spans="1:5" ht="17.25" customHeight="1">
      <c r="A151" s="164">
        <v>148</v>
      </c>
      <c r="B151" s="255" t="s">
        <v>330</v>
      </c>
      <c r="C151" s="113">
        <v>56</v>
      </c>
      <c r="D151" s="113">
        <v>236</v>
      </c>
      <c r="E151" s="113">
        <v>292</v>
      </c>
    </row>
    <row r="152" spans="1:5" ht="17.25" customHeight="1">
      <c r="A152" s="164">
        <v>149</v>
      </c>
      <c r="B152" s="255" t="s">
        <v>327</v>
      </c>
      <c r="C152" s="113">
        <v>190</v>
      </c>
      <c r="D152" s="113">
        <v>158</v>
      </c>
      <c r="E152" s="113">
        <v>348</v>
      </c>
    </row>
    <row r="153" spans="1:5" ht="17.25" customHeight="1">
      <c r="A153" s="164">
        <v>150</v>
      </c>
      <c r="B153" s="255" t="s">
        <v>350</v>
      </c>
      <c r="C153" s="113">
        <v>2</v>
      </c>
      <c r="D153" s="113">
        <v>0</v>
      </c>
      <c r="E153" s="113">
        <v>2</v>
      </c>
    </row>
    <row r="154" spans="1:5" ht="17.25" customHeight="1">
      <c r="A154" s="164">
        <v>151</v>
      </c>
      <c r="B154" s="255" t="s">
        <v>342</v>
      </c>
      <c r="C154" s="113">
        <v>22</v>
      </c>
      <c r="D154" s="113">
        <v>103</v>
      </c>
      <c r="E154" s="113">
        <v>125</v>
      </c>
    </row>
    <row r="155" spans="1:5" ht="17.25" customHeight="1">
      <c r="A155" s="164">
        <v>152</v>
      </c>
      <c r="B155" s="255" t="s">
        <v>314</v>
      </c>
      <c r="C155" s="113">
        <v>633</v>
      </c>
      <c r="D155" s="113">
        <v>759</v>
      </c>
      <c r="E155" s="113">
        <v>1392</v>
      </c>
    </row>
    <row r="156" spans="1:5" ht="17.25" customHeight="1">
      <c r="A156" s="164">
        <v>153</v>
      </c>
      <c r="B156" s="255" t="s">
        <v>349</v>
      </c>
      <c r="C156" s="113">
        <v>38</v>
      </c>
      <c r="D156" s="113">
        <v>64</v>
      </c>
      <c r="E156" s="113">
        <v>102</v>
      </c>
    </row>
    <row r="157" spans="1:5" ht="17.25" customHeight="1">
      <c r="A157" s="164">
        <v>154</v>
      </c>
      <c r="B157" s="255" t="s">
        <v>319</v>
      </c>
      <c r="C157" s="113">
        <v>233</v>
      </c>
      <c r="D157" s="113">
        <v>402</v>
      </c>
      <c r="E157" s="113">
        <v>635</v>
      </c>
    </row>
    <row r="158" spans="1:5" ht="17.25" customHeight="1">
      <c r="A158" s="164">
        <v>155</v>
      </c>
      <c r="B158" s="255" t="s">
        <v>325</v>
      </c>
      <c r="C158" s="113">
        <v>213</v>
      </c>
      <c r="D158" s="113">
        <v>159</v>
      </c>
      <c r="E158" s="113">
        <v>372</v>
      </c>
    </row>
    <row r="159" spans="1:5" ht="17.25" customHeight="1">
      <c r="A159" s="164">
        <v>156</v>
      </c>
      <c r="B159" s="255" t="s">
        <v>307</v>
      </c>
      <c r="C159" s="113">
        <v>989</v>
      </c>
      <c r="D159" s="113">
        <v>842</v>
      </c>
      <c r="E159" s="113">
        <v>1831</v>
      </c>
    </row>
    <row r="160" spans="1:5" ht="17.25" customHeight="1">
      <c r="A160" s="164">
        <v>157</v>
      </c>
      <c r="B160" s="255" t="s">
        <v>318</v>
      </c>
      <c r="C160" s="113">
        <v>422</v>
      </c>
      <c r="D160" s="113">
        <v>297</v>
      </c>
      <c r="E160" s="113">
        <v>719</v>
      </c>
    </row>
    <row r="161" spans="1:5" ht="17.25" customHeight="1">
      <c r="A161" s="164">
        <v>158</v>
      </c>
      <c r="B161" s="255" t="s">
        <v>324</v>
      </c>
      <c r="C161" s="113">
        <v>303</v>
      </c>
      <c r="D161" s="113">
        <v>189</v>
      </c>
      <c r="E161" s="113">
        <v>492</v>
      </c>
    </row>
    <row r="162" spans="1:5" ht="17.25" customHeight="1">
      <c r="A162" s="164">
        <v>159</v>
      </c>
      <c r="B162" s="255" t="s">
        <v>305</v>
      </c>
      <c r="C162" s="113">
        <v>1894</v>
      </c>
      <c r="D162" s="113">
        <v>1850</v>
      </c>
      <c r="E162" s="113">
        <v>3744</v>
      </c>
    </row>
    <row r="163" spans="1:5" ht="17.25" customHeight="1">
      <c r="A163" s="164">
        <v>160</v>
      </c>
      <c r="B163" s="255" t="s">
        <v>309</v>
      </c>
      <c r="C163" s="113">
        <v>1662</v>
      </c>
      <c r="D163" s="113">
        <v>1870</v>
      </c>
      <c r="E163" s="113">
        <v>3532</v>
      </c>
    </row>
    <row r="164" spans="1:5" ht="17.25" customHeight="1">
      <c r="A164" s="164">
        <v>161</v>
      </c>
      <c r="B164" s="255" t="s">
        <v>345</v>
      </c>
      <c r="C164" s="113">
        <v>27</v>
      </c>
      <c r="D164" s="113">
        <v>77</v>
      </c>
      <c r="E164" s="113">
        <v>104</v>
      </c>
    </row>
    <row r="165" spans="1:5" ht="17.25" customHeight="1">
      <c r="A165" s="164">
        <v>162</v>
      </c>
      <c r="B165" s="255" t="s">
        <v>336</v>
      </c>
      <c r="C165" s="113">
        <v>135</v>
      </c>
      <c r="D165" s="113">
        <v>186</v>
      </c>
      <c r="E165" s="113">
        <v>321</v>
      </c>
    </row>
    <row r="166" spans="1:5" ht="17.25" customHeight="1">
      <c r="A166" s="164">
        <v>163</v>
      </c>
      <c r="B166" s="255" t="s">
        <v>304</v>
      </c>
      <c r="C166" s="113">
        <v>1581</v>
      </c>
      <c r="D166" s="113">
        <v>1105</v>
      </c>
      <c r="E166" s="113">
        <v>2686</v>
      </c>
    </row>
    <row r="167" spans="1:5" ht="17.25" customHeight="1">
      <c r="A167" s="164">
        <v>164</v>
      </c>
      <c r="B167" s="255" t="s">
        <v>328</v>
      </c>
      <c r="C167" s="113">
        <v>157</v>
      </c>
      <c r="D167" s="113">
        <v>79</v>
      </c>
      <c r="E167" s="113">
        <v>236</v>
      </c>
    </row>
    <row r="168" spans="1:5" ht="17.25" customHeight="1">
      <c r="A168" s="164">
        <v>165</v>
      </c>
      <c r="B168" s="255" t="s">
        <v>323</v>
      </c>
      <c r="C168" s="113">
        <v>274</v>
      </c>
      <c r="D168" s="113">
        <v>488</v>
      </c>
      <c r="E168" s="113">
        <v>762</v>
      </c>
    </row>
    <row r="169" spans="1:5" ht="17.25" customHeight="1">
      <c r="A169" s="164">
        <v>166</v>
      </c>
      <c r="B169" s="255" t="s">
        <v>340</v>
      </c>
      <c r="C169" s="113">
        <v>14</v>
      </c>
      <c r="D169" s="113">
        <v>4</v>
      </c>
      <c r="E169" s="113">
        <v>18</v>
      </c>
    </row>
    <row r="170" spans="1:5" ht="17.25" customHeight="1">
      <c r="A170" s="164">
        <v>167</v>
      </c>
      <c r="B170" s="255" t="s">
        <v>339</v>
      </c>
      <c r="C170" s="113">
        <v>44</v>
      </c>
      <c r="D170" s="113">
        <v>113</v>
      </c>
      <c r="E170" s="113">
        <v>157</v>
      </c>
    </row>
    <row r="171" spans="1:5" ht="17.25" customHeight="1">
      <c r="A171" s="164">
        <v>168</v>
      </c>
      <c r="B171" s="255" t="s">
        <v>331</v>
      </c>
      <c r="C171" s="113">
        <v>71</v>
      </c>
      <c r="D171" s="113">
        <v>148</v>
      </c>
      <c r="E171" s="113">
        <v>219</v>
      </c>
    </row>
    <row r="172" spans="1:5" ht="17.25" customHeight="1">
      <c r="A172" s="164">
        <v>169</v>
      </c>
      <c r="B172" s="255" t="s">
        <v>326</v>
      </c>
      <c r="C172" s="113">
        <v>297</v>
      </c>
      <c r="D172" s="113">
        <v>374</v>
      </c>
      <c r="E172" s="113">
        <v>671</v>
      </c>
    </row>
    <row r="173" spans="1:5" ht="17.25" customHeight="1">
      <c r="A173" s="164">
        <v>170</v>
      </c>
      <c r="B173" s="255" t="s">
        <v>329</v>
      </c>
      <c r="C173" s="113">
        <v>423</v>
      </c>
      <c r="D173" s="113">
        <v>216</v>
      </c>
      <c r="E173" s="113">
        <v>639</v>
      </c>
    </row>
    <row r="174" spans="1:5" ht="17.25" customHeight="1">
      <c r="A174" s="164">
        <v>171</v>
      </c>
      <c r="B174" s="255" t="s">
        <v>302</v>
      </c>
      <c r="C174" s="113">
        <v>3314</v>
      </c>
      <c r="D174" s="113">
        <v>1488</v>
      </c>
      <c r="E174" s="113">
        <v>4802</v>
      </c>
    </row>
    <row r="175" spans="1:5" ht="17.25" customHeight="1">
      <c r="A175" s="164">
        <v>172</v>
      </c>
      <c r="B175" s="255" t="s">
        <v>317</v>
      </c>
      <c r="C175" s="113">
        <v>419</v>
      </c>
      <c r="D175" s="113">
        <v>668</v>
      </c>
      <c r="E175" s="113">
        <v>1087</v>
      </c>
    </row>
    <row r="176" spans="1:5" ht="17.25" customHeight="1">
      <c r="A176" s="164">
        <v>173</v>
      </c>
      <c r="B176" s="255" t="s">
        <v>979</v>
      </c>
      <c r="C176" s="113">
        <v>3</v>
      </c>
      <c r="D176" s="113">
        <v>6</v>
      </c>
      <c r="E176" s="113">
        <v>9</v>
      </c>
    </row>
    <row r="177" spans="1:5" ht="17.25" customHeight="1">
      <c r="A177" s="164">
        <v>174</v>
      </c>
      <c r="B177" s="255" t="s">
        <v>332</v>
      </c>
      <c r="C177" s="113">
        <v>43</v>
      </c>
      <c r="D177" s="113">
        <v>18</v>
      </c>
      <c r="E177" s="113">
        <v>61</v>
      </c>
    </row>
    <row r="178" spans="1:5" ht="17.25" customHeight="1">
      <c r="A178" s="164">
        <v>175</v>
      </c>
      <c r="B178" s="255" t="s">
        <v>306</v>
      </c>
      <c r="C178" s="113">
        <v>934</v>
      </c>
      <c r="D178" s="113">
        <v>2111</v>
      </c>
      <c r="E178" s="113">
        <v>3045</v>
      </c>
    </row>
    <row r="179" spans="1:5" ht="17.25" customHeight="1">
      <c r="A179" s="164">
        <v>176</v>
      </c>
      <c r="B179" s="255" t="s">
        <v>293</v>
      </c>
      <c r="C179" s="113">
        <v>6914</v>
      </c>
      <c r="D179" s="113">
        <v>8247</v>
      </c>
      <c r="E179" s="113">
        <v>15161</v>
      </c>
    </row>
    <row r="180" spans="1:5" ht="17.25" customHeight="1">
      <c r="A180" s="164">
        <v>177</v>
      </c>
      <c r="B180" s="255" t="s">
        <v>283</v>
      </c>
      <c r="C180" s="113">
        <v>1979</v>
      </c>
      <c r="D180" s="113">
        <v>4008</v>
      </c>
      <c r="E180" s="113">
        <v>5987</v>
      </c>
    </row>
    <row r="181" spans="1:5" ht="17.25" customHeight="1">
      <c r="A181" s="164">
        <v>178</v>
      </c>
      <c r="B181" s="255" t="s">
        <v>322</v>
      </c>
      <c r="C181" s="113">
        <v>374</v>
      </c>
      <c r="D181" s="113">
        <v>415</v>
      </c>
      <c r="E181" s="113">
        <v>789</v>
      </c>
    </row>
    <row r="182" spans="1:5" ht="17.25" customHeight="1">
      <c r="A182" s="164">
        <v>179</v>
      </c>
      <c r="B182" s="255" t="s">
        <v>303</v>
      </c>
      <c r="C182" s="113">
        <v>1584</v>
      </c>
      <c r="D182" s="113">
        <v>2239</v>
      </c>
      <c r="E182" s="113">
        <v>3823</v>
      </c>
    </row>
    <row r="183" spans="1:5" ht="17.25" customHeight="1">
      <c r="A183" s="164">
        <v>180</v>
      </c>
      <c r="B183" s="255" t="s">
        <v>297</v>
      </c>
      <c r="C183" s="113">
        <v>2521</v>
      </c>
      <c r="D183" s="113">
        <v>2192</v>
      </c>
      <c r="E183" s="113">
        <v>4713</v>
      </c>
    </row>
    <row r="184" spans="1:5" ht="17.25" customHeight="1">
      <c r="A184" s="164">
        <v>181</v>
      </c>
      <c r="B184" s="255" t="s">
        <v>291</v>
      </c>
      <c r="C184" s="113">
        <v>11280</v>
      </c>
      <c r="D184" s="113">
        <v>13098</v>
      </c>
      <c r="E184" s="113">
        <v>24378</v>
      </c>
    </row>
    <row r="185" spans="1:5" ht="17.25" customHeight="1">
      <c r="A185" s="164">
        <v>182</v>
      </c>
      <c r="B185" s="255" t="s">
        <v>454</v>
      </c>
      <c r="C185" s="113">
        <v>35</v>
      </c>
      <c r="D185" s="113">
        <v>34</v>
      </c>
      <c r="E185" s="113">
        <v>69</v>
      </c>
    </row>
    <row r="186" spans="1:5" ht="17.25" customHeight="1">
      <c r="A186" s="164">
        <v>183</v>
      </c>
      <c r="B186" s="255" t="s">
        <v>795</v>
      </c>
      <c r="C186" s="113">
        <v>29</v>
      </c>
      <c r="D186" s="113">
        <v>103</v>
      </c>
      <c r="E186" s="113">
        <v>132</v>
      </c>
    </row>
    <row r="187" spans="1:5" ht="17.25" customHeight="1">
      <c r="A187" s="164">
        <v>184</v>
      </c>
      <c r="B187" s="255" t="s">
        <v>815</v>
      </c>
      <c r="C187" s="113">
        <v>13</v>
      </c>
      <c r="D187" s="113">
        <v>4</v>
      </c>
      <c r="E187" s="113">
        <v>17</v>
      </c>
    </row>
    <row r="188" spans="1:5" ht="17.25" customHeight="1">
      <c r="A188" s="164">
        <v>185</v>
      </c>
      <c r="B188" s="255" t="s">
        <v>301</v>
      </c>
      <c r="C188" s="113">
        <v>1028</v>
      </c>
      <c r="D188" s="113">
        <v>4321</v>
      </c>
      <c r="E188" s="113">
        <v>5349</v>
      </c>
    </row>
    <row r="189" spans="1:5" ht="17.25" customHeight="1">
      <c r="A189" s="164">
        <v>186</v>
      </c>
      <c r="B189" s="255" t="s">
        <v>320</v>
      </c>
      <c r="C189" s="113">
        <v>372</v>
      </c>
      <c r="D189" s="113">
        <v>328</v>
      </c>
      <c r="E189" s="113">
        <v>700</v>
      </c>
    </row>
    <row r="190" spans="1:5" ht="17.25" customHeight="1">
      <c r="A190" s="164">
        <v>187</v>
      </c>
      <c r="B190" s="255" t="s">
        <v>335</v>
      </c>
      <c r="C190" s="113">
        <v>37</v>
      </c>
      <c r="D190" s="113">
        <v>11</v>
      </c>
      <c r="E190" s="113">
        <v>48</v>
      </c>
    </row>
    <row r="191" spans="1:5" ht="17.25" customHeight="1">
      <c r="A191" s="164">
        <v>188</v>
      </c>
      <c r="B191" s="255" t="s">
        <v>348</v>
      </c>
      <c r="C191" s="113">
        <v>8</v>
      </c>
      <c r="D191" s="113">
        <v>13</v>
      </c>
      <c r="E191" s="113">
        <v>21</v>
      </c>
    </row>
    <row r="192" spans="1:5" ht="17.25" customHeight="1">
      <c r="A192" s="164">
        <v>189</v>
      </c>
      <c r="B192" s="255" t="s">
        <v>334</v>
      </c>
      <c r="C192" s="113">
        <v>65</v>
      </c>
      <c r="D192" s="113">
        <v>105</v>
      </c>
      <c r="E192" s="113">
        <v>170</v>
      </c>
    </row>
    <row r="193" spans="1:5" ht="17.25" customHeight="1">
      <c r="A193" s="164">
        <v>190</v>
      </c>
      <c r="B193" s="255" t="s">
        <v>338</v>
      </c>
      <c r="C193" s="113">
        <v>92</v>
      </c>
      <c r="D193" s="113">
        <v>136</v>
      </c>
      <c r="E193" s="113">
        <v>228</v>
      </c>
    </row>
    <row r="194" spans="1:5" ht="17.25" customHeight="1">
      <c r="A194" s="164">
        <v>191</v>
      </c>
      <c r="B194" s="255" t="s">
        <v>351</v>
      </c>
      <c r="C194" s="113">
        <v>10</v>
      </c>
      <c r="D194" s="113">
        <v>15</v>
      </c>
      <c r="E194" s="113">
        <v>25</v>
      </c>
    </row>
    <row r="195" spans="1:5" ht="17.25" customHeight="1">
      <c r="A195" s="164">
        <v>192</v>
      </c>
      <c r="B195" s="255" t="s">
        <v>341</v>
      </c>
      <c r="C195" s="113">
        <v>11</v>
      </c>
      <c r="D195" s="113">
        <v>52</v>
      </c>
      <c r="E195" s="113">
        <v>63</v>
      </c>
    </row>
    <row r="196" spans="1:5" ht="17.25" customHeight="1">
      <c r="A196" s="164">
        <v>193</v>
      </c>
      <c r="B196" s="255" t="s">
        <v>980</v>
      </c>
      <c r="C196" s="113">
        <v>9</v>
      </c>
      <c r="D196" s="113">
        <v>5</v>
      </c>
      <c r="E196" s="113">
        <v>14</v>
      </c>
    </row>
    <row r="197" spans="1:5" ht="17.25" customHeight="1">
      <c r="A197" s="164">
        <v>194</v>
      </c>
      <c r="B197" s="255" t="s">
        <v>285</v>
      </c>
      <c r="C197" s="113">
        <v>134614</v>
      </c>
      <c r="D197" s="113">
        <v>221832</v>
      </c>
      <c r="E197" s="113">
        <v>356446</v>
      </c>
    </row>
    <row r="198" spans="1:5" ht="17.25" customHeight="1">
      <c r="A198" s="164">
        <v>195</v>
      </c>
      <c r="B198" s="255" t="s">
        <v>337</v>
      </c>
      <c r="C198" s="113">
        <v>199</v>
      </c>
      <c r="D198" s="113">
        <v>325</v>
      </c>
      <c r="E198" s="113">
        <v>524</v>
      </c>
    </row>
    <row r="199" spans="1:5" ht="17.25" customHeight="1">
      <c r="A199" s="164">
        <v>196</v>
      </c>
      <c r="B199" s="255" t="s">
        <v>289</v>
      </c>
      <c r="C199" s="113">
        <v>32156</v>
      </c>
      <c r="D199" s="113">
        <v>16334</v>
      </c>
      <c r="E199" s="113">
        <v>48490</v>
      </c>
    </row>
    <row r="200" spans="1:5" ht="17.25" customHeight="1">
      <c r="A200" s="164">
        <v>197</v>
      </c>
      <c r="B200" s="255" t="s">
        <v>346</v>
      </c>
      <c r="C200" s="113">
        <v>23</v>
      </c>
      <c r="D200" s="113">
        <v>16</v>
      </c>
      <c r="E200" s="113">
        <v>39</v>
      </c>
    </row>
    <row r="201" spans="1:5" ht="17.25" customHeight="1">
      <c r="A201" s="164">
        <v>198</v>
      </c>
      <c r="B201" s="255" t="s">
        <v>981</v>
      </c>
      <c r="C201" s="113">
        <v>4</v>
      </c>
      <c r="D201" s="113">
        <v>5</v>
      </c>
      <c r="E201" s="113">
        <v>9</v>
      </c>
    </row>
    <row r="202" spans="1:5" ht="17.25" customHeight="1">
      <c r="A202" s="164">
        <v>199</v>
      </c>
      <c r="B202" s="255" t="s">
        <v>312</v>
      </c>
      <c r="C202" s="113">
        <v>924</v>
      </c>
      <c r="D202" s="113">
        <v>736</v>
      </c>
      <c r="E202" s="113">
        <v>1660</v>
      </c>
    </row>
    <row r="203" spans="1:5" ht="17.25" customHeight="1">
      <c r="A203" s="164">
        <v>200</v>
      </c>
      <c r="B203" s="255" t="s">
        <v>799</v>
      </c>
      <c r="C203" s="113">
        <v>64</v>
      </c>
      <c r="D203" s="113">
        <v>39</v>
      </c>
      <c r="E203" s="113">
        <v>103</v>
      </c>
    </row>
    <row r="204" spans="1:5" ht="17.25" customHeight="1">
      <c r="A204" s="164">
        <v>201</v>
      </c>
      <c r="B204" s="255" t="s">
        <v>790</v>
      </c>
      <c r="C204" s="113">
        <v>193</v>
      </c>
      <c r="D204" s="113">
        <v>171</v>
      </c>
      <c r="E204" s="113">
        <v>364</v>
      </c>
    </row>
    <row r="205" spans="1:5" ht="17.25" customHeight="1">
      <c r="A205" s="164">
        <v>202</v>
      </c>
      <c r="B205" s="255" t="s">
        <v>789</v>
      </c>
      <c r="C205" s="113">
        <v>860</v>
      </c>
      <c r="D205" s="113">
        <v>521</v>
      </c>
      <c r="E205" s="113">
        <v>1381</v>
      </c>
    </row>
    <row r="206" spans="1:5" ht="17.25" customHeight="1">
      <c r="A206" s="164">
        <v>203</v>
      </c>
      <c r="B206" s="255" t="s">
        <v>792</v>
      </c>
      <c r="C206" s="113">
        <v>306</v>
      </c>
      <c r="D206" s="113">
        <v>272</v>
      </c>
      <c r="E206" s="113">
        <v>578</v>
      </c>
    </row>
    <row r="207" spans="1:5" ht="17.25" customHeight="1">
      <c r="A207" s="164">
        <v>204</v>
      </c>
      <c r="B207" s="255" t="s">
        <v>793</v>
      </c>
      <c r="C207" s="113">
        <v>76</v>
      </c>
      <c r="D207" s="113">
        <v>62</v>
      </c>
      <c r="E207" s="113">
        <v>138</v>
      </c>
    </row>
    <row r="208" spans="1:5" ht="17.25" customHeight="1">
      <c r="A208" s="164">
        <v>205</v>
      </c>
      <c r="B208" s="255" t="s">
        <v>431</v>
      </c>
      <c r="C208" s="113">
        <v>221</v>
      </c>
      <c r="D208" s="113">
        <v>194</v>
      </c>
      <c r="E208" s="113">
        <v>415</v>
      </c>
    </row>
    <row r="209" spans="1:5" ht="17.25" customHeight="1">
      <c r="A209" s="164">
        <v>206</v>
      </c>
      <c r="B209" s="255" t="s">
        <v>814</v>
      </c>
      <c r="C209" s="113">
        <v>20</v>
      </c>
      <c r="D209" s="113">
        <v>20</v>
      </c>
      <c r="E209" s="113">
        <v>40</v>
      </c>
    </row>
    <row r="210" spans="1:5" ht="17.25" customHeight="1">
      <c r="A210" s="164">
        <v>207</v>
      </c>
      <c r="B210" s="309" t="s">
        <v>299</v>
      </c>
      <c r="C210" s="113">
        <v>5281</v>
      </c>
      <c r="D210" s="113">
        <v>3497</v>
      </c>
      <c r="E210" s="113">
        <v>8778</v>
      </c>
    </row>
    <row r="211" spans="1:5" ht="17.25" customHeight="1">
      <c r="A211" s="164">
        <v>208</v>
      </c>
      <c r="B211" s="255" t="s">
        <v>310</v>
      </c>
      <c r="C211" s="113">
        <v>961</v>
      </c>
      <c r="D211" s="113">
        <v>472</v>
      </c>
      <c r="E211" s="113">
        <v>1433</v>
      </c>
    </row>
    <row r="212" spans="1:5" ht="17.25" customHeight="1">
      <c r="A212" s="164">
        <v>209</v>
      </c>
      <c r="B212" s="255" t="s">
        <v>433</v>
      </c>
      <c r="C212" s="113">
        <v>74333</v>
      </c>
      <c r="D212" s="113">
        <v>73513</v>
      </c>
      <c r="E212" s="113">
        <v>147846</v>
      </c>
    </row>
    <row r="213" spans="1:5" ht="17.25" customHeight="1">
      <c r="A213" s="164">
        <v>210</v>
      </c>
      <c r="B213" s="255" t="s">
        <v>794</v>
      </c>
      <c r="C213" s="113">
        <v>15</v>
      </c>
      <c r="D213" s="113">
        <v>33</v>
      </c>
      <c r="E213" s="113">
        <v>48</v>
      </c>
    </row>
    <row r="214" spans="1:5" ht="17.25" customHeight="1">
      <c r="A214" s="164">
        <v>211</v>
      </c>
      <c r="B214" s="255" t="s">
        <v>275</v>
      </c>
      <c r="C214" s="113">
        <v>17579</v>
      </c>
      <c r="D214" s="113">
        <v>13812</v>
      </c>
      <c r="E214" s="113">
        <v>31391</v>
      </c>
    </row>
    <row r="215" spans="1:5" ht="17.25" customHeight="1">
      <c r="A215" s="164">
        <v>212</v>
      </c>
      <c r="B215" s="255" t="s">
        <v>295</v>
      </c>
      <c r="C215" s="113">
        <v>1762</v>
      </c>
      <c r="D215" s="113">
        <v>3385</v>
      </c>
      <c r="E215" s="113">
        <v>5147</v>
      </c>
    </row>
    <row r="216" spans="1:5" ht="17.25" customHeight="1">
      <c r="A216" s="164">
        <v>213</v>
      </c>
      <c r="B216" s="255" t="s">
        <v>802</v>
      </c>
      <c r="C216" s="113">
        <v>0</v>
      </c>
      <c r="D216" s="113">
        <v>0</v>
      </c>
      <c r="E216" s="113">
        <v>0</v>
      </c>
    </row>
    <row r="217" spans="1:5" ht="17.25" customHeight="1">
      <c r="A217" s="164">
        <v>214</v>
      </c>
      <c r="B217" s="255" t="s">
        <v>808</v>
      </c>
      <c r="C217" s="113">
        <v>0</v>
      </c>
      <c r="D217" s="113">
        <v>0</v>
      </c>
      <c r="E217" s="113">
        <v>0</v>
      </c>
    </row>
    <row r="218" spans="1:5" ht="17.25" customHeight="1">
      <c r="A218" s="164">
        <v>215</v>
      </c>
      <c r="B218" s="255" t="s">
        <v>984</v>
      </c>
      <c r="C218" s="113">
        <v>33</v>
      </c>
      <c r="D218" s="113">
        <v>22</v>
      </c>
      <c r="E218" s="113">
        <v>55</v>
      </c>
    </row>
    <row r="219" spans="1:5" ht="17.25" customHeight="1">
      <c r="A219" s="164">
        <v>216</v>
      </c>
      <c r="B219" s="255" t="s">
        <v>985</v>
      </c>
      <c r="C219" s="113">
        <v>18</v>
      </c>
      <c r="D219" s="113">
        <v>13</v>
      </c>
      <c r="E219" s="113">
        <v>31</v>
      </c>
    </row>
    <row r="220" spans="1:5" ht="17.25" customHeight="1">
      <c r="A220" s="164">
        <v>217</v>
      </c>
      <c r="B220" s="255" t="s">
        <v>426</v>
      </c>
      <c r="C220" s="113">
        <v>109</v>
      </c>
      <c r="D220" s="113">
        <v>0</v>
      </c>
      <c r="E220" s="113">
        <v>109</v>
      </c>
    </row>
    <row r="221" spans="1:5" ht="17.25" customHeight="1">
      <c r="A221" s="164">
        <v>218</v>
      </c>
      <c r="B221" s="255" t="s">
        <v>373</v>
      </c>
      <c r="C221" s="113">
        <v>10063</v>
      </c>
      <c r="D221" s="113">
        <v>7524</v>
      </c>
      <c r="E221" s="113">
        <v>17587</v>
      </c>
    </row>
    <row r="222" spans="1:5" ht="17.25" customHeight="1">
      <c r="A222" s="164">
        <v>219</v>
      </c>
      <c r="B222" s="255" t="s">
        <v>333</v>
      </c>
      <c r="C222" s="113">
        <v>67</v>
      </c>
      <c r="D222" s="113">
        <v>86</v>
      </c>
      <c r="E222" s="113">
        <v>153</v>
      </c>
    </row>
    <row r="223" spans="1:5" ht="17.25" customHeight="1">
      <c r="A223" s="164">
        <v>220</v>
      </c>
      <c r="B223" s="255" t="s">
        <v>393</v>
      </c>
      <c r="C223" s="113">
        <v>1561</v>
      </c>
      <c r="D223" s="113">
        <v>1772</v>
      </c>
      <c r="E223" s="113">
        <v>3333</v>
      </c>
    </row>
    <row r="224" spans="1:5" ht="17.25" customHeight="1">
      <c r="A224" s="164">
        <v>221</v>
      </c>
      <c r="B224" s="255" t="s">
        <v>803</v>
      </c>
      <c r="C224" s="113">
        <v>9</v>
      </c>
      <c r="D224" s="113">
        <v>10</v>
      </c>
      <c r="E224" s="113">
        <v>19</v>
      </c>
    </row>
    <row r="225" spans="1:5" ht="17.25" customHeight="1">
      <c r="A225" s="164">
        <v>222</v>
      </c>
      <c r="B225" s="255" t="s">
        <v>316</v>
      </c>
      <c r="C225" s="113">
        <v>237</v>
      </c>
      <c r="D225" s="113">
        <v>456</v>
      </c>
      <c r="E225" s="113">
        <v>693</v>
      </c>
    </row>
    <row r="226" spans="1:5" ht="17.25" customHeight="1">
      <c r="A226" s="164">
        <v>223</v>
      </c>
      <c r="B226" s="255" t="s">
        <v>419</v>
      </c>
      <c r="C226" s="113">
        <v>24</v>
      </c>
      <c r="D226" s="113">
        <v>0</v>
      </c>
      <c r="E226" s="113">
        <v>24</v>
      </c>
    </row>
    <row r="227" spans="1:5" ht="17.25" customHeight="1">
      <c r="A227" s="164">
        <v>224</v>
      </c>
      <c r="B227" s="255" t="s">
        <v>986</v>
      </c>
      <c r="C227" s="113">
        <v>0</v>
      </c>
      <c r="D227" s="113">
        <v>0</v>
      </c>
      <c r="E227" s="113">
        <v>0</v>
      </c>
    </row>
    <row r="228" spans="1:5" ht="17.25" customHeight="1">
      <c r="A228" s="164">
        <v>225</v>
      </c>
      <c r="B228" s="255" t="s">
        <v>276</v>
      </c>
      <c r="C228" s="113">
        <v>130</v>
      </c>
      <c r="D228" s="113">
        <v>45</v>
      </c>
      <c r="E228" s="113">
        <v>175</v>
      </c>
    </row>
    <row r="229" spans="1:5" ht="17.25" customHeight="1">
      <c r="A229" s="164">
        <v>226</v>
      </c>
      <c r="B229" s="255" t="s">
        <v>417</v>
      </c>
      <c r="C229" s="113">
        <v>112</v>
      </c>
      <c r="D229" s="113">
        <v>45</v>
      </c>
      <c r="E229" s="113">
        <v>157</v>
      </c>
    </row>
    <row r="230" spans="1:5" ht="17.25" customHeight="1">
      <c r="A230" s="1166" t="s">
        <v>60</v>
      </c>
      <c r="B230" s="1167"/>
      <c r="C230" s="115">
        <v>5280551</v>
      </c>
      <c r="D230" s="115">
        <v>5458022</v>
      </c>
      <c r="E230" s="115">
        <v>10738573</v>
      </c>
    </row>
  </sheetData>
  <mergeCells count="2">
    <mergeCell ref="A1:E1"/>
    <mergeCell ref="A230:B230"/>
  </mergeCells>
  <pageMargins left="0.59055118110236227" right="0.31496062992125984" top="0.3" bottom="0.31496062992125984" header="0.21" footer="0.15748031496062992"/>
  <pageSetup paperSize="9" scale="75" firstPageNumber="98" pageOrder="overThenDown" orientation="portrait" useFirstPageNumber="1" r:id="rId1"/>
  <headerFooter>
    <oddFooter>&amp;LAISHE 2021-22&amp;CT-34</oddFooter>
  </headerFooter>
  <rowBreaks count="3" manualBreakCount="3">
    <brk id="59" max="4" man="1"/>
    <brk id="115" max="4" man="1"/>
    <brk id="171" max="4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Z232"/>
  <sheetViews>
    <sheetView view="pageBreakPreview" zoomScaleSheetLayoutView="100" workbookViewId="0">
      <selection activeCell="F15" sqref="F15"/>
    </sheetView>
  </sheetViews>
  <sheetFormatPr defaultColWidth="9.28515625" defaultRowHeight="15"/>
  <cols>
    <col min="1" max="1" width="7.42578125" style="256" bestFit="1" customWidth="1"/>
    <col min="2" max="2" width="60.42578125" style="258" customWidth="1"/>
    <col min="3" max="26" width="13.5703125" style="256" customWidth="1"/>
    <col min="27" max="16384" width="9.28515625" style="256"/>
  </cols>
  <sheetData>
    <row r="1" spans="1:26" s="249" customFormat="1" ht="29.25" customHeight="1">
      <c r="A1" s="1019" t="s">
        <v>867</v>
      </c>
      <c r="B1" s="1019"/>
      <c r="C1" s="1168" t="s">
        <v>1078</v>
      </c>
      <c r="D1" s="1169"/>
      <c r="E1" s="1169"/>
      <c r="F1" s="1169"/>
      <c r="G1" s="1169"/>
      <c r="H1" s="1169"/>
      <c r="I1" s="1168" t="str">
        <f>C1</f>
        <v xml:space="preserve"> Programme-wise Out-turn/Pass-Out for different Social Group Categories, PWD, Minority (Based on Actual Response)</v>
      </c>
      <c r="J1" s="1169"/>
      <c r="K1" s="1169"/>
      <c r="L1" s="1169"/>
      <c r="M1" s="1169"/>
      <c r="N1" s="1169"/>
      <c r="O1" s="1168" t="str">
        <f>C1</f>
        <v xml:space="preserve"> Programme-wise Out-turn/Pass-Out for different Social Group Categories, PWD, Minority (Based on Actual Response)</v>
      </c>
      <c r="P1" s="1169"/>
      <c r="Q1" s="1169"/>
      <c r="R1" s="1169"/>
      <c r="S1" s="1169"/>
      <c r="U1" s="1168" t="str">
        <f>C1</f>
        <v xml:space="preserve"> Programme-wise Out-turn/Pass-Out for different Social Group Categories, PWD, Minority (Based on Actual Response)</v>
      </c>
      <c r="V1" s="1169"/>
      <c r="W1" s="1169"/>
      <c r="X1" s="1169"/>
      <c r="Y1" s="1169"/>
      <c r="Z1" s="520"/>
    </row>
    <row r="2" spans="1:26" s="250" customFormat="1" ht="18.75" customHeight="1">
      <c r="A2" s="1020" t="s">
        <v>988</v>
      </c>
      <c r="B2" s="1022" t="s">
        <v>274</v>
      </c>
      <c r="C2" s="1170" t="s">
        <v>136</v>
      </c>
      <c r="D2" s="1171"/>
      <c r="E2" s="1172"/>
      <c r="F2" s="1170" t="s">
        <v>460</v>
      </c>
      <c r="G2" s="1171"/>
      <c r="H2" s="1172"/>
      <c r="I2" s="1170" t="s">
        <v>242</v>
      </c>
      <c r="J2" s="1171"/>
      <c r="K2" s="1172"/>
      <c r="L2" s="1170" t="s">
        <v>243</v>
      </c>
      <c r="M2" s="1171"/>
      <c r="N2" s="1172"/>
      <c r="O2" s="1016" t="s">
        <v>105</v>
      </c>
      <c r="P2" s="1016"/>
      <c r="Q2" s="1016"/>
      <c r="R2" s="1016" t="s">
        <v>106</v>
      </c>
      <c r="S2" s="1016"/>
      <c r="T2" s="1016"/>
      <c r="U2" s="1016" t="s">
        <v>107</v>
      </c>
      <c r="V2" s="1016"/>
      <c r="W2" s="1016"/>
      <c r="X2" s="1016" t="s">
        <v>225</v>
      </c>
      <c r="Y2" s="1016"/>
      <c r="Z2" s="1016"/>
    </row>
    <row r="3" spans="1:26" s="252" customFormat="1" ht="18.75" customHeight="1">
      <c r="A3" s="1021"/>
      <c r="B3" s="1022"/>
      <c r="C3" s="251" t="s">
        <v>87</v>
      </c>
      <c r="D3" s="251" t="s">
        <v>88</v>
      </c>
      <c r="E3" s="251" t="s">
        <v>12</v>
      </c>
      <c r="F3" s="251" t="s">
        <v>87</v>
      </c>
      <c r="G3" s="251" t="s">
        <v>88</v>
      </c>
      <c r="H3" s="251" t="s">
        <v>12</v>
      </c>
      <c r="I3" s="251" t="s">
        <v>87</v>
      </c>
      <c r="J3" s="251" t="s">
        <v>88</v>
      </c>
      <c r="K3" s="251" t="s">
        <v>12</v>
      </c>
      <c r="L3" s="251" t="s">
        <v>87</v>
      </c>
      <c r="M3" s="251" t="s">
        <v>88</v>
      </c>
      <c r="N3" s="251" t="s">
        <v>12</v>
      </c>
      <c r="O3" s="251" t="s">
        <v>87</v>
      </c>
      <c r="P3" s="251" t="s">
        <v>88</v>
      </c>
      <c r="Q3" s="251" t="s">
        <v>12</v>
      </c>
      <c r="R3" s="251" t="s">
        <v>87</v>
      </c>
      <c r="S3" s="251" t="s">
        <v>88</v>
      </c>
      <c r="T3" s="251" t="s">
        <v>12</v>
      </c>
      <c r="U3" s="251" t="s">
        <v>87</v>
      </c>
      <c r="V3" s="251" t="s">
        <v>88</v>
      </c>
      <c r="W3" s="251" t="s">
        <v>12</v>
      </c>
      <c r="X3" s="251" t="s">
        <v>87</v>
      </c>
      <c r="Y3" s="251" t="s">
        <v>88</v>
      </c>
      <c r="Z3" s="251" t="s">
        <v>12</v>
      </c>
    </row>
    <row r="4" spans="1:26" s="254" customFormat="1" ht="12">
      <c r="A4" s="253">
        <v>1</v>
      </c>
      <c r="B4" s="253">
        <v>2</v>
      </c>
      <c r="C4" s="253">
        <v>3</v>
      </c>
      <c r="D4" s="253">
        <v>4</v>
      </c>
      <c r="E4" s="253">
        <v>5</v>
      </c>
      <c r="F4" s="253">
        <v>6</v>
      </c>
      <c r="G4" s="253">
        <v>7</v>
      </c>
      <c r="H4" s="253">
        <v>8</v>
      </c>
      <c r="I4" s="253">
        <v>9</v>
      </c>
      <c r="J4" s="253">
        <v>10</v>
      </c>
      <c r="K4" s="253">
        <v>11</v>
      </c>
      <c r="L4" s="253">
        <v>12</v>
      </c>
      <c r="M4" s="253">
        <v>13</v>
      </c>
      <c r="N4" s="253">
        <v>14</v>
      </c>
      <c r="O4" s="253">
        <v>15</v>
      </c>
      <c r="P4" s="253">
        <v>16</v>
      </c>
      <c r="Q4" s="253">
        <v>17</v>
      </c>
      <c r="R4" s="253">
        <v>18</v>
      </c>
      <c r="S4" s="253">
        <v>19</v>
      </c>
      <c r="T4" s="253">
        <v>20</v>
      </c>
      <c r="U4" s="253">
        <v>21</v>
      </c>
      <c r="V4" s="253">
        <v>22</v>
      </c>
      <c r="W4" s="253">
        <v>23</v>
      </c>
      <c r="X4" s="253">
        <v>24</v>
      </c>
      <c r="Y4" s="253">
        <v>25</v>
      </c>
      <c r="Z4" s="253">
        <v>26</v>
      </c>
    </row>
    <row r="5" spans="1:26">
      <c r="A5" s="164">
        <v>1</v>
      </c>
      <c r="B5" s="255" t="s">
        <v>965</v>
      </c>
      <c r="C5" s="113">
        <v>0</v>
      </c>
      <c r="D5" s="113">
        <v>0</v>
      </c>
      <c r="E5" s="113">
        <v>0</v>
      </c>
      <c r="F5" s="113">
        <v>0</v>
      </c>
      <c r="G5" s="113">
        <v>0</v>
      </c>
      <c r="H5" s="113">
        <v>0</v>
      </c>
      <c r="I5" s="113">
        <v>0</v>
      </c>
      <c r="J5" s="113">
        <v>0</v>
      </c>
      <c r="K5" s="113">
        <v>0</v>
      </c>
      <c r="L5" s="113">
        <v>0</v>
      </c>
      <c r="M5" s="113">
        <v>0</v>
      </c>
      <c r="N5" s="113">
        <v>0</v>
      </c>
      <c r="O5" s="113">
        <v>0</v>
      </c>
      <c r="P5" s="113">
        <v>0</v>
      </c>
      <c r="Q5" s="113">
        <v>0</v>
      </c>
      <c r="R5" s="113">
        <v>0</v>
      </c>
      <c r="S5" s="113">
        <v>0</v>
      </c>
      <c r="T5" s="113">
        <v>0</v>
      </c>
      <c r="U5" s="113">
        <v>0</v>
      </c>
      <c r="V5" s="113">
        <v>0</v>
      </c>
      <c r="W5" s="113">
        <v>0</v>
      </c>
      <c r="X5" s="113">
        <v>0</v>
      </c>
      <c r="Y5" s="113">
        <v>0</v>
      </c>
      <c r="Z5" s="113">
        <v>0</v>
      </c>
    </row>
    <row r="6" spans="1:26">
      <c r="A6" s="164">
        <v>2</v>
      </c>
      <c r="B6" s="255" t="s">
        <v>438</v>
      </c>
      <c r="C6" s="113">
        <v>457</v>
      </c>
      <c r="D6" s="113">
        <v>29464</v>
      </c>
      <c r="E6" s="113">
        <v>29921</v>
      </c>
      <c r="F6" s="113">
        <v>122</v>
      </c>
      <c r="G6" s="113">
        <v>8614</v>
      </c>
      <c r="H6" s="113">
        <v>8736</v>
      </c>
      <c r="I6" s="113">
        <v>79</v>
      </c>
      <c r="J6" s="113">
        <v>3596</v>
      </c>
      <c r="K6" s="113">
        <v>3675</v>
      </c>
      <c r="L6" s="113">
        <v>62</v>
      </c>
      <c r="M6" s="113">
        <v>7998</v>
      </c>
      <c r="N6" s="113">
        <v>8060</v>
      </c>
      <c r="O6" s="113">
        <v>0</v>
      </c>
      <c r="P6" s="113">
        <v>153</v>
      </c>
      <c r="Q6" s="113">
        <v>153</v>
      </c>
      <c r="R6" s="113">
        <v>14</v>
      </c>
      <c r="S6" s="113">
        <v>413</v>
      </c>
      <c r="T6" s="113">
        <v>427</v>
      </c>
      <c r="U6" s="113">
        <v>3</v>
      </c>
      <c r="V6" s="113">
        <v>445</v>
      </c>
      <c r="W6" s="113">
        <v>448</v>
      </c>
      <c r="X6" s="113">
        <v>0</v>
      </c>
      <c r="Y6" s="113">
        <v>358</v>
      </c>
      <c r="Z6" s="113">
        <v>358</v>
      </c>
    </row>
    <row r="7" spans="1:26">
      <c r="A7" s="164">
        <v>3</v>
      </c>
      <c r="B7" s="255" t="s">
        <v>298</v>
      </c>
      <c r="C7" s="113">
        <v>5545</v>
      </c>
      <c r="D7" s="113">
        <v>3349</v>
      </c>
      <c r="E7" s="113">
        <v>8894</v>
      </c>
      <c r="F7" s="113">
        <v>177</v>
      </c>
      <c r="G7" s="113">
        <v>268</v>
      </c>
      <c r="H7" s="113">
        <v>445</v>
      </c>
      <c r="I7" s="113">
        <v>148</v>
      </c>
      <c r="J7" s="113">
        <v>203</v>
      </c>
      <c r="K7" s="113">
        <v>351</v>
      </c>
      <c r="L7" s="113">
        <v>550</v>
      </c>
      <c r="M7" s="113">
        <v>700</v>
      </c>
      <c r="N7" s="113">
        <v>1250</v>
      </c>
      <c r="O7" s="113">
        <v>0</v>
      </c>
      <c r="P7" s="113">
        <v>0</v>
      </c>
      <c r="Q7" s="113">
        <v>0</v>
      </c>
      <c r="R7" s="113">
        <v>4</v>
      </c>
      <c r="S7" s="113">
        <v>1</v>
      </c>
      <c r="T7" s="113">
        <v>5</v>
      </c>
      <c r="U7" s="113">
        <v>32</v>
      </c>
      <c r="V7" s="113">
        <v>17</v>
      </c>
      <c r="W7" s="113">
        <v>49</v>
      </c>
      <c r="X7" s="113">
        <v>2</v>
      </c>
      <c r="Y7" s="113">
        <v>1</v>
      </c>
      <c r="Z7" s="113">
        <v>3</v>
      </c>
    </row>
    <row r="8" spans="1:26">
      <c r="A8" s="164">
        <v>4</v>
      </c>
      <c r="B8" s="255" t="s">
        <v>406</v>
      </c>
      <c r="C8" s="113">
        <v>11</v>
      </c>
      <c r="D8" s="113">
        <v>3</v>
      </c>
      <c r="E8" s="113">
        <v>14</v>
      </c>
      <c r="F8" s="113">
        <v>2</v>
      </c>
      <c r="G8" s="113">
        <v>0</v>
      </c>
      <c r="H8" s="113">
        <v>2</v>
      </c>
      <c r="I8" s="113">
        <v>0</v>
      </c>
      <c r="J8" s="113">
        <v>0</v>
      </c>
      <c r="K8" s="113">
        <v>0</v>
      </c>
      <c r="L8" s="113">
        <v>0</v>
      </c>
      <c r="M8" s="113">
        <v>0</v>
      </c>
      <c r="N8" s="113">
        <v>0</v>
      </c>
      <c r="O8" s="113">
        <v>0</v>
      </c>
      <c r="P8" s="113">
        <v>0</v>
      </c>
      <c r="Q8" s="113">
        <v>0</v>
      </c>
      <c r="R8" s="113">
        <v>0</v>
      </c>
      <c r="S8" s="113">
        <v>0</v>
      </c>
      <c r="T8" s="113">
        <v>0</v>
      </c>
      <c r="U8" s="113">
        <v>0</v>
      </c>
      <c r="V8" s="113">
        <v>0</v>
      </c>
      <c r="W8" s="113">
        <v>0</v>
      </c>
      <c r="X8" s="113">
        <v>0</v>
      </c>
      <c r="Y8" s="113">
        <v>0</v>
      </c>
      <c r="Z8" s="113">
        <v>0</v>
      </c>
    </row>
    <row r="9" spans="1:26">
      <c r="A9" s="164">
        <v>5</v>
      </c>
      <c r="B9" s="255" t="s">
        <v>796</v>
      </c>
      <c r="C9" s="113">
        <v>199</v>
      </c>
      <c r="D9" s="113">
        <v>139</v>
      </c>
      <c r="E9" s="113">
        <v>338</v>
      </c>
      <c r="F9" s="113">
        <v>7</v>
      </c>
      <c r="G9" s="113">
        <v>4</v>
      </c>
      <c r="H9" s="113">
        <v>11</v>
      </c>
      <c r="I9" s="113">
        <v>0</v>
      </c>
      <c r="J9" s="113">
        <v>0</v>
      </c>
      <c r="K9" s="113">
        <v>0</v>
      </c>
      <c r="L9" s="113">
        <v>183</v>
      </c>
      <c r="M9" s="113">
        <v>118</v>
      </c>
      <c r="N9" s="113">
        <v>301</v>
      </c>
      <c r="O9" s="113">
        <v>0</v>
      </c>
      <c r="P9" s="113">
        <v>1</v>
      </c>
      <c r="Q9" s="113">
        <v>1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1</v>
      </c>
      <c r="Z9" s="113">
        <v>1</v>
      </c>
    </row>
    <row r="10" spans="1:26">
      <c r="A10" s="164">
        <v>6</v>
      </c>
      <c r="B10" s="255" t="s">
        <v>807</v>
      </c>
      <c r="C10" s="113">
        <v>9</v>
      </c>
      <c r="D10" s="113">
        <v>0</v>
      </c>
      <c r="E10" s="113">
        <v>9</v>
      </c>
      <c r="F10" s="113">
        <v>1</v>
      </c>
      <c r="G10" s="113">
        <v>0</v>
      </c>
      <c r="H10" s="113">
        <v>1</v>
      </c>
      <c r="I10" s="113">
        <v>0</v>
      </c>
      <c r="J10" s="113">
        <v>0</v>
      </c>
      <c r="K10" s="113">
        <v>0</v>
      </c>
      <c r="L10" s="113">
        <v>3</v>
      </c>
      <c r="M10" s="113">
        <v>0</v>
      </c>
      <c r="N10" s="113">
        <v>3</v>
      </c>
      <c r="O10" s="113">
        <v>0</v>
      </c>
      <c r="P10" s="113">
        <v>0</v>
      </c>
      <c r="Q10" s="113">
        <v>0</v>
      </c>
      <c r="R10" s="113">
        <v>0</v>
      </c>
      <c r="S10" s="113">
        <v>0</v>
      </c>
      <c r="T10" s="113">
        <v>0</v>
      </c>
      <c r="U10" s="113">
        <v>0</v>
      </c>
      <c r="V10" s="113">
        <v>0</v>
      </c>
      <c r="W10" s="113">
        <v>0</v>
      </c>
      <c r="X10" s="113">
        <v>0</v>
      </c>
      <c r="Y10" s="113">
        <v>0</v>
      </c>
      <c r="Z10" s="113">
        <v>0</v>
      </c>
    </row>
    <row r="11" spans="1:26">
      <c r="A11" s="164">
        <v>7</v>
      </c>
      <c r="B11" s="255" t="s">
        <v>281</v>
      </c>
      <c r="C11" s="113">
        <v>29</v>
      </c>
      <c r="D11" s="113">
        <v>30</v>
      </c>
      <c r="E11" s="113">
        <v>59</v>
      </c>
      <c r="F11" s="113">
        <v>0</v>
      </c>
      <c r="G11" s="113">
        <v>2</v>
      </c>
      <c r="H11" s="113">
        <v>2</v>
      </c>
      <c r="I11" s="113">
        <v>0</v>
      </c>
      <c r="J11" s="113">
        <v>0</v>
      </c>
      <c r="K11" s="113">
        <v>0</v>
      </c>
      <c r="L11" s="113">
        <v>1</v>
      </c>
      <c r="M11" s="113">
        <v>0</v>
      </c>
      <c r="N11" s="113">
        <v>1</v>
      </c>
      <c r="O11" s="113">
        <v>0</v>
      </c>
      <c r="P11" s="113">
        <v>0</v>
      </c>
      <c r="Q11" s="113">
        <v>0</v>
      </c>
      <c r="R11" s="113">
        <v>0</v>
      </c>
      <c r="S11" s="113">
        <v>0</v>
      </c>
      <c r="T11" s="113">
        <v>0</v>
      </c>
      <c r="U11" s="113">
        <v>0</v>
      </c>
      <c r="V11" s="113">
        <v>0</v>
      </c>
      <c r="W11" s="113">
        <v>0</v>
      </c>
      <c r="X11" s="113">
        <v>0</v>
      </c>
      <c r="Y11" s="113">
        <v>0</v>
      </c>
      <c r="Z11" s="113">
        <v>0</v>
      </c>
    </row>
    <row r="12" spans="1:26">
      <c r="A12" s="164">
        <v>8</v>
      </c>
      <c r="B12" s="255" t="s">
        <v>382</v>
      </c>
      <c r="C12" s="113">
        <v>1732</v>
      </c>
      <c r="D12" s="113">
        <v>2911</v>
      </c>
      <c r="E12" s="113">
        <v>4643</v>
      </c>
      <c r="F12" s="113">
        <v>147</v>
      </c>
      <c r="G12" s="113">
        <v>294</v>
      </c>
      <c r="H12" s="113">
        <v>441</v>
      </c>
      <c r="I12" s="113">
        <v>83</v>
      </c>
      <c r="J12" s="113">
        <v>140</v>
      </c>
      <c r="K12" s="113">
        <v>223</v>
      </c>
      <c r="L12" s="113">
        <v>585</v>
      </c>
      <c r="M12" s="113">
        <v>1043</v>
      </c>
      <c r="N12" s="113">
        <v>1628</v>
      </c>
      <c r="O12" s="113">
        <v>0</v>
      </c>
      <c r="P12" s="113">
        <v>2</v>
      </c>
      <c r="Q12" s="113">
        <v>2</v>
      </c>
      <c r="R12" s="113">
        <v>34</v>
      </c>
      <c r="S12" s="113">
        <v>43</v>
      </c>
      <c r="T12" s="113">
        <v>77</v>
      </c>
      <c r="U12" s="113">
        <v>10</v>
      </c>
      <c r="V12" s="113">
        <v>5</v>
      </c>
      <c r="W12" s="113">
        <v>15</v>
      </c>
      <c r="X12" s="113">
        <v>14</v>
      </c>
      <c r="Y12" s="113">
        <v>31</v>
      </c>
      <c r="Z12" s="113">
        <v>45</v>
      </c>
    </row>
    <row r="13" spans="1:26">
      <c r="A13" s="164">
        <v>9</v>
      </c>
      <c r="B13" s="255" t="s">
        <v>442</v>
      </c>
      <c r="C13" s="113">
        <v>5546</v>
      </c>
      <c r="D13" s="113">
        <v>7393</v>
      </c>
      <c r="E13" s="113">
        <v>12939</v>
      </c>
      <c r="F13" s="113">
        <v>1043</v>
      </c>
      <c r="G13" s="113">
        <v>1229</v>
      </c>
      <c r="H13" s="113">
        <v>2272</v>
      </c>
      <c r="I13" s="113">
        <v>598</v>
      </c>
      <c r="J13" s="113">
        <v>651</v>
      </c>
      <c r="K13" s="113">
        <v>1249</v>
      </c>
      <c r="L13" s="113">
        <v>2058</v>
      </c>
      <c r="M13" s="113">
        <v>2831</v>
      </c>
      <c r="N13" s="113">
        <v>4889</v>
      </c>
      <c r="O13" s="113">
        <v>2</v>
      </c>
      <c r="P13" s="113">
        <v>9</v>
      </c>
      <c r="Q13" s="113">
        <v>11</v>
      </c>
      <c r="R13" s="113">
        <v>58</v>
      </c>
      <c r="S13" s="113">
        <v>183</v>
      </c>
      <c r="T13" s="113">
        <v>241</v>
      </c>
      <c r="U13" s="113">
        <v>30</v>
      </c>
      <c r="V13" s="113">
        <v>145</v>
      </c>
      <c r="W13" s="113">
        <v>175</v>
      </c>
      <c r="X13" s="113">
        <v>119</v>
      </c>
      <c r="Y13" s="113">
        <v>94</v>
      </c>
      <c r="Z13" s="113">
        <v>213</v>
      </c>
    </row>
    <row r="14" spans="1:26">
      <c r="A14" s="164">
        <v>10</v>
      </c>
      <c r="B14" s="255" t="s">
        <v>441</v>
      </c>
      <c r="C14" s="113">
        <v>12042</v>
      </c>
      <c r="D14" s="113">
        <v>9412</v>
      </c>
      <c r="E14" s="113">
        <v>21454</v>
      </c>
      <c r="F14" s="113">
        <v>1307</v>
      </c>
      <c r="G14" s="113">
        <v>1021</v>
      </c>
      <c r="H14" s="113">
        <v>2328</v>
      </c>
      <c r="I14" s="113">
        <v>359</v>
      </c>
      <c r="J14" s="113">
        <v>318</v>
      </c>
      <c r="K14" s="113">
        <v>677</v>
      </c>
      <c r="L14" s="113">
        <v>2754</v>
      </c>
      <c r="M14" s="113">
        <v>1864</v>
      </c>
      <c r="N14" s="113">
        <v>4618</v>
      </c>
      <c r="O14" s="113">
        <v>26</v>
      </c>
      <c r="P14" s="113">
        <v>7</v>
      </c>
      <c r="Q14" s="113">
        <v>33</v>
      </c>
      <c r="R14" s="113">
        <v>512</v>
      </c>
      <c r="S14" s="113">
        <v>346</v>
      </c>
      <c r="T14" s="113">
        <v>858</v>
      </c>
      <c r="U14" s="113">
        <v>136</v>
      </c>
      <c r="V14" s="113">
        <v>184</v>
      </c>
      <c r="W14" s="113">
        <v>320</v>
      </c>
      <c r="X14" s="113">
        <v>102</v>
      </c>
      <c r="Y14" s="113">
        <v>58</v>
      </c>
      <c r="Z14" s="113">
        <v>160</v>
      </c>
    </row>
    <row r="15" spans="1:26">
      <c r="A15" s="164">
        <v>11</v>
      </c>
      <c r="B15" s="255" t="s">
        <v>356</v>
      </c>
      <c r="C15" s="113">
        <v>175802</v>
      </c>
      <c r="D15" s="113">
        <v>227304</v>
      </c>
      <c r="E15" s="113">
        <v>403106</v>
      </c>
      <c r="F15" s="113">
        <v>21890</v>
      </c>
      <c r="G15" s="113">
        <v>24394</v>
      </c>
      <c r="H15" s="113">
        <v>46284</v>
      </c>
      <c r="I15" s="113">
        <v>17190</v>
      </c>
      <c r="J15" s="113">
        <v>22295</v>
      </c>
      <c r="K15" s="113">
        <v>39485</v>
      </c>
      <c r="L15" s="113">
        <v>55659</v>
      </c>
      <c r="M15" s="113">
        <v>61789</v>
      </c>
      <c r="N15" s="113">
        <v>117448</v>
      </c>
      <c r="O15" s="113">
        <v>87</v>
      </c>
      <c r="P15" s="113">
        <v>119</v>
      </c>
      <c r="Q15" s="113">
        <v>206</v>
      </c>
      <c r="R15" s="113">
        <v>12003</v>
      </c>
      <c r="S15" s="113">
        <v>13993</v>
      </c>
      <c r="T15" s="113">
        <v>25996</v>
      </c>
      <c r="U15" s="113">
        <v>2258</v>
      </c>
      <c r="V15" s="113">
        <v>3822</v>
      </c>
      <c r="W15" s="113">
        <v>6080</v>
      </c>
      <c r="X15" s="113">
        <v>1143</v>
      </c>
      <c r="Y15" s="113">
        <v>1287</v>
      </c>
      <c r="Z15" s="113">
        <v>2430</v>
      </c>
    </row>
    <row r="16" spans="1:26">
      <c r="A16" s="164">
        <v>12</v>
      </c>
      <c r="B16" s="255" t="s">
        <v>352</v>
      </c>
      <c r="C16" s="113">
        <v>1110737</v>
      </c>
      <c r="D16" s="113">
        <v>1305578</v>
      </c>
      <c r="E16" s="113">
        <v>2416315</v>
      </c>
      <c r="F16" s="113">
        <v>181750</v>
      </c>
      <c r="G16" s="113">
        <v>205335</v>
      </c>
      <c r="H16" s="113">
        <v>387085</v>
      </c>
      <c r="I16" s="113">
        <v>89509</v>
      </c>
      <c r="J16" s="113">
        <v>98558</v>
      </c>
      <c r="K16" s="113">
        <v>188067</v>
      </c>
      <c r="L16" s="113">
        <v>392065</v>
      </c>
      <c r="M16" s="113">
        <v>463921</v>
      </c>
      <c r="N16" s="113">
        <v>855986</v>
      </c>
      <c r="O16" s="113">
        <v>1217</v>
      </c>
      <c r="P16" s="113">
        <v>1283</v>
      </c>
      <c r="Q16" s="113">
        <v>2500</v>
      </c>
      <c r="R16" s="113">
        <v>31591</v>
      </c>
      <c r="S16" s="113">
        <v>54593</v>
      </c>
      <c r="T16" s="113">
        <v>86184</v>
      </c>
      <c r="U16" s="113">
        <v>8995</v>
      </c>
      <c r="V16" s="113">
        <v>15578</v>
      </c>
      <c r="W16" s="113">
        <v>24573</v>
      </c>
      <c r="X16" s="113">
        <v>6400</v>
      </c>
      <c r="Y16" s="113">
        <v>8064</v>
      </c>
      <c r="Z16" s="113">
        <v>14464</v>
      </c>
    </row>
    <row r="17" spans="1:26">
      <c r="A17" s="164">
        <v>13</v>
      </c>
      <c r="B17" s="255" t="s">
        <v>408</v>
      </c>
      <c r="C17" s="113">
        <v>274</v>
      </c>
      <c r="D17" s="113">
        <v>547</v>
      </c>
      <c r="E17" s="113">
        <v>821</v>
      </c>
      <c r="F17" s="113">
        <v>18</v>
      </c>
      <c r="G17" s="113">
        <v>36</v>
      </c>
      <c r="H17" s="113">
        <v>54</v>
      </c>
      <c r="I17" s="113">
        <v>18</v>
      </c>
      <c r="J17" s="113">
        <v>21</v>
      </c>
      <c r="K17" s="113">
        <v>39</v>
      </c>
      <c r="L17" s="113">
        <v>94</v>
      </c>
      <c r="M17" s="113">
        <v>201</v>
      </c>
      <c r="N17" s="113">
        <v>295</v>
      </c>
      <c r="O17" s="113">
        <v>0</v>
      </c>
      <c r="P17" s="113">
        <v>0</v>
      </c>
      <c r="Q17" s="113">
        <v>0</v>
      </c>
      <c r="R17" s="113">
        <v>4</v>
      </c>
      <c r="S17" s="113">
        <v>22</v>
      </c>
      <c r="T17" s="113">
        <v>26</v>
      </c>
      <c r="U17" s="113">
        <v>0</v>
      </c>
      <c r="V17" s="113">
        <v>1</v>
      </c>
      <c r="W17" s="113">
        <v>1</v>
      </c>
      <c r="X17" s="113">
        <v>3</v>
      </c>
      <c r="Y17" s="113">
        <v>4</v>
      </c>
      <c r="Z17" s="113">
        <v>7</v>
      </c>
    </row>
    <row r="18" spans="1:26">
      <c r="A18" s="164">
        <v>14</v>
      </c>
      <c r="B18" s="255" t="s">
        <v>370</v>
      </c>
      <c r="C18" s="113">
        <v>3837</v>
      </c>
      <c r="D18" s="113">
        <v>5993</v>
      </c>
      <c r="E18" s="113">
        <v>9830</v>
      </c>
      <c r="F18" s="113">
        <v>328</v>
      </c>
      <c r="G18" s="113">
        <v>557</v>
      </c>
      <c r="H18" s="113">
        <v>885</v>
      </c>
      <c r="I18" s="113">
        <v>120</v>
      </c>
      <c r="J18" s="113">
        <v>195</v>
      </c>
      <c r="K18" s="113">
        <v>315</v>
      </c>
      <c r="L18" s="113">
        <v>1302</v>
      </c>
      <c r="M18" s="113">
        <v>1983</v>
      </c>
      <c r="N18" s="113">
        <v>3285</v>
      </c>
      <c r="O18" s="113">
        <v>2</v>
      </c>
      <c r="P18" s="113">
        <v>2</v>
      </c>
      <c r="Q18" s="113">
        <v>4</v>
      </c>
      <c r="R18" s="113">
        <v>147</v>
      </c>
      <c r="S18" s="113">
        <v>109</v>
      </c>
      <c r="T18" s="113">
        <v>256</v>
      </c>
      <c r="U18" s="113">
        <v>96</v>
      </c>
      <c r="V18" s="113">
        <v>124</v>
      </c>
      <c r="W18" s="113">
        <v>220</v>
      </c>
      <c r="X18" s="113">
        <v>31</v>
      </c>
      <c r="Y18" s="113">
        <v>23</v>
      </c>
      <c r="Z18" s="113">
        <v>54</v>
      </c>
    </row>
    <row r="19" spans="1:26">
      <c r="A19" s="164">
        <v>15</v>
      </c>
      <c r="B19" s="255" t="s">
        <v>402</v>
      </c>
      <c r="C19" s="113">
        <v>185</v>
      </c>
      <c r="D19" s="113">
        <v>472</v>
      </c>
      <c r="E19" s="113">
        <v>657</v>
      </c>
      <c r="F19" s="113">
        <v>17</v>
      </c>
      <c r="G19" s="113">
        <v>23</v>
      </c>
      <c r="H19" s="113">
        <v>40</v>
      </c>
      <c r="I19" s="113">
        <v>2</v>
      </c>
      <c r="J19" s="113">
        <v>4</v>
      </c>
      <c r="K19" s="113">
        <v>6</v>
      </c>
      <c r="L19" s="113">
        <v>72</v>
      </c>
      <c r="M19" s="113">
        <v>274</v>
      </c>
      <c r="N19" s="113">
        <v>346</v>
      </c>
      <c r="O19" s="113">
        <v>0</v>
      </c>
      <c r="P19" s="113">
        <v>0</v>
      </c>
      <c r="Q19" s="113">
        <v>0</v>
      </c>
      <c r="R19" s="113">
        <v>7</v>
      </c>
      <c r="S19" s="113">
        <v>41</v>
      </c>
      <c r="T19" s="113">
        <v>48</v>
      </c>
      <c r="U19" s="113">
        <v>6</v>
      </c>
      <c r="V19" s="113">
        <v>46</v>
      </c>
      <c r="W19" s="113">
        <v>52</v>
      </c>
      <c r="X19" s="113">
        <v>1</v>
      </c>
      <c r="Y19" s="113">
        <v>6</v>
      </c>
      <c r="Z19" s="113">
        <v>7</v>
      </c>
    </row>
    <row r="20" spans="1:26">
      <c r="A20" s="164">
        <v>16</v>
      </c>
      <c r="B20" s="255" t="s">
        <v>366</v>
      </c>
      <c r="C20" s="113">
        <v>24647</v>
      </c>
      <c r="D20" s="113">
        <v>7817</v>
      </c>
      <c r="E20" s="113">
        <v>32464</v>
      </c>
      <c r="F20" s="113">
        <v>2988</v>
      </c>
      <c r="G20" s="113">
        <v>991</v>
      </c>
      <c r="H20" s="113">
        <v>3979</v>
      </c>
      <c r="I20" s="113">
        <v>1111</v>
      </c>
      <c r="J20" s="113">
        <v>555</v>
      </c>
      <c r="K20" s="113">
        <v>1666</v>
      </c>
      <c r="L20" s="113">
        <v>10513</v>
      </c>
      <c r="M20" s="113">
        <v>2880</v>
      </c>
      <c r="N20" s="113">
        <v>13393</v>
      </c>
      <c r="O20" s="113">
        <v>36</v>
      </c>
      <c r="P20" s="113">
        <v>8</v>
      </c>
      <c r="Q20" s="113">
        <v>44</v>
      </c>
      <c r="R20" s="113">
        <v>284</v>
      </c>
      <c r="S20" s="113">
        <v>186</v>
      </c>
      <c r="T20" s="113">
        <v>470</v>
      </c>
      <c r="U20" s="113">
        <v>93</v>
      </c>
      <c r="V20" s="113">
        <v>107</v>
      </c>
      <c r="W20" s="113">
        <v>200</v>
      </c>
      <c r="X20" s="113">
        <v>178</v>
      </c>
      <c r="Y20" s="113">
        <v>50</v>
      </c>
      <c r="Z20" s="113">
        <v>228</v>
      </c>
    </row>
    <row r="21" spans="1:26">
      <c r="A21" s="164">
        <v>17</v>
      </c>
      <c r="B21" s="255" t="s">
        <v>368</v>
      </c>
      <c r="C21" s="113">
        <v>6027</v>
      </c>
      <c r="D21" s="113">
        <v>7514</v>
      </c>
      <c r="E21" s="113">
        <v>13541</v>
      </c>
      <c r="F21" s="113">
        <v>240</v>
      </c>
      <c r="G21" s="113">
        <v>262</v>
      </c>
      <c r="H21" s="113">
        <v>502</v>
      </c>
      <c r="I21" s="113">
        <v>72</v>
      </c>
      <c r="J21" s="113">
        <v>71</v>
      </c>
      <c r="K21" s="113">
        <v>143</v>
      </c>
      <c r="L21" s="113">
        <v>1639</v>
      </c>
      <c r="M21" s="113">
        <v>1783</v>
      </c>
      <c r="N21" s="113">
        <v>3422</v>
      </c>
      <c r="O21" s="113">
        <v>38</v>
      </c>
      <c r="P21" s="113">
        <v>45</v>
      </c>
      <c r="Q21" s="113">
        <v>83</v>
      </c>
      <c r="R21" s="113">
        <v>386</v>
      </c>
      <c r="S21" s="113">
        <v>307</v>
      </c>
      <c r="T21" s="113">
        <v>693</v>
      </c>
      <c r="U21" s="113">
        <v>310</v>
      </c>
      <c r="V21" s="113">
        <v>378</v>
      </c>
      <c r="W21" s="113">
        <v>688</v>
      </c>
      <c r="X21" s="113">
        <v>32</v>
      </c>
      <c r="Y21" s="113">
        <v>22</v>
      </c>
      <c r="Z21" s="113">
        <v>54</v>
      </c>
    </row>
    <row r="22" spans="1:26">
      <c r="A22" s="164">
        <v>18</v>
      </c>
      <c r="B22" s="255" t="s">
        <v>445</v>
      </c>
      <c r="C22" s="113">
        <v>1790</v>
      </c>
      <c r="D22" s="113">
        <v>1531</v>
      </c>
      <c r="E22" s="113">
        <v>3321</v>
      </c>
      <c r="F22" s="113">
        <v>59</v>
      </c>
      <c r="G22" s="113">
        <v>48</v>
      </c>
      <c r="H22" s="113">
        <v>107</v>
      </c>
      <c r="I22" s="113">
        <v>16</v>
      </c>
      <c r="J22" s="113">
        <v>17</v>
      </c>
      <c r="K22" s="113">
        <v>33</v>
      </c>
      <c r="L22" s="113">
        <v>186</v>
      </c>
      <c r="M22" s="113">
        <v>203</v>
      </c>
      <c r="N22" s="113">
        <v>389</v>
      </c>
      <c r="O22" s="113">
        <v>0</v>
      </c>
      <c r="P22" s="113">
        <v>1</v>
      </c>
      <c r="Q22" s="113">
        <v>1</v>
      </c>
      <c r="R22" s="113">
        <v>45</v>
      </c>
      <c r="S22" s="113">
        <v>28</v>
      </c>
      <c r="T22" s="113">
        <v>73</v>
      </c>
      <c r="U22" s="113">
        <v>37</v>
      </c>
      <c r="V22" s="113">
        <v>65</v>
      </c>
      <c r="W22" s="113">
        <v>102</v>
      </c>
      <c r="X22" s="113">
        <v>13</v>
      </c>
      <c r="Y22" s="113">
        <v>7</v>
      </c>
      <c r="Z22" s="113">
        <v>20</v>
      </c>
    </row>
    <row r="23" spans="1:26">
      <c r="A23" s="164">
        <v>19</v>
      </c>
      <c r="B23" s="255" t="s">
        <v>360</v>
      </c>
      <c r="C23" s="113">
        <v>95217</v>
      </c>
      <c r="D23" s="113">
        <v>69004</v>
      </c>
      <c r="E23" s="113">
        <v>164221</v>
      </c>
      <c r="F23" s="113">
        <v>7520</v>
      </c>
      <c r="G23" s="113">
        <v>6777</v>
      </c>
      <c r="H23" s="113">
        <v>14297</v>
      </c>
      <c r="I23" s="113">
        <v>1871</v>
      </c>
      <c r="J23" s="113">
        <v>1443</v>
      </c>
      <c r="K23" s="113">
        <v>3314</v>
      </c>
      <c r="L23" s="113">
        <v>28384</v>
      </c>
      <c r="M23" s="113">
        <v>21926</v>
      </c>
      <c r="N23" s="113">
        <v>50310</v>
      </c>
      <c r="O23" s="113">
        <v>71</v>
      </c>
      <c r="P23" s="113">
        <v>31</v>
      </c>
      <c r="Q23" s="113">
        <v>102</v>
      </c>
      <c r="R23" s="113">
        <v>5168</v>
      </c>
      <c r="S23" s="113">
        <v>3138</v>
      </c>
      <c r="T23" s="113">
        <v>8306</v>
      </c>
      <c r="U23" s="113">
        <v>3259</v>
      </c>
      <c r="V23" s="113">
        <v>2401</v>
      </c>
      <c r="W23" s="113">
        <v>5660</v>
      </c>
      <c r="X23" s="113">
        <v>793</v>
      </c>
      <c r="Y23" s="113">
        <v>659</v>
      </c>
      <c r="Z23" s="113">
        <v>1452</v>
      </c>
    </row>
    <row r="24" spans="1:26">
      <c r="A24" s="164">
        <v>20</v>
      </c>
      <c r="B24" s="255" t="s">
        <v>379</v>
      </c>
      <c r="C24" s="113">
        <v>2511</v>
      </c>
      <c r="D24" s="113">
        <v>1827</v>
      </c>
      <c r="E24" s="113">
        <v>4338</v>
      </c>
      <c r="F24" s="113">
        <v>207</v>
      </c>
      <c r="G24" s="113">
        <v>191</v>
      </c>
      <c r="H24" s="113">
        <v>398</v>
      </c>
      <c r="I24" s="113">
        <v>58</v>
      </c>
      <c r="J24" s="113">
        <v>59</v>
      </c>
      <c r="K24" s="113">
        <v>117</v>
      </c>
      <c r="L24" s="113">
        <v>858</v>
      </c>
      <c r="M24" s="113">
        <v>647</v>
      </c>
      <c r="N24" s="113">
        <v>1505</v>
      </c>
      <c r="O24" s="113">
        <v>1</v>
      </c>
      <c r="P24" s="113">
        <v>0</v>
      </c>
      <c r="Q24" s="113">
        <v>1</v>
      </c>
      <c r="R24" s="113">
        <v>72</v>
      </c>
      <c r="S24" s="113">
        <v>59</v>
      </c>
      <c r="T24" s="113">
        <v>131</v>
      </c>
      <c r="U24" s="113">
        <v>30</v>
      </c>
      <c r="V24" s="113">
        <v>31</v>
      </c>
      <c r="W24" s="113">
        <v>61</v>
      </c>
      <c r="X24" s="113">
        <v>30</v>
      </c>
      <c r="Y24" s="113">
        <v>20</v>
      </c>
      <c r="Z24" s="113">
        <v>50</v>
      </c>
    </row>
    <row r="25" spans="1:26">
      <c r="A25" s="164">
        <v>21</v>
      </c>
      <c r="B25" s="255" t="s">
        <v>420</v>
      </c>
      <c r="C25" s="113">
        <v>76</v>
      </c>
      <c r="D25" s="113">
        <v>16</v>
      </c>
      <c r="E25" s="113">
        <v>92</v>
      </c>
      <c r="F25" s="113">
        <v>10</v>
      </c>
      <c r="G25" s="113">
        <v>1</v>
      </c>
      <c r="H25" s="113">
        <v>11</v>
      </c>
      <c r="I25" s="113">
        <v>0</v>
      </c>
      <c r="J25" s="113">
        <v>0</v>
      </c>
      <c r="K25" s="113">
        <v>0</v>
      </c>
      <c r="L25" s="113">
        <v>17</v>
      </c>
      <c r="M25" s="113">
        <v>1</v>
      </c>
      <c r="N25" s="113">
        <v>18</v>
      </c>
      <c r="O25" s="113">
        <v>0</v>
      </c>
      <c r="P25" s="113">
        <v>0</v>
      </c>
      <c r="Q25" s="113">
        <v>0</v>
      </c>
      <c r="R25" s="113">
        <v>4</v>
      </c>
      <c r="S25" s="113">
        <v>1</v>
      </c>
      <c r="T25" s="113">
        <v>5</v>
      </c>
      <c r="U25" s="113">
        <v>0</v>
      </c>
      <c r="V25" s="113">
        <v>0</v>
      </c>
      <c r="W25" s="113">
        <v>0</v>
      </c>
      <c r="X25" s="113">
        <v>5</v>
      </c>
      <c r="Y25" s="113">
        <v>0</v>
      </c>
      <c r="Z25" s="113">
        <v>5</v>
      </c>
    </row>
    <row r="26" spans="1:26">
      <c r="A26" s="164">
        <v>22</v>
      </c>
      <c r="B26" s="255" t="s">
        <v>361</v>
      </c>
      <c r="C26" s="113">
        <v>86041</v>
      </c>
      <c r="D26" s="113">
        <v>59837</v>
      </c>
      <c r="E26" s="113">
        <v>145878</v>
      </c>
      <c r="F26" s="113">
        <v>8597</v>
      </c>
      <c r="G26" s="113">
        <v>7098</v>
      </c>
      <c r="H26" s="113">
        <v>15695</v>
      </c>
      <c r="I26" s="113">
        <v>2582</v>
      </c>
      <c r="J26" s="113">
        <v>1835</v>
      </c>
      <c r="K26" s="113">
        <v>4417</v>
      </c>
      <c r="L26" s="113">
        <v>31529</v>
      </c>
      <c r="M26" s="113">
        <v>23965</v>
      </c>
      <c r="N26" s="113">
        <v>55494</v>
      </c>
      <c r="O26" s="113">
        <v>136</v>
      </c>
      <c r="P26" s="113">
        <v>50</v>
      </c>
      <c r="Q26" s="113">
        <v>186</v>
      </c>
      <c r="R26" s="113">
        <v>3846</v>
      </c>
      <c r="S26" s="113">
        <v>1971</v>
      </c>
      <c r="T26" s="113">
        <v>5817</v>
      </c>
      <c r="U26" s="113">
        <v>2418</v>
      </c>
      <c r="V26" s="113">
        <v>2000</v>
      </c>
      <c r="W26" s="113">
        <v>4418</v>
      </c>
      <c r="X26" s="113">
        <v>662</v>
      </c>
      <c r="Y26" s="113">
        <v>724</v>
      </c>
      <c r="Z26" s="113">
        <v>1386</v>
      </c>
    </row>
    <row r="27" spans="1:26">
      <c r="A27" s="164">
        <v>23</v>
      </c>
      <c r="B27" s="255" t="s">
        <v>424</v>
      </c>
      <c r="C27" s="113">
        <v>37</v>
      </c>
      <c r="D27" s="113">
        <v>17</v>
      </c>
      <c r="E27" s="113">
        <v>54</v>
      </c>
      <c r="F27" s="113">
        <v>3</v>
      </c>
      <c r="G27" s="113">
        <v>3</v>
      </c>
      <c r="H27" s="113">
        <v>6</v>
      </c>
      <c r="I27" s="113">
        <v>2</v>
      </c>
      <c r="J27" s="113">
        <v>0</v>
      </c>
      <c r="K27" s="113">
        <v>2</v>
      </c>
      <c r="L27" s="113">
        <v>19</v>
      </c>
      <c r="M27" s="113">
        <v>8</v>
      </c>
      <c r="N27" s="113">
        <v>27</v>
      </c>
      <c r="O27" s="113">
        <v>0</v>
      </c>
      <c r="P27" s="113">
        <v>0</v>
      </c>
      <c r="Q27" s="113">
        <v>0</v>
      </c>
      <c r="R27" s="113">
        <v>2</v>
      </c>
      <c r="S27" s="113">
        <v>0</v>
      </c>
      <c r="T27" s="113">
        <v>2</v>
      </c>
      <c r="U27" s="113">
        <v>0</v>
      </c>
      <c r="V27" s="113">
        <v>0</v>
      </c>
      <c r="W27" s="113">
        <v>0</v>
      </c>
      <c r="X27" s="113">
        <v>0</v>
      </c>
      <c r="Y27" s="113">
        <v>0</v>
      </c>
      <c r="Z27" s="113">
        <v>0</v>
      </c>
    </row>
    <row r="28" spans="1:26">
      <c r="A28" s="164">
        <v>24</v>
      </c>
      <c r="B28" s="255" t="s">
        <v>416</v>
      </c>
      <c r="C28" s="113">
        <v>171</v>
      </c>
      <c r="D28" s="113">
        <v>52</v>
      </c>
      <c r="E28" s="113">
        <v>223</v>
      </c>
      <c r="F28" s="113">
        <v>16</v>
      </c>
      <c r="G28" s="113">
        <v>6</v>
      </c>
      <c r="H28" s="113">
        <v>22</v>
      </c>
      <c r="I28" s="113">
        <v>6</v>
      </c>
      <c r="J28" s="113">
        <v>0</v>
      </c>
      <c r="K28" s="113">
        <v>6</v>
      </c>
      <c r="L28" s="113">
        <v>25</v>
      </c>
      <c r="M28" s="113">
        <v>18</v>
      </c>
      <c r="N28" s="113">
        <v>43</v>
      </c>
      <c r="O28" s="113">
        <v>0</v>
      </c>
      <c r="P28" s="113">
        <v>0</v>
      </c>
      <c r="Q28" s="113">
        <v>0</v>
      </c>
      <c r="R28" s="113">
        <v>3</v>
      </c>
      <c r="S28" s="113">
        <v>1</v>
      </c>
      <c r="T28" s="113">
        <v>4</v>
      </c>
      <c r="U28" s="113">
        <v>3</v>
      </c>
      <c r="V28" s="113">
        <v>1</v>
      </c>
      <c r="W28" s="113">
        <v>4</v>
      </c>
      <c r="X28" s="113">
        <v>0</v>
      </c>
      <c r="Y28" s="113">
        <v>0</v>
      </c>
      <c r="Z28" s="113">
        <v>0</v>
      </c>
    </row>
    <row r="29" spans="1:26">
      <c r="A29" s="164">
        <v>25</v>
      </c>
      <c r="B29" s="255" t="s">
        <v>423</v>
      </c>
      <c r="C29" s="113">
        <v>73</v>
      </c>
      <c r="D29" s="113">
        <v>24</v>
      </c>
      <c r="E29" s="113">
        <v>97</v>
      </c>
      <c r="F29" s="113">
        <v>12</v>
      </c>
      <c r="G29" s="113">
        <v>4</v>
      </c>
      <c r="H29" s="113">
        <v>16</v>
      </c>
      <c r="I29" s="113">
        <v>2</v>
      </c>
      <c r="J29" s="113">
        <v>0</v>
      </c>
      <c r="K29" s="113">
        <v>2</v>
      </c>
      <c r="L29" s="113">
        <v>26</v>
      </c>
      <c r="M29" s="113">
        <v>9</v>
      </c>
      <c r="N29" s="113">
        <v>35</v>
      </c>
      <c r="O29" s="113">
        <v>1</v>
      </c>
      <c r="P29" s="113">
        <v>0</v>
      </c>
      <c r="Q29" s="113">
        <v>1</v>
      </c>
      <c r="R29" s="113">
        <v>1</v>
      </c>
      <c r="S29" s="113">
        <v>0</v>
      </c>
      <c r="T29" s="113">
        <v>1</v>
      </c>
      <c r="U29" s="113">
        <v>1</v>
      </c>
      <c r="V29" s="113">
        <v>0</v>
      </c>
      <c r="W29" s="113">
        <v>1</v>
      </c>
      <c r="X29" s="113">
        <v>2</v>
      </c>
      <c r="Y29" s="113">
        <v>2</v>
      </c>
      <c r="Z29" s="113">
        <v>4</v>
      </c>
    </row>
    <row r="30" spans="1:26">
      <c r="A30" s="164">
        <v>26</v>
      </c>
      <c r="B30" s="255" t="s">
        <v>457</v>
      </c>
      <c r="C30" s="113">
        <v>7</v>
      </c>
      <c r="D30" s="113">
        <v>52</v>
      </c>
      <c r="E30" s="113">
        <v>59</v>
      </c>
      <c r="F30" s="113">
        <v>2</v>
      </c>
      <c r="G30" s="113">
        <v>3</v>
      </c>
      <c r="H30" s="113">
        <v>5</v>
      </c>
      <c r="I30" s="113">
        <v>0</v>
      </c>
      <c r="J30" s="113">
        <v>0</v>
      </c>
      <c r="K30" s="113">
        <v>0</v>
      </c>
      <c r="L30" s="113">
        <v>0</v>
      </c>
      <c r="M30" s="113">
        <v>0</v>
      </c>
      <c r="N30" s="113">
        <v>0</v>
      </c>
      <c r="O30" s="113">
        <v>0</v>
      </c>
      <c r="P30" s="113">
        <v>0</v>
      </c>
      <c r="Q30" s="113">
        <v>0</v>
      </c>
      <c r="R30" s="113">
        <v>3</v>
      </c>
      <c r="S30" s="113">
        <v>32</v>
      </c>
      <c r="T30" s="113">
        <v>35</v>
      </c>
      <c r="U30" s="113">
        <v>0</v>
      </c>
      <c r="V30" s="113">
        <v>0</v>
      </c>
      <c r="W30" s="113">
        <v>0</v>
      </c>
      <c r="X30" s="113">
        <v>2</v>
      </c>
      <c r="Y30" s="113">
        <v>3</v>
      </c>
      <c r="Z30" s="113">
        <v>5</v>
      </c>
    </row>
    <row r="31" spans="1:26">
      <c r="A31" s="164">
        <v>27</v>
      </c>
      <c r="B31" s="255" t="s">
        <v>448</v>
      </c>
      <c r="C31" s="113">
        <v>666</v>
      </c>
      <c r="D31" s="113">
        <v>684</v>
      </c>
      <c r="E31" s="113">
        <v>1350</v>
      </c>
      <c r="F31" s="113">
        <v>36</v>
      </c>
      <c r="G31" s="113">
        <v>34</v>
      </c>
      <c r="H31" s="113">
        <v>70</v>
      </c>
      <c r="I31" s="113">
        <v>11</v>
      </c>
      <c r="J31" s="113">
        <v>6</v>
      </c>
      <c r="K31" s="113">
        <v>17</v>
      </c>
      <c r="L31" s="113">
        <v>105</v>
      </c>
      <c r="M31" s="113">
        <v>108</v>
      </c>
      <c r="N31" s="113">
        <v>213</v>
      </c>
      <c r="O31" s="113">
        <v>0</v>
      </c>
      <c r="P31" s="113">
        <v>0</v>
      </c>
      <c r="Q31" s="113">
        <v>0</v>
      </c>
      <c r="R31" s="113">
        <v>7</v>
      </c>
      <c r="S31" s="113">
        <v>8</v>
      </c>
      <c r="T31" s="113">
        <v>15</v>
      </c>
      <c r="U31" s="113">
        <v>16</v>
      </c>
      <c r="V31" s="113">
        <v>51</v>
      </c>
      <c r="W31" s="113">
        <v>67</v>
      </c>
      <c r="X31" s="113">
        <v>3</v>
      </c>
      <c r="Y31" s="113">
        <v>1</v>
      </c>
      <c r="Z31" s="113">
        <v>4</v>
      </c>
    </row>
    <row r="32" spans="1:26">
      <c r="A32" s="164">
        <v>28</v>
      </c>
      <c r="B32" s="255" t="s">
        <v>961</v>
      </c>
      <c r="C32" s="113">
        <v>10998</v>
      </c>
      <c r="D32" s="113">
        <v>8543</v>
      </c>
      <c r="E32" s="113">
        <v>19541</v>
      </c>
      <c r="F32" s="113">
        <v>454</v>
      </c>
      <c r="G32" s="113">
        <v>446</v>
      </c>
      <c r="H32" s="113">
        <v>900</v>
      </c>
      <c r="I32" s="113">
        <v>95</v>
      </c>
      <c r="J32" s="113">
        <v>76</v>
      </c>
      <c r="K32" s="113">
        <v>171</v>
      </c>
      <c r="L32" s="113">
        <v>1159</v>
      </c>
      <c r="M32" s="113">
        <v>981</v>
      </c>
      <c r="N32" s="113">
        <v>2140</v>
      </c>
      <c r="O32" s="113">
        <v>0</v>
      </c>
      <c r="P32" s="113">
        <v>7</v>
      </c>
      <c r="Q32" s="113">
        <v>7</v>
      </c>
      <c r="R32" s="113">
        <v>223</v>
      </c>
      <c r="S32" s="113">
        <v>171</v>
      </c>
      <c r="T32" s="113">
        <v>394</v>
      </c>
      <c r="U32" s="113">
        <v>78</v>
      </c>
      <c r="V32" s="113">
        <v>138</v>
      </c>
      <c r="W32" s="113">
        <v>216</v>
      </c>
      <c r="X32" s="113">
        <v>20</v>
      </c>
      <c r="Y32" s="113">
        <v>44</v>
      </c>
      <c r="Z32" s="113">
        <v>64</v>
      </c>
    </row>
    <row r="33" spans="1:26">
      <c r="A33" s="164">
        <v>29</v>
      </c>
      <c r="B33" s="255" t="s">
        <v>354</v>
      </c>
      <c r="C33" s="113">
        <v>548678</v>
      </c>
      <c r="D33" s="113">
        <v>559288</v>
      </c>
      <c r="E33" s="113">
        <v>1107966</v>
      </c>
      <c r="F33" s="113">
        <v>55539</v>
      </c>
      <c r="G33" s="113">
        <v>59513</v>
      </c>
      <c r="H33" s="113">
        <v>115052</v>
      </c>
      <c r="I33" s="113">
        <v>19217</v>
      </c>
      <c r="J33" s="113">
        <v>18301</v>
      </c>
      <c r="K33" s="113">
        <v>37518</v>
      </c>
      <c r="L33" s="113">
        <v>180431</v>
      </c>
      <c r="M33" s="113">
        <v>201429</v>
      </c>
      <c r="N33" s="113">
        <v>381860</v>
      </c>
      <c r="O33" s="113">
        <v>869</v>
      </c>
      <c r="P33" s="113">
        <v>632</v>
      </c>
      <c r="Q33" s="113">
        <v>1501</v>
      </c>
      <c r="R33" s="113">
        <v>21183</v>
      </c>
      <c r="S33" s="113">
        <v>19884</v>
      </c>
      <c r="T33" s="113">
        <v>41067</v>
      </c>
      <c r="U33" s="113">
        <v>10798</v>
      </c>
      <c r="V33" s="113">
        <v>13589</v>
      </c>
      <c r="W33" s="113">
        <v>24387</v>
      </c>
      <c r="X33" s="113">
        <v>3803</v>
      </c>
      <c r="Y33" s="113">
        <v>4936</v>
      </c>
      <c r="Z33" s="113">
        <v>8739</v>
      </c>
    </row>
    <row r="34" spans="1:26">
      <c r="A34" s="164">
        <v>30</v>
      </c>
      <c r="B34" s="255" t="s">
        <v>367</v>
      </c>
      <c r="C34" s="113">
        <v>5267</v>
      </c>
      <c r="D34" s="113">
        <v>14715</v>
      </c>
      <c r="E34" s="113">
        <v>19982</v>
      </c>
      <c r="F34" s="113">
        <v>474</v>
      </c>
      <c r="G34" s="113">
        <v>983</v>
      </c>
      <c r="H34" s="113">
        <v>1457</v>
      </c>
      <c r="I34" s="113">
        <v>155</v>
      </c>
      <c r="J34" s="113">
        <v>296</v>
      </c>
      <c r="K34" s="113">
        <v>451</v>
      </c>
      <c r="L34" s="113">
        <v>1545</v>
      </c>
      <c r="M34" s="113">
        <v>4303</v>
      </c>
      <c r="N34" s="113">
        <v>5848</v>
      </c>
      <c r="O34" s="113">
        <v>0</v>
      </c>
      <c r="P34" s="113">
        <v>91</v>
      </c>
      <c r="Q34" s="113">
        <v>91</v>
      </c>
      <c r="R34" s="113">
        <v>211</v>
      </c>
      <c r="S34" s="113">
        <v>619</v>
      </c>
      <c r="T34" s="113">
        <v>830</v>
      </c>
      <c r="U34" s="113">
        <v>127</v>
      </c>
      <c r="V34" s="113">
        <v>294</v>
      </c>
      <c r="W34" s="113">
        <v>421</v>
      </c>
      <c r="X34" s="113">
        <v>20</v>
      </c>
      <c r="Y34" s="113">
        <v>37</v>
      </c>
      <c r="Z34" s="113">
        <v>57</v>
      </c>
    </row>
    <row r="35" spans="1:26">
      <c r="A35" s="164">
        <v>31</v>
      </c>
      <c r="B35" s="255" t="s">
        <v>425</v>
      </c>
      <c r="C35" s="113">
        <v>6</v>
      </c>
      <c r="D35" s="113">
        <v>22</v>
      </c>
      <c r="E35" s="113">
        <v>28</v>
      </c>
      <c r="F35" s="113">
        <v>0</v>
      </c>
      <c r="G35" s="113">
        <v>0</v>
      </c>
      <c r="H35" s="113">
        <v>0</v>
      </c>
      <c r="I35" s="113">
        <v>0</v>
      </c>
      <c r="J35" s="113">
        <v>0</v>
      </c>
      <c r="K35" s="113">
        <v>0</v>
      </c>
      <c r="L35" s="113">
        <v>0</v>
      </c>
      <c r="M35" s="113">
        <v>3</v>
      </c>
      <c r="N35" s="113">
        <v>3</v>
      </c>
      <c r="O35" s="113">
        <v>0</v>
      </c>
      <c r="P35" s="113">
        <v>0</v>
      </c>
      <c r="Q35" s="113">
        <v>0</v>
      </c>
      <c r="R35" s="113">
        <v>0</v>
      </c>
      <c r="S35" s="113">
        <v>0</v>
      </c>
      <c r="T35" s="113">
        <v>0</v>
      </c>
      <c r="U35" s="113">
        <v>0</v>
      </c>
      <c r="V35" s="113">
        <v>0</v>
      </c>
      <c r="W35" s="113">
        <v>0</v>
      </c>
      <c r="X35" s="113">
        <v>0</v>
      </c>
      <c r="Y35" s="113">
        <v>0</v>
      </c>
      <c r="Z35" s="113">
        <v>0</v>
      </c>
    </row>
    <row r="36" spans="1:26">
      <c r="A36" s="164">
        <v>32</v>
      </c>
      <c r="B36" s="255" t="s">
        <v>806</v>
      </c>
      <c r="C36" s="113">
        <v>11</v>
      </c>
      <c r="D36" s="113">
        <v>19</v>
      </c>
      <c r="E36" s="113">
        <v>30</v>
      </c>
      <c r="F36" s="113">
        <v>0</v>
      </c>
      <c r="G36" s="113">
        <v>0</v>
      </c>
      <c r="H36" s="113">
        <v>0</v>
      </c>
      <c r="I36" s="113">
        <v>0</v>
      </c>
      <c r="J36" s="113">
        <v>0</v>
      </c>
      <c r="K36" s="113">
        <v>0</v>
      </c>
      <c r="L36" s="113">
        <v>3</v>
      </c>
      <c r="M36" s="113">
        <v>1</v>
      </c>
      <c r="N36" s="113">
        <v>4</v>
      </c>
      <c r="O36" s="113">
        <v>0</v>
      </c>
      <c r="P36" s="113">
        <v>0</v>
      </c>
      <c r="Q36" s="113">
        <v>0</v>
      </c>
      <c r="R36" s="113">
        <v>0</v>
      </c>
      <c r="S36" s="113">
        <v>0</v>
      </c>
      <c r="T36" s="113">
        <v>0</v>
      </c>
      <c r="U36" s="113">
        <v>0</v>
      </c>
      <c r="V36" s="113">
        <v>0</v>
      </c>
      <c r="W36" s="113">
        <v>0</v>
      </c>
      <c r="X36" s="113">
        <v>0</v>
      </c>
      <c r="Y36" s="113">
        <v>0</v>
      </c>
      <c r="Z36" s="113">
        <v>0</v>
      </c>
    </row>
    <row r="37" spans="1:26">
      <c r="A37" s="164">
        <v>33</v>
      </c>
      <c r="B37" s="255" t="s">
        <v>380</v>
      </c>
      <c r="C37" s="113">
        <v>2202</v>
      </c>
      <c r="D37" s="113">
        <v>4805</v>
      </c>
      <c r="E37" s="113">
        <v>7007</v>
      </c>
      <c r="F37" s="113">
        <v>117</v>
      </c>
      <c r="G37" s="113">
        <v>331</v>
      </c>
      <c r="H37" s="113">
        <v>448</v>
      </c>
      <c r="I37" s="113">
        <v>59</v>
      </c>
      <c r="J37" s="113">
        <v>116</v>
      </c>
      <c r="K37" s="113">
        <v>175</v>
      </c>
      <c r="L37" s="113">
        <v>285</v>
      </c>
      <c r="M37" s="113">
        <v>541</v>
      </c>
      <c r="N37" s="113">
        <v>826</v>
      </c>
      <c r="O37" s="113">
        <v>5</v>
      </c>
      <c r="P37" s="113">
        <v>19</v>
      </c>
      <c r="Q37" s="113">
        <v>24</v>
      </c>
      <c r="R37" s="113">
        <v>32</v>
      </c>
      <c r="S37" s="113">
        <v>60</v>
      </c>
      <c r="T37" s="113">
        <v>92</v>
      </c>
      <c r="U37" s="113">
        <v>53</v>
      </c>
      <c r="V37" s="113">
        <v>193</v>
      </c>
      <c r="W37" s="113">
        <v>246</v>
      </c>
      <c r="X37" s="113">
        <v>13</v>
      </c>
      <c r="Y37" s="113">
        <v>18</v>
      </c>
      <c r="Z37" s="113">
        <v>31</v>
      </c>
    </row>
    <row r="38" spans="1:26">
      <c r="A38" s="164">
        <v>34</v>
      </c>
      <c r="B38" s="255" t="s">
        <v>357</v>
      </c>
      <c r="C38" s="113">
        <v>239989</v>
      </c>
      <c r="D38" s="113">
        <v>97264</v>
      </c>
      <c r="E38" s="113">
        <v>337253</v>
      </c>
      <c r="F38" s="113">
        <v>23690</v>
      </c>
      <c r="G38" s="113">
        <v>12530</v>
      </c>
      <c r="H38" s="113">
        <v>36220</v>
      </c>
      <c r="I38" s="113">
        <v>4829</v>
      </c>
      <c r="J38" s="113">
        <v>1996</v>
      </c>
      <c r="K38" s="113">
        <v>6825</v>
      </c>
      <c r="L38" s="113">
        <v>102967</v>
      </c>
      <c r="M38" s="113">
        <v>44911</v>
      </c>
      <c r="N38" s="113">
        <v>147878</v>
      </c>
      <c r="O38" s="113">
        <v>89</v>
      </c>
      <c r="P38" s="113">
        <v>23</v>
      </c>
      <c r="Q38" s="113">
        <v>112</v>
      </c>
      <c r="R38" s="113">
        <v>9676</v>
      </c>
      <c r="S38" s="113">
        <v>2192</v>
      </c>
      <c r="T38" s="113">
        <v>11868</v>
      </c>
      <c r="U38" s="113">
        <v>6866</v>
      </c>
      <c r="V38" s="113">
        <v>3181</v>
      </c>
      <c r="W38" s="113">
        <v>10047</v>
      </c>
      <c r="X38" s="113">
        <v>2707</v>
      </c>
      <c r="Y38" s="113">
        <v>1192</v>
      </c>
      <c r="Z38" s="113">
        <v>3899</v>
      </c>
    </row>
    <row r="39" spans="1:26">
      <c r="A39" s="164">
        <v>35</v>
      </c>
      <c r="B39" s="255" t="s">
        <v>967</v>
      </c>
      <c r="C39" s="113">
        <v>149</v>
      </c>
      <c r="D39" s="113">
        <v>200</v>
      </c>
      <c r="E39" s="113">
        <v>349</v>
      </c>
      <c r="F39" s="113">
        <v>24</v>
      </c>
      <c r="G39" s="113">
        <v>15</v>
      </c>
      <c r="H39" s="113">
        <v>39</v>
      </c>
      <c r="I39" s="113">
        <v>10</v>
      </c>
      <c r="J39" s="113">
        <v>14</v>
      </c>
      <c r="K39" s="113">
        <v>24</v>
      </c>
      <c r="L39" s="113">
        <v>74</v>
      </c>
      <c r="M39" s="113">
        <v>83</v>
      </c>
      <c r="N39" s="113">
        <v>157</v>
      </c>
      <c r="O39" s="113">
        <v>0</v>
      </c>
      <c r="P39" s="113">
        <v>0</v>
      </c>
      <c r="Q39" s="113">
        <v>0</v>
      </c>
      <c r="R39" s="113">
        <v>1</v>
      </c>
      <c r="S39" s="113">
        <v>1</v>
      </c>
      <c r="T39" s="113">
        <v>2</v>
      </c>
      <c r="U39" s="113">
        <v>0</v>
      </c>
      <c r="V39" s="113">
        <v>1</v>
      </c>
      <c r="W39" s="113">
        <v>1</v>
      </c>
      <c r="X39" s="113">
        <v>1</v>
      </c>
      <c r="Y39" s="113">
        <v>1</v>
      </c>
      <c r="Z39" s="113">
        <v>2</v>
      </c>
    </row>
    <row r="40" spans="1:26">
      <c r="A40" s="164">
        <v>36</v>
      </c>
      <c r="B40" s="255" t="s">
        <v>358</v>
      </c>
      <c r="C40" s="113">
        <v>231142</v>
      </c>
      <c r="D40" s="113">
        <v>432720</v>
      </c>
      <c r="E40" s="113">
        <v>663862</v>
      </c>
      <c r="F40" s="113">
        <v>44153</v>
      </c>
      <c r="G40" s="113">
        <v>66834</v>
      </c>
      <c r="H40" s="113">
        <v>110987</v>
      </c>
      <c r="I40" s="113">
        <v>18569</v>
      </c>
      <c r="J40" s="113">
        <v>27282</v>
      </c>
      <c r="K40" s="113">
        <v>45851</v>
      </c>
      <c r="L40" s="113">
        <v>83804</v>
      </c>
      <c r="M40" s="113">
        <v>153877</v>
      </c>
      <c r="N40" s="113">
        <v>237681</v>
      </c>
      <c r="O40" s="113">
        <v>430</v>
      </c>
      <c r="P40" s="113">
        <v>862</v>
      </c>
      <c r="Q40" s="113">
        <v>1292</v>
      </c>
      <c r="R40" s="113">
        <v>7738</v>
      </c>
      <c r="S40" s="113">
        <v>13562</v>
      </c>
      <c r="T40" s="113">
        <v>21300</v>
      </c>
      <c r="U40" s="113">
        <v>2507</v>
      </c>
      <c r="V40" s="113">
        <v>9772</v>
      </c>
      <c r="W40" s="113">
        <v>12279</v>
      </c>
      <c r="X40" s="113">
        <v>3060</v>
      </c>
      <c r="Y40" s="113">
        <v>5213</v>
      </c>
      <c r="Z40" s="113">
        <v>8273</v>
      </c>
    </row>
    <row r="41" spans="1:26">
      <c r="A41" s="164">
        <v>37</v>
      </c>
      <c r="B41" s="255" t="s">
        <v>964</v>
      </c>
      <c r="C41" s="113">
        <v>541</v>
      </c>
      <c r="D41" s="113">
        <v>827</v>
      </c>
      <c r="E41" s="113">
        <v>1368</v>
      </c>
      <c r="F41" s="113">
        <v>90</v>
      </c>
      <c r="G41" s="113">
        <v>127</v>
      </c>
      <c r="H41" s="113">
        <v>217</v>
      </c>
      <c r="I41" s="113">
        <v>1</v>
      </c>
      <c r="J41" s="113">
        <v>10</v>
      </c>
      <c r="K41" s="113">
        <v>11</v>
      </c>
      <c r="L41" s="113">
        <v>260</v>
      </c>
      <c r="M41" s="113">
        <v>363</v>
      </c>
      <c r="N41" s="113">
        <v>623</v>
      </c>
      <c r="O41" s="113">
        <v>0</v>
      </c>
      <c r="P41" s="113">
        <v>2</v>
      </c>
      <c r="Q41" s="113">
        <v>2</v>
      </c>
      <c r="R41" s="113">
        <v>9</v>
      </c>
      <c r="S41" s="113">
        <v>12</v>
      </c>
      <c r="T41" s="113">
        <v>21</v>
      </c>
      <c r="U41" s="113">
        <v>0</v>
      </c>
      <c r="V41" s="113">
        <v>0</v>
      </c>
      <c r="W41" s="113">
        <v>0</v>
      </c>
      <c r="X41" s="113">
        <v>5</v>
      </c>
      <c r="Y41" s="113">
        <v>6</v>
      </c>
      <c r="Z41" s="113">
        <v>11</v>
      </c>
    </row>
    <row r="42" spans="1:26">
      <c r="A42" s="164">
        <v>38</v>
      </c>
      <c r="B42" s="255" t="s">
        <v>384</v>
      </c>
      <c r="C42" s="113">
        <v>2728</v>
      </c>
      <c r="D42" s="113">
        <v>2677</v>
      </c>
      <c r="E42" s="113">
        <v>5405</v>
      </c>
      <c r="F42" s="113">
        <v>445</v>
      </c>
      <c r="G42" s="113">
        <v>298</v>
      </c>
      <c r="H42" s="113">
        <v>743</v>
      </c>
      <c r="I42" s="113">
        <v>170</v>
      </c>
      <c r="J42" s="113">
        <v>87</v>
      </c>
      <c r="K42" s="113">
        <v>257</v>
      </c>
      <c r="L42" s="113">
        <v>855</v>
      </c>
      <c r="M42" s="113">
        <v>662</v>
      </c>
      <c r="N42" s="113">
        <v>1517</v>
      </c>
      <c r="O42" s="113">
        <v>8</v>
      </c>
      <c r="P42" s="113">
        <v>6</v>
      </c>
      <c r="Q42" s="113">
        <v>14</v>
      </c>
      <c r="R42" s="113">
        <v>37</v>
      </c>
      <c r="S42" s="113">
        <v>49</v>
      </c>
      <c r="T42" s="113">
        <v>86</v>
      </c>
      <c r="U42" s="113">
        <v>67</v>
      </c>
      <c r="V42" s="113">
        <v>90</v>
      </c>
      <c r="W42" s="113">
        <v>157</v>
      </c>
      <c r="X42" s="113">
        <v>23</v>
      </c>
      <c r="Y42" s="113">
        <v>12</v>
      </c>
      <c r="Z42" s="113">
        <v>35</v>
      </c>
    </row>
    <row r="43" spans="1:26">
      <c r="A43" s="164">
        <v>39</v>
      </c>
      <c r="B43" s="255" t="s">
        <v>400</v>
      </c>
      <c r="C43" s="113">
        <v>515</v>
      </c>
      <c r="D43" s="113">
        <v>399</v>
      </c>
      <c r="E43" s="113">
        <v>914</v>
      </c>
      <c r="F43" s="113">
        <v>63</v>
      </c>
      <c r="G43" s="113">
        <v>58</v>
      </c>
      <c r="H43" s="113">
        <v>121</v>
      </c>
      <c r="I43" s="113">
        <v>28</v>
      </c>
      <c r="J43" s="113">
        <v>31</v>
      </c>
      <c r="K43" s="113">
        <v>59</v>
      </c>
      <c r="L43" s="113">
        <v>199</v>
      </c>
      <c r="M43" s="113">
        <v>126</v>
      </c>
      <c r="N43" s="113">
        <v>325</v>
      </c>
      <c r="O43" s="113">
        <v>0</v>
      </c>
      <c r="P43" s="113">
        <v>0</v>
      </c>
      <c r="Q43" s="113">
        <v>0</v>
      </c>
      <c r="R43" s="113">
        <v>21</v>
      </c>
      <c r="S43" s="113">
        <v>38</v>
      </c>
      <c r="T43" s="113">
        <v>59</v>
      </c>
      <c r="U43" s="113">
        <v>13</v>
      </c>
      <c r="V43" s="113">
        <v>16</v>
      </c>
      <c r="W43" s="113">
        <v>29</v>
      </c>
      <c r="X43" s="113">
        <v>0</v>
      </c>
      <c r="Y43" s="113">
        <v>0</v>
      </c>
      <c r="Z43" s="113">
        <v>0</v>
      </c>
    </row>
    <row r="44" spans="1:26">
      <c r="A44" s="164">
        <v>40</v>
      </c>
      <c r="B44" s="255" t="s">
        <v>404</v>
      </c>
      <c r="C44" s="113">
        <v>99</v>
      </c>
      <c r="D44" s="113">
        <v>541</v>
      </c>
      <c r="E44" s="113">
        <v>640</v>
      </c>
      <c r="F44" s="113">
        <v>11</v>
      </c>
      <c r="G44" s="113">
        <v>48</v>
      </c>
      <c r="H44" s="113">
        <v>59</v>
      </c>
      <c r="I44" s="113">
        <v>6</v>
      </c>
      <c r="J44" s="113">
        <v>10</v>
      </c>
      <c r="K44" s="113">
        <v>16</v>
      </c>
      <c r="L44" s="113">
        <v>25</v>
      </c>
      <c r="M44" s="113">
        <v>158</v>
      </c>
      <c r="N44" s="113">
        <v>183</v>
      </c>
      <c r="O44" s="113">
        <v>0</v>
      </c>
      <c r="P44" s="113">
        <v>0</v>
      </c>
      <c r="Q44" s="113">
        <v>0</v>
      </c>
      <c r="R44" s="113">
        <v>1</v>
      </c>
      <c r="S44" s="113">
        <v>7</v>
      </c>
      <c r="T44" s="113">
        <v>8</v>
      </c>
      <c r="U44" s="113">
        <v>1</v>
      </c>
      <c r="V44" s="113">
        <v>21</v>
      </c>
      <c r="W44" s="113">
        <v>22</v>
      </c>
      <c r="X44" s="113">
        <v>1</v>
      </c>
      <c r="Y44" s="113">
        <v>3</v>
      </c>
      <c r="Z44" s="113">
        <v>4</v>
      </c>
    </row>
    <row r="45" spans="1:26">
      <c r="A45" s="164">
        <v>41</v>
      </c>
      <c r="B45" s="255" t="s">
        <v>411</v>
      </c>
      <c r="C45" s="113">
        <v>375</v>
      </c>
      <c r="D45" s="113">
        <v>322</v>
      </c>
      <c r="E45" s="113">
        <v>697</v>
      </c>
      <c r="F45" s="113">
        <v>39</v>
      </c>
      <c r="G45" s="113">
        <v>27</v>
      </c>
      <c r="H45" s="113">
        <v>66</v>
      </c>
      <c r="I45" s="113">
        <v>8</v>
      </c>
      <c r="J45" s="113">
        <v>4</v>
      </c>
      <c r="K45" s="113">
        <v>12</v>
      </c>
      <c r="L45" s="113">
        <v>79</v>
      </c>
      <c r="M45" s="113">
        <v>83</v>
      </c>
      <c r="N45" s="113">
        <v>162</v>
      </c>
      <c r="O45" s="113">
        <v>3</v>
      </c>
      <c r="P45" s="113">
        <v>1</v>
      </c>
      <c r="Q45" s="113">
        <v>4</v>
      </c>
      <c r="R45" s="113">
        <v>10</v>
      </c>
      <c r="S45" s="113">
        <v>6</v>
      </c>
      <c r="T45" s="113">
        <v>16</v>
      </c>
      <c r="U45" s="113">
        <v>0</v>
      </c>
      <c r="V45" s="113">
        <v>0</v>
      </c>
      <c r="W45" s="113">
        <v>0</v>
      </c>
      <c r="X45" s="113">
        <v>10</v>
      </c>
      <c r="Y45" s="113">
        <v>14</v>
      </c>
      <c r="Z45" s="113">
        <v>24</v>
      </c>
    </row>
    <row r="46" spans="1:26">
      <c r="A46" s="164">
        <v>42</v>
      </c>
      <c r="B46" s="255" t="s">
        <v>398</v>
      </c>
      <c r="C46" s="113">
        <v>351</v>
      </c>
      <c r="D46" s="113">
        <v>462</v>
      </c>
      <c r="E46" s="113">
        <v>813</v>
      </c>
      <c r="F46" s="113">
        <v>16</v>
      </c>
      <c r="G46" s="113">
        <v>18</v>
      </c>
      <c r="H46" s="113">
        <v>34</v>
      </c>
      <c r="I46" s="113">
        <v>11</v>
      </c>
      <c r="J46" s="113">
        <v>1</v>
      </c>
      <c r="K46" s="113">
        <v>12</v>
      </c>
      <c r="L46" s="113">
        <v>36</v>
      </c>
      <c r="M46" s="113">
        <v>43</v>
      </c>
      <c r="N46" s="113">
        <v>79</v>
      </c>
      <c r="O46" s="113">
        <v>0</v>
      </c>
      <c r="P46" s="113">
        <v>0</v>
      </c>
      <c r="Q46" s="113">
        <v>0</v>
      </c>
      <c r="R46" s="113">
        <v>22</v>
      </c>
      <c r="S46" s="113">
        <v>17</v>
      </c>
      <c r="T46" s="113">
        <v>39</v>
      </c>
      <c r="U46" s="113">
        <v>1</v>
      </c>
      <c r="V46" s="113">
        <v>2</v>
      </c>
      <c r="W46" s="113">
        <v>3</v>
      </c>
      <c r="X46" s="113">
        <v>0</v>
      </c>
      <c r="Y46" s="113">
        <v>0</v>
      </c>
      <c r="Z46" s="113">
        <v>0</v>
      </c>
    </row>
    <row r="47" spans="1:26">
      <c r="A47" s="164">
        <v>43</v>
      </c>
      <c r="B47" s="255" t="s">
        <v>378</v>
      </c>
      <c r="C47" s="113">
        <v>11922</v>
      </c>
      <c r="D47" s="113">
        <v>1774</v>
      </c>
      <c r="E47" s="113">
        <v>13696</v>
      </c>
      <c r="F47" s="113">
        <v>1264</v>
      </c>
      <c r="G47" s="113">
        <v>218</v>
      </c>
      <c r="H47" s="113">
        <v>1482</v>
      </c>
      <c r="I47" s="113">
        <v>263</v>
      </c>
      <c r="J47" s="113">
        <v>102</v>
      </c>
      <c r="K47" s="113">
        <v>365</v>
      </c>
      <c r="L47" s="113">
        <v>1591</v>
      </c>
      <c r="M47" s="113">
        <v>221</v>
      </c>
      <c r="N47" s="113">
        <v>1812</v>
      </c>
      <c r="O47" s="113">
        <v>0</v>
      </c>
      <c r="P47" s="113">
        <v>0</v>
      </c>
      <c r="Q47" s="113">
        <v>0</v>
      </c>
      <c r="R47" s="113">
        <v>82</v>
      </c>
      <c r="S47" s="113">
        <v>5</v>
      </c>
      <c r="T47" s="113">
        <v>87</v>
      </c>
      <c r="U47" s="113">
        <v>172</v>
      </c>
      <c r="V47" s="113">
        <v>24</v>
      </c>
      <c r="W47" s="113">
        <v>196</v>
      </c>
      <c r="X47" s="113">
        <v>47</v>
      </c>
      <c r="Y47" s="113">
        <v>18</v>
      </c>
      <c r="Z47" s="113">
        <v>65</v>
      </c>
    </row>
    <row r="48" spans="1:26">
      <c r="A48" s="164">
        <v>44</v>
      </c>
      <c r="B48" s="255" t="s">
        <v>385</v>
      </c>
      <c r="C48" s="113">
        <v>3706</v>
      </c>
      <c r="D48" s="113">
        <v>670</v>
      </c>
      <c r="E48" s="113">
        <v>4376</v>
      </c>
      <c r="F48" s="113">
        <v>402</v>
      </c>
      <c r="G48" s="113">
        <v>112</v>
      </c>
      <c r="H48" s="113">
        <v>514</v>
      </c>
      <c r="I48" s="113">
        <v>41</v>
      </c>
      <c r="J48" s="113">
        <v>12</v>
      </c>
      <c r="K48" s="113">
        <v>53</v>
      </c>
      <c r="L48" s="113">
        <v>816</v>
      </c>
      <c r="M48" s="113">
        <v>101</v>
      </c>
      <c r="N48" s="113">
        <v>917</v>
      </c>
      <c r="O48" s="113">
        <v>10</v>
      </c>
      <c r="P48" s="113">
        <v>2</v>
      </c>
      <c r="Q48" s="113">
        <v>12</v>
      </c>
      <c r="R48" s="113">
        <v>88</v>
      </c>
      <c r="S48" s="113">
        <v>5</v>
      </c>
      <c r="T48" s="113">
        <v>93</v>
      </c>
      <c r="U48" s="113">
        <v>59</v>
      </c>
      <c r="V48" s="113">
        <v>16</v>
      </c>
      <c r="W48" s="113">
        <v>75</v>
      </c>
      <c r="X48" s="113">
        <v>72</v>
      </c>
      <c r="Y48" s="113">
        <v>11</v>
      </c>
      <c r="Z48" s="113">
        <v>83</v>
      </c>
    </row>
    <row r="49" spans="1:26">
      <c r="A49" s="164">
        <v>45</v>
      </c>
      <c r="B49" s="255" t="s">
        <v>371</v>
      </c>
      <c r="C49" s="113">
        <v>3504</v>
      </c>
      <c r="D49" s="113">
        <v>6507</v>
      </c>
      <c r="E49" s="113">
        <v>10011</v>
      </c>
      <c r="F49" s="113">
        <v>290</v>
      </c>
      <c r="G49" s="113">
        <v>514</v>
      </c>
      <c r="H49" s="113">
        <v>804</v>
      </c>
      <c r="I49" s="113">
        <v>138</v>
      </c>
      <c r="J49" s="113">
        <v>231</v>
      </c>
      <c r="K49" s="113">
        <v>369</v>
      </c>
      <c r="L49" s="113">
        <v>1293</v>
      </c>
      <c r="M49" s="113">
        <v>2203</v>
      </c>
      <c r="N49" s="113">
        <v>3496</v>
      </c>
      <c r="O49" s="113">
        <v>0</v>
      </c>
      <c r="P49" s="113">
        <v>1</v>
      </c>
      <c r="Q49" s="113">
        <v>1</v>
      </c>
      <c r="R49" s="113">
        <v>201</v>
      </c>
      <c r="S49" s="113">
        <v>387</v>
      </c>
      <c r="T49" s="113">
        <v>588</v>
      </c>
      <c r="U49" s="113">
        <v>45</v>
      </c>
      <c r="V49" s="113">
        <v>172</v>
      </c>
      <c r="W49" s="113">
        <v>217</v>
      </c>
      <c r="X49" s="113">
        <v>32</v>
      </c>
      <c r="Y49" s="113">
        <v>37</v>
      </c>
      <c r="Z49" s="113">
        <v>69</v>
      </c>
    </row>
    <row r="50" spans="1:26">
      <c r="A50" s="164">
        <v>46</v>
      </c>
      <c r="B50" s="255" t="s">
        <v>399</v>
      </c>
      <c r="C50" s="113">
        <v>1818</v>
      </c>
      <c r="D50" s="113">
        <v>815</v>
      </c>
      <c r="E50" s="113">
        <v>2633</v>
      </c>
      <c r="F50" s="113">
        <v>98</v>
      </c>
      <c r="G50" s="113">
        <v>65</v>
      </c>
      <c r="H50" s="113">
        <v>163</v>
      </c>
      <c r="I50" s="113">
        <v>44</v>
      </c>
      <c r="J50" s="113">
        <v>29</v>
      </c>
      <c r="K50" s="113">
        <v>73</v>
      </c>
      <c r="L50" s="113">
        <v>209</v>
      </c>
      <c r="M50" s="113">
        <v>94</v>
      </c>
      <c r="N50" s="113">
        <v>303</v>
      </c>
      <c r="O50" s="113">
        <v>0</v>
      </c>
      <c r="P50" s="113">
        <v>0</v>
      </c>
      <c r="Q50" s="113">
        <v>0</v>
      </c>
      <c r="R50" s="113">
        <v>39</v>
      </c>
      <c r="S50" s="113">
        <v>16</v>
      </c>
      <c r="T50" s="113">
        <v>55</v>
      </c>
      <c r="U50" s="113">
        <v>29</v>
      </c>
      <c r="V50" s="113">
        <v>15</v>
      </c>
      <c r="W50" s="113">
        <v>44</v>
      </c>
      <c r="X50" s="113">
        <v>0</v>
      </c>
      <c r="Y50" s="113">
        <v>0</v>
      </c>
      <c r="Z50" s="113">
        <v>0</v>
      </c>
    </row>
    <row r="51" spans="1:26">
      <c r="A51" s="164">
        <v>47</v>
      </c>
      <c r="B51" s="255" t="s">
        <v>403</v>
      </c>
      <c r="C51" s="113">
        <v>387</v>
      </c>
      <c r="D51" s="113">
        <v>196</v>
      </c>
      <c r="E51" s="113">
        <v>583</v>
      </c>
      <c r="F51" s="113">
        <v>24</v>
      </c>
      <c r="G51" s="113">
        <v>20</v>
      </c>
      <c r="H51" s="113">
        <v>44</v>
      </c>
      <c r="I51" s="113">
        <v>8</v>
      </c>
      <c r="J51" s="113">
        <v>10</v>
      </c>
      <c r="K51" s="113">
        <v>18</v>
      </c>
      <c r="L51" s="113">
        <v>69</v>
      </c>
      <c r="M51" s="113">
        <v>26</v>
      </c>
      <c r="N51" s="113">
        <v>95</v>
      </c>
      <c r="O51" s="113">
        <v>0</v>
      </c>
      <c r="P51" s="113">
        <v>1</v>
      </c>
      <c r="Q51" s="113">
        <v>1</v>
      </c>
      <c r="R51" s="113">
        <v>8</v>
      </c>
      <c r="S51" s="113">
        <v>6</v>
      </c>
      <c r="T51" s="113">
        <v>14</v>
      </c>
      <c r="U51" s="113">
        <v>15</v>
      </c>
      <c r="V51" s="113">
        <v>8</v>
      </c>
      <c r="W51" s="113">
        <v>23</v>
      </c>
      <c r="X51" s="113">
        <v>2</v>
      </c>
      <c r="Y51" s="113">
        <v>4</v>
      </c>
      <c r="Z51" s="113">
        <v>6</v>
      </c>
    </row>
    <row r="52" spans="1:26">
      <c r="A52" s="164">
        <v>48</v>
      </c>
      <c r="B52" s="255" t="s">
        <v>427</v>
      </c>
      <c r="C52" s="113">
        <v>82</v>
      </c>
      <c r="D52" s="113">
        <v>47</v>
      </c>
      <c r="E52" s="113">
        <v>129</v>
      </c>
      <c r="F52" s="113">
        <v>2</v>
      </c>
      <c r="G52" s="113">
        <v>1</v>
      </c>
      <c r="H52" s="113">
        <v>3</v>
      </c>
      <c r="I52" s="113">
        <v>2</v>
      </c>
      <c r="J52" s="113">
        <v>1</v>
      </c>
      <c r="K52" s="113">
        <v>3</v>
      </c>
      <c r="L52" s="113">
        <v>22</v>
      </c>
      <c r="M52" s="113">
        <v>10</v>
      </c>
      <c r="N52" s="113">
        <v>32</v>
      </c>
      <c r="O52" s="113">
        <v>0</v>
      </c>
      <c r="P52" s="113">
        <v>0</v>
      </c>
      <c r="Q52" s="113">
        <v>0</v>
      </c>
      <c r="R52" s="113">
        <v>1</v>
      </c>
      <c r="S52" s="113">
        <v>2</v>
      </c>
      <c r="T52" s="113">
        <v>3</v>
      </c>
      <c r="U52" s="113">
        <v>6</v>
      </c>
      <c r="V52" s="113">
        <v>3</v>
      </c>
      <c r="W52" s="113">
        <v>9</v>
      </c>
      <c r="X52" s="113">
        <v>0</v>
      </c>
      <c r="Y52" s="113">
        <v>0</v>
      </c>
      <c r="Z52" s="113">
        <v>0</v>
      </c>
    </row>
    <row r="53" spans="1:26">
      <c r="A53" s="164">
        <v>49</v>
      </c>
      <c r="B53" s="255" t="s">
        <v>432</v>
      </c>
      <c r="C53" s="113">
        <v>60</v>
      </c>
      <c r="D53" s="113">
        <v>75</v>
      </c>
      <c r="E53" s="113">
        <v>135</v>
      </c>
      <c r="F53" s="113">
        <v>3</v>
      </c>
      <c r="G53" s="113">
        <v>6</v>
      </c>
      <c r="H53" s="113">
        <v>9</v>
      </c>
      <c r="I53" s="113">
        <v>0</v>
      </c>
      <c r="J53" s="113">
        <v>1</v>
      </c>
      <c r="K53" s="113">
        <v>1</v>
      </c>
      <c r="L53" s="113">
        <v>25</v>
      </c>
      <c r="M53" s="113">
        <v>32</v>
      </c>
      <c r="N53" s="113">
        <v>57</v>
      </c>
      <c r="O53" s="113">
        <v>0</v>
      </c>
      <c r="P53" s="113">
        <v>0</v>
      </c>
      <c r="Q53" s="113">
        <v>0</v>
      </c>
      <c r="R53" s="113">
        <v>3</v>
      </c>
      <c r="S53" s="113">
        <v>1</v>
      </c>
      <c r="T53" s="113">
        <v>4</v>
      </c>
      <c r="U53" s="113">
        <v>0</v>
      </c>
      <c r="V53" s="113">
        <v>0</v>
      </c>
      <c r="W53" s="113">
        <v>0</v>
      </c>
      <c r="X53" s="113">
        <v>3</v>
      </c>
      <c r="Y53" s="113">
        <v>3</v>
      </c>
      <c r="Z53" s="113">
        <v>6</v>
      </c>
    </row>
    <row r="54" spans="1:26">
      <c r="A54" s="164">
        <v>50</v>
      </c>
      <c r="B54" s="255" t="s">
        <v>405</v>
      </c>
      <c r="C54" s="113">
        <v>654</v>
      </c>
      <c r="D54" s="113">
        <v>397</v>
      </c>
      <c r="E54" s="113">
        <v>1051</v>
      </c>
      <c r="F54" s="113">
        <v>98</v>
      </c>
      <c r="G54" s="113">
        <v>28</v>
      </c>
      <c r="H54" s="113">
        <v>126</v>
      </c>
      <c r="I54" s="113">
        <v>52</v>
      </c>
      <c r="J54" s="113">
        <v>14</v>
      </c>
      <c r="K54" s="113">
        <v>66</v>
      </c>
      <c r="L54" s="113">
        <v>151</v>
      </c>
      <c r="M54" s="113">
        <v>55</v>
      </c>
      <c r="N54" s="113">
        <v>206</v>
      </c>
      <c r="O54" s="113">
        <v>0</v>
      </c>
      <c r="P54" s="113">
        <v>0</v>
      </c>
      <c r="Q54" s="113">
        <v>0</v>
      </c>
      <c r="R54" s="113">
        <v>3</v>
      </c>
      <c r="S54" s="113">
        <v>2</v>
      </c>
      <c r="T54" s="113">
        <v>5</v>
      </c>
      <c r="U54" s="113">
        <v>0</v>
      </c>
      <c r="V54" s="113">
        <v>0</v>
      </c>
      <c r="W54" s="113">
        <v>0</v>
      </c>
      <c r="X54" s="113">
        <v>6</v>
      </c>
      <c r="Y54" s="113">
        <v>8</v>
      </c>
      <c r="Z54" s="113">
        <v>14</v>
      </c>
    </row>
    <row r="55" spans="1:26">
      <c r="A55" s="164">
        <v>51</v>
      </c>
      <c r="B55" s="255" t="s">
        <v>388</v>
      </c>
      <c r="C55" s="113">
        <v>3513</v>
      </c>
      <c r="D55" s="113">
        <v>3307</v>
      </c>
      <c r="E55" s="113">
        <v>6820</v>
      </c>
      <c r="F55" s="113">
        <v>467</v>
      </c>
      <c r="G55" s="113">
        <v>282</v>
      </c>
      <c r="H55" s="113">
        <v>749</v>
      </c>
      <c r="I55" s="113">
        <v>115</v>
      </c>
      <c r="J55" s="113">
        <v>81</v>
      </c>
      <c r="K55" s="113">
        <v>196</v>
      </c>
      <c r="L55" s="113">
        <v>660</v>
      </c>
      <c r="M55" s="113">
        <v>441</v>
      </c>
      <c r="N55" s="113">
        <v>1101</v>
      </c>
      <c r="O55" s="113">
        <v>2</v>
      </c>
      <c r="P55" s="113">
        <v>1</v>
      </c>
      <c r="Q55" s="113">
        <v>3</v>
      </c>
      <c r="R55" s="113">
        <v>90</v>
      </c>
      <c r="S55" s="113">
        <v>56</v>
      </c>
      <c r="T55" s="113">
        <v>146</v>
      </c>
      <c r="U55" s="113">
        <v>50</v>
      </c>
      <c r="V55" s="113">
        <v>91</v>
      </c>
      <c r="W55" s="113">
        <v>141</v>
      </c>
      <c r="X55" s="113">
        <v>25</v>
      </c>
      <c r="Y55" s="113">
        <v>39</v>
      </c>
      <c r="Z55" s="113">
        <v>64</v>
      </c>
    </row>
    <row r="56" spans="1:26">
      <c r="A56" s="164">
        <v>52</v>
      </c>
      <c r="B56" s="255" t="s">
        <v>377</v>
      </c>
      <c r="C56" s="113">
        <v>7327</v>
      </c>
      <c r="D56" s="113">
        <v>3952</v>
      </c>
      <c r="E56" s="113">
        <v>11279</v>
      </c>
      <c r="F56" s="113">
        <v>873</v>
      </c>
      <c r="G56" s="113">
        <v>461</v>
      </c>
      <c r="H56" s="113">
        <v>1334</v>
      </c>
      <c r="I56" s="113">
        <v>104</v>
      </c>
      <c r="J56" s="113">
        <v>64</v>
      </c>
      <c r="K56" s="113">
        <v>168</v>
      </c>
      <c r="L56" s="113">
        <v>2042</v>
      </c>
      <c r="M56" s="113">
        <v>881</v>
      </c>
      <c r="N56" s="113">
        <v>2923</v>
      </c>
      <c r="O56" s="113">
        <v>3</v>
      </c>
      <c r="P56" s="113">
        <v>1</v>
      </c>
      <c r="Q56" s="113">
        <v>4</v>
      </c>
      <c r="R56" s="113">
        <v>219</v>
      </c>
      <c r="S56" s="113">
        <v>186</v>
      </c>
      <c r="T56" s="113">
        <v>405</v>
      </c>
      <c r="U56" s="113">
        <v>92</v>
      </c>
      <c r="V56" s="113">
        <v>81</v>
      </c>
      <c r="W56" s="113">
        <v>173</v>
      </c>
      <c r="X56" s="113">
        <v>32</v>
      </c>
      <c r="Y56" s="113">
        <v>26</v>
      </c>
      <c r="Z56" s="113">
        <v>58</v>
      </c>
    </row>
    <row r="57" spans="1:26">
      <c r="A57" s="164">
        <v>53</v>
      </c>
      <c r="B57" s="255" t="s">
        <v>376</v>
      </c>
      <c r="C57" s="113">
        <v>3979</v>
      </c>
      <c r="D57" s="113">
        <v>3781</v>
      </c>
      <c r="E57" s="113">
        <v>7760</v>
      </c>
      <c r="F57" s="113">
        <v>673</v>
      </c>
      <c r="G57" s="113">
        <v>608</v>
      </c>
      <c r="H57" s="113">
        <v>1281</v>
      </c>
      <c r="I57" s="113">
        <v>315</v>
      </c>
      <c r="J57" s="113">
        <v>240</v>
      </c>
      <c r="K57" s="113">
        <v>555</v>
      </c>
      <c r="L57" s="113">
        <v>1396</v>
      </c>
      <c r="M57" s="113">
        <v>1333</v>
      </c>
      <c r="N57" s="113">
        <v>2729</v>
      </c>
      <c r="O57" s="113">
        <v>11</v>
      </c>
      <c r="P57" s="113">
        <v>2</v>
      </c>
      <c r="Q57" s="113">
        <v>13</v>
      </c>
      <c r="R57" s="113">
        <v>122</v>
      </c>
      <c r="S57" s="113">
        <v>88</v>
      </c>
      <c r="T57" s="113">
        <v>210</v>
      </c>
      <c r="U57" s="113">
        <v>20</v>
      </c>
      <c r="V57" s="113">
        <v>60</v>
      </c>
      <c r="W57" s="113">
        <v>80</v>
      </c>
      <c r="X57" s="113">
        <v>9</v>
      </c>
      <c r="Y57" s="113">
        <v>12</v>
      </c>
      <c r="Z57" s="113">
        <v>21</v>
      </c>
    </row>
    <row r="58" spans="1:26">
      <c r="A58" s="164">
        <v>54</v>
      </c>
      <c r="B58" s="255" t="s">
        <v>394</v>
      </c>
      <c r="C58" s="113">
        <v>7005</v>
      </c>
      <c r="D58" s="113">
        <v>7137</v>
      </c>
      <c r="E58" s="113">
        <v>14142</v>
      </c>
      <c r="F58" s="113">
        <v>1151</v>
      </c>
      <c r="G58" s="113">
        <v>958</v>
      </c>
      <c r="H58" s="113">
        <v>2109</v>
      </c>
      <c r="I58" s="113">
        <v>542</v>
      </c>
      <c r="J58" s="113">
        <v>537</v>
      </c>
      <c r="K58" s="113">
        <v>1079</v>
      </c>
      <c r="L58" s="113">
        <v>2699</v>
      </c>
      <c r="M58" s="113">
        <v>2348</v>
      </c>
      <c r="N58" s="113">
        <v>5047</v>
      </c>
      <c r="O58" s="113">
        <v>25</v>
      </c>
      <c r="P58" s="113">
        <v>6</v>
      </c>
      <c r="Q58" s="113">
        <v>31</v>
      </c>
      <c r="R58" s="113">
        <v>190</v>
      </c>
      <c r="S58" s="113">
        <v>133</v>
      </c>
      <c r="T58" s="113">
        <v>323</v>
      </c>
      <c r="U58" s="113">
        <v>40</v>
      </c>
      <c r="V58" s="113">
        <v>38</v>
      </c>
      <c r="W58" s="113">
        <v>78</v>
      </c>
      <c r="X58" s="113">
        <v>140</v>
      </c>
      <c r="Y58" s="113">
        <v>89</v>
      </c>
      <c r="Z58" s="113">
        <v>229</v>
      </c>
    </row>
    <row r="59" spans="1:26">
      <c r="A59" s="164">
        <v>55</v>
      </c>
      <c r="B59" s="255" t="s">
        <v>383</v>
      </c>
      <c r="C59" s="113">
        <v>1617</v>
      </c>
      <c r="D59" s="113">
        <v>2320</v>
      </c>
      <c r="E59" s="113">
        <v>3937</v>
      </c>
      <c r="F59" s="113">
        <v>386</v>
      </c>
      <c r="G59" s="113">
        <v>561</v>
      </c>
      <c r="H59" s="113">
        <v>947</v>
      </c>
      <c r="I59" s="113">
        <v>20</v>
      </c>
      <c r="J59" s="113">
        <v>31</v>
      </c>
      <c r="K59" s="113">
        <v>51</v>
      </c>
      <c r="L59" s="113">
        <v>973</v>
      </c>
      <c r="M59" s="113">
        <v>1408</v>
      </c>
      <c r="N59" s="113">
        <v>2381</v>
      </c>
      <c r="O59" s="113">
        <v>1</v>
      </c>
      <c r="P59" s="113">
        <v>0</v>
      </c>
      <c r="Q59" s="113">
        <v>1</v>
      </c>
      <c r="R59" s="113">
        <v>1</v>
      </c>
      <c r="S59" s="113">
        <v>13</v>
      </c>
      <c r="T59" s="113">
        <v>14</v>
      </c>
      <c r="U59" s="113">
        <v>35</v>
      </c>
      <c r="V59" s="113">
        <v>54</v>
      </c>
      <c r="W59" s="113">
        <v>89</v>
      </c>
      <c r="X59" s="113">
        <v>1</v>
      </c>
      <c r="Y59" s="113">
        <v>3</v>
      </c>
      <c r="Z59" s="113">
        <v>4</v>
      </c>
    </row>
    <row r="60" spans="1:26">
      <c r="A60" s="164">
        <v>56</v>
      </c>
      <c r="B60" s="255" t="s">
        <v>963</v>
      </c>
      <c r="C60" s="113">
        <v>29</v>
      </c>
      <c r="D60" s="113">
        <v>48</v>
      </c>
      <c r="E60" s="113">
        <v>77</v>
      </c>
      <c r="F60" s="113">
        <v>2</v>
      </c>
      <c r="G60" s="113">
        <v>5</v>
      </c>
      <c r="H60" s="113">
        <v>7</v>
      </c>
      <c r="I60" s="113">
        <v>4</v>
      </c>
      <c r="J60" s="113">
        <v>3</v>
      </c>
      <c r="K60" s="113">
        <v>7</v>
      </c>
      <c r="L60" s="113">
        <v>9</v>
      </c>
      <c r="M60" s="113">
        <v>8</v>
      </c>
      <c r="N60" s="113">
        <v>17</v>
      </c>
      <c r="O60" s="113">
        <v>0</v>
      </c>
      <c r="P60" s="113">
        <v>0</v>
      </c>
      <c r="Q60" s="113">
        <v>0</v>
      </c>
      <c r="R60" s="113">
        <v>0</v>
      </c>
      <c r="S60" s="113">
        <v>0</v>
      </c>
      <c r="T60" s="113">
        <v>0</v>
      </c>
      <c r="U60" s="113">
        <v>0</v>
      </c>
      <c r="V60" s="113">
        <v>0</v>
      </c>
      <c r="W60" s="113">
        <v>0</v>
      </c>
      <c r="X60" s="113">
        <v>0</v>
      </c>
      <c r="Y60" s="113">
        <v>0</v>
      </c>
      <c r="Z60" s="113">
        <v>0</v>
      </c>
    </row>
    <row r="61" spans="1:26">
      <c r="A61" s="164">
        <v>57</v>
      </c>
      <c r="B61" s="255" t="s">
        <v>390</v>
      </c>
      <c r="C61" s="113">
        <v>897</v>
      </c>
      <c r="D61" s="113">
        <v>790</v>
      </c>
      <c r="E61" s="113">
        <v>1687</v>
      </c>
      <c r="F61" s="113">
        <v>94</v>
      </c>
      <c r="G61" s="113">
        <v>71</v>
      </c>
      <c r="H61" s="113">
        <v>165</v>
      </c>
      <c r="I61" s="113">
        <v>10</v>
      </c>
      <c r="J61" s="113">
        <v>6</v>
      </c>
      <c r="K61" s="113">
        <v>16</v>
      </c>
      <c r="L61" s="113">
        <v>113</v>
      </c>
      <c r="M61" s="113">
        <v>99</v>
      </c>
      <c r="N61" s="113">
        <v>212</v>
      </c>
      <c r="O61" s="113">
        <v>2</v>
      </c>
      <c r="P61" s="113">
        <v>0</v>
      </c>
      <c r="Q61" s="113">
        <v>2</v>
      </c>
      <c r="R61" s="113">
        <v>72</v>
      </c>
      <c r="S61" s="113">
        <v>51</v>
      </c>
      <c r="T61" s="113">
        <v>123</v>
      </c>
      <c r="U61" s="113">
        <v>80</v>
      </c>
      <c r="V61" s="113">
        <v>64</v>
      </c>
      <c r="W61" s="113">
        <v>144</v>
      </c>
      <c r="X61" s="113">
        <v>10</v>
      </c>
      <c r="Y61" s="113">
        <v>7</v>
      </c>
      <c r="Z61" s="113">
        <v>17</v>
      </c>
    </row>
    <row r="62" spans="1:26">
      <c r="A62" s="164">
        <v>58</v>
      </c>
      <c r="B62" s="255" t="s">
        <v>374</v>
      </c>
      <c r="C62" s="113">
        <v>9596</v>
      </c>
      <c r="D62" s="113">
        <v>7461</v>
      </c>
      <c r="E62" s="113">
        <v>17057</v>
      </c>
      <c r="F62" s="113">
        <v>532</v>
      </c>
      <c r="G62" s="113">
        <v>514</v>
      </c>
      <c r="H62" s="113">
        <v>1046</v>
      </c>
      <c r="I62" s="113">
        <v>84</v>
      </c>
      <c r="J62" s="113">
        <v>68</v>
      </c>
      <c r="K62" s="113">
        <v>152</v>
      </c>
      <c r="L62" s="113">
        <v>1047</v>
      </c>
      <c r="M62" s="113">
        <v>868</v>
      </c>
      <c r="N62" s="113">
        <v>1915</v>
      </c>
      <c r="O62" s="113">
        <v>17</v>
      </c>
      <c r="P62" s="113">
        <v>5</v>
      </c>
      <c r="Q62" s="113">
        <v>22</v>
      </c>
      <c r="R62" s="113">
        <v>668</v>
      </c>
      <c r="S62" s="113">
        <v>421</v>
      </c>
      <c r="T62" s="113">
        <v>1089</v>
      </c>
      <c r="U62" s="113">
        <v>505</v>
      </c>
      <c r="V62" s="113">
        <v>437</v>
      </c>
      <c r="W62" s="113">
        <v>942</v>
      </c>
      <c r="X62" s="113">
        <v>67</v>
      </c>
      <c r="Y62" s="113">
        <v>67</v>
      </c>
      <c r="Z62" s="113">
        <v>134</v>
      </c>
    </row>
    <row r="63" spans="1:26">
      <c r="A63" s="164">
        <v>59</v>
      </c>
      <c r="B63" s="255" t="s">
        <v>407</v>
      </c>
      <c r="C63" s="113">
        <v>141</v>
      </c>
      <c r="D63" s="113">
        <v>335</v>
      </c>
      <c r="E63" s="113">
        <v>476</v>
      </c>
      <c r="F63" s="113">
        <v>14</v>
      </c>
      <c r="G63" s="113">
        <v>22</v>
      </c>
      <c r="H63" s="113">
        <v>36</v>
      </c>
      <c r="I63" s="113">
        <v>47</v>
      </c>
      <c r="J63" s="113">
        <v>36</v>
      </c>
      <c r="K63" s="113">
        <v>83</v>
      </c>
      <c r="L63" s="113">
        <v>24</v>
      </c>
      <c r="M63" s="113">
        <v>41</v>
      </c>
      <c r="N63" s="113">
        <v>65</v>
      </c>
      <c r="O63" s="113">
        <v>0</v>
      </c>
      <c r="P63" s="113">
        <v>0</v>
      </c>
      <c r="Q63" s="113">
        <v>0</v>
      </c>
      <c r="R63" s="113">
        <v>0</v>
      </c>
      <c r="S63" s="113">
        <v>0</v>
      </c>
      <c r="T63" s="113">
        <v>0</v>
      </c>
      <c r="U63" s="113">
        <v>11</v>
      </c>
      <c r="V63" s="113">
        <v>12</v>
      </c>
      <c r="W63" s="113">
        <v>23</v>
      </c>
      <c r="X63" s="113">
        <v>2</v>
      </c>
      <c r="Y63" s="113">
        <v>0</v>
      </c>
      <c r="Z63" s="113">
        <v>2</v>
      </c>
    </row>
    <row r="64" spans="1:26">
      <c r="A64" s="164">
        <v>60</v>
      </c>
      <c r="B64" s="255" t="s">
        <v>395</v>
      </c>
      <c r="C64" s="113">
        <v>229</v>
      </c>
      <c r="D64" s="113">
        <v>571</v>
      </c>
      <c r="E64" s="113">
        <v>800</v>
      </c>
      <c r="F64" s="113">
        <v>30</v>
      </c>
      <c r="G64" s="113">
        <v>52</v>
      </c>
      <c r="H64" s="113">
        <v>82</v>
      </c>
      <c r="I64" s="113">
        <v>23</v>
      </c>
      <c r="J64" s="113">
        <v>17</v>
      </c>
      <c r="K64" s="113">
        <v>40</v>
      </c>
      <c r="L64" s="113">
        <v>81</v>
      </c>
      <c r="M64" s="113">
        <v>260</v>
      </c>
      <c r="N64" s="113">
        <v>341</v>
      </c>
      <c r="O64" s="113">
        <v>0</v>
      </c>
      <c r="P64" s="113">
        <v>0</v>
      </c>
      <c r="Q64" s="113">
        <v>0</v>
      </c>
      <c r="R64" s="113">
        <v>2</v>
      </c>
      <c r="S64" s="113">
        <v>8</v>
      </c>
      <c r="T64" s="113">
        <v>10</v>
      </c>
      <c r="U64" s="113">
        <v>1</v>
      </c>
      <c r="V64" s="113">
        <v>4</v>
      </c>
      <c r="W64" s="113">
        <v>5</v>
      </c>
      <c r="X64" s="113">
        <v>7</v>
      </c>
      <c r="Y64" s="113">
        <v>1</v>
      </c>
      <c r="Z64" s="113">
        <v>8</v>
      </c>
    </row>
    <row r="65" spans="1:26">
      <c r="A65" s="164">
        <v>61</v>
      </c>
      <c r="B65" s="255" t="s">
        <v>414</v>
      </c>
      <c r="C65" s="113">
        <v>34</v>
      </c>
      <c r="D65" s="113">
        <v>79</v>
      </c>
      <c r="E65" s="113">
        <v>113</v>
      </c>
      <c r="F65" s="113">
        <v>6</v>
      </c>
      <c r="G65" s="113">
        <v>2</v>
      </c>
      <c r="H65" s="113">
        <v>8</v>
      </c>
      <c r="I65" s="113">
        <v>0</v>
      </c>
      <c r="J65" s="113">
        <v>1</v>
      </c>
      <c r="K65" s="113">
        <v>1</v>
      </c>
      <c r="L65" s="113">
        <v>10</v>
      </c>
      <c r="M65" s="113">
        <v>46</v>
      </c>
      <c r="N65" s="113">
        <v>56</v>
      </c>
      <c r="O65" s="113">
        <v>0</v>
      </c>
      <c r="P65" s="113">
        <v>0</v>
      </c>
      <c r="Q65" s="113">
        <v>0</v>
      </c>
      <c r="R65" s="113">
        <v>0</v>
      </c>
      <c r="S65" s="113">
        <v>0</v>
      </c>
      <c r="T65" s="113">
        <v>0</v>
      </c>
      <c r="U65" s="113">
        <v>0</v>
      </c>
      <c r="V65" s="113">
        <v>0</v>
      </c>
      <c r="W65" s="113">
        <v>0</v>
      </c>
      <c r="X65" s="113">
        <v>0</v>
      </c>
      <c r="Y65" s="113">
        <v>0</v>
      </c>
      <c r="Z65" s="113">
        <v>0</v>
      </c>
    </row>
    <row r="66" spans="1:26">
      <c r="A66" s="164">
        <v>62</v>
      </c>
      <c r="B66" s="255" t="s">
        <v>421</v>
      </c>
      <c r="C66" s="113">
        <v>45</v>
      </c>
      <c r="D66" s="113">
        <v>107</v>
      </c>
      <c r="E66" s="113">
        <v>152</v>
      </c>
      <c r="F66" s="113">
        <v>6</v>
      </c>
      <c r="G66" s="113">
        <v>12</v>
      </c>
      <c r="H66" s="113">
        <v>18</v>
      </c>
      <c r="I66" s="113">
        <v>3</v>
      </c>
      <c r="J66" s="113">
        <v>2</v>
      </c>
      <c r="K66" s="113">
        <v>5</v>
      </c>
      <c r="L66" s="113">
        <v>19</v>
      </c>
      <c r="M66" s="113">
        <v>52</v>
      </c>
      <c r="N66" s="113">
        <v>71</v>
      </c>
      <c r="O66" s="113">
        <v>1</v>
      </c>
      <c r="P66" s="113">
        <v>0</v>
      </c>
      <c r="Q66" s="113">
        <v>1</v>
      </c>
      <c r="R66" s="113">
        <v>0</v>
      </c>
      <c r="S66" s="113">
        <v>1</v>
      </c>
      <c r="T66" s="113">
        <v>1</v>
      </c>
      <c r="U66" s="113">
        <v>0</v>
      </c>
      <c r="V66" s="113">
        <v>0</v>
      </c>
      <c r="W66" s="113">
        <v>0</v>
      </c>
      <c r="X66" s="113">
        <v>0</v>
      </c>
      <c r="Y66" s="113">
        <v>3</v>
      </c>
      <c r="Z66" s="113">
        <v>3</v>
      </c>
    </row>
    <row r="67" spans="1:26">
      <c r="A67" s="164">
        <v>63</v>
      </c>
      <c r="B67" s="255" t="s">
        <v>397</v>
      </c>
      <c r="C67" s="113">
        <v>229</v>
      </c>
      <c r="D67" s="113">
        <v>490</v>
      </c>
      <c r="E67" s="113">
        <v>719</v>
      </c>
      <c r="F67" s="113">
        <v>38</v>
      </c>
      <c r="G67" s="113">
        <v>46</v>
      </c>
      <c r="H67" s="113">
        <v>84</v>
      </c>
      <c r="I67" s="113">
        <v>3</v>
      </c>
      <c r="J67" s="113">
        <v>21</v>
      </c>
      <c r="K67" s="113">
        <v>24</v>
      </c>
      <c r="L67" s="113">
        <v>96</v>
      </c>
      <c r="M67" s="113">
        <v>132</v>
      </c>
      <c r="N67" s="113">
        <v>228</v>
      </c>
      <c r="O67" s="113">
        <v>0</v>
      </c>
      <c r="P67" s="113">
        <v>0</v>
      </c>
      <c r="Q67" s="113">
        <v>0</v>
      </c>
      <c r="R67" s="113">
        <v>1</v>
      </c>
      <c r="S67" s="113">
        <v>5</v>
      </c>
      <c r="T67" s="113">
        <v>6</v>
      </c>
      <c r="U67" s="113">
        <v>38</v>
      </c>
      <c r="V67" s="113">
        <v>30</v>
      </c>
      <c r="W67" s="113">
        <v>68</v>
      </c>
      <c r="X67" s="113">
        <v>2</v>
      </c>
      <c r="Y67" s="113">
        <v>1</v>
      </c>
      <c r="Z67" s="113">
        <v>3</v>
      </c>
    </row>
    <row r="68" spans="1:26">
      <c r="A68" s="164">
        <v>64</v>
      </c>
      <c r="B68" s="255" t="s">
        <v>392</v>
      </c>
      <c r="C68" s="113">
        <v>618</v>
      </c>
      <c r="D68" s="113">
        <v>1025</v>
      </c>
      <c r="E68" s="113">
        <v>1643</v>
      </c>
      <c r="F68" s="113">
        <v>33</v>
      </c>
      <c r="G68" s="113">
        <v>54</v>
      </c>
      <c r="H68" s="113">
        <v>87</v>
      </c>
      <c r="I68" s="113">
        <v>12</v>
      </c>
      <c r="J68" s="113">
        <v>34</v>
      </c>
      <c r="K68" s="113">
        <v>46</v>
      </c>
      <c r="L68" s="113">
        <v>138</v>
      </c>
      <c r="M68" s="113">
        <v>298</v>
      </c>
      <c r="N68" s="113">
        <v>436</v>
      </c>
      <c r="O68" s="113">
        <v>0</v>
      </c>
      <c r="P68" s="113">
        <v>0</v>
      </c>
      <c r="Q68" s="113">
        <v>0</v>
      </c>
      <c r="R68" s="113">
        <v>50</v>
      </c>
      <c r="S68" s="113">
        <v>74</v>
      </c>
      <c r="T68" s="113">
        <v>124</v>
      </c>
      <c r="U68" s="113">
        <v>5</v>
      </c>
      <c r="V68" s="113">
        <v>15</v>
      </c>
      <c r="W68" s="113">
        <v>20</v>
      </c>
      <c r="X68" s="113">
        <v>0</v>
      </c>
      <c r="Y68" s="113">
        <v>7</v>
      </c>
      <c r="Z68" s="113">
        <v>7</v>
      </c>
    </row>
    <row r="69" spans="1:26">
      <c r="A69" s="164">
        <v>65</v>
      </c>
      <c r="B69" s="255" t="s">
        <v>396</v>
      </c>
      <c r="C69" s="113">
        <v>757</v>
      </c>
      <c r="D69" s="113">
        <v>615</v>
      </c>
      <c r="E69" s="113">
        <v>1372</v>
      </c>
      <c r="F69" s="113">
        <v>102</v>
      </c>
      <c r="G69" s="113">
        <v>71</v>
      </c>
      <c r="H69" s="113">
        <v>173</v>
      </c>
      <c r="I69" s="113">
        <v>42</v>
      </c>
      <c r="J69" s="113">
        <v>26</v>
      </c>
      <c r="K69" s="113">
        <v>68</v>
      </c>
      <c r="L69" s="113">
        <v>205</v>
      </c>
      <c r="M69" s="113">
        <v>140</v>
      </c>
      <c r="N69" s="113">
        <v>345</v>
      </c>
      <c r="O69" s="113">
        <v>6</v>
      </c>
      <c r="P69" s="113">
        <v>4</v>
      </c>
      <c r="Q69" s="113">
        <v>10</v>
      </c>
      <c r="R69" s="113">
        <v>7</v>
      </c>
      <c r="S69" s="113">
        <v>4</v>
      </c>
      <c r="T69" s="113">
        <v>11</v>
      </c>
      <c r="U69" s="113">
        <v>4</v>
      </c>
      <c r="V69" s="113">
        <v>0</v>
      </c>
      <c r="W69" s="113">
        <v>4</v>
      </c>
      <c r="X69" s="113">
        <v>4</v>
      </c>
      <c r="Y69" s="113">
        <v>2</v>
      </c>
      <c r="Z69" s="113">
        <v>6</v>
      </c>
    </row>
    <row r="70" spans="1:26">
      <c r="A70" s="164">
        <v>66</v>
      </c>
      <c r="B70" s="255" t="s">
        <v>386</v>
      </c>
      <c r="C70" s="113">
        <v>4868</v>
      </c>
      <c r="D70" s="113">
        <v>1445</v>
      </c>
      <c r="E70" s="113">
        <v>6313</v>
      </c>
      <c r="F70" s="113">
        <v>552</v>
      </c>
      <c r="G70" s="113">
        <v>197</v>
      </c>
      <c r="H70" s="113">
        <v>749</v>
      </c>
      <c r="I70" s="113">
        <v>237</v>
      </c>
      <c r="J70" s="113">
        <v>87</v>
      </c>
      <c r="K70" s="113">
        <v>324</v>
      </c>
      <c r="L70" s="113">
        <v>1332</v>
      </c>
      <c r="M70" s="113">
        <v>416</v>
      </c>
      <c r="N70" s="113">
        <v>1748</v>
      </c>
      <c r="O70" s="113">
        <v>0</v>
      </c>
      <c r="P70" s="113">
        <v>0</v>
      </c>
      <c r="Q70" s="113">
        <v>0</v>
      </c>
      <c r="R70" s="113">
        <v>93</v>
      </c>
      <c r="S70" s="113">
        <v>12</v>
      </c>
      <c r="T70" s="113">
        <v>105</v>
      </c>
      <c r="U70" s="113">
        <v>34</v>
      </c>
      <c r="V70" s="113">
        <v>11</v>
      </c>
      <c r="W70" s="113">
        <v>45</v>
      </c>
      <c r="X70" s="113">
        <v>27</v>
      </c>
      <c r="Y70" s="113">
        <v>7</v>
      </c>
      <c r="Z70" s="113">
        <v>34</v>
      </c>
    </row>
    <row r="71" spans="1:26">
      <c r="A71" s="164">
        <v>67</v>
      </c>
      <c r="B71" s="255" t="s">
        <v>375</v>
      </c>
      <c r="C71" s="113">
        <v>12632</v>
      </c>
      <c r="D71" s="113">
        <v>6148</v>
      </c>
      <c r="E71" s="113">
        <v>18780</v>
      </c>
      <c r="F71" s="113">
        <v>1786</v>
      </c>
      <c r="G71" s="113">
        <v>952</v>
      </c>
      <c r="H71" s="113">
        <v>2738</v>
      </c>
      <c r="I71" s="113">
        <v>770</v>
      </c>
      <c r="J71" s="113">
        <v>436</v>
      </c>
      <c r="K71" s="113">
        <v>1206</v>
      </c>
      <c r="L71" s="113">
        <v>3688</v>
      </c>
      <c r="M71" s="113">
        <v>2052</v>
      </c>
      <c r="N71" s="113">
        <v>5740</v>
      </c>
      <c r="O71" s="113">
        <v>0</v>
      </c>
      <c r="P71" s="113">
        <v>0</v>
      </c>
      <c r="Q71" s="113">
        <v>0</v>
      </c>
      <c r="R71" s="113">
        <v>218</v>
      </c>
      <c r="S71" s="113">
        <v>59</v>
      </c>
      <c r="T71" s="113">
        <v>277</v>
      </c>
      <c r="U71" s="113">
        <v>157</v>
      </c>
      <c r="V71" s="113">
        <v>114</v>
      </c>
      <c r="W71" s="113">
        <v>271</v>
      </c>
      <c r="X71" s="113">
        <v>119</v>
      </c>
      <c r="Y71" s="113">
        <v>67</v>
      </c>
      <c r="Z71" s="113">
        <v>186</v>
      </c>
    </row>
    <row r="72" spans="1:26">
      <c r="A72" s="164">
        <v>68</v>
      </c>
      <c r="B72" s="255" t="s">
        <v>969</v>
      </c>
      <c r="C72" s="113">
        <v>8</v>
      </c>
      <c r="D72" s="113">
        <v>19</v>
      </c>
      <c r="E72" s="113">
        <v>27</v>
      </c>
      <c r="F72" s="113">
        <v>3</v>
      </c>
      <c r="G72" s="113">
        <v>2</v>
      </c>
      <c r="H72" s="113">
        <v>5</v>
      </c>
      <c r="I72" s="113">
        <v>0</v>
      </c>
      <c r="J72" s="113">
        <v>0</v>
      </c>
      <c r="K72" s="113">
        <v>0</v>
      </c>
      <c r="L72" s="113">
        <v>1</v>
      </c>
      <c r="M72" s="113">
        <v>6</v>
      </c>
      <c r="N72" s="113">
        <v>7</v>
      </c>
      <c r="O72" s="113">
        <v>0</v>
      </c>
      <c r="P72" s="113">
        <v>0</v>
      </c>
      <c r="Q72" s="113">
        <v>0</v>
      </c>
      <c r="R72" s="113">
        <v>0</v>
      </c>
      <c r="S72" s="113">
        <v>0</v>
      </c>
      <c r="T72" s="113">
        <v>0</v>
      </c>
      <c r="U72" s="113">
        <v>0</v>
      </c>
      <c r="V72" s="113">
        <v>0</v>
      </c>
      <c r="W72" s="113">
        <v>0</v>
      </c>
      <c r="X72" s="113">
        <v>0</v>
      </c>
      <c r="Y72" s="113">
        <v>0</v>
      </c>
      <c r="Z72" s="113">
        <v>0</v>
      </c>
    </row>
    <row r="73" spans="1:26">
      <c r="A73" s="164">
        <v>69</v>
      </c>
      <c r="B73" s="255" t="s">
        <v>418</v>
      </c>
      <c r="C73" s="113">
        <v>110</v>
      </c>
      <c r="D73" s="113">
        <v>148</v>
      </c>
      <c r="E73" s="113">
        <v>258</v>
      </c>
      <c r="F73" s="113">
        <v>1</v>
      </c>
      <c r="G73" s="113">
        <v>7</v>
      </c>
      <c r="H73" s="113">
        <v>8</v>
      </c>
      <c r="I73" s="113">
        <v>9</v>
      </c>
      <c r="J73" s="113">
        <v>3</v>
      </c>
      <c r="K73" s="113">
        <v>12</v>
      </c>
      <c r="L73" s="113">
        <v>9</v>
      </c>
      <c r="M73" s="113">
        <v>20</v>
      </c>
      <c r="N73" s="113">
        <v>29</v>
      </c>
      <c r="O73" s="113">
        <v>0</v>
      </c>
      <c r="P73" s="113">
        <v>0</v>
      </c>
      <c r="Q73" s="113">
        <v>0</v>
      </c>
      <c r="R73" s="113">
        <v>5</v>
      </c>
      <c r="S73" s="113">
        <v>4</v>
      </c>
      <c r="T73" s="113">
        <v>9</v>
      </c>
      <c r="U73" s="113">
        <v>9</v>
      </c>
      <c r="V73" s="113">
        <v>4</v>
      </c>
      <c r="W73" s="113">
        <v>13</v>
      </c>
      <c r="X73" s="113">
        <v>0</v>
      </c>
      <c r="Y73" s="113">
        <v>0</v>
      </c>
      <c r="Z73" s="113">
        <v>0</v>
      </c>
    </row>
    <row r="74" spans="1:26">
      <c r="A74" s="164">
        <v>70</v>
      </c>
      <c r="B74" s="255" t="s">
        <v>369</v>
      </c>
      <c r="C74" s="113">
        <v>4377</v>
      </c>
      <c r="D74" s="113">
        <v>9654</v>
      </c>
      <c r="E74" s="113">
        <v>14031</v>
      </c>
      <c r="F74" s="113">
        <v>428</v>
      </c>
      <c r="G74" s="113">
        <v>793</v>
      </c>
      <c r="H74" s="113">
        <v>1221</v>
      </c>
      <c r="I74" s="113">
        <v>122</v>
      </c>
      <c r="J74" s="113">
        <v>202</v>
      </c>
      <c r="K74" s="113">
        <v>324</v>
      </c>
      <c r="L74" s="113">
        <v>1193</v>
      </c>
      <c r="M74" s="113">
        <v>2453</v>
      </c>
      <c r="N74" s="113">
        <v>3646</v>
      </c>
      <c r="O74" s="113">
        <v>0</v>
      </c>
      <c r="P74" s="113">
        <v>0</v>
      </c>
      <c r="Q74" s="113">
        <v>0</v>
      </c>
      <c r="R74" s="113">
        <v>215</v>
      </c>
      <c r="S74" s="113">
        <v>411</v>
      </c>
      <c r="T74" s="113">
        <v>626</v>
      </c>
      <c r="U74" s="113">
        <v>150</v>
      </c>
      <c r="V74" s="113">
        <v>364</v>
      </c>
      <c r="W74" s="113">
        <v>514</v>
      </c>
      <c r="X74" s="113">
        <v>24</v>
      </c>
      <c r="Y74" s="113">
        <v>87</v>
      </c>
      <c r="Z74" s="113">
        <v>111</v>
      </c>
    </row>
    <row r="75" spans="1:26">
      <c r="A75" s="164">
        <v>71</v>
      </c>
      <c r="B75" s="255" t="s">
        <v>389</v>
      </c>
      <c r="C75" s="113">
        <v>180</v>
      </c>
      <c r="D75" s="113">
        <v>157</v>
      </c>
      <c r="E75" s="113">
        <v>337</v>
      </c>
      <c r="F75" s="113">
        <v>27</v>
      </c>
      <c r="G75" s="113">
        <v>17</v>
      </c>
      <c r="H75" s="113">
        <v>44</v>
      </c>
      <c r="I75" s="113">
        <v>3</v>
      </c>
      <c r="J75" s="113">
        <v>11</v>
      </c>
      <c r="K75" s="113">
        <v>14</v>
      </c>
      <c r="L75" s="113">
        <v>65</v>
      </c>
      <c r="M75" s="113">
        <v>63</v>
      </c>
      <c r="N75" s="113">
        <v>128</v>
      </c>
      <c r="O75" s="113">
        <v>0</v>
      </c>
      <c r="P75" s="113">
        <v>0</v>
      </c>
      <c r="Q75" s="113">
        <v>0</v>
      </c>
      <c r="R75" s="113">
        <v>8</v>
      </c>
      <c r="S75" s="113">
        <v>12</v>
      </c>
      <c r="T75" s="113">
        <v>20</v>
      </c>
      <c r="U75" s="113">
        <v>3</v>
      </c>
      <c r="V75" s="113">
        <v>4</v>
      </c>
      <c r="W75" s="113">
        <v>7</v>
      </c>
      <c r="X75" s="113">
        <v>8</v>
      </c>
      <c r="Y75" s="113">
        <v>11</v>
      </c>
      <c r="Z75" s="113">
        <v>19</v>
      </c>
    </row>
    <row r="76" spans="1:26">
      <c r="A76" s="164">
        <v>72</v>
      </c>
      <c r="B76" s="255" t="s">
        <v>363</v>
      </c>
      <c r="C76" s="113">
        <v>40200</v>
      </c>
      <c r="D76" s="113">
        <v>29812</v>
      </c>
      <c r="E76" s="113">
        <v>70012</v>
      </c>
      <c r="F76" s="113">
        <v>3486</v>
      </c>
      <c r="G76" s="113">
        <v>3265</v>
      </c>
      <c r="H76" s="113">
        <v>6751</v>
      </c>
      <c r="I76" s="113">
        <v>1179</v>
      </c>
      <c r="J76" s="113">
        <v>1037</v>
      </c>
      <c r="K76" s="113">
        <v>2216</v>
      </c>
      <c r="L76" s="113">
        <v>14885</v>
      </c>
      <c r="M76" s="113">
        <v>11028</v>
      </c>
      <c r="N76" s="113">
        <v>25913</v>
      </c>
      <c r="O76" s="113">
        <v>44</v>
      </c>
      <c r="P76" s="113">
        <v>47</v>
      </c>
      <c r="Q76" s="113">
        <v>91</v>
      </c>
      <c r="R76" s="113">
        <v>2219</v>
      </c>
      <c r="S76" s="113">
        <v>1450</v>
      </c>
      <c r="T76" s="113">
        <v>3669</v>
      </c>
      <c r="U76" s="113">
        <v>541</v>
      </c>
      <c r="V76" s="113">
        <v>499</v>
      </c>
      <c r="W76" s="113">
        <v>1040</v>
      </c>
      <c r="X76" s="113">
        <v>395</v>
      </c>
      <c r="Y76" s="113">
        <v>316</v>
      </c>
      <c r="Z76" s="113">
        <v>711</v>
      </c>
    </row>
    <row r="77" spans="1:26">
      <c r="A77" s="164">
        <v>73</v>
      </c>
      <c r="B77" s="255" t="s">
        <v>412</v>
      </c>
      <c r="C77" s="113">
        <v>135</v>
      </c>
      <c r="D77" s="113">
        <v>124</v>
      </c>
      <c r="E77" s="113">
        <v>259</v>
      </c>
      <c r="F77" s="113">
        <v>25</v>
      </c>
      <c r="G77" s="113">
        <v>12</v>
      </c>
      <c r="H77" s="113">
        <v>37</v>
      </c>
      <c r="I77" s="113">
        <v>4</v>
      </c>
      <c r="J77" s="113">
        <v>7</v>
      </c>
      <c r="K77" s="113">
        <v>11</v>
      </c>
      <c r="L77" s="113">
        <v>24</v>
      </c>
      <c r="M77" s="113">
        <v>13</v>
      </c>
      <c r="N77" s="113">
        <v>37</v>
      </c>
      <c r="O77" s="113">
        <v>0</v>
      </c>
      <c r="P77" s="113">
        <v>0</v>
      </c>
      <c r="Q77" s="113">
        <v>0</v>
      </c>
      <c r="R77" s="113">
        <v>4</v>
      </c>
      <c r="S77" s="113">
        <v>0</v>
      </c>
      <c r="T77" s="113">
        <v>4</v>
      </c>
      <c r="U77" s="113">
        <v>5</v>
      </c>
      <c r="V77" s="113">
        <v>2</v>
      </c>
      <c r="W77" s="113">
        <v>7</v>
      </c>
      <c r="X77" s="113">
        <v>0</v>
      </c>
      <c r="Y77" s="113">
        <v>0</v>
      </c>
      <c r="Z77" s="113">
        <v>0</v>
      </c>
    </row>
    <row r="78" spans="1:26">
      <c r="A78" s="164">
        <v>74</v>
      </c>
      <c r="B78" s="255" t="s">
        <v>449</v>
      </c>
      <c r="C78" s="113">
        <v>1125</v>
      </c>
      <c r="D78" s="113">
        <v>709</v>
      </c>
      <c r="E78" s="113">
        <v>1834</v>
      </c>
      <c r="F78" s="113">
        <v>110</v>
      </c>
      <c r="G78" s="113">
        <v>51</v>
      </c>
      <c r="H78" s="113">
        <v>161</v>
      </c>
      <c r="I78" s="113">
        <v>38</v>
      </c>
      <c r="J78" s="113">
        <v>29</v>
      </c>
      <c r="K78" s="113">
        <v>67</v>
      </c>
      <c r="L78" s="113">
        <v>360</v>
      </c>
      <c r="M78" s="113">
        <v>200</v>
      </c>
      <c r="N78" s="113">
        <v>560</v>
      </c>
      <c r="O78" s="113">
        <v>8</v>
      </c>
      <c r="P78" s="113">
        <v>2</v>
      </c>
      <c r="Q78" s="113">
        <v>10</v>
      </c>
      <c r="R78" s="113">
        <v>22</v>
      </c>
      <c r="S78" s="113">
        <v>15</v>
      </c>
      <c r="T78" s="113">
        <v>37</v>
      </c>
      <c r="U78" s="113">
        <v>37</v>
      </c>
      <c r="V78" s="113">
        <v>24</v>
      </c>
      <c r="W78" s="113">
        <v>61</v>
      </c>
      <c r="X78" s="113">
        <v>3</v>
      </c>
      <c r="Y78" s="113">
        <v>0</v>
      </c>
      <c r="Z78" s="113">
        <v>3</v>
      </c>
    </row>
    <row r="79" spans="1:26" ht="27.75" customHeight="1">
      <c r="A79" s="164">
        <v>75</v>
      </c>
      <c r="B79" s="259" t="s">
        <v>401</v>
      </c>
      <c r="C79" s="113">
        <v>266</v>
      </c>
      <c r="D79" s="113">
        <v>453</v>
      </c>
      <c r="E79" s="113">
        <v>719</v>
      </c>
      <c r="F79" s="113">
        <v>32</v>
      </c>
      <c r="G79" s="113">
        <v>65</v>
      </c>
      <c r="H79" s="113">
        <v>97</v>
      </c>
      <c r="I79" s="113">
        <v>8</v>
      </c>
      <c r="J79" s="113">
        <v>14</v>
      </c>
      <c r="K79" s="113">
        <v>22</v>
      </c>
      <c r="L79" s="113">
        <v>129</v>
      </c>
      <c r="M79" s="113">
        <v>163</v>
      </c>
      <c r="N79" s="113">
        <v>292</v>
      </c>
      <c r="O79" s="113">
        <v>0</v>
      </c>
      <c r="P79" s="113">
        <v>0</v>
      </c>
      <c r="Q79" s="113">
        <v>0</v>
      </c>
      <c r="R79" s="113">
        <v>0</v>
      </c>
      <c r="S79" s="113">
        <v>2</v>
      </c>
      <c r="T79" s="113">
        <v>2</v>
      </c>
      <c r="U79" s="113">
        <v>0</v>
      </c>
      <c r="V79" s="113">
        <v>1</v>
      </c>
      <c r="W79" s="113">
        <v>1</v>
      </c>
      <c r="X79" s="113">
        <v>0</v>
      </c>
      <c r="Y79" s="113">
        <v>0</v>
      </c>
      <c r="Z79" s="113">
        <v>0</v>
      </c>
    </row>
    <row r="80" spans="1:26">
      <c r="A80" s="164">
        <v>76</v>
      </c>
      <c r="B80" s="255" t="s">
        <v>410</v>
      </c>
      <c r="C80" s="113">
        <v>127</v>
      </c>
      <c r="D80" s="113">
        <v>338</v>
      </c>
      <c r="E80" s="113">
        <v>465</v>
      </c>
      <c r="F80" s="113">
        <v>20</v>
      </c>
      <c r="G80" s="113">
        <v>57</v>
      </c>
      <c r="H80" s="113">
        <v>77</v>
      </c>
      <c r="I80" s="113">
        <v>5</v>
      </c>
      <c r="J80" s="113">
        <v>5</v>
      </c>
      <c r="K80" s="113">
        <v>10</v>
      </c>
      <c r="L80" s="113">
        <v>91</v>
      </c>
      <c r="M80" s="113">
        <v>257</v>
      </c>
      <c r="N80" s="113">
        <v>348</v>
      </c>
      <c r="O80" s="113">
        <v>0</v>
      </c>
      <c r="P80" s="113">
        <v>0</v>
      </c>
      <c r="Q80" s="113">
        <v>0</v>
      </c>
      <c r="R80" s="113">
        <v>0</v>
      </c>
      <c r="S80" s="113">
        <v>9</v>
      </c>
      <c r="T80" s="113">
        <v>9</v>
      </c>
      <c r="U80" s="113">
        <v>2</v>
      </c>
      <c r="V80" s="113">
        <v>1</v>
      </c>
      <c r="W80" s="113">
        <v>3</v>
      </c>
      <c r="X80" s="113">
        <v>0</v>
      </c>
      <c r="Y80" s="113">
        <v>0</v>
      </c>
      <c r="Z80" s="113">
        <v>0</v>
      </c>
    </row>
    <row r="81" spans="1:26">
      <c r="A81" s="164">
        <v>77</v>
      </c>
      <c r="B81" s="255" t="s">
        <v>415</v>
      </c>
      <c r="C81" s="113">
        <v>163</v>
      </c>
      <c r="D81" s="113">
        <v>150</v>
      </c>
      <c r="E81" s="113">
        <v>313</v>
      </c>
      <c r="F81" s="113">
        <v>8</v>
      </c>
      <c r="G81" s="113">
        <v>8</v>
      </c>
      <c r="H81" s="113">
        <v>16</v>
      </c>
      <c r="I81" s="113">
        <v>29</v>
      </c>
      <c r="J81" s="113">
        <v>39</v>
      </c>
      <c r="K81" s="113">
        <v>68</v>
      </c>
      <c r="L81" s="113">
        <v>62</v>
      </c>
      <c r="M81" s="113">
        <v>57</v>
      </c>
      <c r="N81" s="113">
        <v>119</v>
      </c>
      <c r="O81" s="113">
        <v>0</v>
      </c>
      <c r="P81" s="113">
        <v>0</v>
      </c>
      <c r="Q81" s="113">
        <v>0</v>
      </c>
      <c r="R81" s="113">
        <v>0</v>
      </c>
      <c r="S81" s="113">
        <v>0</v>
      </c>
      <c r="T81" s="113">
        <v>0</v>
      </c>
      <c r="U81" s="113">
        <v>18</v>
      </c>
      <c r="V81" s="113">
        <v>15</v>
      </c>
      <c r="W81" s="113">
        <v>33</v>
      </c>
      <c r="X81" s="113">
        <v>6</v>
      </c>
      <c r="Y81" s="113">
        <v>7</v>
      </c>
      <c r="Z81" s="113">
        <v>13</v>
      </c>
    </row>
    <row r="82" spans="1:26">
      <c r="A82" s="164">
        <v>78</v>
      </c>
      <c r="B82" s="255" t="s">
        <v>372</v>
      </c>
      <c r="C82" s="113">
        <v>3113</v>
      </c>
      <c r="D82" s="113">
        <v>3473</v>
      </c>
      <c r="E82" s="113">
        <v>6586</v>
      </c>
      <c r="F82" s="113">
        <v>633</v>
      </c>
      <c r="G82" s="113">
        <v>558</v>
      </c>
      <c r="H82" s="113">
        <v>1191</v>
      </c>
      <c r="I82" s="113">
        <v>671</v>
      </c>
      <c r="J82" s="113">
        <v>783</v>
      </c>
      <c r="K82" s="113">
        <v>1454</v>
      </c>
      <c r="L82" s="113">
        <v>1023</v>
      </c>
      <c r="M82" s="113">
        <v>1081</v>
      </c>
      <c r="N82" s="113">
        <v>2104</v>
      </c>
      <c r="O82" s="113">
        <v>4</v>
      </c>
      <c r="P82" s="113">
        <v>2</v>
      </c>
      <c r="Q82" s="113">
        <v>6</v>
      </c>
      <c r="R82" s="113">
        <v>36</v>
      </c>
      <c r="S82" s="113">
        <v>61</v>
      </c>
      <c r="T82" s="113">
        <v>97</v>
      </c>
      <c r="U82" s="113">
        <v>118</v>
      </c>
      <c r="V82" s="113">
        <v>167</v>
      </c>
      <c r="W82" s="113">
        <v>285</v>
      </c>
      <c r="X82" s="113">
        <v>12</v>
      </c>
      <c r="Y82" s="113">
        <v>18</v>
      </c>
      <c r="Z82" s="113">
        <v>30</v>
      </c>
    </row>
    <row r="83" spans="1:26">
      <c r="A83" s="164">
        <v>79</v>
      </c>
      <c r="B83" s="255" t="s">
        <v>811</v>
      </c>
      <c r="C83" s="113">
        <v>204</v>
      </c>
      <c r="D83" s="113">
        <v>193</v>
      </c>
      <c r="E83" s="113">
        <v>397</v>
      </c>
      <c r="F83" s="113">
        <v>11</v>
      </c>
      <c r="G83" s="113">
        <v>4</v>
      </c>
      <c r="H83" s="113">
        <v>15</v>
      </c>
      <c r="I83" s="113">
        <v>4</v>
      </c>
      <c r="J83" s="113">
        <v>6</v>
      </c>
      <c r="K83" s="113">
        <v>10</v>
      </c>
      <c r="L83" s="113">
        <v>45</v>
      </c>
      <c r="M83" s="113">
        <v>34</v>
      </c>
      <c r="N83" s="113">
        <v>79</v>
      </c>
      <c r="O83" s="113">
        <v>0</v>
      </c>
      <c r="P83" s="113">
        <v>0</v>
      </c>
      <c r="Q83" s="113">
        <v>0</v>
      </c>
      <c r="R83" s="113">
        <v>0</v>
      </c>
      <c r="S83" s="113">
        <v>0</v>
      </c>
      <c r="T83" s="113">
        <v>0</v>
      </c>
      <c r="U83" s="113">
        <v>0</v>
      </c>
      <c r="V83" s="113">
        <v>0</v>
      </c>
      <c r="W83" s="113">
        <v>0</v>
      </c>
      <c r="X83" s="113">
        <v>0</v>
      </c>
      <c r="Y83" s="113">
        <v>0</v>
      </c>
      <c r="Z83" s="113">
        <v>0</v>
      </c>
    </row>
    <row r="84" spans="1:26">
      <c r="A84" s="164">
        <v>80</v>
      </c>
      <c r="B84" s="255" t="s">
        <v>443</v>
      </c>
      <c r="C84" s="113">
        <v>5625</v>
      </c>
      <c r="D84" s="113">
        <v>6063</v>
      </c>
      <c r="E84" s="113">
        <v>11688</v>
      </c>
      <c r="F84" s="113">
        <v>1038</v>
      </c>
      <c r="G84" s="113">
        <v>1035</v>
      </c>
      <c r="H84" s="113">
        <v>2073</v>
      </c>
      <c r="I84" s="113">
        <v>799</v>
      </c>
      <c r="J84" s="113">
        <v>664</v>
      </c>
      <c r="K84" s="113">
        <v>1463</v>
      </c>
      <c r="L84" s="113">
        <v>2263</v>
      </c>
      <c r="M84" s="113">
        <v>2483</v>
      </c>
      <c r="N84" s="113">
        <v>4746</v>
      </c>
      <c r="O84" s="113">
        <v>3</v>
      </c>
      <c r="P84" s="113">
        <v>4</v>
      </c>
      <c r="Q84" s="113">
        <v>7</v>
      </c>
      <c r="R84" s="113">
        <v>63</v>
      </c>
      <c r="S84" s="113">
        <v>102</v>
      </c>
      <c r="T84" s="113">
        <v>165</v>
      </c>
      <c r="U84" s="113">
        <v>18</v>
      </c>
      <c r="V84" s="113">
        <v>58</v>
      </c>
      <c r="W84" s="113">
        <v>76</v>
      </c>
      <c r="X84" s="113">
        <v>111</v>
      </c>
      <c r="Y84" s="113">
        <v>103</v>
      </c>
      <c r="Z84" s="113">
        <v>214</v>
      </c>
    </row>
    <row r="85" spans="1:26">
      <c r="A85" s="164">
        <v>81</v>
      </c>
      <c r="B85" s="255" t="s">
        <v>455</v>
      </c>
      <c r="C85" s="113">
        <v>8</v>
      </c>
      <c r="D85" s="113">
        <v>16</v>
      </c>
      <c r="E85" s="113">
        <v>24</v>
      </c>
      <c r="F85" s="113">
        <v>2</v>
      </c>
      <c r="G85" s="113">
        <v>4</v>
      </c>
      <c r="H85" s="113">
        <v>6</v>
      </c>
      <c r="I85" s="113">
        <v>1</v>
      </c>
      <c r="J85" s="113">
        <v>2</v>
      </c>
      <c r="K85" s="113">
        <v>3</v>
      </c>
      <c r="L85" s="113">
        <v>0</v>
      </c>
      <c r="M85" s="113">
        <v>2</v>
      </c>
      <c r="N85" s="113">
        <v>2</v>
      </c>
      <c r="O85" s="113">
        <v>0</v>
      </c>
      <c r="P85" s="113">
        <v>0</v>
      </c>
      <c r="Q85" s="113">
        <v>0</v>
      </c>
      <c r="R85" s="113">
        <v>0</v>
      </c>
      <c r="S85" s="113">
        <v>0</v>
      </c>
      <c r="T85" s="113">
        <v>0</v>
      </c>
      <c r="U85" s="113">
        <v>1</v>
      </c>
      <c r="V85" s="113">
        <v>0</v>
      </c>
      <c r="W85" s="113">
        <v>1</v>
      </c>
      <c r="X85" s="113">
        <v>0</v>
      </c>
      <c r="Y85" s="113">
        <v>0</v>
      </c>
      <c r="Z85" s="113">
        <v>0</v>
      </c>
    </row>
    <row r="86" spans="1:26">
      <c r="A86" s="164">
        <v>82</v>
      </c>
      <c r="B86" s="255" t="s">
        <v>429</v>
      </c>
      <c r="C86" s="113">
        <v>0</v>
      </c>
      <c r="D86" s="113">
        <v>0</v>
      </c>
      <c r="E86" s="113">
        <v>0</v>
      </c>
      <c r="F86" s="113">
        <v>0</v>
      </c>
      <c r="G86" s="113">
        <v>0</v>
      </c>
      <c r="H86" s="113">
        <v>0</v>
      </c>
      <c r="I86" s="113">
        <v>0</v>
      </c>
      <c r="J86" s="113">
        <v>0</v>
      </c>
      <c r="K86" s="113">
        <v>0</v>
      </c>
      <c r="L86" s="113">
        <v>0</v>
      </c>
      <c r="M86" s="113">
        <v>0</v>
      </c>
      <c r="N86" s="113">
        <v>0</v>
      </c>
      <c r="O86" s="113">
        <v>0</v>
      </c>
      <c r="P86" s="113">
        <v>0</v>
      </c>
      <c r="Q86" s="113">
        <v>0</v>
      </c>
      <c r="R86" s="113">
        <v>0</v>
      </c>
      <c r="S86" s="113">
        <v>0</v>
      </c>
      <c r="T86" s="113">
        <v>0</v>
      </c>
      <c r="U86" s="113">
        <v>0</v>
      </c>
      <c r="V86" s="113">
        <v>0</v>
      </c>
      <c r="W86" s="113">
        <v>0</v>
      </c>
      <c r="X86" s="113">
        <v>0</v>
      </c>
      <c r="Y86" s="113">
        <v>0</v>
      </c>
      <c r="Z86" s="113">
        <v>0</v>
      </c>
    </row>
    <row r="87" spans="1:26">
      <c r="A87" s="164">
        <v>83</v>
      </c>
      <c r="B87" s="255" t="s">
        <v>359</v>
      </c>
      <c r="C87" s="113">
        <v>75201</v>
      </c>
      <c r="D87" s="113">
        <v>60523</v>
      </c>
      <c r="E87" s="113">
        <v>135724</v>
      </c>
      <c r="F87" s="113">
        <v>8263</v>
      </c>
      <c r="G87" s="113">
        <v>5806</v>
      </c>
      <c r="H87" s="113">
        <v>14069</v>
      </c>
      <c r="I87" s="113">
        <v>4393</v>
      </c>
      <c r="J87" s="113">
        <v>3858</v>
      </c>
      <c r="K87" s="113">
        <v>8251</v>
      </c>
      <c r="L87" s="113">
        <v>24447</v>
      </c>
      <c r="M87" s="113">
        <v>16759</v>
      </c>
      <c r="N87" s="113">
        <v>41206</v>
      </c>
      <c r="O87" s="113">
        <v>41</v>
      </c>
      <c r="P87" s="113">
        <v>15</v>
      </c>
      <c r="Q87" s="113">
        <v>56</v>
      </c>
      <c r="R87" s="113">
        <v>3704</v>
      </c>
      <c r="S87" s="113">
        <v>2459</v>
      </c>
      <c r="T87" s="113">
        <v>6163</v>
      </c>
      <c r="U87" s="113">
        <v>834</v>
      </c>
      <c r="V87" s="113">
        <v>1069</v>
      </c>
      <c r="W87" s="113">
        <v>1903</v>
      </c>
      <c r="X87" s="113">
        <v>746</v>
      </c>
      <c r="Y87" s="113">
        <v>598</v>
      </c>
      <c r="Z87" s="113">
        <v>1344</v>
      </c>
    </row>
    <row r="88" spans="1:26">
      <c r="A88" s="164">
        <v>84</v>
      </c>
      <c r="B88" s="255" t="s">
        <v>364</v>
      </c>
      <c r="C88" s="113">
        <v>14849</v>
      </c>
      <c r="D88" s="113">
        <v>53251</v>
      </c>
      <c r="E88" s="113">
        <v>68100</v>
      </c>
      <c r="F88" s="113">
        <v>2239</v>
      </c>
      <c r="G88" s="113">
        <v>8840</v>
      </c>
      <c r="H88" s="113">
        <v>11079</v>
      </c>
      <c r="I88" s="113">
        <v>860</v>
      </c>
      <c r="J88" s="113">
        <v>3696</v>
      </c>
      <c r="K88" s="113">
        <v>4556</v>
      </c>
      <c r="L88" s="113">
        <v>4908</v>
      </c>
      <c r="M88" s="113">
        <v>15755</v>
      </c>
      <c r="N88" s="113">
        <v>20663</v>
      </c>
      <c r="O88" s="113">
        <v>20</v>
      </c>
      <c r="P88" s="113">
        <v>28</v>
      </c>
      <c r="Q88" s="113">
        <v>48</v>
      </c>
      <c r="R88" s="113">
        <v>580</v>
      </c>
      <c r="S88" s="113">
        <v>843</v>
      </c>
      <c r="T88" s="113">
        <v>1423</v>
      </c>
      <c r="U88" s="113">
        <v>314</v>
      </c>
      <c r="V88" s="113">
        <v>3289</v>
      </c>
      <c r="W88" s="113">
        <v>3603</v>
      </c>
      <c r="X88" s="113">
        <v>133</v>
      </c>
      <c r="Y88" s="113">
        <v>283</v>
      </c>
      <c r="Z88" s="113">
        <v>416</v>
      </c>
    </row>
    <row r="89" spans="1:26">
      <c r="A89" s="164">
        <v>85</v>
      </c>
      <c r="B89" s="255" t="s">
        <v>381</v>
      </c>
      <c r="C89" s="113">
        <v>2720</v>
      </c>
      <c r="D89" s="113">
        <v>12158</v>
      </c>
      <c r="E89" s="113">
        <v>14878</v>
      </c>
      <c r="F89" s="113">
        <v>393</v>
      </c>
      <c r="G89" s="113">
        <v>1627</v>
      </c>
      <c r="H89" s="113">
        <v>2020</v>
      </c>
      <c r="I89" s="113">
        <v>174</v>
      </c>
      <c r="J89" s="113">
        <v>833</v>
      </c>
      <c r="K89" s="113">
        <v>1007</v>
      </c>
      <c r="L89" s="113">
        <v>692</v>
      </c>
      <c r="M89" s="113">
        <v>2696</v>
      </c>
      <c r="N89" s="113">
        <v>3388</v>
      </c>
      <c r="O89" s="113">
        <v>0</v>
      </c>
      <c r="P89" s="113">
        <v>0</v>
      </c>
      <c r="Q89" s="113">
        <v>0</v>
      </c>
      <c r="R89" s="113">
        <v>36</v>
      </c>
      <c r="S89" s="113">
        <v>187</v>
      </c>
      <c r="T89" s="113">
        <v>223</v>
      </c>
      <c r="U89" s="113">
        <v>59</v>
      </c>
      <c r="V89" s="113">
        <v>531</v>
      </c>
      <c r="W89" s="113">
        <v>590</v>
      </c>
      <c r="X89" s="113">
        <v>17</v>
      </c>
      <c r="Y89" s="113">
        <v>30</v>
      </c>
      <c r="Z89" s="113">
        <v>47</v>
      </c>
    </row>
    <row r="90" spans="1:26">
      <c r="A90" s="164">
        <v>86</v>
      </c>
      <c r="B90" s="255" t="s">
        <v>422</v>
      </c>
      <c r="C90" s="113">
        <v>210</v>
      </c>
      <c r="D90" s="113">
        <v>84</v>
      </c>
      <c r="E90" s="113">
        <v>294</v>
      </c>
      <c r="F90" s="113">
        <v>24</v>
      </c>
      <c r="G90" s="113">
        <v>6</v>
      </c>
      <c r="H90" s="113">
        <v>30</v>
      </c>
      <c r="I90" s="113">
        <v>2</v>
      </c>
      <c r="J90" s="113">
        <v>1</v>
      </c>
      <c r="K90" s="113">
        <v>3</v>
      </c>
      <c r="L90" s="113">
        <v>78</v>
      </c>
      <c r="M90" s="113">
        <v>18</v>
      </c>
      <c r="N90" s="113">
        <v>96</v>
      </c>
      <c r="O90" s="113">
        <v>0</v>
      </c>
      <c r="P90" s="113">
        <v>0</v>
      </c>
      <c r="Q90" s="113">
        <v>0</v>
      </c>
      <c r="R90" s="113">
        <v>4</v>
      </c>
      <c r="S90" s="113">
        <v>13</v>
      </c>
      <c r="T90" s="113">
        <v>17</v>
      </c>
      <c r="U90" s="113">
        <v>0</v>
      </c>
      <c r="V90" s="113">
        <v>0</v>
      </c>
      <c r="W90" s="113">
        <v>0</v>
      </c>
      <c r="X90" s="113">
        <v>16</v>
      </c>
      <c r="Y90" s="113">
        <v>5</v>
      </c>
      <c r="Z90" s="113">
        <v>21</v>
      </c>
    </row>
    <row r="91" spans="1:26">
      <c r="A91" s="164">
        <v>87</v>
      </c>
      <c r="B91" s="255" t="s">
        <v>353</v>
      </c>
      <c r="C91" s="113">
        <v>575713</v>
      </c>
      <c r="D91" s="113">
        <v>677669</v>
      </c>
      <c r="E91" s="113">
        <v>1253382</v>
      </c>
      <c r="F91" s="113">
        <v>76577</v>
      </c>
      <c r="G91" s="113">
        <v>86742</v>
      </c>
      <c r="H91" s="113">
        <v>163319</v>
      </c>
      <c r="I91" s="113">
        <v>29126</v>
      </c>
      <c r="J91" s="113">
        <v>32267</v>
      </c>
      <c r="K91" s="113">
        <v>61393</v>
      </c>
      <c r="L91" s="113">
        <v>237180</v>
      </c>
      <c r="M91" s="113">
        <v>305252</v>
      </c>
      <c r="N91" s="113">
        <v>542432</v>
      </c>
      <c r="O91" s="113">
        <v>509</v>
      </c>
      <c r="P91" s="113">
        <v>571</v>
      </c>
      <c r="Q91" s="113">
        <v>1080</v>
      </c>
      <c r="R91" s="113">
        <v>16010</v>
      </c>
      <c r="S91" s="113">
        <v>25297</v>
      </c>
      <c r="T91" s="113">
        <v>41307</v>
      </c>
      <c r="U91" s="113">
        <v>7231</v>
      </c>
      <c r="V91" s="113">
        <v>12921</v>
      </c>
      <c r="W91" s="113">
        <v>20152</v>
      </c>
      <c r="X91" s="113">
        <v>4650</v>
      </c>
      <c r="Y91" s="113">
        <v>7102</v>
      </c>
      <c r="Z91" s="113">
        <v>11752</v>
      </c>
    </row>
    <row r="92" spans="1:26">
      <c r="A92" s="164">
        <v>88</v>
      </c>
      <c r="B92" s="255" t="s">
        <v>413</v>
      </c>
      <c r="C92" s="113">
        <v>652</v>
      </c>
      <c r="D92" s="113">
        <v>445</v>
      </c>
      <c r="E92" s="113">
        <v>1097</v>
      </c>
      <c r="F92" s="113">
        <v>105</v>
      </c>
      <c r="G92" s="113">
        <v>69</v>
      </c>
      <c r="H92" s="113">
        <v>174</v>
      </c>
      <c r="I92" s="113">
        <v>45</v>
      </c>
      <c r="J92" s="113">
        <v>38</v>
      </c>
      <c r="K92" s="113">
        <v>83</v>
      </c>
      <c r="L92" s="113">
        <v>182</v>
      </c>
      <c r="M92" s="113">
        <v>159</v>
      </c>
      <c r="N92" s="113">
        <v>341</v>
      </c>
      <c r="O92" s="113">
        <v>0</v>
      </c>
      <c r="P92" s="113">
        <v>0</v>
      </c>
      <c r="Q92" s="113">
        <v>0</v>
      </c>
      <c r="R92" s="113">
        <v>10</v>
      </c>
      <c r="S92" s="113">
        <v>2</v>
      </c>
      <c r="T92" s="113">
        <v>12</v>
      </c>
      <c r="U92" s="113">
        <v>16</v>
      </c>
      <c r="V92" s="113">
        <v>6</v>
      </c>
      <c r="W92" s="113">
        <v>22</v>
      </c>
      <c r="X92" s="113">
        <v>0</v>
      </c>
      <c r="Y92" s="113">
        <v>27</v>
      </c>
      <c r="Z92" s="113">
        <v>27</v>
      </c>
    </row>
    <row r="93" spans="1:26">
      <c r="A93" s="164">
        <v>89</v>
      </c>
      <c r="B93" s="255" t="s">
        <v>446</v>
      </c>
      <c r="C93" s="113">
        <v>2367</v>
      </c>
      <c r="D93" s="113">
        <v>767</v>
      </c>
      <c r="E93" s="113">
        <v>3134</v>
      </c>
      <c r="F93" s="113">
        <v>271</v>
      </c>
      <c r="G93" s="113">
        <v>74</v>
      </c>
      <c r="H93" s="113">
        <v>345</v>
      </c>
      <c r="I93" s="113">
        <v>89</v>
      </c>
      <c r="J93" s="113">
        <v>24</v>
      </c>
      <c r="K93" s="113">
        <v>113</v>
      </c>
      <c r="L93" s="113">
        <v>708</v>
      </c>
      <c r="M93" s="113">
        <v>230</v>
      </c>
      <c r="N93" s="113">
        <v>938</v>
      </c>
      <c r="O93" s="113">
        <v>10</v>
      </c>
      <c r="P93" s="113">
        <v>0</v>
      </c>
      <c r="Q93" s="113">
        <v>10</v>
      </c>
      <c r="R93" s="113">
        <v>44</v>
      </c>
      <c r="S93" s="113">
        <v>11</v>
      </c>
      <c r="T93" s="113">
        <v>55</v>
      </c>
      <c r="U93" s="113">
        <v>22</v>
      </c>
      <c r="V93" s="113">
        <v>12</v>
      </c>
      <c r="W93" s="113">
        <v>34</v>
      </c>
      <c r="X93" s="113">
        <v>21</v>
      </c>
      <c r="Y93" s="113">
        <v>1</v>
      </c>
      <c r="Z93" s="113">
        <v>22</v>
      </c>
    </row>
    <row r="94" spans="1:26">
      <c r="A94" s="164">
        <v>90</v>
      </c>
      <c r="B94" s="255" t="s">
        <v>355</v>
      </c>
      <c r="C94" s="113">
        <v>360331</v>
      </c>
      <c r="D94" s="113">
        <v>149029</v>
      </c>
      <c r="E94" s="113">
        <v>509360</v>
      </c>
      <c r="F94" s="113">
        <v>32075</v>
      </c>
      <c r="G94" s="113">
        <v>14308</v>
      </c>
      <c r="H94" s="113">
        <v>46383</v>
      </c>
      <c r="I94" s="113">
        <v>10904</v>
      </c>
      <c r="J94" s="113">
        <v>4505</v>
      </c>
      <c r="K94" s="113">
        <v>15409</v>
      </c>
      <c r="L94" s="113">
        <v>103669</v>
      </c>
      <c r="M94" s="113">
        <v>47438</v>
      </c>
      <c r="N94" s="113">
        <v>151107</v>
      </c>
      <c r="O94" s="113">
        <v>552</v>
      </c>
      <c r="P94" s="113">
        <v>125</v>
      </c>
      <c r="Q94" s="113">
        <v>677</v>
      </c>
      <c r="R94" s="113">
        <v>12337</v>
      </c>
      <c r="S94" s="113">
        <v>3381</v>
      </c>
      <c r="T94" s="113">
        <v>15718</v>
      </c>
      <c r="U94" s="113">
        <v>7167</v>
      </c>
      <c r="V94" s="113">
        <v>3164</v>
      </c>
      <c r="W94" s="113">
        <v>10331</v>
      </c>
      <c r="X94" s="113">
        <v>2066</v>
      </c>
      <c r="Y94" s="113">
        <v>1145</v>
      </c>
      <c r="Z94" s="113">
        <v>3211</v>
      </c>
    </row>
    <row r="95" spans="1:26">
      <c r="A95" s="164">
        <v>91</v>
      </c>
      <c r="B95" s="255" t="s">
        <v>391</v>
      </c>
      <c r="C95" s="113">
        <v>912</v>
      </c>
      <c r="D95" s="113">
        <v>1136</v>
      </c>
      <c r="E95" s="113">
        <v>2048</v>
      </c>
      <c r="F95" s="113">
        <v>2</v>
      </c>
      <c r="G95" s="113">
        <v>2</v>
      </c>
      <c r="H95" s="113">
        <v>4</v>
      </c>
      <c r="I95" s="113">
        <v>3</v>
      </c>
      <c r="J95" s="113">
        <v>0</v>
      </c>
      <c r="K95" s="113">
        <v>3</v>
      </c>
      <c r="L95" s="113">
        <v>311</v>
      </c>
      <c r="M95" s="113">
        <v>263</v>
      </c>
      <c r="N95" s="113">
        <v>574</v>
      </c>
      <c r="O95" s="113">
        <v>0</v>
      </c>
      <c r="P95" s="113">
        <v>0</v>
      </c>
      <c r="Q95" s="113">
        <v>0</v>
      </c>
      <c r="R95" s="113">
        <v>471</v>
      </c>
      <c r="S95" s="113">
        <v>516</v>
      </c>
      <c r="T95" s="113">
        <v>987</v>
      </c>
      <c r="U95" s="113">
        <v>0</v>
      </c>
      <c r="V95" s="113">
        <v>0</v>
      </c>
      <c r="W95" s="113">
        <v>0</v>
      </c>
      <c r="X95" s="113">
        <v>2</v>
      </c>
      <c r="Y95" s="113">
        <v>0</v>
      </c>
      <c r="Z95" s="113">
        <v>2</v>
      </c>
    </row>
    <row r="96" spans="1:26">
      <c r="A96" s="164">
        <v>92</v>
      </c>
      <c r="B96" s="255" t="s">
        <v>970</v>
      </c>
      <c r="C96" s="113">
        <v>62</v>
      </c>
      <c r="D96" s="113">
        <v>92</v>
      </c>
      <c r="E96" s="113">
        <v>154</v>
      </c>
      <c r="F96" s="113">
        <v>3</v>
      </c>
      <c r="G96" s="113">
        <v>1</v>
      </c>
      <c r="H96" s="113">
        <v>4</v>
      </c>
      <c r="I96" s="113">
        <v>0</v>
      </c>
      <c r="J96" s="113">
        <v>2</v>
      </c>
      <c r="K96" s="113">
        <v>2</v>
      </c>
      <c r="L96" s="113">
        <v>4</v>
      </c>
      <c r="M96" s="113">
        <v>9</v>
      </c>
      <c r="N96" s="113">
        <v>13</v>
      </c>
      <c r="O96" s="113">
        <v>0</v>
      </c>
      <c r="P96" s="113">
        <v>0</v>
      </c>
      <c r="Q96" s="113">
        <v>0</v>
      </c>
      <c r="R96" s="113">
        <v>0</v>
      </c>
      <c r="S96" s="113">
        <v>0</v>
      </c>
      <c r="T96" s="113">
        <v>0</v>
      </c>
      <c r="U96" s="113">
        <v>0</v>
      </c>
      <c r="V96" s="113">
        <v>0</v>
      </c>
      <c r="W96" s="113">
        <v>0</v>
      </c>
      <c r="X96" s="113">
        <v>0</v>
      </c>
      <c r="Y96" s="113">
        <v>0</v>
      </c>
      <c r="Z96" s="113">
        <v>0</v>
      </c>
    </row>
    <row r="97" spans="1:26">
      <c r="A97" s="164">
        <v>93</v>
      </c>
      <c r="B97" s="255" t="s">
        <v>387</v>
      </c>
      <c r="C97" s="113">
        <v>1705</v>
      </c>
      <c r="D97" s="113">
        <v>1437</v>
      </c>
      <c r="E97" s="113">
        <v>3142</v>
      </c>
      <c r="F97" s="113">
        <v>206</v>
      </c>
      <c r="G97" s="113">
        <v>164</v>
      </c>
      <c r="H97" s="113">
        <v>370</v>
      </c>
      <c r="I97" s="113">
        <v>110</v>
      </c>
      <c r="J97" s="113">
        <v>131</v>
      </c>
      <c r="K97" s="113">
        <v>241</v>
      </c>
      <c r="L97" s="113">
        <v>735</v>
      </c>
      <c r="M97" s="113">
        <v>563</v>
      </c>
      <c r="N97" s="113">
        <v>1298</v>
      </c>
      <c r="O97" s="113">
        <v>6</v>
      </c>
      <c r="P97" s="113">
        <v>3</v>
      </c>
      <c r="Q97" s="113">
        <v>9</v>
      </c>
      <c r="R97" s="113">
        <v>67</v>
      </c>
      <c r="S97" s="113">
        <v>39</v>
      </c>
      <c r="T97" s="113">
        <v>106</v>
      </c>
      <c r="U97" s="113">
        <v>31</v>
      </c>
      <c r="V97" s="113">
        <v>47</v>
      </c>
      <c r="W97" s="113">
        <v>78</v>
      </c>
      <c r="X97" s="113">
        <v>12</v>
      </c>
      <c r="Y97" s="113">
        <v>3</v>
      </c>
      <c r="Z97" s="113">
        <v>15</v>
      </c>
    </row>
    <row r="98" spans="1:26">
      <c r="A98" s="164">
        <v>94</v>
      </c>
      <c r="B98" s="255" t="s">
        <v>409</v>
      </c>
      <c r="C98" s="113">
        <v>366</v>
      </c>
      <c r="D98" s="113">
        <v>207</v>
      </c>
      <c r="E98" s="113">
        <v>573</v>
      </c>
      <c r="F98" s="113">
        <v>40</v>
      </c>
      <c r="G98" s="113">
        <v>22</v>
      </c>
      <c r="H98" s="113">
        <v>62</v>
      </c>
      <c r="I98" s="113">
        <v>26</v>
      </c>
      <c r="J98" s="113">
        <v>24</v>
      </c>
      <c r="K98" s="113">
        <v>50</v>
      </c>
      <c r="L98" s="113">
        <v>106</v>
      </c>
      <c r="M98" s="113">
        <v>30</v>
      </c>
      <c r="N98" s="113">
        <v>136</v>
      </c>
      <c r="O98" s="113">
        <v>1</v>
      </c>
      <c r="P98" s="113">
        <v>0</v>
      </c>
      <c r="Q98" s="113">
        <v>1</v>
      </c>
      <c r="R98" s="113">
        <v>54</v>
      </c>
      <c r="S98" s="113">
        <v>23</v>
      </c>
      <c r="T98" s="113">
        <v>77</v>
      </c>
      <c r="U98" s="113">
        <v>28</v>
      </c>
      <c r="V98" s="113">
        <v>25</v>
      </c>
      <c r="W98" s="113">
        <v>53</v>
      </c>
      <c r="X98" s="113">
        <v>0</v>
      </c>
      <c r="Y98" s="113">
        <v>0</v>
      </c>
      <c r="Z98" s="113">
        <v>0</v>
      </c>
    </row>
    <row r="99" spans="1:26">
      <c r="A99" s="164">
        <v>95</v>
      </c>
      <c r="B99" s="255" t="s">
        <v>798</v>
      </c>
      <c r="C99" s="113">
        <v>6154</v>
      </c>
      <c r="D99" s="113">
        <v>5738</v>
      </c>
      <c r="E99" s="113">
        <v>11892</v>
      </c>
      <c r="F99" s="113">
        <v>656</v>
      </c>
      <c r="G99" s="113">
        <v>628</v>
      </c>
      <c r="H99" s="113">
        <v>1284</v>
      </c>
      <c r="I99" s="113">
        <v>175</v>
      </c>
      <c r="J99" s="113">
        <v>105</v>
      </c>
      <c r="K99" s="113">
        <v>280</v>
      </c>
      <c r="L99" s="113">
        <v>2002</v>
      </c>
      <c r="M99" s="113">
        <v>1735</v>
      </c>
      <c r="N99" s="113">
        <v>3737</v>
      </c>
      <c r="O99" s="113">
        <v>5</v>
      </c>
      <c r="P99" s="113">
        <v>2</v>
      </c>
      <c r="Q99" s="113">
        <v>7</v>
      </c>
      <c r="R99" s="113">
        <v>301</v>
      </c>
      <c r="S99" s="113">
        <v>301</v>
      </c>
      <c r="T99" s="113">
        <v>602</v>
      </c>
      <c r="U99" s="113">
        <v>230</v>
      </c>
      <c r="V99" s="113">
        <v>352</v>
      </c>
      <c r="W99" s="113">
        <v>582</v>
      </c>
      <c r="X99" s="113">
        <v>74</v>
      </c>
      <c r="Y99" s="113">
        <v>52</v>
      </c>
      <c r="Z99" s="113">
        <v>126</v>
      </c>
    </row>
    <row r="100" spans="1:26">
      <c r="A100" s="164">
        <v>96</v>
      </c>
      <c r="B100" s="255" t="s">
        <v>971</v>
      </c>
      <c r="C100" s="113">
        <v>4</v>
      </c>
      <c r="D100" s="113">
        <v>4</v>
      </c>
      <c r="E100" s="113">
        <v>8</v>
      </c>
      <c r="F100" s="113">
        <v>0</v>
      </c>
      <c r="G100" s="113">
        <v>0</v>
      </c>
      <c r="H100" s="113">
        <v>0</v>
      </c>
      <c r="I100" s="113">
        <v>0</v>
      </c>
      <c r="J100" s="113">
        <v>0</v>
      </c>
      <c r="K100" s="113">
        <v>0</v>
      </c>
      <c r="L100" s="113">
        <v>0</v>
      </c>
      <c r="M100" s="113">
        <v>0</v>
      </c>
      <c r="N100" s="113">
        <v>0</v>
      </c>
      <c r="O100" s="113">
        <v>0</v>
      </c>
      <c r="P100" s="113">
        <v>0</v>
      </c>
      <c r="Q100" s="113">
        <v>0</v>
      </c>
      <c r="R100" s="113">
        <v>0</v>
      </c>
      <c r="S100" s="113">
        <v>0</v>
      </c>
      <c r="T100" s="113">
        <v>0</v>
      </c>
      <c r="U100" s="113">
        <v>0</v>
      </c>
      <c r="V100" s="113">
        <v>0</v>
      </c>
      <c r="W100" s="113">
        <v>0</v>
      </c>
      <c r="X100" s="113">
        <v>0</v>
      </c>
      <c r="Y100" s="113">
        <v>0</v>
      </c>
      <c r="Z100" s="113">
        <v>0</v>
      </c>
    </row>
    <row r="101" spans="1:26">
      <c r="A101" s="164">
        <v>97</v>
      </c>
      <c r="B101" s="255" t="s">
        <v>809</v>
      </c>
      <c r="C101" s="113">
        <v>0</v>
      </c>
      <c r="D101" s="113">
        <v>24</v>
      </c>
      <c r="E101" s="113">
        <v>24</v>
      </c>
      <c r="F101" s="113">
        <v>0</v>
      </c>
      <c r="G101" s="113">
        <v>0</v>
      </c>
      <c r="H101" s="113">
        <v>0</v>
      </c>
      <c r="I101" s="113">
        <v>0</v>
      </c>
      <c r="J101" s="113">
        <v>0</v>
      </c>
      <c r="K101" s="113">
        <v>0</v>
      </c>
      <c r="L101" s="113">
        <v>0</v>
      </c>
      <c r="M101" s="113">
        <v>24</v>
      </c>
      <c r="N101" s="113">
        <v>24</v>
      </c>
      <c r="O101" s="113">
        <v>0</v>
      </c>
      <c r="P101" s="113">
        <v>0</v>
      </c>
      <c r="Q101" s="113">
        <v>0</v>
      </c>
      <c r="R101" s="113">
        <v>0</v>
      </c>
      <c r="S101" s="113">
        <v>0</v>
      </c>
      <c r="T101" s="113">
        <v>0</v>
      </c>
      <c r="U101" s="113">
        <v>0</v>
      </c>
      <c r="V101" s="113">
        <v>0</v>
      </c>
      <c r="W101" s="113">
        <v>0</v>
      </c>
      <c r="X101" s="113">
        <v>0</v>
      </c>
      <c r="Y101" s="113">
        <v>0</v>
      </c>
      <c r="Z101" s="113">
        <v>0</v>
      </c>
    </row>
    <row r="102" spans="1:26">
      <c r="A102" s="164">
        <v>98</v>
      </c>
      <c r="B102" s="255" t="s">
        <v>810</v>
      </c>
      <c r="C102" s="113">
        <v>375</v>
      </c>
      <c r="D102" s="113">
        <v>302</v>
      </c>
      <c r="E102" s="113">
        <v>677</v>
      </c>
      <c r="F102" s="113">
        <v>5</v>
      </c>
      <c r="G102" s="113">
        <v>6</v>
      </c>
      <c r="H102" s="113">
        <v>11</v>
      </c>
      <c r="I102" s="113">
        <v>3</v>
      </c>
      <c r="J102" s="113">
        <v>3</v>
      </c>
      <c r="K102" s="113">
        <v>6</v>
      </c>
      <c r="L102" s="113">
        <v>33</v>
      </c>
      <c r="M102" s="113">
        <v>29</v>
      </c>
      <c r="N102" s="113">
        <v>62</v>
      </c>
      <c r="O102" s="113">
        <v>0</v>
      </c>
      <c r="P102" s="113">
        <v>0</v>
      </c>
      <c r="Q102" s="113">
        <v>0</v>
      </c>
      <c r="R102" s="113">
        <v>2</v>
      </c>
      <c r="S102" s="113">
        <v>3</v>
      </c>
      <c r="T102" s="113">
        <v>5</v>
      </c>
      <c r="U102" s="113">
        <v>2</v>
      </c>
      <c r="V102" s="113">
        <v>4</v>
      </c>
      <c r="W102" s="113">
        <v>6</v>
      </c>
      <c r="X102" s="113">
        <v>0</v>
      </c>
      <c r="Y102" s="113">
        <v>0</v>
      </c>
      <c r="Z102" s="113">
        <v>0</v>
      </c>
    </row>
    <row r="103" spans="1:26">
      <c r="A103" s="164">
        <v>99</v>
      </c>
      <c r="B103" s="255" t="s">
        <v>813</v>
      </c>
      <c r="C103" s="113">
        <v>39</v>
      </c>
      <c r="D103" s="113">
        <v>5</v>
      </c>
      <c r="E103" s="113">
        <v>44</v>
      </c>
      <c r="F103" s="113">
        <v>0</v>
      </c>
      <c r="G103" s="113">
        <v>0</v>
      </c>
      <c r="H103" s="113">
        <v>0</v>
      </c>
      <c r="I103" s="113">
        <v>0</v>
      </c>
      <c r="J103" s="113">
        <v>0</v>
      </c>
      <c r="K103" s="113">
        <v>0</v>
      </c>
      <c r="L103" s="113">
        <v>4</v>
      </c>
      <c r="M103" s="113">
        <v>0</v>
      </c>
      <c r="N103" s="113">
        <v>4</v>
      </c>
      <c r="O103" s="113">
        <v>0</v>
      </c>
      <c r="P103" s="113">
        <v>0</v>
      </c>
      <c r="Q103" s="113">
        <v>0</v>
      </c>
      <c r="R103" s="113">
        <v>2</v>
      </c>
      <c r="S103" s="113">
        <v>0</v>
      </c>
      <c r="T103" s="113">
        <v>2</v>
      </c>
      <c r="U103" s="113">
        <v>5</v>
      </c>
      <c r="V103" s="113">
        <v>0</v>
      </c>
      <c r="W103" s="113">
        <v>5</v>
      </c>
      <c r="X103" s="113">
        <v>0</v>
      </c>
      <c r="Y103" s="113">
        <v>0</v>
      </c>
      <c r="Z103" s="113">
        <v>0</v>
      </c>
    </row>
    <row r="104" spans="1:26">
      <c r="A104" s="164">
        <v>100</v>
      </c>
      <c r="B104" s="255" t="s">
        <v>440</v>
      </c>
      <c r="C104" s="113">
        <v>18378</v>
      </c>
      <c r="D104" s="113">
        <v>16625</v>
      </c>
      <c r="E104" s="113">
        <v>35003</v>
      </c>
      <c r="F104" s="113">
        <v>1545</v>
      </c>
      <c r="G104" s="113">
        <v>1906</v>
      </c>
      <c r="H104" s="113">
        <v>3451</v>
      </c>
      <c r="I104" s="113">
        <v>969</v>
      </c>
      <c r="J104" s="113">
        <v>971</v>
      </c>
      <c r="K104" s="113">
        <v>1940</v>
      </c>
      <c r="L104" s="113">
        <v>4650</v>
      </c>
      <c r="M104" s="113">
        <v>5317</v>
      </c>
      <c r="N104" s="113">
        <v>9967</v>
      </c>
      <c r="O104" s="113">
        <v>39</v>
      </c>
      <c r="P104" s="113">
        <v>26</v>
      </c>
      <c r="Q104" s="113">
        <v>65</v>
      </c>
      <c r="R104" s="113">
        <v>447</v>
      </c>
      <c r="S104" s="113">
        <v>610</v>
      </c>
      <c r="T104" s="113">
        <v>1057</v>
      </c>
      <c r="U104" s="113">
        <v>121</v>
      </c>
      <c r="V104" s="113">
        <v>310</v>
      </c>
      <c r="W104" s="113">
        <v>431</v>
      </c>
      <c r="X104" s="113">
        <v>178</v>
      </c>
      <c r="Y104" s="113">
        <v>231</v>
      </c>
      <c r="Z104" s="113">
        <v>409</v>
      </c>
    </row>
    <row r="105" spans="1:26">
      <c r="A105" s="164">
        <v>101</v>
      </c>
      <c r="B105" s="255" t="s">
        <v>435</v>
      </c>
      <c r="C105" s="113">
        <v>46535</v>
      </c>
      <c r="D105" s="113">
        <v>71453</v>
      </c>
      <c r="E105" s="113">
        <v>117988</v>
      </c>
      <c r="F105" s="113">
        <v>6997</v>
      </c>
      <c r="G105" s="113">
        <v>9736</v>
      </c>
      <c r="H105" s="113">
        <v>16733</v>
      </c>
      <c r="I105" s="113">
        <v>4138</v>
      </c>
      <c r="J105" s="113">
        <v>5820</v>
      </c>
      <c r="K105" s="113">
        <v>9958</v>
      </c>
      <c r="L105" s="113">
        <v>14395</v>
      </c>
      <c r="M105" s="113">
        <v>21735</v>
      </c>
      <c r="N105" s="113">
        <v>36130</v>
      </c>
      <c r="O105" s="113">
        <v>213</v>
      </c>
      <c r="P105" s="113">
        <v>217</v>
      </c>
      <c r="Q105" s="113">
        <v>430</v>
      </c>
      <c r="R105" s="113">
        <v>2583</v>
      </c>
      <c r="S105" s="113">
        <v>4251</v>
      </c>
      <c r="T105" s="113">
        <v>6834</v>
      </c>
      <c r="U105" s="113">
        <v>688</v>
      </c>
      <c r="V105" s="113">
        <v>1637</v>
      </c>
      <c r="W105" s="113">
        <v>2325</v>
      </c>
      <c r="X105" s="113">
        <v>503</v>
      </c>
      <c r="Y105" s="113">
        <v>741</v>
      </c>
      <c r="Z105" s="113">
        <v>1244</v>
      </c>
    </row>
    <row r="106" spans="1:26">
      <c r="A106" s="164">
        <v>102</v>
      </c>
      <c r="B106" s="255" t="s">
        <v>972</v>
      </c>
      <c r="C106" s="113">
        <v>8864</v>
      </c>
      <c r="D106" s="113">
        <v>13253</v>
      </c>
      <c r="E106" s="113">
        <v>22117</v>
      </c>
      <c r="F106" s="113">
        <v>1570</v>
      </c>
      <c r="G106" s="113">
        <v>2003</v>
      </c>
      <c r="H106" s="113">
        <v>3573</v>
      </c>
      <c r="I106" s="113">
        <v>727</v>
      </c>
      <c r="J106" s="113">
        <v>1118</v>
      </c>
      <c r="K106" s="113">
        <v>1845</v>
      </c>
      <c r="L106" s="113">
        <v>3598</v>
      </c>
      <c r="M106" s="113">
        <v>5194</v>
      </c>
      <c r="N106" s="113">
        <v>8792</v>
      </c>
      <c r="O106" s="113">
        <v>64</v>
      </c>
      <c r="P106" s="113">
        <v>40</v>
      </c>
      <c r="Q106" s="113">
        <v>104</v>
      </c>
      <c r="R106" s="113">
        <v>623</v>
      </c>
      <c r="S106" s="113">
        <v>933</v>
      </c>
      <c r="T106" s="113">
        <v>1556</v>
      </c>
      <c r="U106" s="113">
        <v>106</v>
      </c>
      <c r="V106" s="113">
        <v>301</v>
      </c>
      <c r="W106" s="113">
        <v>407</v>
      </c>
      <c r="X106" s="113">
        <v>185</v>
      </c>
      <c r="Y106" s="113">
        <v>211</v>
      </c>
      <c r="Z106" s="113">
        <v>396</v>
      </c>
    </row>
    <row r="107" spans="1:26">
      <c r="A107" s="164">
        <v>103</v>
      </c>
      <c r="B107" s="255" t="s">
        <v>788</v>
      </c>
      <c r="C107" s="113">
        <v>18</v>
      </c>
      <c r="D107" s="113">
        <v>4</v>
      </c>
      <c r="E107" s="113">
        <v>22</v>
      </c>
      <c r="F107" s="113">
        <v>0</v>
      </c>
      <c r="G107" s="113">
        <v>0</v>
      </c>
      <c r="H107" s="113">
        <v>0</v>
      </c>
      <c r="I107" s="113">
        <v>0</v>
      </c>
      <c r="J107" s="113">
        <v>0</v>
      </c>
      <c r="K107" s="113">
        <v>0</v>
      </c>
      <c r="L107" s="113">
        <v>0</v>
      </c>
      <c r="M107" s="113">
        <v>0</v>
      </c>
      <c r="N107" s="113">
        <v>0</v>
      </c>
      <c r="O107" s="113">
        <v>0</v>
      </c>
      <c r="P107" s="113">
        <v>0</v>
      </c>
      <c r="Q107" s="113">
        <v>0</v>
      </c>
      <c r="R107" s="113">
        <v>0</v>
      </c>
      <c r="S107" s="113">
        <v>0</v>
      </c>
      <c r="T107" s="113">
        <v>0</v>
      </c>
      <c r="U107" s="113">
        <v>0</v>
      </c>
      <c r="V107" s="113">
        <v>0</v>
      </c>
      <c r="W107" s="113">
        <v>0</v>
      </c>
      <c r="X107" s="113">
        <v>0</v>
      </c>
      <c r="Y107" s="113">
        <v>0</v>
      </c>
      <c r="Z107" s="113">
        <v>0</v>
      </c>
    </row>
    <row r="108" spans="1:26">
      <c r="A108" s="164">
        <v>104</v>
      </c>
      <c r="B108" s="255" t="s">
        <v>277</v>
      </c>
      <c r="C108" s="113">
        <v>362</v>
      </c>
      <c r="D108" s="113">
        <v>107</v>
      </c>
      <c r="E108" s="113">
        <v>469</v>
      </c>
      <c r="F108" s="113">
        <v>5</v>
      </c>
      <c r="G108" s="113">
        <v>2</v>
      </c>
      <c r="H108" s="113">
        <v>7</v>
      </c>
      <c r="I108" s="113">
        <v>3</v>
      </c>
      <c r="J108" s="113">
        <v>0</v>
      </c>
      <c r="K108" s="113">
        <v>3</v>
      </c>
      <c r="L108" s="113">
        <v>24</v>
      </c>
      <c r="M108" s="113">
        <v>5</v>
      </c>
      <c r="N108" s="113">
        <v>29</v>
      </c>
      <c r="O108" s="113">
        <v>0</v>
      </c>
      <c r="P108" s="113">
        <v>0</v>
      </c>
      <c r="Q108" s="113">
        <v>0</v>
      </c>
      <c r="R108" s="113">
        <v>3</v>
      </c>
      <c r="S108" s="113">
        <v>0</v>
      </c>
      <c r="T108" s="113">
        <v>3</v>
      </c>
      <c r="U108" s="113">
        <v>5</v>
      </c>
      <c r="V108" s="113">
        <v>4</v>
      </c>
      <c r="W108" s="113">
        <v>9</v>
      </c>
      <c r="X108" s="113">
        <v>0</v>
      </c>
      <c r="Y108" s="113">
        <v>0</v>
      </c>
      <c r="Z108" s="113">
        <v>0</v>
      </c>
    </row>
    <row r="109" spans="1:26">
      <c r="A109" s="164">
        <v>105</v>
      </c>
      <c r="B109" s="255" t="s">
        <v>973</v>
      </c>
      <c r="C109" s="113">
        <v>76</v>
      </c>
      <c r="D109" s="113">
        <v>109</v>
      </c>
      <c r="E109" s="113">
        <v>185</v>
      </c>
      <c r="F109" s="113">
        <v>11</v>
      </c>
      <c r="G109" s="113">
        <v>16</v>
      </c>
      <c r="H109" s="113">
        <v>27</v>
      </c>
      <c r="I109" s="113">
        <v>19</v>
      </c>
      <c r="J109" s="113">
        <v>31</v>
      </c>
      <c r="K109" s="113">
        <v>50</v>
      </c>
      <c r="L109" s="113">
        <v>23</v>
      </c>
      <c r="M109" s="113">
        <v>39</v>
      </c>
      <c r="N109" s="113">
        <v>62</v>
      </c>
      <c r="O109" s="113">
        <v>0</v>
      </c>
      <c r="P109" s="113">
        <v>0</v>
      </c>
      <c r="Q109" s="113">
        <v>0</v>
      </c>
      <c r="R109" s="113">
        <v>1</v>
      </c>
      <c r="S109" s="113">
        <v>5</v>
      </c>
      <c r="T109" s="113">
        <v>6</v>
      </c>
      <c r="U109" s="113">
        <v>0</v>
      </c>
      <c r="V109" s="113">
        <v>2</v>
      </c>
      <c r="W109" s="113">
        <v>2</v>
      </c>
      <c r="X109" s="113">
        <v>2</v>
      </c>
      <c r="Y109" s="113">
        <v>2</v>
      </c>
      <c r="Z109" s="113">
        <v>4</v>
      </c>
    </row>
    <row r="110" spans="1:26">
      <c r="A110" s="164">
        <v>106</v>
      </c>
      <c r="B110" s="255" t="s">
        <v>974</v>
      </c>
      <c r="C110" s="113">
        <v>0</v>
      </c>
      <c r="D110" s="113">
        <v>1</v>
      </c>
      <c r="E110" s="113">
        <v>1</v>
      </c>
      <c r="F110" s="113">
        <v>0</v>
      </c>
      <c r="G110" s="113">
        <v>0</v>
      </c>
      <c r="H110" s="113">
        <v>0</v>
      </c>
      <c r="I110" s="113">
        <v>0</v>
      </c>
      <c r="J110" s="113">
        <v>0</v>
      </c>
      <c r="K110" s="113">
        <v>0</v>
      </c>
      <c r="L110" s="113">
        <v>0</v>
      </c>
      <c r="M110" s="113">
        <v>0</v>
      </c>
      <c r="N110" s="113">
        <v>0</v>
      </c>
      <c r="O110" s="113">
        <v>0</v>
      </c>
      <c r="P110" s="113">
        <v>0</v>
      </c>
      <c r="Q110" s="113">
        <v>0</v>
      </c>
      <c r="R110" s="113">
        <v>0</v>
      </c>
      <c r="S110" s="113">
        <v>0</v>
      </c>
      <c r="T110" s="113">
        <v>0</v>
      </c>
      <c r="U110" s="113">
        <v>0</v>
      </c>
      <c r="V110" s="113">
        <v>0</v>
      </c>
      <c r="W110" s="113">
        <v>0</v>
      </c>
      <c r="X110" s="113">
        <v>0</v>
      </c>
      <c r="Y110" s="113">
        <v>0</v>
      </c>
      <c r="Z110" s="113">
        <v>0</v>
      </c>
    </row>
    <row r="111" spans="1:26">
      <c r="A111" s="164">
        <v>107</v>
      </c>
      <c r="B111" s="255" t="s">
        <v>962</v>
      </c>
      <c r="C111" s="113">
        <v>16</v>
      </c>
      <c r="D111" s="113">
        <v>46</v>
      </c>
      <c r="E111" s="113">
        <v>62</v>
      </c>
      <c r="F111" s="113">
        <v>6</v>
      </c>
      <c r="G111" s="113">
        <v>11</v>
      </c>
      <c r="H111" s="113">
        <v>17</v>
      </c>
      <c r="I111" s="113">
        <v>2</v>
      </c>
      <c r="J111" s="113">
        <v>4</v>
      </c>
      <c r="K111" s="113">
        <v>6</v>
      </c>
      <c r="L111" s="113">
        <v>5</v>
      </c>
      <c r="M111" s="113">
        <v>16</v>
      </c>
      <c r="N111" s="113">
        <v>21</v>
      </c>
      <c r="O111" s="113">
        <v>0</v>
      </c>
      <c r="P111" s="113">
        <v>0</v>
      </c>
      <c r="Q111" s="113">
        <v>0</v>
      </c>
      <c r="R111" s="113">
        <v>2</v>
      </c>
      <c r="S111" s="113">
        <v>8</v>
      </c>
      <c r="T111" s="113">
        <v>10</v>
      </c>
      <c r="U111" s="113">
        <v>0</v>
      </c>
      <c r="V111" s="113">
        <v>0</v>
      </c>
      <c r="W111" s="113">
        <v>0</v>
      </c>
      <c r="X111" s="113">
        <v>1</v>
      </c>
      <c r="Y111" s="113">
        <v>0</v>
      </c>
      <c r="Z111" s="113">
        <v>1</v>
      </c>
    </row>
    <row r="112" spans="1:26">
      <c r="A112" s="164">
        <v>108</v>
      </c>
      <c r="B112" s="255" t="s">
        <v>437</v>
      </c>
      <c r="C112" s="113">
        <v>49897</v>
      </c>
      <c r="D112" s="113">
        <v>19904</v>
      </c>
      <c r="E112" s="113">
        <v>69801</v>
      </c>
      <c r="F112" s="113">
        <v>4285</v>
      </c>
      <c r="G112" s="113">
        <v>2045</v>
      </c>
      <c r="H112" s="113">
        <v>6330</v>
      </c>
      <c r="I112" s="113">
        <v>1023</v>
      </c>
      <c r="J112" s="113">
        <v>652</v>
      </c>
      <c r="K112" s="113">
        <v>1675</v>
      </c>
      <c r="L112" s="113">
        <v>18108</v>
      </c>
      <c r="M112" s="113">
        <v>7558</v>
      </c>
      <c r="N112" s="113">
        <v>25666</v>
      </c>
      <c r="O112" s="113">
        <v>17</v>
      </c>
      <c r="P112" s="113">
        <v>4</v>
      </c>
      <c r="Q112" s="113">
        <v>21</v>
      </c>
      <c r="R112" s="113">
        <v>3105</v>
      </c>
      <c r="S112" s="113">
        <v>819</v>
      </c>
      <c r="T112" s="113">
        <v>3924</v>
      </c>
      <c r="U112" s="113">
        <v>623</v>
      </c>
      <c r="V112" s="113">
        <v>409</v>
      </c>
      <c r="W112" s="113">
        <v>1032</v>
      </c>
      <c r="X112" s="113">
        <v>1018</v>
      </c>
      <c r="Y112" s="113">
        <v>402</v>
      </c>
      <c r="Z112" s="113">
        <v>1420</v>
      </c>
    </row>
    <row r="113" spans="1:26">
      <c r="A113" s="164">
        <v>109</v>
      </c>
      <c r="B113" s="255" t="s">
        <v>279</v>
      </c>
      <c r="C113" s="113">
        <v>38</v>
      </c>
      <c r="D113" s="113">
        <v>54</v>
      </c>
      <c r="E113" s="113">
        <v>92</v>
      </c>
      <c r="F113" s="113">
        <v>5</v>
      </c>
      <c r="G113" s="113">
        <v>9</v>
      </c>
      <c r="H113" s="113">
        <v>14</v>
      </c>
      <c r="I113" s="113">
        <v>0</v>
      </c>
      <c r="J113" s="113">
        <v>2</v>
      </c>
      <c r="K113" s="113">
        <v>2</v>
      </c>
      <c r="L113" s="113">
        <v>15</v>
      </c>
      <c r="M113" s="113">
        <v>20</v>
      </c>
      <c r="N113" s="113">
        <v>35</v>
      </c>
      <c r="O113" s="113">
        <v>0</v>
      </c>
      <c r="P113" s="113">
        <v>0</v>
      </c>
      <c r="Q113" s="113">
        <v>0</v>
      </c>
      <c r="R113" s="113">
        <v>0</v>
      </c>
      <c r="S113" s="113">
        <v>0</v>
      </c>
      <c r="T113" s="113">
        <v>0</v>
      </c>
      <c r="U113" s="113">
        <v>0</v>
      </c>
      <c r="V113" s="113">
        <v>0</v>
      </c>
      <c r="W113" s="113">
        <v>0</v>
      </c>
      <c r="X113" s="113">
        <v>0</v>
      </c>
      <c r="Y113" s="113">
        <v>0</v>
      </c>
      <c r="Z113" s="113">
        <v>0</v>
      </c>
    </row>
    <row r="114" spans="1:26">
      <c r="A114" s="164">
        <v>110</v>
      </c>
      <c r="B114" s="255" t="s">
        <v>282</v>
      </c>
      <c r="C114" s="113">
        <v>8</v>
      </c>
      <c r="D114" s="113">
        <v>10</v>
      </c>
      <c r="E114" s="113">
        <v>18</v>
      </c>
      <c r="F114" s="113">
        <v>1</v>
      </c>
      <c r="G114" s="113">
        <v>0</v>
      </c>
      <c r="H114" s="113">
        <v>1</v>
      </c>
      <c r="I114" s="113">
        <v>0</v>
      </c>
      <c r="J114" s="113">
        <v>0</v>
      </c>
      <c r="K114" s="113">
        <v>0</v>
      </c>
      <c r="L114" s="113">
        <v>0</v>
      </c>
      <c r="M114" s="113">
        <v>0</v>
      </c>
      <c r="N114" s="113">
        <v>0</v>
      </c>
      <c r="O114" s="113">
        <v>0</v>
      </c>
      <c r="P114" s="113">
        <v>0</v>
      </c>
      <c r="Q114" s="113">
        <v>0</v>
      </c>
      <c r="R114" s="113">
        <v>0</v>
      </c>
      <c r="S114" s="113">
        <v>0</v>
      </c>
      <c r="T114" s="113">
        <v>0</v>
      </c>
      <c r="U114" s="113">
        <v>0</v>
      </c>
      <c r="V114" s="113">
        <v>0</v>
      </c>
      <c r="W114" s="113">
        <v>0</v>
      </c>
      <c r="X114" s="113">
        <v>0</v>
      </c>
      <c r="Y114" s="113">
        <v>0</v>
      </c>
      <c r="Z114" s="113">
        <v>0</v>
      </c>
    </row>
    <row r="115" spans="1:26">
      <c r="A115" s="164">
        <v>111</v>
      </c>
      <c r="B115" s="255" t="s">
        <v>439</v>
      </c>
      <c r="C115" s="113">
        <v>162</v>
      </c>
      <c r="D115" s="113">
        <v>264</v>
      </c>
      <c r="E115" s="113">
        <v>426</v>
      </c>
      <c r="F115" s="113">
        <v>19</v>
      </c>
      <c r="G115" s="113">
        <v>32</v>
      </c>
      <c r="H115" s="113">
        <v>51</v>
      </c>
      <c r="I115" s="113">
        <v>3</v>
      </c>
      <c r="J115" s="113">
        <v>11</v>
      </c>
      <c r="K115" s="113">
        <v>14</v>
      </c>
      <c r="L115" s="113">
        <v>46</v>
      </c>
      <c r="M115" s="113">
        <v>112</v>
      </c>
      <c r="N115" s="113">
        <v>158</v>
      </c>
      <c r="O115" s="113">
        <v>0</v>
      </c>
      <c r="P115" s="113">
        <v>1</v>
      </c>
      <c r="Q115" s="113">
        <v>1</v>
      </c>
      <c r="R115" s="113">
        <v>11</v>
      </c>
      <c r="S115" s="113">
        <v>13</v>
      </c>
      <c r="T115" s="113">
        <v>24</v>
      </c>
      <c r="U115" s="113">
        <v>4</v>
      </c>
      <c r="V115" s="113">
        <v>45</v>
      </c>
      <c r="W115" s="113">
        <v>49</v>
      </c>
      <c r="X115" s="113">
        <v>0</v>
      </c>
      <c r="Y115" s="113">
        <v>0</v>
      </c>
      <c r="Z115" s="113">
        <v>0</v>
      </c>
    </row>
    <row r="116" spans="1:26">
      <c r="A116" s="164">
        <v>112</v>
      </c>
      <c r="B116" s="255" t="s">
        <v>976</v>
      </c>
      <c r="C116" s="113">
        <v>25</v>
      </c>
      <c r="D116" s="113">
        <v>29</v>
      </c>
      <c r="E116" s="113">
        <v>54</v>
      </c>
      <c r="F116" s="113">
        <v>1</v>
      </c>
      <c r="G116" s="113">
        <v>1</v>
      </c>
      <c r="H116" s="113">
        <v>2</v>
      </c>
      <c r="I116" s="113">
        <v>0</v>
      </c>
      <c r="J116" s="113">
        <v>0</v>
      </c>
      <c r="K116" s="113">
        <v>0</v>
      </c>
      <c r="L116" s="113">
        <v>6</v>
      </c>
      <c r="M116" s="113">
        <v>16</v>
      </c>
      <c r="N116" s="113">
        <v>22</v>
      </c>
      <c r="O116" s="113">
        <v>0</v>
      </c>
      <c r="P116" s="113">
        <v>0</v>
      </c>
      <c r="Q116" s="113">
        <v>0</v>
      </c>
      <c r="R116" s="113">
        <v>0</v>
      </c>
      <c r="S116" s="113">
        <v>4</v>
      </c>
      <c r="T116" s="113">
        <v>4</v>
      </c>
      <c r="U116" s="113">
        <v>0</v>
      </c>
      <c r="V116" s="113">
        <v>0</v>
      </c>
      <c r="W116" s="113">
        <v>0</v>
      </c>
      <c r="X116" s="113">
        <v>1</v>
      </c>
      <c r="Y116" s="113">
        <v>1</v>
      </c>
      <c r="Z116" s="113">
        <v>2</v>
      </c>
    </row>
    <row r="117" spans="1:26">
      <c r="A117" s="164">
        <v>113</v>
      </c>
      <c r="B117" s="255" t="s">
        <v>434</v>
      </c>
      <c r="C117" s="113">
        <v>430972</v>
      </c>
      <c r="D117" s="113">
        <v>164782</v>
      </c>
      <c r="E117" s="113">
        <v>595754</v>
      </c>
      <c r="F117" s="113">
        <v>63153</v>
      </c>
      <c r="G117" s="113">
        <v>25978</v>
      </c>
      <c r="H117" s="113">
        <v>89131</v>
      </c>
      <c r="I117" s="113">
        <v>23535</v>
      </c>
      <c r="J117" s="113">
        <v>13849</v>
      </c>
      <c r="K117" s="113">
        <v>37384</v>
      </c>
      <c r="L117" s="113">
        <v>162501</v>
      </c>
      <c r="M117" s="113">
        <v>55310</v>
      </c>
      <c r="N117" s="113">
        <v>217811</v>
      </c>
      <c r="O117" s="113">
        <v>777</v>
      </c>
      <c r="P117" s="113">
        <v>267</v>
      </c>
      <c r="Q117" s="113">
        <v>1044</v>
      </c>
      <c r="R117" s="113">
        <v>16122</v>
      </c>
      <c r="S117" s="113">
        <v>4522</v>
      </c>
      <c r="T117" s="113">
        <v>20644</v>
      </c>
      <c r="U117" s="113">
        <v>6919</v>
      </c>
      <c r="V117" s="113">
        <v>2771</v>
      </c>
      <c r="W117" s="113">
        <v>9690</v>
      </c>
      <c r="X117" s="113">
        <v>3407</v>
      </c>
      <c r="Y117" s="113">
        <v>1548</v>
      </c>
      <c r="Z117" s="113">
        <v>4955</v>
      </c>
    </row>
    <row r="118" spans="1:26">
      <c r="A118" s="164">
        <v>114</v>
      </c>
      <c r="B118" s="255" t="s">
        <v>791</v>
      </c>
      <c r="C118" s="113">
        <v>512</v>
      </c>
      <c r="D118" s="113">
        <v>167</v>
      </c>
      <c r="E118" s="113">
        <v>679</v>
      </c>
      <c r="F118" s="113">
        <v>15</v>
      </c>
      <c r="G118" s="113">
        <v>6</v>
      </c>
      <c r="H118" s="113">
        <v>21</v>
      </c>
      <c r="I118" s="113">
        <v>0</v>
      </c>
      <c r="J118" s="113">
        <v>0</v>
      </c>
      <c r="K118" s="113">
        <v>0</v>
      </c>
      <c r="L118" s="113">
        <v>25</v>
      </c>
      <c r="M118" s="113">
        <v>17</v>
      </c>
      <c r="N118" s="113">
        <v>42</v>
      </c>
      <c r="O118" s="113">
        <v>1</v>
      </c>
      <c r="P118" s="113">
        <v>0</v>
      </c>
      <c r="Q118" s="113">
        <v>1</v>
      </c>
      <c r="R118" s="113">
        <v>0</v>
      </c>
      <c r="S118" s="113">
        <v>0</v>
      </c>
      <c r="T118" s="113">
        <v>0</v>
      </c>
      <c r="U118" s="113">
        <v>0</v>
      </c>
      <c r="V118" s="113">
        <v>0</v>
      </c>
      <c r="W118" s="113">
        <v>0</v>
      </c>
      <c r="X118" s="113">
        <v>1</v>
      </c>
      <c r="Y118" s="113">
        <v>3</v>
      </c>
      <c r="Z118" s="113">
        <v>4</v>
      </c>
    </row>
    <row r="119" spans="1:26">
      <c r="A119" s="164">
        <v>115</v>
      </c>
      <c r="B119" s="255" t="s">
        <v>977</v>
      </c>
      <c r="C119" s="113">
        <v>15</v>
      </c>
      <c r="D119" s="113">
        <v>12</v>
      </c>
      <c r="E119" s="113">
        <v>27</v>
      </c>
      <c r="F119" s="113">
        <v>2</v>
      </c>
      <c r="G119" s="113">
        <v>0</v>
      </c>
      <c r="H119" s="113">
        <v>2</v>
      </c>
      <c r="I119" s="113">
        <v>4</v>
      </c>
      <c r="J119" s="113">
        <v>2</v>
      </c>
      <c r="K119" s="113">
        <v>6</v>
      </c>
      <c r="L119" s="113">
        <v>0</v>
      </c>
      <c r="M119" s="113">
        <v>0</v>
      </c>
      <c r="N119" s="113">
        <v>0</v>
      </c>
      <c r="O119" s="113">
        <v>0</v>
      </c>
      <c r="P119" s="113">
        <v>0</v>
      </c>
      <c r="Q119" s="113">
        <v>0</v>
      </c>
      <c r="R119" s="113">
        <v>0</v>
      </c>
      <c r="S119" s="113">
        <v>0</v>
      </c>
      <c r="T119" s="113">
        <v>0</v>
      </c>
      <c r="U119" s="113">
        <v>0</v>
      </c>
      <c r="V119" s="113">
        <v>0</v>
      </c>
      <c r="W119" s="113">
        <v>0</v>
      </c>
      <c r="X119" s="113">
        <v>0</v>
      </c>
      <c r="Y119" s="113">
        <v>0</v>
      </c>
      <c r="Z119" s="113">
        <v>0</v>
      </c>
    </row>
    <row r="120" spans="1:26">
      <c r="A120" s="164">
        <v>116</v>
      </c>
      <c r="B120" s="255" t="s">
        <v>800</v>
      </c>
      <c r="C120" s="113">
        <v>60</v>
      </c>
      <c r="D120" s="113">
        <v>323</v>
      </c>
      <c r="E120" s="113">
        <v>383</v>
      </c>
      <c r="F120" s="113">
        <v>1</v>
      </c>
      <c r="G120" s="113">
        <v>23</v>
      </c>
      <c r="H120" s="113">
        <v>24</v>
      </c>
      <c r="I120" s="113">
        <v>0</v>
      </c>
      <c r="J120" s="113">
        <v>8</v>
      </c>
      <c r="K120" s="113">
        <v>8</v>
      </c>
      <c r="L120" s="113">
        <v>4</v>
      </c>
      <c r="M120" s="113">
        <v>49</v>
      </c>
      <c r="N120" s="113">
        <v>53</v>
      </c>
      <c r="O120" s="113">
        <v>0</v>
      </c>
      <c r="P120" s="113">
        <v>0</v>
      </c>
      <c r="Q120" s="113">
        <v>0</v>
      </c>
      <c r="R120" s="113">
        <v>1</v>
      </c>
      <c r="S120" s="113">
        <v>13</v>
      </c>
      <c r="T120" s="113">
        <v>14</v>
      </c>
      <c r="U120" s="113">
        <v>2</v>
      </c>
      <c r="V120" s="113">
        <v>6</v>
      </c>
      <c r="W120" s="113">
        <v>8</v>
      </c>
      <c r="X120" s="113">
        <v>4</v>
      </c>
      <c r="Y120" s="113">
        <v>10</v>
      </c>
      <c r="Z120" s="113">
        <v>14</v>
      </c>
    </row>
    <row r="121" spans="1:26">
      <c r="A121" s="164">
        <v>117</v>
      </c>
      <c r="B121" s="255" t="s">
        <v>797</v>
      </c>
      <c r="C121" s="113">
        <v>2</v>
      </c>
      <c r="D121" s="113">
        <v>4</v>
      </c>
      <c r="E121" s="113">
        <v>6</v>
      </c>
      <c r="F121" s="113">
        <v>0</v>
      </c>
      <c r="G121" s="113">
        <v>1</v>
      </c>
      <c r="H121" s="113">
        <v>1</v>
      </c>
      <c r="I121" s="113">
        <v>0</v>
      </c>
      <c r="J121" s="113">
        <v>0</v>
      </c>
      <c r="K121" s="113">
        <v>0</v>
      </c>
      <c r="L121" s="113">
        <v>1</v>
      </c>
      <c r="M121" s="113">
        <v>2</v>
      </c>
      <c r="N121" s="113">
        <v>3</v>
      </c>
      <c r="O121" s="113">
        <v>0</v>
      </c>
      <c r="P121" s="113">
        <v>0</v>
      </c>
      <c r="Q121" s="113">
        <v>0</v>
      </c>
      <c r="R121" s="113">
        <v>1</v>
      </c>
      <c r="S121" s="113">
        <v>0</v>
      </c>
      <c r="T121" s="113">
        <v>1</v>
      </c>
      <c r="U121" s="113">
        <v>0</v>
      </c>
      <c r="V121" s="113">
        <v>0</v>
      </c>
      <c r="W121" s="113">
        <v>0</v>
      </c>
      <c r="X121" s="113">
        <v>0</v>
      </c>
      <c r="Y121" s="113">
        <v>0</v>
      </c>
      <c r="Z121" s="113">
        <v>0</v>
      </c>
    </row>
    <row r="122" spans="1:26">
      <c r="A122" s="164">
        <v>118</v>
      </c>
      <c r="B122" s="255" t="s">
        <v>436</v>
      </c>
      <c r="C122" s="113">
        <v>16469</v>
      </c>
      <c r="D122" s="113">
        <v>67471</v>
      </c>
      <c r="E122" s="113">
        <v>83940</v>
      </c>
      <c r="F122" s="113">
        <v>2665</v>
      </c>
      <c r="G122" s="113">
        <v>14225</v>
      </c>
      <c r="H122" s="113">
        <v>16890</v>
      </c>
      <c r="I122" s="113">
        <v>1284</v>
      </c>
      <c r="J122" s="113">
        <v>7160</v>
      </c>
      <c r="K122" s="113">
        <v>8444</v>
      </c>
      <c r="L122" s="113">
        <v>3868</v>
      </c>
      <c r="M122" s="113">
        <v>16854</v>
      </c>
      <c r="N122" s="113">
        <v>20722</v>
      </c>
      <c r="O122" s="113">
        <v>68</v>
      </c>
      <c r="P122" s="113">
        <v>185</v>
      </c>
      <c r="Q122" s="113">
        <v>253</v>
      </c>
      <c r="R122" s="113">
        <v>397</v>
      </c>
      <c r="S122" s="113">
        <v>1100</v>
      </c>
      <c r="T122" s="113">
        <v>1497</v>
      </c>
      <c r="U122" s="113">
        <v>397</v>
      </c>
      <c r="V122" s="113">
        <v>1976</v>
      </c>
      <c r="W122" s="113">
        <v>2373</v>
      </c>
      <c r="X122" s="113">
        <v>196</v>
      </c>
      <c r="Y122" s="113">
        <v>540</v>
      </c>
      <c r="Z122" s="113">
        <v>736</v>
      </c>
    </row>
    <row r="123" spans="1:26">
      <c r="A123" s="164">
        <v>119</v>
      </c>
      <c r="B123" s="255" t="s">
        <v>428</v>
      </c>
      <c r="C123" s="113">
        <v>11</v>
      </c>
      <c r="D123" s="113">
        <v>6</v>
      </c>
      <c r="E123" s="113">
        <v>17</v>
      </c>
      <c r="F123" s="113">
        <v>0</v>
      </c>
      <c r="G123" s="113">
        <v>0</v>
      </c>
      <c r="H123" s="113">
        <v>0</v>
      </c>
      <c r="I123" s="113">
        <v>0</v>
      </c>
      <c r="J123" s="113">
        <v>0</v>
      </c>
      <c r="K123" s="113">
        <v>0</v>
      </c>
      <c r="L123" s="113">
        <v>0</v>
      </c>
      <c r="M123" s="113">
        <v>0</v>
      </c>
      <c r="N123" s="113">
        <v>0</v>
      </c>
      <c r="O123" s="113">
        <v>0</v>
      </c>
      <c r="P123" s="113">
        <v>0</v>
      </c>
      <c r="Q123" s="113">
        <v>0</v>
      </c>
      <c r="R123" s="113">
        <v>0</v>
      </c>
      <c r="S123" s="113">
        <v>0</v>
      </c>
      <c r="T123" s="113">
        <v>0</v>
      </c>
      <c r="U123" s="113">
        <v>0</v>
      </c>
      <c r="V123" s="113">
        <v>0</v>
      </c>
      <c r="W123" s="113">
        <v>0</v>
      </c>
      <c r="X123" s="113">
        <v>0</v>
      </c>
      <c r="Y123" s="113">
        <v>0</v>
      </c>
      <c r="Z123" s="113">
        <v>0</v>
      </c>
    </row>
    <row r="124" spans="1:26">
      <c r="A124" s="164">
        <v>120</v>
      </c>
      <c r="B124" s="255" t="s">
        <v>450</v>
      </c>
      <c r="C124" s="113">
        <v>684</v>
      </c>
      <c r="D124" s="113">
        <v>762</v>
      </c>
      <c r="E124" s="113">
        <v>1446</v>
      </c>
      <c r="F124" s="113">
        <v>72</v>
      </c>
      <c r="G124" s="113">
        <v>34</v>
      </c>
      <c r="H124" s="113">
        <v>106</v>
      </c>
      <c r="I124" s="113">
        <v>67</v>
      </c>
      <c r="J124" s="113">
        <v>48</v>
      </c>
      <c r="K124" s="113">
        <v>115</v>
      </c>
      <c r="L124" s="113">
        <v>101</v>
      </c>
      <c r="M124" s="113">
        <v>95</v>
      </c>
      <c r="N124" s="113">
        <v>196</v>
      </c>
      <c r="O124" s="113">
        <v>7</v>
      </c>
      <c r="P124" s="113">
        <v>4</v>
      </c>
      <c r="Q124" s="113">
        <v>11</v>
      </c>
      <c r="R124" s="113">
        <v>3</v>
      </c>
      <c r="S124" s="113">
        <v>3</v>
      </c>
      <c r="T124" s="113">
        <v>6</v>
      </c>
      <c r="U124" s="113">
        <v>14</v>
      </c>
      <c r="V124" s="113">
        <v>2</v>
      </c>
      <c r="W124" s="113">
        <v>16</v>
      </c>
      <c r="X124" s="113">
        <v>15</v>
      </c>
      <c r="Y124" s="113">
        <v>4</v>
      </c>
      <c r="Z124" s="113">
        <v>19</v>
      </c>
    </row>
    <row r="125" spans="1:26">
      <c r="A125" s="164">
        <v>121</v>
      </c>
      <c r="B125" s="255" t="s">
        <v>447</v>
      </c>
      <c r="C125" s="113">
        <v>1292</v>
      </c>
      <c r="D125" s="113">
        <v>996</v>
      </c>
      <c r="E125" s="113">
        <v>2288</v>
      </c>
      <c r="F125" s="113">
        <v>82</v>
      </c>
      <c r="G125" s="113">
        <v>79</v>
      </c>
      <c r="H125" s="113">
        <v>161</v>
      </c>
      <c r="I125" s="113">
        <v>39</v>
      </c>
      <c r="J125" s="113">
        <v>28</v>
      </c>
      <c r="K125" s="113">
        <v>67</v>
      </c>
      <c r="L125" s="113">
        <v>199</v>
      </c>
      <c r="M125" s="113">
        <v>130</v>
      </c>
      <c r="N125" s="113">
        <v>329</v>
      </c>
      <c r="O125" s="113">
        <v>11</v>
      </c>
      <c r="P125" s="113">
        <v>9</v>
      </c>
      <c r="Q125" s="113">
        <v>20</v>
      </c>
      <c r="R125" s="113">
        <v>17</v>
      </c>
      <c r="S125" s="113">
        <v>3</v>
      </c>
      <c r="T125" s="113">
        <v>20</v>
      </c>
      <c r="U125" s="113">
        <v>23</v>
      </c>
      <c r="V125" s="113">
        <v>24</v>
      </c>
      <c r="W125" s="113">
        <v>47</v>
      </c>
      <c r="X125" s="113">
        <v>2</v>
      </c>
      <c r="Y125" s="113">
        <v>0</v>
      </c>
      <c r="Z125" s="113">
        <v>2</v>
      </c>
    </row>
    <row r="126" spans="1:26">
      <c r="A126" s="164">
        <v>122</v>
      </c>
      <c r="B126" s="255" t="s">
        <v>451</v>
      </c>
      <c r="C126" s="113">
        <v>435</v>
      </c>
      <c r="D126" s="113">
        <v>316</v>
      </c>
      <c r="E126" s="113">
        <v>751</v>
      </c>
      <c r="F126" s="113">
        <v>24</v>
      </c>
      <c r="G126" s="113">
        <v>7</v>
      </c>
      <c r="H126" s="113">
        <v>31</v>
      </c>
      <c r="I126" s="113">
        <v>5</v>
      </c>
      <c r="J126" s="113">
        <v>3</v>
      </c>
      <c r="K126" s="113">
        <v>8</v>
      </c>
      <c r="L126" s="113">
        <v>95</v>
      </c>
      <c r="M126" s="113">
        <v>58</v>
      </c>
      <c r="N126" s="113">
        <v>153</v>
      </c>
      <c r="O126" s="113">
        <v>0</v>
      </c>
      <c r="P126" s="113">
        <v>0</v>
      </c>
      <c r="Q126" s="113">
        <v>0</v>
      </c>
      <c r="R126" s="113">
        <v>0</v>
      </c>
      <c r="S126" s="113">
        <v>0</v>
      </c>
      <c r="T126" s="113">
        <v>0</v>
      </c>
      <c r="U126" s="113">
        <v>21</v>
      </c>
      <c r="V126" s="113">
        <v>15</v>
      </c>
      <c r="W126" s="113">
        <v>36</v>
      </c>
      <c r="X126" s="113">
        <v>0</v>
      </c>
      <c r="Y126" s="113">
        <v>0</v>
      </c>
      <c r="Z126" s="113">
        <v>0</v>
      </c>
    </row>
    <row r="127" spans="1:26">
      <c r="A127" s="164">
        <v>123</v>
      </c>
      <c r="B127" s="255" t="s">
        <v>444</v>
      </c>
      <c r="C127" s="113">
        <v>2537</v>
      </c>
      <c r="D127" s="113">
        <v>1960</v>
      </c>
      <c r="E127" s="113">
        <v>4497</v>
      </c>
      <c r="F127" s="113">
        <v>143</v>
      </c>
      <c r="G127" s="113">
        <v>138</v>
      </c>
      <c r="H127" s="113">
        <v>281</v>
      </c>
      <c r="I127" s="113">
        <v>68</v>
      </c>
      <c r="J127" s="113">
        <v>55</v>
      </c>
      <c r="K127" s="113">
        <v>123</v>
      </c>
      <c r="L127" s="113">
        <v>448</v>
      </c>
      <c r="M127" s="113">
        <v>358</v>
      </c>
      <c r="N127" s="113">
        <v>806</v>
      </c>
      <c r="O127" s="113">
        <v>3</v>
      </c>
      <c r="P127" s="113">
        <v>4</v>
      </c>
      <c r="Q127" s="113">
        <v>7</v>
      </c>
      <c r="R127" s="113">
        <v>47</v>
      </c>
      <c r="S127" s="113">
        <v>39</v>
      </c>
      <c r="T127" s="113">
        <v>86</v>
      </c>
      <c r="U127" s="113">
        <v>26</v>
      </c>
      <c r="V127" s="113">
        <v>50</v>
      </c>
      <c r="W127" s="113">
        <v>76</v>
      </c>
      <c r="X127" s="113">
        <v>28</v>
      </c>
      <c r="Y127" s="113">
        <v>32</v>
      </c>
      <c r="Z127" s="113">
        <v>60</v>
      </c>
    </row>
    <row r="128" spans="1:26">
      <c r="A128" s="164">
        <v>124</v>
      </c>
      <c r="B128" s="255" t="s">
        <v>452</v>
      </c>
      <c r="C128" s="113">
        <v>156</v>
      </c>
      <c r="D128" s="113">
        <v>148</v>
      </c>
      <c r="E128" s="113">
        <v>304</v>
      </c>
      <c r="F128" s="113">
        <v>7</v>
      </c>
      <c r="G128" s="113">
        <v>6</v>
      </c>
      <c r="H128" s="113">
        <v>13</v>
      </c>
      <c r="I128" s="113">
        <v>3</v>
      </c>
      <c r="J128" s="113">
        <v>5</v>
      </c>
      <c r="K128" s="113">
        <v>8</v>
      </c>
      <c r="L128" s="113">
        <v>36</v>
      </c>
      <c r="M128" s="113">
        <v>33</v>
      </c>
      <c r="N128" s="113">
        <v>69</v>
      </c>
      <c r="O128" s="113">
        <v>0</v>
      </c>
      <c r="P128" s="113">
        <v>0</v>
      </c>
      <c r="Q128" s="113">
        <v>0</v>
      </c>
      <c r="R128" s="113">
        <v>2</v>
      </c>
      <c r="S128" s="113">
        <v>2</v>
      </c>
      <c r="T128" s="113">
        <v>4</v>
      </c>
      <c r="U128" s="113">
        <v>0</v>
      </c>
      <c r="V128" s="113">
        <v>2</v>
      </c>
      <c r="W128" s="113">
        <v>2</v>
      </c>
      <c r="X128" s="113">
        <v>2</v>
      </c>
      <c r="Y128" s="113">
        <v>0</v>
      </c>
      <c r="Z128" s="113">
        <v>2</v>
      </c>
    </row>
    <row r="129" spans="1:26">
      <c r="A129" s="164">
        <v>125</v>
      </c>
      <c r="B129" s="255" t="s">
        <v>801</v>
      </c>
      <c r="C129" s="113">
        <v>237</v>
      </c>
      <c r="D129" s="113">
        <v>168</v>
      </c>
      <c r="E129" s="113">
        <v>405</v>
      </c>
      <c r="F129" s="113">
        <v>5</v>
      </c>
      <c r="G129" s="113">
        <v>6</v>
      </c>
      <c r="H129" s="113">
        <v>11</v>
      </c>
      <c r="I129" s="113">
        <v>2</v>
      </c>
      <c r="J129" s="113">
        <v>1</v>
      </c>
      <c r="K129" s="113">
        <v>3</v>
      </c>
      <c r="L129" s="113">
        <v>101</v>
      </c>
      <c r="M129" s="113">
        <v>59</v>
      </c>
      <c r="N129" s="113">
        <v>160</v>
      </c>
      <c r="O129" s="113">
        <v>0</v>
      </c>
      <c r="P129" s="113">
        <v>0</v>
      </c>
      <c r="Q129" s="113">
        <v>0</v>
      </c>
      <c r="R129" s="113">
        <v>71</v>
      </c>
      <c r="S129" s="113">
        <v>33</v>
      </c>
      <c r="T129" s="113">
        <v>104</v>
      </c>
      <c r="U129" s="113">
        <v>26</v>
      </c>
      <c r="V129" s="113">
        <v>20</v>
      </c>
      <c r="W129" s="113">
        <v>46</v>
      </c>
      <c r="X129" s="113">
        <v>0</v>
      </c>
      <c r="Y129" s="113">
        <v>0</v>
      </c>
      <c r="Z129" s="113">
        <v>0</v>
      </c>
    </row>
    <row r="130" spans="1:26">
      <c r="A130" s="164">
        <v>126</v>
      </c>
      <c r="B130" s="255" t="s">
        <v>362</v>
      </c>
      <c r="C130" s="113">
        <v>64505</v>
      </c>
      <c r="D130" s="113">
        <v>31464</v>
      </c>
      <c r="E130" s="113">
        <v>95969</v>
      </c>
      <c r="F130" s="113">
        <v>7330</v>
      </c>
      <c r="G130" s="113">
        <v>3434</v>
      </c>
      <c r="H130" s="113">
        <v>10764</v>
      </c>
      <c r="I130" s="113">
        <v>1858</v>
      </c>
      <c r="J130" s="113">
        <v>1134</v>
      </c>
      <c r="K130" s="113">
        <v>2992</v>
      </c>
      <c r="L130" s="113">
        <v>17181</v>
      </c>
      <c r="M130" s="113">
        <v>7226</v>
      </c>
      <c r="N130" s="113">
        <v>24407</v>
      </c>
      <c r="O130" s="113">
        <v>37</v>
      </c>
      <c r="P130" s="113">
        <v>11</v>
      </c>
      <c r="Q130" s="113">
        <v>48</v>
      </c>
      <c r="R130" s="113">
        <v>2050</v>
      </c>
      <c r="S130" s="113">
        <v>971</v>
      </c>
      <c r="T130" s="113">
        <v>3021</v>
      </c>
      <c r="U130" s="113">
        <v>815</v>
      </c>
      <c r="V130" s="113">
        <v>501</v>
      </c>
      <c r="W130" s="113">
        <v>1316</v>
      </c>
      <c r="X130" s="113">
        <v>424</v>
      </c>
      <c r="Y130" s="113">
        <v>219</v>
      </c>
      <c r="Z130" s="113">
        <v>643</v>
      </c>
    </row>
    <row r="131" spans="1:26">
      <c r="A131" s="164">
        <v>127</v>
      </c>
      <c r="B131" s="255" t="s">
        <v>280</v>
      </c>
      <c r="C131" s="113">
        <v>13</v>
      </c>
      <c r="D131" s="113">
        <v>11</v>
      </c>
      <c r="E131" s="113">
        <v>24</v>
      </c>
      <c r="F131" s="113">
        <v>0</v>
      </c>
      <c r="G131" s="113">
        <v>0</v>
      </c>
      <c r="H131" s="113">
        <v>0</v>
      </c>
      <c r="I131" s="113">
        <v>0</v>
      </c>
      <c r="J131" s="113">
        <v>0</v>
      </c>
      <c r="K131" s="113">
        <v>0</v>
      </c>
      <c r="L131" s="113">
        <v>4</v>
      </c>
      <c r="M131" s="113">
        <v>0</v>
      </c>
      <c r="N131" s="113">
        <v>4</v>
      </c>
      <c r="O131" s="113">
        <v>0</v>
      </c>
      <c r="P131" s="113">
        <v>0</v>
      </c>
      <c r="Q131" s="113">
        <v>0</v>
      </c>
      <c r="R131" s="113">
        <v>0</v>
      </c>
      <c r="S131" s="113">
        <v>0</v>
      </c>
      <c r="T131" s="113">
        <v>0</v>
      </c>
      <c r="U131" s="113">
        <v>0</v>
      </c>
      <c r="V131" s="113">
        <v>0</v>
      </c>
      <c r="W131" s="113">
        <v>0</v>
      </c>
      <c r="X131" s="113">
        <v>0</v>
      </c>
      <c r="Y131" s="113">
        <v>0</v>
      </c>
      <c r="Z131" s="113">
        <v>0</v>
      </c>
    </row>
    <row r="132" spans="1:26">
      <c r="A132" s="164">
        <v>128</v>
      </c>
      <c r="B132" s="255" t="s">
        <v>296</v>
      </c>
      <c r="C132" s="113">
        <v>9032</v>
      </c>
      <c r="D132" s="113">
        <v>7577</v>
      </c>
      <c r="E132" s="113">
        <v>16609</v>
      </c>
      <c r="F132" s="113">
        <v>898</v>
      </c>
      <c r="G132" s="113">
        <v>596</v>
      </c>
      <c r="H132" s="113">
        <v>1494</v>
      </c>
      <c r="I132" s="113">
        <v>269</v>
      </c>
      <c r="J132" s="113">
        <v>201</v>
      </c>
      <c r="K132" s="113">
        <v>470</v>
      </c>
      <c r="L132" s="113">
        <v>1601</v>
      </c>
      <c r="M132" s="113">
        <v>1188</v>
      </c>
      <c r="N132" s="113">
        <v>2789</v>
      </c>
      <c r="O132" s="113">
        <v>15</v>
      </c>
      <c r="P132" s="113">
        <v>7</v>
      </c>
      <c r="Q132" s="113">
        <v>22</v>
      </c>
      <c r="R132" s="113">
        <v>189</v>
      </c>
      <c r="S132" s="113">
        <v>163</v>
      </c>
      <c r="T132" s="113">
        <v>352</v>
      </c>
      <c r="U132" s="113">
        <v>117</v>
      </c>
      <c r="V132" s="113">
        <v>161</v>
      </c>
      <c r="W132" s="113">
        <v>278</v>
      </c>
      <c r="X132" s="113">
        <v>116</v>
      </c>
      <c r="Y132" s="113">
        <v>115</v>
      </c>
      <c r="Z132" s="113">
        <v>231</v>
      </c>
    </row>
    <row r="133" spans="1:26">
      <c r="A133" s="164">
        <v>129</v>
      </c>
      <c r="B133" s="255" t="s">
        <v>453</v>
      </c>
      <c r="C133" s="113">
        <v>138</v>
      </c>
      <c r="D133" s="113">
        <v>128</v>
      </c>
      <c r="E133" s="113">
        <v>266</v>
      </c>
      <c r="F133" s="113">
        <v>21</v>
      </c>
      <c r="G133" s="113">
        <v>18</v>
      </c>
      <c r="H133" s="113">
        <v>39</v>
      </c>
      <c r="I133" s="113">
        <v>15</v>
      </c>
      <c r="J133" s="113">
        <v>5</v>
      </c>
      <c r="K133" s="113">
        <v>20</v>
      </c>
      <c r="L133" s="113">
        <v>34</v>
      </c>
      <c r="M133" s="113">
        <v>23</v>
      </c>
      <c r="N133" s="113">
        <v>57</v>
      </c>
      <c r="O133" s="113">
        <v>0</v>
      </c>
      <c r="P133" s="113">
        <v>0</v>
      </c>
      <c r="Q133" s="113">
        <v>0</v>
      </c>
      <c r="R133" s="113">
        <v>7</v>
      </c>
      <c r="S133" s="113">
        <v>10</v>
      </c>
      <c r="T133" s="113">
        <v>17</v>
      </c>
      <c r="U133" s="113">
        <v>0</v>
      </c>
      <c r="V133" s="113">
        <v>1</v>
      </c>
      <c r="W133" s="113">
        <v>1</v>
      </c>
      <c r="X133" s="113">
        <v>7</v>
      </c>
      <c r="Y133" s="113">
        <v>8</v>
      </c>
      <c r="Z133" s="113">
        <v>15</v>
      </c>
    </row>
    <row r="134" spans="1:26">
      <c r="A134" s="164">
        <v>130</v>
      </c>
      <c r="B134" s="255" t="s">
        <v>344</v>
      </c>
      <c r="C134" s="113">
        <v>21</v>
      </c>
      <c r="D134" s="113">
        <v>42</v>
      </c>
      <c r="E134" s="113">
        <v>63</v>
      </c>
      <c r="F134" s="113">
        <v>5</v>
      </c>
      <c r="G134" s="113">
        <v>6</v>
      </c>
      <c r="H134" s="113">
        <v>11</v>
      </c>
      <c r="I134" s="113">
        <v>0</v>
      </c>
      <c r="J134" s="113">
        <v>4</v>
      </c>
      <c r="K134" s="113">
        <v>4</v>
      </c>
      <c r="L134" s="113">
        <v>5</v>
      </c>
      <c r="M134" s="113">
        <v>16</v>
      </c>
      <c r="N134" s="113">
        <v>21</v>
      </c>
      <c r="O134" s="113">
        <v>0</v>
      </c>
      <c r="P134" s="113">
        <v>0</v>
      </c>
      <c r="Q134" s="113">
        <v>0</v>
      </c>
      <c r="R134" s="113">
        <v>0</v>
      </c>
      <c r="S134" s="113">
        <v>0</v>
      </c>
      <c r="T134" s="113">
        <v>0</v>
      </c>
      <c r="U134" s="113">
        <v>0</v>
      </c>
      <c r="V134" s="113">
        <v>0</v>
      </c>
      <c r="W134" s="113">
        <v>0</v>
      </c>
      <c r="X134" s="113">
        <v>0</v>
      </c>
      <c r="Y134" s="113">
        <v>0</v>
      </c>
      <c r="Z134" s="113">
        <v>0</v>
      </c>
    </row>
    <row r="135" spans="1:26">
      <c r="A135" s="164">
        <v>131</v>
      </c>
      <c r="B135" s="255" t="s">
        <v>284</v>
      </c>
      <c r="C135" s="113">
        <v>276343</v>
      </c>
      <c r="D135" s="113">
        <v>425524</v>
      </c>
      <c r="E135" s="113">
        <v>701867</v>
      </c>
      <c r="F135" s="113">
        <v>41792</v>
      </c>
      <c r="G135" s="113">
        <v>59084</v>
      </c>
      <c r="H135" s="113">
        <v>100876</v>
      </c>
      <c r="I135" s="113">
        <v>20787</v>
      </c>
      <c r="J135" s="113">
        <v>31082</v>
      </c>
      <c r="K135" s="113">
        <v>51869</v>
      </c>
      <c r="L135" s="113">
        <v>98786</v>
      </c>
      <c r="M135" s="113">
        <v>141784</v>
      </c>
      <c r="N135" s="113">
        <v>240570</v>
      </c>
      <c r="O135" s="113">
        <v>351</v>
      </c>
      <c r="P135" s="113">
        <v>267</v>
      </c>
      <c r="Q135" s="113">
        <v>618</v>
      </c>
      <c r="R135" s="113">
        <v>9178</v>
      </c>
      <c r="S135" s="113">
        <v>12977</v>
      </c>
      <c r="T135" s="113">
        <v>22155</v>
      </c>
      <c r="U135" s="113">
        <v>2699</v>
      </c>
      <c r="V135" s="113">
        <v>6981</v>
      </c>
      <c r="W135" s="113">
        <v>9680</v>
      </c>
      <c r="X135" s="113">
        <v>2098</v>
      </c>
      <c r="Y135" s="113">
        <v>2591</v>
      </c>
      <c r="Z135" s="113">
        <v>4689</v>
      </c>
    </row>
    <row r="136" spans="1:26">
      <c r="A136" s="164">
        <v>132</v>
      </c>
      <c r="B136" s="255" t="s">
        <v>313</v>
      </c>
      <c r="C136" s="113">
        <v>648</v>
      </c>
      <c r="D136" s="113">
        <v>880</v>
      </c>
      <c r="E136" s="113">
        <v>1528</v>
      </c>
      <c r="F136" s="113">
        <v>23</v>
      </c>
      <c r="G136" s="113">
        <v>25</v>
      </c>
      <c r="H136" s="113">
        <v>48</v>
      </c>
      <c r="I136" s="113">
        <v>4</v>
      </c>
      <c r="J136" s="113">
        <v>5</v>
      </c>
      <c r="K136" s="113">
        <v>9</v>
      </c>
      <c r="L136" s="113">
        <v>156</v>
      </c>
      <c r="M136" s="113">
        <v>202</v>
      </c>
      <c r="N136" s="113">
        <v>358</v>
      </c>
      <c r="O136" s="113">
        <v>0</v>
      </c>
      <c r="P136" s="113">
        <v>0</v>
      </c>
      <c r="Q136" s="113">
        <v>0</v>
      </c>
      <c r="R136" s="113">
        <v>50</v>
      </c>
      <c r="S136" s="113">
        <v>48</v>
      </c>
      <c r="T136" s="113">
        <v>98</v>
      </c>
      <c r="U136" s="113">
        <v>19</v>
      </c>
      <c r="V136" s="113">
        <v>40</v>
      </c>
      <c r="W136" s="113">
        <v>59</v>
      </c>
      <c r="X136" s="113">
        <v>4</v>
      </c>
      <c r="Y136" s="113">
        <v>3</v>
      </c>
      <c r="Z136" s="113">
        <v>7</v>
      </c>
    </row>
    <row r="137" spans="1:26">
      <c r="A137" s="164">
        <v>133</v>
      </c>
      <c r="B137" s="255" t="s">
        <v>286</v>
      </c>
      <c r="C137" s="113">
        <v>130960</v>
      </c>
      <c r="D137" s="113">
        <v>101305</v>
      </c>
      <c r="E137" s="113">
        <v>232265</v>
      </c>
      <c r="F137" s="113">
        <v>11683</v>
      </c>
      <c r="G137" s="113">
        <v>8783</v>
      </c>
      <c r="H137" s="113">
        <v>20466</v>
      </c>
      <c r="I137" s="113">
        <v>2877</v>
      </c>
      <c r="J137" s="113">
        <v>1918</v>
      </c>
      <c r="K137" s="113">
        <v>4795</v>
      </c>
      <c r="L137" s="113">
        <v>39855</v>
      </c>
      <c r="M137" s="113">
        <v>30632</v>
      </c>
      <c r="N137" s="113">
        <v>70487</v>
      </c>
      <c r="O137" s="113">
        <v>86</v>
      </c>
      <c r="P137" s="113">
        <v>37</v>
      </c>
      <c r="Q137" s="113">
        <v>123</v>
      </c>
      <c r="R137" s="113">
        <v>4093</v>
      </c>
      <c r="S137" s="113">
        <v>2478</v>
      </c>
      <c r="T137" s="113">
        <v>6571</v>
      </c>
      <c r="U137" s="113">
        <v>2666</v>
      </c>
      <c r="V137" s="113">
        <v>2446</v>
      </c>
      <c r="W137" s="113">
        <v>5112</v>
      </c>
      <c r="X137" s="113">
        <v>1183</v>
      </c>
      <c r="Y137" s="113">
        <v>900</v>
      </c>
      <c r="Z137" s="113">
        <v>2083</v>
      </c>
    </row>
    <row r="138" spans="1:26">
      <c r="A138" s="164">
        <v>134</v>
      </c>
      <c r="B138" s="255" t="s">
        <v>343</v>
      </c>
      <c r="C138" s="113">
        <v>68</v>
      </c>
      <c r="D138" s="113">
        <v>58</v>
      </c>
      <c r="E138" s="113">
        <v>126</v>
      </c>
      <c r="F138" s="113">
        <v>8</v>
      </c>
      <c r="G138" s="113">
        <v>10</v>
      </c>
      <c r="H138" s="113">
        <v>18</v>
      </c>
      <c r="I138" s="113">
        <v>0</v>
      </c>
      <c r="J138" s="113">
        <v>1</v>
      </c>
      <c r="K138" s="113">
        <v>1</v>
      </c>
      <c r="L138" s="113">
        <v>18</v>
      </c>
      <c r="M138" s="113">
        <v>14</v>
      </c>
      <c r="N138" s="113">
        <v>32</v>
      </c>
      <c r="O138" s="113">
        <v>0</v>
      </c>
      <c r="P138" s="113">
        <v>0</v>
      </c>
      <c r="Q138" s="113">
        <v>0</v>
      </c>
      <c r="R138" s="113">
        <v>2</v>
      </c>
      <c r="S138" s="113">
        <v>2</v>
      </c>
      <c r="T138" s="113">
        <v>4</v>
      </c>
      <c r="U138" s="113">
        <v>2</v>
      </c>
      <c r="V138" s="113">
        <v>0</v>
      </c>
      <c r="W138" s="113">
        <v>2</v>
      </c>
      <c r="X138" s="113">
        <v>3</v>
      </c>
      <c r="Y138" s="113">
        <v>9</v>
      </c>
      <c r="Z138" s="113">
        <v>12</v>
      </c>
    </row>
    <row r="139" spans="1:26">
      <c r="A139" s="164">
        <v>135</v>
      </c>
      <c r="B139" s="255" t="s">
        <v>311</v>
      </c>
      <c r="C139" s="113">
        <v>2291</v>
      </c>
      <c r="D139" s="113">
        <v>2432</v>
      </c>
      <c r="E139" s="113">
        <v>4723</v>
      </c>
      <c r="F139" s="113">
        <v>330</v>
      </c>
      <c r="G139" s="113">
        <v>409</v>
      </c>
      <c r="H139" s="113">
        <v>739</v>
      </c>
      <c r="I139" s="113">
        <v>26</v>
      </c>
      <c r="J139" s="113">
        <v>34</v>
      </c>
      <c r="K139" s="113">
        <v>60</v>
      </c>
      <c r="L139" s="113">
        <v>955</v>
      </c>
      <c r="M139" s="113">
        <v>1101</v>
      </c>
      <c r="N139" s="113">
        <v>2056</v>
      </c>
      <c r="O139" s="113">
        <v>0</v>
      </c>
      <c r="P139" s="113">
        <v>0</v>
      </c>
      <c r="Q139" s="113">
        <v>0</v>
      </c>
      <c r="R139" s="113">
        <v>15</v>
      </c>
      <c r="S139" s="113">
        <v>14</v>
      </c>
      <c r="T139" s="113">
        <v>29</v>
      </c>
      <c r="U139" s="113">
        <v>10</v>
      </c>
      <c r="V139" s="113">
        <v>9</v>
      </c>
      <c r="W139" s="113">
        <v>19</v>
      </c>
      <c r="X139" s="113">
        <v>2</v>
      </c>
      <c r="Y139" s="113">
        <v>0</v>
      </c>
      <c r="Z139" s="113">
        <v>2</v>
      </c>
    </row>
    <row r="140" spans="1:26">
      <c r="A140" s="164">
        <v>136</v>
      </c>
      <c r="B140" s="255" t="s">
        <v>365</v>
      </c>
      <c r="C140" s="113">
        <v>26474</v>
      </c>
      <c r="D140" s="113">
        <v>28073</v>
      </c>
      <c r="E140" s="113">
        <v>54547</v>
      </c>
      <c r="F140" s="113">
        <v>2310</v>
      </c>
      <c r="G140" s="113">
        <v>2229</v>
      </c>
      <c r="H140" s="113">
        <v>4539</v>
      </c>
      <c r="I140" s="113">
        <v>1008</v>
      </c>
      <c r="J140" s="113">
        <v>1092</v>
      </c>
      <c r="K140" s="113">
        <v>2100</v>
      </c>
      <c r="L140" s="113">
        <v>6682</v>
      </c>
      <c r="M140" s="113">
        <v>6668</v>
      </c>
      <c r="N140" s="113">
        <v>13350</v>
      </c>
      <c r="O140" s="113">
        <v>62</v>
      </c>
      <c r="P140" s="113">
        <v>50</v>
      </c>
      <c r="Q140" s="113">
        <v>112</v>
      </c>
      <c r="R140" s="113">
        <v>926</v>
      </c>
      <c r="S140" s="113">
        <v>1079</v>
      </c>
      <c r="T140" s="113">
        <v>2005</v>
      </c>
      <c r="U140" s="113">
        <v>566</v>
      </c>
      <c r="V140" s="113">
        <v>612</v>
      </c>
      <c r="W140" s="113">
        <v>1178</v>
      </c>
      <c r="X140" s="113">
        <v>122</v>
      </c>
      <c r="Y140" s="113">
        <v>88</v>
      </c>
      <c r="Z140" s="113">
        <v>210</v>
      </c>
    </row>
    <row r="141" spans="1:26">
      <c r="A141" s="164">
        <v>137</v>
      </c>
      <c r="B141" s="255" t="s">
        <v>288</v>
      </c>
      <c r="C141" s="113">
        <v>26550</v>
      </c>
      <c r="D141" s="113">
        <v>21466</v>
      </c>
      <c r="E141" s="113">
        <v>48016</v>
      </c>
      <c r="F141" s="113">
        <v>1727</v>
      </c>
      <c r="G141" s="113">
        <v>1576</v>
      </c>
      <c r="H141" s="113">
        <v>3303</v>
      </c>
      <c r="I141" s="113">
        <v>500</v>
      </c>
      <c r="J141" s="113">
        <v>395</v>
      </c>
      <c r="K141" s="113">
        <v>895</v>
      </c>
      <c r="L141" s="113">
        <v>8747</v>
      </c>
      <c r="M141" s="113">
        <v>7610</v>
      </c>
      <c r="N141" s="113">
        <v>16357</v>
      </c>
      <c r="O141" s="113">
        <v>10</v>
      </c>
      <c r="P141" s="113">
        <v>3</v>
      </c>
      <c r="Q141" s="113">
        <v>13</v>
      </c>
      <c r="R141" s="113">
        <v>1052</v>
      </c>
      <c r="S141" s="113">
        <v>504</v>
      </c>
      <c r="T141" s="113">
        <v>1556</v>
      </c>
      <c r="U141" s="113">
        <v>711</v>
      </c>
      <c r="V141" s="113">
        <v>693</v>
      </c>
      <c r="W141" s="113">
        <v>1404</v>
      </c>
      <c r="X141" s="113">
        <v>218</v>
      </c>
      <c r="Y141" s="113">
        <v>192</v>
      </c>
      <c r="Z141" s="113">
        <v>410</v>
      </c>
    </row>
    <row r="142" spans="1:26">
      <c r="A142" s="164">
        <v>138</v>
      </c>
      <c r="B142" s="255" t="s">
        <v>278</v>
      </c>
      <c r="C142" s="113">
        <v>287</v>
      </c>
      <c r="D142" s="113">
        <v>50</v>
      </c>
      <c r="E142" s="113">
        <v>337</v>
      </c>
      <c r="F142" s="113">
        <v>5</v>
      </c>
      <c r="G142" s="113">
        <v>2</v>
      </c>
      <c r="H142" s="113">
        <v>7</v>
      </c>
      <c r="I142" s="113">
        <v>2</v>
      </c>
      <c r="J142" s="113">
        <v>1</v>
      </c>
      <c r="K142" s="113">
        <v>3</v>
      </c>
      <c r="L142" s="113">
        <v>11</v>
      </c>
      <c r="M142" s="113">
        <v>4</v>
      </c>
      <c r="N142" s="113">
        <v>15</v>
      </c>
      <c r="O142" s="113">
        <v>0</v>
      </c>
      <c r="P142" s="113">
        <v>0</v>
      </c>
      <c r="Q142" s="113">
        <v>0</v>
      </c>
      <c r="R142" s="113">
        <v>1</v>
      </c>
      <c r="S142" s="113">
        <v>0</v>
      </c>
      <c r="T142" s="113">
        <v>1</v>
      </c>
      <c r="U142" s="113">
        <v>3</v>
      </c>
      <c r="V142" s="113">
        <v>0</v>
      </c>
      <c r="W142" s="113">
        <v>3</v>
      </c>
      <c r="X142" s="113">
        <v>2</v>
      </c>
      <c r="Y142" s="113">
        <v>0</v>
      </c>
      <c r="Z142" s="113">
        <v>2</v>
      </c>
    </row>
    <row r="143" spans="1:26">
      <c r="A143" s="164">
        <v>139</v>
      </c>
      <c r="B143" s="255" t="s">
        <v>456</v>
      </c>
      <c r="C143" s="113">
        <v>21</v>
      </c>
      <c r="D143" s="113">
        <v>57</v>
      </c>
      <c r="E143" s="113">
        <v>78</v>
      </c>
      <c r="F143" s="113">
        <v>2</v>
      </c>
      <c r="G143" s="113">
        <v>6</v>
      </c>
      <c r="H143" s="113">
        <v>8</v>
      </c>
      <c r="I143" s="113">
        <v>0</v>
      </c>
      <c r="J143" s="113">
        <v>0</v>
      </c>
      <c r="K143" s="113">
        <v>0</v>
      </c>
      <c r="L143" s="113">
        <v>5</v>
      </c>
      <c r="M143" s="113">
        <v>16</v>
      </c>
      <c r="N143" s="113">
        <v>21</v>
      </c>
      <c r="O143" s="113">
        <v>0</v>
      </c>
      <c r="P143" s="113">
        <v>0</v>
      </c>
      <c r="Q143" s="113">
        <v>0</v>
      </c>
      <c r="R143" s="113">
        <v>0</v>
      </c>
      <c r="S143" s="113">
        <v>0</v>
      </c>
      <c r="T143" s="113">
        <v>0</v>
      </c>
      <c r="U143" s="113">
        <v>1</v>
      </c>
      <c r="V143" s="113">
        <v>2</v>
      </c>
      <c r="W143" s="113">
        <v>3</v>
      </c>
      <c r="X143" s="113">
        <v>1</v>
      </c>
      <c r="Y143" s="113">
        <v>0</v>
      </c>
      <c r="Z143" s="113">
        <v>1</v>
      </c>
    </row>
    <row r="144" spans="1:26">
      <c r="A144" s="164">
        <v>140</v>
      </c>
      <c r="B144" s="255" t="s">
        <v>287</v>
      </c>
      <c r="C144" s="113">
        <v>67260</v>
      </c>
      <c r="D144" s="113">
        <v>122479</v>
      </c>
      <c r="E144" s="113">
        <v>189739</v>
      </c>
      <c r="F144" s="113">
        <v>7098</v>
      </c>
      <c r="G144" s="113">
        <v>11591</v>
      </c>
      <c r="H144" s="113">
        <v>18689</v>
      </c>
      <c r="I144" s="113">
        <v>2900</v>
      </c>
      <c r="J144" s="113">
        <v>3781</v>
      </c>
      <c r="K144" s="113">
        <v>6681</v>
      </c>
      <c r="L144" s="113">
        <v>23460</v>
      </c>
      <c r="M144" s="113">
        <v>43305</v>
      </c>
      <c r="N144" s="113">
        <v>66765</v>
      </c>
      <c r="O144" s="113">
        <v>91</v>
      </c>
      <c r="P144" s="113">
        <v>119</v>
      </c>
      <c r="Q144" s="113">
        <v>210</v>
      </c>
      <c r="R144" s="113">
        <v>1270</v>
      </c>
      <c r="S144" s="113">
        <v>2482</v>
      </c>
      <c r="T144" s="113">
        <v>3752</v>
      </c>
      <c r="U144" s="113">
        <v>1042</v>
      </c>
      <c r="V144" s="113">
        <v>2804</v>
      </c>
      <c r="W144" s="113">
        <v>3846</v>
      </c>
      <c r="X144" s="113">
        <v>929</v>
      </c>
      <c r="Y144" s="113">
        <v>1297</v>
      </c>
      <c r="Z144" s="113">
        <v>2226</v>
      </c>
    </row>
    <row r="145" spans="1:26">
      <c r="A145" s="164">
        <v>141</v>
      </c>
      <c r="B145" s="255" t="s">
        <v>290</v>
      </c>
      <c r="C145" s="113">
        <v>7343</v>
      </c>
      <c r="D145" s="113">
        <v>8389</v>
      </c>
      <c r="E145" s="113">
        <v>15732</v>
      </c>
      <c r="F145" s="113">
        <v>583</v>
      </c>
      <c r="G145" s="113">
        <v>637</v>
      </c>
      <c r="H145" s="113">
        <v>1220</v>
      </c>
      <c r="I145" s="113">
        <v>272</v>
      </c>
      <c r="J145" s="113">
        <v>289</v>
      </c>
      <c r="K145" s="113">
        <v>561</v>
      </c>
      <c r="L145" s="113">
        <v>1593</v>
      </c>
      <c r="M145" s="113">
        <v>1811</v>
      </c>
      <c r="N145" s="113">
        <v>3404</v>
      </c>
      <c r="O145" s="113">
        <v>9</v>
      </c>
      <c r="P145" s="113">
        <v>3</v>
      </c>
      <c r="Q145" s="113">
        <v>12</v>
      </c>
      <c r="R145" s="113">
        <v>280</v>
      </c>
      <c r="S145" s="113">
        <v>263</v>
      </c>
      <c r="T145" s="113">
        <v>543</v>
      </c>
      <c r="U145" s="113">
        <v>139</v>
      </c>
      <c r="V145" s="113">
        <v>218</v>
      </c>
      <c r="W145" s="113">
        <v>357</v>
      </c>
      <c r="X145" s="113">
        <v>89</v>
      </c>
      <c r="Y145" s="113">
        <v>98</v>
      </c>
      <c r="Z145" s="113">
        <v>187</v>
      </c>
    </row>
    <row r="146" spans="1:26">
      <c r="A146" s="164">
        <v>142</v>
      </c>
      <c r="B146" s="255" t="s">
        <v>300</v>
      </c>
      <c r="C146" s="113">
        <v>1506</v>
      </c>
      <c r="D146" s="113">
        <v>3284</v>
      </c>
      <c r="E146" s="113">
        <v>4790</v>
      </c>
      <c r="F146" s="113">
        <v>89</v>
      </c>
      <c r="G146" s="113">
        <v>208</v>
      </c>
      <c r="H146" s="113">
        <v>297</v>
      </c>
      <c r="I146" s="113">
        <v>32</v>
      </c>
      <c r="J146" s="113">
        <v>50</v>
      </c>
      <c r="K146" s="113">
        <v>82</v>
      </c>
      <c r="L146" s="113">
        <v>348</v>
      </c>
      <c r="M146" s="113">
        <v>652</v>
      </c>
      <c r="N146" s="113">
        <v>1000</v>
      </c>
      <c r="O146" s="113">
        <v>1</v>
      </c>
      <c r="P146" s="113">
        <v>17</v>
      </c>
      <c r="Q146" s="113">
        <v>18</v>
      </c>
      <c r="R146" s="113">
        <v>93</v>
      </c>
      <c r="S146" s="113">
        <v>134</v>
      </c>
      <c r="T146" s="113">
        <v>227</v>
      </c>
      <c r="U146" s="113">
        <v>37</v>
      </c>
      <c r="V146" s="113">
        <v>95</v>
      </c>
      <c r="W146" s="113">
        <v>132</v>
      </c>
      <c r="X146" s="113">
        <v>7</v>
      </c>
      <c r="Y146" s="113">
        <v>14</v>
      </c>
      <c r="Z146" s="113">
        <v>21</v>
      </c>
    </row>
    <row r="147" spans="1:26">
      <c r="A147" s="164">
        <v>143</v>
      </c>
      <c r="B147" s="255" t="s">
        <v>347</v>
      </c>
      <c r="C147" s="113">
        <v>21</v>
      </c>
      <c r="D147" s="113">
        <v>79</v>
      </c>
      <c r="E147" s="113">
        <v>100</v>
      </c>
      <c r="F147" s="113">
        <v>5</v>
      </c>
      <c r="G147" s="113">
        <v>7</v>
      </c>
      <c r="H147" s="113">
        <v>12</v>
      </c>
      <c r="I147" s="113">
        <v>0</v>
      </c>
      <c r="J147" s="113">
        <v>1</v>
      </c>
      <c r="K147" s="113">
        <v>1</v>
      </c>
      <c r="L147" s="113">
        <v>6</v>
      </c>
      <c r="M147" s="113">
        <v>22</v>
      </c>
      <c r="N147" s="113">
        <v>28</v>
      </c>
      <c r="O147" s="113">
        <v>0</v>
      </c>
      <c r="P147" s="113">
        <v>0</v>
      </c>
      <c r="Q147" s="113">
        <v>0</v>
      </c>
      <c r="R147" s="113">
        <v>0</v>
      </c>
      <c r="S147" s="113">
        <v>0</v>
      </c>
      <c r="T147" s="113">
        <v>0</v>
      </c>
      <c r="U147" s="113">
        <v>1</v>
      </c>
      <c r="V147" s="113">
        <v>1</v>
      </c>
      <c r="W147" s="113">
        <v>2</v>
      </c>
      <c r="X147" s="113">
        <v>0</v>
      </c>
      <c r="Y147" s="113">
        <v>0</v>
      </c>
      <c r="Z147" s="113">
        <v>0</v>
      </c>
    </row>
    <row r="148" spans="1:26">
      <c r="A148" s="164">
        <v>144</v>
      </c>
      <c r="B148" s="255" t="s">
        <v>315</v>
      </c>
      <c r="C148" s="113">
        <v>574</v>
      </c>
      <c r="D148" s="113">
        <v>788</v>
      </c>
      <c r="E148" s="113">
        <v>1362</v>
      </c>
      <c r="F148" s="113">
        <v>38</v>
      </c>
      <c r="G148" s="113">
        <v>44</v>
      </c>
      <c r="H148" s="113">
        <v>82</v>
      </c>
      <c r="I148" s="113">
        <v>11</v>
      </c>
      <c r="J148" s="113">
        <v>20</v>
      </c>
      <c r="K148" s="113">
        <v>31</v>
      </c>
      <c r="L148" s="113">
        <v>79</v>
      </c>
      <c r="M148" s="113">
        <v>89</v>
      </c>
      <c r="N148" s="113">
        <v>168</v>
      </c>
      <c r="O148" s="113">
        <v>3</v>
      </c>
      <c r="P148" s="113">
        <v>3</v>
      </c>
      <c r="Q148" s="113">
        <v>6</v>
      </c>
      <c r="R148" s="113">
        <v>4</v>
      </c>
      <c r="S148" s="113">
        <v>7</v>
      </c>
      <c r="T148" s="113">
        <v>11</v>
      </c>
      <c r="U148" s="113">
        <v>4</v>
      </c>
      <c r="V148" s="113">
        <v>13</v>
      </c>
      <c r="W148" s="113">
        <v>17</v>
      </c>
      <c r="X148" s="113">
        <v>7</v>
      </c>
      <c r="Y148" s="113">
        <v>6</v>
      </c>
      <c r="Z148" s="113">
        <v>13</v>
      </c>
    </row>
    <row r="149" spans="1:26">
      <c r="A149" s="164">
        <v>145</v>
      </c>
      <c r="B149" s="255" t="s">
        <v>294</v>
      </c>
      <c r="C149" s="113">
        <v>6970</v>
      </c>
      <c r="D149" s="113">
        <v>4405</v>
      </c>
      <c r="E149" s="113">
        <v>11375</v>
      </c>
      <c r="F149" s="113">
        <v>763</v>
      </c>
      <c r="G149" s="113">
        <v>590</v>
      </c>
      <c r="H149" s="113">
        <v>1353</v>
      </c>
      <c r="I149" s="113">
        <v>104</v>
      </c>
      <c r="J149" s="113">
        <v>42</v>
      </c>
      <c r="K149" s="113">
        <v>146</v>
      </c>
      <c r="L149" s="113">
        <v>2693</v>
      </c>
      <c r="M149" s="113">
        <v>2014</v>
      </c>
      <c r="N149" s="113">
        <v>4707</v>
      </c>
      <c r="O149" s="113">
        <v>3</v>
      </c>
      <c r="P149" s="113">
        <v>0</v>
      </c>
      <c r="Q149" s="113">
        <v>3</v>
      </c>
      <c r="R149" s="113">
        <v>270</v>
      </c>
      <c r="S149" s="113">
        <v>119</v>
      </c>
      <c r="T149" s="113">
        <v>389</v>
      </c>
      <c r="U149" s="113">
        <v>310</v>
      </c>
      <c r="V149" s="113">
        <v>287</v>
      </c>
      <c r="W149" s="113">
        <v>597</v>
      </c>
      <c r="X149" s="113">
        <v>75</v>
      </c>
      <c r="Y149" s="113">
        <v>40</v>
      </c>
      <c r="Z149" s="113">
        <v>115</v>
      </c>
    </row>
    <row r="150" spans="1:26">
      <c r="A150" s="164">
        <v>146</v>
      </c>
      <c r="B150" s="255" t="s">
        <v>292</v>
      </c>
      <c r="C150" s="113">
        <v>8069</v>
      </c>
      <c r="D150" s="113">
        <v>16589</v>
      </c>
      <c r="E150" s="113">
        <v>24658</v>
      </c>
      <c r="F150" s="113">
        <v>2292</v>
      </c>
      <c r="G150" s="113">
        <v>3605</v>
      </c>
      <c r="H150" s="113">
        <v>5897</v>
      </c>
      <c r="I150" s="113">
        <v>626</v>
      </c>
      <c r="J150" s="113">
        <v>1153</v>
      </c>
      <c r="K150" s="113">
        <v>1779</v>
      </c>
      <c r="L150" s="113">
        <v>2222</v>
      </c>
      <c r="M150" s="113">
        <v>4069</v>
      </c>
      <c r="N150" s="113">
        <v>6291</v>
      </c>
      <c r="O150" s="113">
        <v>19</v>
      </c>
      <c r="P150" s="113">
        <v>11</v>
      </c>
      <c r="Q150" s="113">
        <v>30</v>
      </c>
      <c r="R150" s="113">
        <v>383</v>
      </c>
      <c r="S150" s="113">
        <v>657</v>
      </c>
      <c r="T150" s="113">
        <v>1040</v>
      </c>
      <c r="U150" s="113">
        <v>118</v>
      </c>
      <c r="V150" s="113">
        <v>425</v>
      </c>
      <c r="W150" s="113">
        <v>543</v>
      </c>
      <c r="X150" s="113">
        <v>92</v>
      </c>
      <c r="Y150" s="113">
        <v>187</v>
      </c>
      <c r="Z150" s="113">
        <v>279</v>
      </c>
    </row>
    <row r="151" spans="1:26">
      <c r="A151" s="164">
        <v>147</v>
      </c>
      <c r="B151" s="255" t="s">
        <v>308</v>
      </c>
      <c r="C151" s="113">
        <v>1025</v>
      </c>
      <c r="D151" s="113">
        <v>1127</v>
      </c>
      <c r="E151" s="113">
        <v>2152</v>
      </c>
      <c r="F151" s="113">
        <v>168</v>
      </c>
      <c r="G151" s="113">
        <v>111</v>
      </c>
      <c r="H151" s="113">
        <v>279</v>
      </c>
      <c r="I151" s="113">
        <v>43</v>
      </c>
      <c r="J151" s="113">
        <v>18</v>
      </c>
      <c r="K151" s="113">
        <v>61</v>
      </c>
      <c r="L151" s="113">
        <v>285</v>
      </c>
      <c r="M151" s="113">
        <v>259</v>
      </c>
      <c r="N151" s="113">
        <v>544</v>
      </c>
      <c r="O151" s="113">
        <v>1</v>
      </c>
      <c r="P151" s="113">
        <v>6</v>
      </c>
      <c r="Q151" s="113">
        <v>7</v>
      </c>
      <c r="R151" s="113">
        <v>22</v>
      </c>
      <c r="S151" s="113">
        <v>24</v>
      </c>
      <c r="T151" s="113">
        <v>46</v>
      </c>
      <c r="U151" s="113">
        <v>8</v>
      </c>
      <c r="V151" s="113">
        <v>22</v>
      </c>
      <c r="W151" s="113">
        <v>30</v>
      </c>
      <c r="X151" s="113">
        <v>4</v>
      </c>
      <c r="Y151" s="113">
        <v>5</v>
      </c>
      <c r="Z151" s="113">
        <v>9</v>
      </c>
    </row>
    <row r="152" spans="1:26">
      <c r="A152" s="164">
        <v>148</v>
      </c>
      <c r="B152" s="255" t="s">
        <v>321</v>
      </c>
      <c r="C152" s="113">
        <v>294</v>
      </c>
      <c r="D152" s="113">
        <v>247</v>
      </c>
      <c r="E152" s="113">
        <v>541</v>
      </c>
      <c r="F152" s="113">
        <v>36</v>
      </c>
      <c r="G152" s="113">
        <v>30</v>
      </c>
      <c r="H152" s="113">
        <v>66</v>
      </c>
      <c r="I152" s="113">
        <v>10</v>
      </c>
      <c r="J152" s="113">
        <v>8</v>
      </c>
      <c r="K152" s="113">
        <v>18</v>
      </c>
      <c r="L152" s="113">
        <v>17</v>
      </c>
      <c r="M152" s="113">
        <v>14</v>
      </c>
      <c r="N152" s="113">
        <v>31</v>
      </c>
      <c r="O152" s="113">
        <v>1</v>
      </c>
      <c r="P152" s="113">
        <v>0</v>
      </c>
      <c r="Q152" s="113">
        <v>1</v>
      </c>
      <c r="R152" s="113">
        <v>44</v>
      </c>
      <c r="S152" s="113">
        <v>9</v>
      </c>
      <c r="T152" s="113">
        <v>53</v>
      </c>
      <c r="U152" s="113">
        <v>0</v>
      </c>
      <c r="V152" s="113">
        <v>1</v>
      </c>
      <c r="W152" s="113">
        <v>1</v>
      </c>
      <c r="X152" s="113">
        <v>0</v>
      </c>
      <c r="Y152" s="113">
        <v>0</v>
      </c>
      <c r="Z152" s="113">
        <v>0</v>
      </c>
    </row>
    <row r="153" spans="1:26">
      <c r="A153" s="164">
        <v>149</v>
      </c>
      <c r="B153" s="255" t="s">
        <v>330</v>
      </c>
      <c r="C153" s="113">
        <v>56</v>
      </c>
      <c r="D153" s="113">
        <v>236</v>
      </c>
      <c r="E153" s="113">
        <v>292</v>
      </c>
      <c r="F153" s="113">
        <v>4</v>
      </c>
      <c r="G153" s="113">
        <v>19</v>
      </c>
      <c r="H153" s="113">
        <v>23</v>
      </c>
      <c r="I153" s="113">
        <v>4</v>
      </c>
      <c r="J153" s="113">
        <v>7</v>
      </c>
      <c r="K153" s="113">
        <v>11</v>
      </c>
      <c r="L153" s="113">
        <v>26</v>
      </c>
      <c r="M153" s="113">
        <v>53</v>
      </c>
      <c r="N153" s="113">
        <v>79</v>
      </c>
      <c r="O153" s="113">
        <v>0</v>
      </c>
      <c r="P153" s="113">
        <v>0</v>
      </c>
      <c r="Q153" s="113">
        <v>0</v>
      </c>
      <c r="R153" s="113">
        <v>4</v>
      </c>
      <c r="S153" s="113">
        <v>3</v>
      </c>
      <c r="T153" s="113">
        <v>7</v>
      </c>
      <c r="U153" s="113">
        <v>1</v>
      </c>
      <c r="V153" s="113">
        <v>5</v>
      </c>
      <c r="W153" s="113">
        <v>6</v>
      </c>
      <c r="X153" s="113">
        <v>2</v>
      </c>
      <c r="Y153" s="113">
        <v>15</v>
      </c>
      <c r="Z153" s="113">
        <v>17</v>
      </c>
    </row>
    <row r="154" spans="1:26">
      <c r="A154" s="164">
        <v>150</v>
      </c>
      <c r="B154" s="255" t="s">
        <v>327</v>
      </c>
      <c r="C154" s="113">
        <v>190</v>
      </c>
      <c r="D154" s="113">
        <v>158</v>
      </c>
      <c r="E154" s="113">
        <v>348</v>
      </c>
      <c r="F154" s="113">
        <v>19</v>
      </c>
      <c r="G154" s="113">
        <v>15</v>
      </c>
      <c r="H154" s="113">
        <v>34</v>
      </c>
      <c r="I154" s="113">
        <v>16</v>
      </c>
      <c r="J154" s="113">
        <v>8</v>
      </c>
      <c r="K154" s="113">
        <v>24</v>
      </c>
      <c r="L154" s="113">
        <v>62</v>
      </c>
      <c r="M154" s="113">
        <v>50</v>
      </c>
      <c r="N154" s="113">
        <v>112</v>
      </c>
      <c r="O154" s="113">
        <v>0</v>
      </c>
      <c r="P154" s="113">
        <v>1</v>
      </c>
      <c r="Q154" s="113">
        <v>1</v>
      </c>
      <c r="R154" s="113">
        <v>4</v>
      </c>
      <c r="S154" s="113">
        <v>5</v>
      </c>
      <c r="T154" s="113">
        <v>9</v>
      </c>
      <c r="U154" s="113">
        <v>6</v>
      </c>
      <c r="V154" s="113">
        <v>3</v>
      </c>
      <c r="W154" s="113">
        <v>9</v>
      </c>
      <c r="X154" s="113">
        <v>8</v>
      </c>
      <c r="Y154" s="113">
        <v>4</v>
      </c>
      <c r="Z154" s="113">
        <v>12</v>
      </c>
    </row>
    <row r="155" spans="1:26">
      <c r="A155" s="164">
        <v>151</v>
      </c>
      <c r="B155" s="255" t="s">
        <v>350</v>
      </c>
      <c r="C155" s="113">
        <v>2</v>
      </c>
      <c r="D155" s="113">
        <v>0</v>
      </c>
      <c r="E155" s="113">
        <v>2</v>
      </c>
      <c r="F155" s="113">
        <v>0</v>
      </c>
      <c r="G155" s="113">
        <v>0</v>
      </c>
      <c r="H155" s="113">
        <v>0</v>
      </c>
      <c r="I155" s="113">
        <v>0</v>
      </c>
      <c r="J155" s="113">
        <v>0</v>
      </c>
      <c r="K155" s="113">
        <v>0</v>
      </c>
      <c r="L155" s="113">
        <v>1</v>
      </c>
      <c r="M155" s="113">
        <v>0</v>
      </c>
      <c r="N155" s="113">
        <v>1</v>
      </c>
      <c r="O155" s="113">
        <v>0</v>
      </c>
      <c r="P155" s="113">
        <v>0</v>
      </c>
      <c r="Q155" s="113">
        <v>0</v>
      </c>
      <c r="R155" s="113">
        <v>0</v>
      </c>
      <c r="S155" s="113">
        <v>0</v>
      </c>
      <c r="T155" s="113">
        <v>0</v>
      </c>
      <c r="U155" s="113">
        <v>0</v>
      </c>
      <c r="V155" s="113">
        <v>0</v>
      </c>
      <c r="W155" s="113">
        <v>0</v>
      </c>
      <c r="X155" s="113">
        <v>0</v>
      </c>
      <c r="Y155" s="113">
        <v>0</v>
      </c>
      <c r="Z155" s="113">
        <v>0</v>
      </c>
    </row>
    <row r="156" spans="1:26">
      <c r="A156" s="164">
        <v>152</v>
      </c>
      <c r="B156" s="255" t="s">
        <v>342</v>
      </c>
      <c r="C156" s="113">
        <v>22</v>
      </c>
      <c r="D156" s="113">
        <v>103</v>
      </c>
      <c r="E156" s="113">
        <v>125</v>
      </c>
      <c r="F156" s="113">
        <v>4</v>
      </c>
      <c r="G156" s="113">
        <v>8</v>
      </c>
      <c r="H156" s="113">
        <v>12</v>
      </c>
      <c r="I156" s="113">
        <v>0</v>
      </c>
      <c r="J156" s="113">
        <v>1</v>
      </c>
      <c r="K156" s="113">
        <v>1</v>
      </c>
      <c r="L156" s="113">
        <v>4</v>
      </c>
      <c r="M156" s="113">
        <v>25</v>
      </c>
      <c r="N156" s="113">
        <v>29</v>
      </c>
      <c r="O156" s="113">
        <v>0</v>
      </c>
      <c r="P156" s="113">
        <v>0</v>
      </c>
      <c r="Q156" s="113">
        <v>0</v>
      </c>
      <c r="R156" s="113">
        <v>0</v>
      </c>
      <c r="S156" s="113">
        <v>0</v>
      </c>
      <c r="T156" s="113">
        <v>0</v>
      </c>
      <c r="U156" s="113">
        <v>0</v>
      </c>
      <c r="V156" s="113">
        <v>11</v>
      </c>
      <c r="W156" s="113">
        <v>11</v>
      </c>
      <c r="X156" s="113">
        <v>1</v>
      </c>
      <c r="Y156" s="113">
        <v>1</v>
      </c>
      <c r="Z156" s="113">
        <v>2</v>
      </c>
    </row>
    <row r="157" spans="1:26">
      <c r="A157" s="164">
        <v>153</v>
      </c>
      <c r="B157" s="255" t="s">
        <v>314</v>
      </c>
      <c r="C157" s="113">
        <v>633</v>
      </c>
      <c r="D157" s="113">
        <v>759</v>
      </c>
      <c r="E157" s="113">
        <v>1392</v>
      </c>
      <c r="F157" s="113">
        <v>48</v>
      </c>
      <c r="G157" s="113">
        <v>46</v>
      </c>
      <c r="H157" s="113">
        <v>94</v>
      </c>
      <c r="I157" s="113">
        <v>12</v>
      </c>
      <c r="J157" s="113">
        <v>8</v>
      </c>
      <c r="K157" s="113">
        <v>20</v>
      </c>
      <c r="L157" s="113">
        <v>85</v>
      </c>
      <c r="M157" s="113">
        <v>131</v>
      </c>
      <c r="N157" s="113">
        <v>216</v>
      </c>
      <c r="O157" s="113">
        <v>0</v>
      </c>
      <c r="P157" s="113">
        <v>0</v>
      </c>
      <c r="Q157" s="113">
        <v>0</v>
      </c>
      <c r="R157" s="113">
        <v>29</v>
      </c>
      <c r="S157" s="113">
        <v>27</v>
      </c>
      <c r="T157" s="113">
        <v>56</v>
      </c>
      <c r="U157" s="113">
        <v>9</v>
      </c>
      <c r="V157" s="113">
        <v>34</v>
      </c>
      <c r="W157" s="113">
        <v>43</v>
      </c>
      <c r="X157" s="113">
        <v>0</v>
      </c>
      <c r="Y157" s="113">
        <v>0</v>
      </c>
      <c r="Z157" s="113">
        <v>0</v>
      </c>
    </row>
    <row r="158" spans="1:26">
      <c r="A158" s="164">
        <v>154</v>
      </c>
      <c r="B158" s="255" t="s">
        <v>349</v>
      </c>
      <c r="C158" s="113">
        <v>38</v>
      </c>
      <c r="D158" s="113">
        <v>64</v>
      </c>
      <c r="E158" s="113">
        <v>102</v>
      </c>
      <c r="F158" s="113">
        <v>3</v>
      </c>
      <c r="G158" s="113">
        <v>5</v>
      </c>
      <c r="H158" s="113">
        <v>8</v>
      </c>
      <c r="I158" s="113">
        <v>1</v>
      </c>
      <c r="J158" s="113">
        <v>0</v>
      </c>
      <c r="K158" s="113">
        <v>1</v>
      </c>
      <c r="L158" s="113">
        <v>4</v>
      </c>
      <c r="M158" s="113">
        <v>5</v>
      </c>
      <c r="N158" s="113">
        <v>9</v>
      </c>
      <c r="O158" s="113">
        <v>0</v>
      </c>
      <c r="P158" s="113">
        <v>0</v>
      </c>
      <c r="Q158" s="113">
        <v>0</v>
      </c>
      <c r="R158" s="113">
        <v>1</v>
      </c>
      <c r="S158" s="113">
        <v>0</v>
      </c>
      <c r="T158" s="113">
        <v>1</v>
      </c>
      <c r="U158" s="113">
        <v>0</v>
      </c>
      <c r="V158" s="113">
        <v>0</v>
      </c>
      <c r="W158" s="113">
        <v>0</v>
      </c>
      <c r="X158" s="113">
        <v>0</v>
      </c>
      <c r="Y158" s="113">
        <v>0</v>
      </c>
      <c r="Z158" s="113">
        <v>0</v>
      </c>
    </row>
    <row r="159" spans="1:26">
      <c r="A159" s="164">
        <v>155</v>
      </c>
      <c r="B159" s="255" t="s">
        <v>319</v>
      </c>
      <c r="C159" s="113">
        <v>233</v>
      </c>
      <c r="D159" s="113">
        <v>402</v>
      </c>
      <c r="E159" s="113">
        <v>635</v>
      </c>
      <c r="F159" s="113">
        <v>18</v>
      </c>
      <c r="G159" s="113">
        <v>28</v>
      </c>
      <c r="H159" s="113">
        <v>46</v>
      </c>
      <c r="I159" s="113">
        <v>13</v>
      </c>
      <c r="J159" s="113">
        <v>53</v>
      </c>
      <c r="K159" s="113">
        <v>66</v>
      </c>
      <c r="L159" s="113">
        <v>75</v>
      </c>
      <c r="M159" s="113">
        <v>128</v>
      </c>
      <c r="N159" s="113">
        <v>203</v>
      </c>
      <c r="O159" s="113">
        <v>0</v>
      </c>
      <c r="P159" s="113">
        <v>0</v>
      </c>
      <c r="Q159" s="113">
        <v>0</v>
      </c>
      <c r="R159" s="113">
        <v>16</v>
      </c>
      <c r="S159" s="113">
        <v>19</v>
      </c>
      <c r="T159" s="113">
        <v>35</v>
      </c>
      <c r="U159" s="113">
        <v>1</v>
      </c>
      <c r="V159" s="113">
        <v>6</v>
      </c>
      <c r="W159" s="113">
        <v>7</v>
      </c>
      <c r="X159" s="113">
        <v>0</v>
      </c>
      <c r="Y159" s="113">
        <v>0</v>
      </c>
      <c r="Z159" s="113">
        <v>0</v>
      </c>
    </row>
    <row r="160" spans="1:26">
      <c r="A160" s="164">
        <v>156</v>
      </c>
      <c r="B160" s="255" t="s">
        <v>325</v>
      </c>
      <c r="C160" s="113">
        <v>213</v>
      </c>
      <c r="D160" s="113">
        <v>159</v>
      </c>
      <c r="E160" s="113">
        <v>372</v>
      </c>
      <c r="F160" s="113">
        <v>17</v>
      </c>
      <c r="G160" s="113">
        <v>12</v>
      </c>
      <c r="H160" s="113">
        <v>29</v>
      </c>
      <c r="I160" s="113">
        <v>3</v>
      </c>
      <c r="J160" s="113">
        <v>0</v>
      </c>
      <c r="K160" s="113">
        <v>3</v>
      </c>
      <c r="L160" s="113">
        <v>91</v>
      </c>
      <c r="M160" s="113">
        <v>67</v>
      </c>
      <c r="N160" s="113">
        <v>158</v>
      </c>
      <c r="O160" s="113">
        <v>0</v>
      </c>
      <c r="P160" s="113">
        <v>0</v>
      </c>
      <c r="Q160" s="113">
        <v>0</v>
      </c>
      <c r="R160" s="113">
        <v>17</v>
      </c>
      <c r="S160" s="113">
        <v>4</v>
      </c>
      <c r="T160" s="113">
        <v>21</v>
      </c>
      <c r="U160" s="113">
        <v>1</v>
      </c>
      <c r="V160" s="113">
        <v>4</v>
      </c>
      <c r="W160" s="113">
        <v>5</v>
      </c>
      <c r="X160" s="113">
        <v>1</v>
      </c>
      <c r="Y160" s="113">
        <v>0</v>
      </c>
      <c r="Z160" s="113">
        <v>1</v>
      </c>
    </row>
    <row r="161" spans="1:26">
      <c r="A161" s="164">
        <v>157</v>
      </c>
      <c r="B161" s="255" t="s">
        <v>307</v>
      </c>
      <c r="C161" s="113">
        <v>989</v>
      </c>
      <c r="D161" s="113">
        <v>842</v>
      </c>
      <c r="E161" s="113">
        <v>1831</v>
      </c>
      <c r="F161" s="113">
        <v>138</v>
      </c>
      <c r="G161" s="113">
        <v>65</v>
      </c>
      <c r="H161" s="113">
        <v>203</v>
      </c>
      <c r="I161" s="113">
        <v>28</v>
      </c>
      <c r="J161" s="113">
        <v>21</v>
      </c>
      <c r="K161" s="113">
        <v>49</v>
      </c>
      <c r="L161" s="113">
        <v>263</v>
      </c>
      <c r="M161" s="113">
        <v>165</v>
      </c>
      <c r="N161" s="113">
        <v>428</v>
      </c>
      <c r="O161" s="113">
        <v>0</v>
      </c>
      <c r="P161" s="113">
        <v>0</v>
      </c>
      <c r="Q161" s="113">
        <v>0</v>
      </c>
      <c r="R161" s="113">
        <v>41</v>
      </c>
      <c r="S161" s="113">
        <v>31</v>
      </c>
      <c r="T161" s="113">
        <v>72</v>
      </c>
      <c r="U161" s="113">
        <v>11</v>
      </c>
      <c r="V161" s="113">
        <v>13</v>
      </c>
      <c r="W161" s="113">
        <v>24</v>
      </c>
      <c r="X161" s="113">
        <v>18</v>
      </c>
      <c r="Y161" s="113">
        <v>8</v>
      </c>
      <c r="Z161" s="113">
        <v>26</v>
      </c>
    </row>
    <row r="162" spans="1:26">
      <c r="A162" s="164">
        <v>158</v>
      </c>
      <c r="B162" s="255" t="s">
        <v>318</v>
      </c>
      <c r="C162" s="113">
        <v>422</v>
      </c>
      <c r="D162" s="113">
        <v>297</v>
      </c>
      <c r="E162" s="113">
        <v>719</v>
      </c>
      <c r="F162" s="113">
        <v>99</v>
      </c>
      <c r="G162" s="113">
        <v>44</v>
      </c>
      <c r="H162" s="113">
        <v>143</v>
      </c>
      <c r="I162" s="113">
        <v>37</v>
      </c>
      <c r="J162" s="113">
        <v>16</v>
      </c>
      <c r="K162" s="113">
        <v>53</v>
      </c>
      <c r="L162" s="113">
        <v>87</v>
      </c>
      <c r="M162" s="113">
        <v>48</v>
      </c>
      <c r="N162" s="113">
        <v>135</v>
      </c>
      <c r="O162" s="113">
        <v>0</v>
      </c>
      <c r="P162" s="113">
        <v>0</v>
      </c>
      <c r="Q162" s="113">
        <v>0</v>
      </c>
      <c r="R162" s="113">
        <v>4</v>
      </c>
      <c r="S162" s="113">
        <v>1</v>
      </c>
      <c r="T162" s="113">
        <v>5</v>
      </c>
      <c r="U162" s="113">
        <v>4</v>
      </c>
      <c r="V162" s="113">
        <v>7</v>
      </c>
      <c r="W162" s="113">
        <v>11</v>
      </c>
      <c r="X162" s="113">
        <v>6</v>
      </c>
      <c r="Y162" s="113">
        <v>3</v>
      </c>
      <c r="Z162" s="113">
        <v>9</v>
      </c>
    </row>
    <row r="163" spans="1:26">
      <c r="A163" s="164">
        <v>159</v>
      </c>
      <c r="B163" s="255" t="s">
        <v>324</v>
      </c>
      <c r="C163" s="113">
        <v>303</v>
      </c>
      <c r="D163" s="113">
        <v>189</v>
      </c>
      <c r="E163" s="113">
        <v>492</v>
      </c>
      <c r="F163" s="113">
        <v>57</v>
      </c>
      <c r="G163" s="113">
        <v>27</v>
      </c>
      <c r="H163" s="113">
        <v>84</v>
      </c>
      <c r="I163" s="113">
        <v>13</v>
      </c>
      <c r="J163" s="113">
        <v>7</v>
      </c>
      <c r="K163" s="113">
        <v>20</v>
      </c>
      <c r="L163" s="113">
        <v>64</v>
      </c>
      <c r="M163" s="113">
        <v>50</v>
      </c>
      <c r="N163" s="113">
        <v>114</v>
      </c>
      <c r="O163" s="113">
        <v>0</v>
      </c>
      <c r="P163" s="113">
        <v>0</v>
      </c>
      <c r="Q163" s="113">
        <v>0</v>
      </c>
      <c r="R163" s="113">
        <v>2</v>
      </c>
      <c r="S163" s="113">
        <v>1</v>
      </c>
      <c r="T163" s="113">
        <v>3</v>
      </c>
      <c r="U163" s="113">
        <v>0</v>
      </c>
      <c r="V163" s="113">
        <v>0</v>
      </c>
      <c r="W163" s="113">
        <v>0</v>
      </c>
      <c r="X163" s="113">
        <v>1</v>
      </c>
      <c r="Y163" s="113">
        <v>1</v>
      </c>
      <c r="Z163" s="113">
        <v>2</v>
      </c>
    </row>
    <row r="164" spans="1:26">
      <c r="A164" s="164">
        <v>160</v>
      </c>
      <c r="B164" s="255" t="s">
        <v>305</v>
      </c>
      <c r="C164" s="113">
        <v>1894</v>
      </c>
      <c r="D164" s="113">
        <v>1850</v>
      </c>
      <c r="E164" s="113">
        <v>3744</v>
      </c>
      <c r="F164" s="113">
        <v>277</v>
      </c>
      <c r="G164" s="113">
        <v>213</v>
      </c>
      <c r="H164" s="113">
        <v>490</v>
      </c>
      <c r="I164" s="113">
        <v>146</v>
      </c>
      <c r="J164" s="113">
        <v>140</v>
      </c>
      <c r="K164" s="113">
        <v>286</v>
      </c>
      <c r="L164" s="113">
        <v>702</v>
      </c>
      <c r="M164" s="113">
        <v>552</v>
      </c>
      <c r="N164" s="113">
        <v>1254</v>
      </c>
      <c r="O164" s="113">
        <v>8</v>
      </c>
      <c r="P164" s="113">
        <v>3</v>
      </c>
      <c r="Q164" s="113">
        <v>11</v>
      </c>
      <c r="R164" s="113">
        <v>29</v>
      </c>
      <c r="S164" s="113">
        <v>18</v>
      </c>
      <c r="T164" s="113">
        <v>47</v>
      </c>
      <c r="U164" s="113">
        <v>16</v>
      </c>
      <c r="V164" s="113">
        <v>24</v>
      </c>
      <c r="W164" s="113">
        <v>40</v>
      </c>
      <c r="X164" s="113">
        <v>22</v>
      </c>
      <c r="Y164" s="113">
        <v>13</v>
      </c>
      <c r="Z164" s="113">
        <v>35</v>
      </c>
    </row>
    <row r="165" spans="1:26">
      <c r="A165" s="164">
        <v>161</v>
      </c>
      <c r="B165" s="255" t="s">
        <v>309</v>
      </c>
      <c r="C165" s="113">
        <v>1662</v>
      </c>
      <c r="D165" s="113">
        <v>1870</v>
      </c>
      <c r="E165" s="113">
        <v>3532</v>
      </c>
      <c r="F165" s="113">
        <v>273</v>
      </c>
      <c r="G165" s="113">
        <v>231</v>
      </c>
      <c r="H165" s="113">
        <v>504</v>
      </c>
      <c r="I165" s="113">
        <v>170</v>
      </c>
      <c r="J165" s="113">
        <v>134</v>
      </c>
      <c r="K165" s="113">
        <v>304</v>
      </c>
      <c r="L165" s="113">
        <v>726</v>
      </c>
      <c r="M165" s="113">
        <v>654</v>
      </c>
      <c r="N165" s="113">
        <v>1380</v>
      </c>
      <c r="O165" s="113">
        <v>0</v>
      </c>
      <c r="P165" s="113">
        <v>0</v>
      </c>
      <c r="Q165" s="113">
        <v>0</v>
      </c>
      <c r="R165" s="113">
        <v>44</v>
      </c>
      <c r="S165" s="113">
        <v>46</v>
      </c>
      <c r="T165" s="113">
        <v>90</v>
      </c>
      <c r="U165" s="113">
        <v>33</v>
      </c>
      <c r="V165" s="113">
        <v>57</v>
      </c>
      <c r="W165" s="113">
        <v>90</v>
      </c>
      <c r="X165" s="113">
        <v>26</v>
      </c>
      <c r="Y165" s="113">
        <v>28</v>
      </c>
      <c r="Z165" s="113">
        <v>54</v>
      </c>
    </row>
    <row r="166" spans="1:26">
      <c r="A166" s="164">
        <v>162</v>
      </c>
      <c r="B166" s="255" t="s">
        <v>345</v>
      </c>
      <c r="C166" s="113">
        <v>27</v>
      </c>
      <c r="D166" s="113">
        <v>77</v>
      </c>
      <c r="E166" s="113">
        <v>104</v>
      </c>
      <c r="F166" s="113">
        <v>7</v>
      </c>
      <c r="G166" s="113">
        <v>10</v>
      </c>
      <c r="H166" s="113">
        <v>17</v>
      </c>
      <c r="I166" s="113">
        <v>0</v>
      </c>
      <c r="J166" s="113">
        <v>0</v>
      </c>
      <c r="K166" s="113">
        <v>0</v>
      </c>
      <c r="L166" s="113">
        <v>16</v>
      </c>
      <c r="M166" s="113">
        <v>61</v>
      </c>
      <c r="N166" s="113">
        <v>77</v>
      </c>
      <c r="O166" s="113">
        <v>0</v>
      </c>
      <c r="P166" s="113">
        <v>0</v>
      </c>
      <c r="Q166" s="113">
        <v>0</v>
      </c>
      <c r="R166" s="113">
        <v>2</v>
      </c>
      <c r="S166" s="113">
        <v>0</v>
      </c>
      <c r="T166" s="113">
        <v>2</v>
      </c>
      <c r="U166" s="113">
        <v>1</v>
      </c>
      <c r="V166" s="113">
        <v>28</v>
      </c>
      <c r="W166" s="113">
        <v>29</v>
      </c>
      <c r="X166" s="113">
        <v>0</v>
      </c>
      <c r="Y166" s="113">
        <v>0</v>
      </c>
      <c r="Z166" s="113">
        <v>0</v>
      </c>
    </row>
    <row r="167" spans="1:26">
      <c r="A167" s="164">
        <v>163</v>
      </c>
      <c r="B167" s="255" t="s">
        <v>336</v>
      </c>
      <c r="C167" s="113">
        <v>135</v>
      </c>
      <c r="D167" s="113">
        <v>186</v>
      </c>
      <c r="E167" s="113">
        <v>321</v>
      </c>
      <c r="F167" s="113">
        <v>9</v>
      </c>
      <c r="G167" s="113">
        <v>20</v>
      </c>
      <c r="H167" s="113">
        <v>29</v>
      </c>
      <c r="I167" s="113">
        <v>1</v>
      </c>
      <c r="J167" s="113">
        <v>2</v>
      </c>
      <c r="K167" s="113">
        <v>3</v>
      </c>
      <c r="L167" s="113">
        <v>14</v>
      </c>
      <c r="M167" s="113">
        <v>17</v>
      </c>
      <c r="N167" s="113">
        <v>31</v>
      </c>
      <c r="O167" s="113">
        <v>0</v>
      </c>
      <c r="P167" s="113">
        <v>0</v>
      </c>
      <c r="Q167" s="113">
        <v>0</v>
      </c>
      <c r="R167" s="113">
        <v>3</v>
      </c>
      <c r="S167" s="113">
        <v>1</v>
      </c>
      <c r="T167" s="113">
        <v>4</v>
      </c>
      <c r="U167" s="113">
        <v>12</v>
      </c>
      <c r="V167" s="113">
        <v>27</v>
      </c>
      <c r="W167" s="113">
        <v>39</v>
      </c>
      <c r="X167" s="113">
        <v>0</v>
      </c>
      <c r="Y167" s="113">
        <v>0</v>
      </c>
      <c r="Z167" s="113">
        <v>0</v>
      </c>
    </row>
    <row r="168" spans="1:26">
      <c r="A168" s="164">
        <v>164</v>
      </c>
      <c r="B168" s="255" t="s">
        <v>304</v>
      </c>
      <c r="C168" s="113">
        <v>1581</v>
      </c>
      <c r="D168" s="113">
        <v>1105</v>
      </c>
      <c r="E168" s="113">
        <v>2686</v>
      </c>
      <c r="F168" s="113">
        <v>160</v>
      </c>
      <c r="G168" s="113">
        <v>94</v>
      </c>
      <c r="H168" s="113">
        <v>254</v>
      </c>
      <c r="I168" s="113">
        <v>49</v>
      </c>
      <c r="J168" s="113">
        <v>39</v>
      </c>
      <c r="K168" s="113">
        <v>88</v>
      </c>
      <c r="L168" s="113">
        <v>275</v>
      </c>
      <c r="M168" s="113">
        <v>233</v>
      </c>
      <c r="N168" s="113">
        <v>508</v>
      </c>
      <c r="O168" s="113">
        <v>1</v>
      </c>
      <c r="P168" s="113">
        <v>0</v>
      </c>
      <c r="Q168" s="113">
        <v>1</v>
      </c>
      <c r="R168" s="113">
        <v>33</v>
      </c>
      <c r="S168" s="113">
        <v>26</v>
      </c>
      <c r="T168" s="113">
        <v>59</v>
      </c>
      <c r="U168" s="113">
        <v>75</v>
      </c>
      <c r="V168" s="113">
        <v>56</v>
      </c>
      <c r="W168" s="113">
        <v>131</v>
      </c>
      <c r="X168" s="113">
        <v>15</v>
      </c>
      <c r="Y168" s="113">
        <v>10</v>
      </c>
      <c r="Z168" s="113">
        <v>25</v>
      </c>
    </row>
    <row r="169" spans="1:26">
      <c r="A169" s="164">
        <v>165</v>
      </c>
      <c r="B169" s="255" t="s">
        <v>328</v>
      </c>
      <c r="C169" s="113">
        <v>157</v>
      </c>
      <c r="D169" s="113">
        <v>79</v>
      </c>
      <c r="E169" s="113">
        <v>236</v>
      </c>
      <c r="F169" s="113">
        <v>9</v>
      </c>
      <c r="G169" s="113">
        <v>4</v>
      </c>
      <c r="H169" s="113">
        <v>13</v>
      </c>
      <c r="I169" s="113">
        <v>4</v>
      </c>
      <c r="J169" s="113">
        <v>1</v>
      </c>
      <c r="K169" s="113">
        <v>5</v>
      </c>
      <c r="L169" s="113">
        <v>47</v>
      </c>
      <c r="M169" s="113">
        <v>23</v>
      </c>
      <c r="N169" s="113">
        <v>70</v>
      </c>
      <c r="O169" s="113">
        <v>0</v>
      </c>
      <c r="P169" s="113">
        <v>0</v>
      </c>
      <c r="Q169" s="113">
        <v>0</v>
      </c>
      <c r="R169" s="113">
        <v>0</v>
      </c>
      <c r="S169" s="113">
        <v>0</v>
      </c>
      <c r="T169" s="113">
        <v>0</v>
      </c>
      <c r="U169" s="113">
        <v>0</v>
      </c>
      <c r="V169" s="113">
        <v>0</v>
      </c>
      <c r="W169" s="113">
        <v>0</v>
      </c>
      <c r="X169" s="113">
        <v>0</v>
      </c>
      <c r="Y169" s="113">
        <v>0</v>
      </c>
      <c r="Z169" s="113">
        <v>0</v>
      </c>
    </row>
    <row r="170" spans="1:26">
      <c r="A170" s="164">
        <v>166</v>
      </c>
      <c r="B170" s="255" t="s">
        <v>323</v>
      </c>
      <c r="C170" s="113">
        <v>274</v>
      </c>
      <c r="D170" s="113">
        <v>488</v>
      </c>
      <c r="E170" s="113">
        <v>762</v>
      </c>
      <c r="F170" s="113">
        <v>41</v>
      </c>
      <c r="G170" s="113">
        <v>47</v>
      </c>
      <c r="H170" s="113">
        <v>88</v>
      </c>
      <c r="I170" s="113">
        <v>11</v>
      </c>
      <c r="J170" s="113">
        <v>18</v>
      </c>
      <c r="K170" s="113">
        <v>29</v>
      </c>
      <c r="L170" s="113">
        <v>62</v>
      </c>
      <c r="M170" s="113">
        <v>84</v>
      </c>
      <c r="N170" s="113">
        <v>146</v>
      </c>
      <c r="O170" s="113">
        <v>0</v>
      </c>
      <c r="P170" s="113">
        <v>1</v>
      </c>
      <c r="Q170" s="113">
        <v>1</v>
      </c>
      <c r="R170" s="113">
        <v>1</v>
      </c>
      <c r="S170" s="113">
        <v>0</v>
      </c>
      <c r="T170" s="113">
        <v>1</v>
      </c>
      <c r="U170" s="113">
        <v>11</v>
      </c>
      <c r="V170" s="113">
        <v>7</v>
      </c>
      <c r="W170" s="113">
        <v>18</v>
      </c>
      <c r="X170" s="113">
        <v>7</v>
      </c>
      <c r="Y170" s="113">
        <v>0</v>
      </c>
      <c r="Z170" s="113">
        <v>7</v>
      </c>
    </row>
    <row r="171" spans="1:26">
      <c r="A171" s="164">
        <v>167</v>
      </c>
      <c r="B171" s="255" t="s">
        <v>340</v>
      </c>
      <c r="C171" s="113">
        <v>14</v>
      </c>
      <c r="D171" s="113">
        <v>4</v>
      </c>
      <c r="E171" s="113">
        <v>18</v>
      </c>
      <c r="F171" s="113">
        <v>0</v>
      </c>
      <c r="G171" s="113">
        <v>0</v>
      </c>
      <c r="H171" s="113">
        <v>0</v>
      </c>
      <c r="I171" s="113">
        <v>0</v>
      </c>
      <c r="J171" s="113">
        <v>0</v>
      </c>
      <c r="K171" s="113">
        <v>0</v>
      </c>
      <c r="L171" s="113">
        <v>0</v>
      </c>
      <c r="M171" s="113">
        <v>0</v>
      </c>
      <c r="N171" s="113">
        <v>0</v>
      </c>
      <c r="O171" s="113">
        <v>0</v>
      </c>
      <c r="P171" s="113">
        <v>0</v>
      </c>
      <c r="Q171" s="113">
        <v>0</v>
      </c>
      <c r="R171" s="113">
        <v>14</v>
      </c>
      <c r="S171" s="113">
        <v>4</v>
      </c>
      <c r="T171" s="113">
        <v>18</v>
      </c>
      <c r="U171" s="113">
        <v>0</v>
      </c>
      <c r="V171" s="113">
        <v>0</v>
      </c>
      <c r="W171" s="113">
        <v>0</v>
      </c>
      <c r="X171" s="113">
        <v>0</v>
      </c>
      <c r="Y171" s="113">
        <v>0</v>
      </c>
      <c r="Z171" s="113">
        <v>0</v>
      </c>
    </row>
    <row r="172" spans="1:26">
      <c r="A172" s="164">
        <v>168</v>
      </c>
      <c r="B172" s="255" t="s">
        <v>339</v>
      </c>
      <c r="C172" s="113">
        <v>44</v>
      </c>
      <c r="D172" s="113">
        <v>113</v>
      </c>
      <c r="E172" s="113">
        <v>157</v>
      </c>
      <c r="F172" s="113">
        <v>3</v>
      </c>
      <c r="G172" s="113">
        <v>6</v>
      </c>
      <c r="H172" s="113">
        <v>9</v>
      </c>
      <c r="I172" s="113">
        <v>0</v>
      </c>
      <c r="J172" s="113">
        <v>1</v>
      </c>
      <c r="K172" s="113">
        <v>1</v>
      </c>
      <c r="L172" s="113">
        <v>12</v>
      </c>
      <c r="M172" s="113">
        <v>28</v>
      </c>
      <c r="N172" s="113">
        <v>40</v>
      </c>
      <c r="O172" s="113">
        <v>0</v>
      </c>
      <c r="P172" s="113">
        <v>0</v>
      </c>
      <c r="Q172" s="113">
        <v>0</v>
      </c>
      <c r="R172" s="113">
        <v>0</v>
      </c>
      <c r="S172" s="113">
        <v>5</v>
      </c>
      <c r="T172" s="113">
        <v>5</v>
      </c>
      <c r="U172" s="113">
        <v>1</v>
      </c>
      <c r="V172" s="113">
        <v>13</v>
      </c>
      <c r="W172" s="113">
        <v>14</v>
      </c>
      <c r="X172" s="113">
        <v>0</v>
      </c>
      <c r="Y172" s="113">
        <v>0</v>
      </c>
      <c r="Z172" s="113">
        <v>0</v>
      </c>
    </row>
    <row r="173" spans="1:26">
      <c r="A173" s="164">
        <v>169</v>
      </c>
      <c r="B173" s="255" t="s">
        <v>331</v>
      </c>
      <c r="C173" s="113">
        <v>71</v>
      </c>
      <c r="D173" s="113">
        <v>148</v>
      </c>
      <c r="E173" s="113">
        <v>219</v>
      </c>
      <c r="F173" s="113">
        <v>2</v>
      </c>
      <c r="G173" s="113">
        <v>4</v>
      </c>
      <c r="H173" s="113">
        <v>6</v>
      </c>
      <c r="I173" s="113">
        <v>0</v>
      </c>
      <c r="J173" s="113">
        <v>7</v>
      </c>
      <c r="K173" s="113">
        <v>7</v>
      </c>
      <c r="L173" s="113">
        <v>11</v>
      </c>
      <c r="M173" s="113">
        <v>23</v>
      </c>
      <c r="N173" s="113">
        <v>34</v>
      </c>
      <c r="O173" s="113">
        <v>0</v>
      </c>
      <c r="P173" s="113">
        <v>0</v>
      </c>
      <c r="Q173" s="113">
        <v>0</v>
      </c>
      <c r="R173" s="113">
        <v>6</v>
      </c>
      <c r="S173" s="113">
        <v>7</v>
      </c>
      <c r="T173" s="113">
        <v>13</v>
      </c>
      <c r="U173" s="113">
        <v>0</v>
      </c>
      <c r="V173" s="113">
        <v>1</v>
      </c>
      <c r="W173" s="113">
        <v>1</v>
      </c>
      <c r="X173" s="113">
        <v>1</v>
      </c>
      <c r="Y173" s="113">
        <v>1</v>
      </c>
      <c r="Z173" s="113">
        <v>2</v>
      </c>
    </row>
    <row r="174" spans="1:26">
      <c r="A174" s="164">
        <v>170</v>
      </c>
      <c r="B174" s="255" t="s">
        <v>326</v>
      </c>
      <c r="C174" s="113">
        <v>297</v>
      </c>
      <c r="D174" s="113">
        <v>374</v>
      </c>
      <c r="E174" s="113">
        <v>671</v>
      </c>
      <c r="F174" s="113">
        <v>50</v>
      </c>
      <c r="G174" s="113">
        <v>30</v>
      </c>
      <c r="H174" s="113">
        <v>80</v>
      </c>
      <c r="I174" s="113">
        <v>8</v>
      </c>
      <c r="J174" s="113">
        <v>5</v>
      </c>
      <c r="K174" s="113">
        <v>13</v>
      </c>
      <c r="L174" s="113">
        <v>73</v>
      </c>
      <c r="M174" s="113">
        <v>77</v>
      </c>
      <c r="N174" s="113">
        <v>150</v>
      </c>
      <c r="O174" s="113">
        <v>1</v>
      </c>
      <c r="P174" s="113">
        <v>0</v>
      </c>
      <c r="Q174" s="113">
        <v>1</v>
      </c>
      <c r="R174" s="113">
        <v>1</v>
      </c>
      <c r="S174" s="113">
        <v>0</v>
      </c>
      <c r="T174" s="113">
        <v>1</v>
      </c>
      <c r="U174" s="113">
        <v>0</v>
      </c>
      <c r="V174" s="113">
        <v>0</v>
      </c>
      <c r="W174" s="113">
        <v>0</v>
      </c>
      <c r="X174" s="113">
        <v>2</v>
      </c>
      <c r="Y174" s="113">
        <v>3</v>
      </c>
      <c r="Z174" s="113">
        <v>5</v>
      </c>
    </row>
    <row r="175" spans="1:26">
      <c r="A175" s="164">
        <v>171</v>
      </c>
      <c r="B175" s="255" t="s">
        <v>329</v>
      </c>
      <c r="C175" s="113">
        <v>423</v>
      </c>
      <c r="D175" s="113">
        <v>216</v>
      </c>
      <c r="E175" s="113">
        <v>639</v>
      </c>
      <c r="F175" s="113">
        <v>51</v>
      </c>
      <c r="G175" s="113">
        <v>27</v>
      </c>
      <c r="H175" s="113">
        <v>78</v>
      </c>
      <c r="I175" s="113">
        <v>46</v>
      </c>
      <c r="J175" s="113">
        <v>17</v>
      </c>
      <c r="K175" s="113">
        <v>63</v>
      </c>
      <c r="L175" s="113">
        <v>125</v>
      </c>
      <c r="M175" s="113">
        <v>64</v>
      </c>
      <c r="N175" s="113">
        <v>189</v>
      </c>
      <c r="O175" s="113">
        <v>0</v>
      </c>
      <c r="P175" s="113">
        <v>0</v>
      </c>
      <c r="Q175" s="113">
        <v>0</v>
      </c>
      <c r="R175" s="113">
        <v>9</v>
      </c>
      <c r="S175" s="113">
        <v>1</v>
      </c>
      <c r="T175" s="113">
        <v>10</v>
      </c>
      <c r="U175" s="113">
        <v>6</v>
      </c>
      <c r="V175" s="113">
        <v>5</v>
      </c>
      <c r="W175" s="113">
        <v>11</v>
      </c>
      <c r="X175" s="113">
        <v>1</v>
      </c>
      <c r="Y175" s="113">
        <v>0</v>
      </c>
      <c r="Z175" s="113">
        <v>1</v>
      </c>
    </row>
    <row r="176" spans="1:26">
      <c r="A176" s="164">
        <v>172</v>
      </c>
      <c r="B176" s="255" t="s">
        <v>302</v>
      </c>
      <c r="C176" s="113">
        <v>3314</v>
      </c>
      <c r="D176" s="113">
        <v>1488</v>
      </c>
      <c r="E176" s="113">
        <v>4802</v>
      </c>
      <c r="F176" s="113">
        <v>422</v>
      </c>
      <c r="G176" s="113">
        <v>191</v>
      </c>
      <c r="H176" s="113">
        <v>613</v>
      </c>
      <c r="I176" s="113">
        <v>149</v>
      </c>
      <c r="J176" s="113">
        <v>70</v>
      </c>
      <c r="K176" s="113">
        <v>219</v>
      </c>
      <c r="L176" s="113">
        <v>886</v>
      </c>
      <c r="M176" s="113">
        <v>422</v>
      </c>
      <c r="N176" s="113">
        <v>1308</v>
      </c>
      <c r="O176" s="113">
        <v>0</v>
      </c>
      <c r="P176" s="113">
        <v>0</v>
      </c>
      <c r="Q176" s="113">
        <v>0</v>
      </c>
      <c r="R176" s="113">
        <v>85</v>
      </c>
      <c r="S176" s="113">
        <v>39</v>
      </c>
      <c r="T176" s="113">
        <v>124</v>
      </c>
      <c r="U176" s="113">
        <v>76</v>
      </c>
      <c r="V176" s="113">
        <v>26</v>
      </c>
      <c r="W176" s="113">
        <v>102</v>
      </c>
      <c r="X176" s="113">
        <v>23</v>
      </c>
      <c r="Y176" s="113">
        <v>13</v>
      </c>
      <c r="Z176" s="113">
        <v>36</v>
      </c>
    </row>
    <row r="177" spans="1:26">
      <c r="A177" s="164">
        <v>173</v>
      </c>
      <c r="B177" s="255" t="s">
        <v>317</v>
      </c>
      <c r="C177" s="113">
        <v>419</v>
      </c>
      <c r="D177" s="113">
        <v>668</v>
      </c>
      <c r="E177" s="113">
        <v>1087</v>
      </c>
      <c r="F177" s="113">
        <v>29</v>
      </c>
      <c r="G177" s="113">
        <v>31</v>
      </c>
      <c r="H177" s="113">
        <v>60</v>
      </c>
      <c r="I177" s="113">
        <v>13</v>
      </c>
      <c r="J177" s="113">
        <v>35</v>
      </c>
      <c r="K177" s="113">
        <v>48</v>
      </c>
      <c r="L177" s="113">
        <v>78</v>
      </c>
      <c r="M177" s="113">
        <v>123</v>
      </c>
      <c r="N177" s="113">
        <v>201</v>
      </c>
      <c r="O177" s="113">
        <v>0</v>
      </c>
      <c r="P177" s="113">
        <v>0</v>
      </c>
      <c r="Q177" s="113">
        <v>0</v>
      </c>
      <c r="R177" s="113">
        <v>12</v>
      </c>
      <c r="S177" s="113">
        <v>13</v>
      </c>
      <c r="T177" s="113">
        <v>25</v>
      </c>
      <c r="U177" s="113">
        <v>8</v>
      </c>
      <c r="V177" s="113">
        <v>33</v>
      </c>
      <c r="W177" s="113">
        <v>41</v>
      </c>
      <c r="X177" s="113">
        <v>3</v>
      </c>
      <c r="Y177" s="113">
        <v>2</v>
      </c>
      <c r="Z177" s="113">
        <v>5</v>
      </c>
    </row>
    <row r="178" spans="1:26">
      <c r="A178" s="164">
        <v>174</v>
      </c>
      <c r="B178" s="255" t="s">
        <v>979</v>
      </c>
      <c r="C178" s="113">
        <v>3</v>
      </c>
      <c r="D178" s="113">
        <v>6</v>
      </c>
      <c r="E178" s="113">
        <v>9</v>
      </c>
      <c r="F178" s="113">
        <v>1</v>
      </c>
      <c r="G178" s="113">
        <v>0</v>
      </c>
      <c r="H178" s="113">
        <v>1</v>
      </c>
      <c r="I178" s="113">
        <v>0</v>
      </c>
      <c r="J178" s="113">
        <v>1</v>
      </c>
      <c r="K178" s="113">
        <v>1</v>
      </c>
      <c r="L178" s="113">
        <v>1</v>
      </c>
      <c r="M178" s="113">
        <v>2</v>
      </c>
      <c r="N178" s="113">
        <v>3</v>
      </c>
      <c r="O178" s="113">
        <v>0</v>
      </c>
      <c r="P178" s="113">
        <v>0</v>
      </c>
      <c r="Q178" s="113">
        <v>0</v>
      </c>
      <c r="R178" s="113">
        <v>0</v>
      </c>
      <c r="S178" s="113">
        <v>0</v>
      </c>
      <c r="T178" s="113">
        <v>0</v>
      </c>
      <c r="U178" s="113">
        <v>0</v>
      </c>
      <c r="V178" s="113">
        <v>0</v>
      </c>
      <c r="W178" s="113">
        <v>0</v>
      </c>
      <c r="X178" s="113">
        <v>0</v>
      </c>
      <c r="Y178" s="113">
        <v>0</v>
      </c>
      <c r="Z178" s="113">
        <v>0</v>
      </c>
    </row>
    <row r="179" spans="1:26">
      <c r="A179" s="164">
        <v>175</v>
      </c>
      <c r="B179" s="255" t="s">
        <v>332</v>
      </c>
      <c r="C179" s="113">
        <v>43</v>
      </c>
      <c r="D179" s="113">
        <v>18</v>
      </c>
      <c r="E179" s="113">
        <v>61</v>
      </c>
      <c r="F179" s="113">
        <v>8</v>
      </c>
      <c r="G179" s="113">
        <v>2</v>
      </c>
      <c r="H179" s="113">
        <v>10</v>
      </c>
      <c r="I179" s="113">
        <v>2</v>
      </c>
      <c r="J179" s="113">
        <v>1</v>
      </c>
      <c r="K179" s="113">
        <v>3</v>
      </c>
      <c r="L179" s="113">
        <v>14</v>
      </c>
      <c r="M179" s="113">
        <v>1</v>
      </c>
      <c r="N179" s="113">
        <v>15</v>
      </c>
      <c r="O179" s="113">
        <v>1</v>
      </c>
      <c r="P179" s="113">
        <v>0</v>
      </c>
      <c r="Q179" s="113">
        <v>1</v>
      </c>
      <c r="R179" s="113">
        <v>6</v>
      </c>
      <c r="S179" s="113">
        <v>0</v>
      </c>
      <c r="T179" s="113">
        <v>6</v>
      </c>
      <c r="U179" s="113">
        <v>1</v>
      </c>
      <c r="V179" s="113">
        <v>4</v>
      </c>
      <c r="W179" s="113">
        <v>5</v>
      </c>
      <c r="X179" s="113">
        <v>4</v>
      </c>
      <c r="Y179" s="113">
        <v>2</v>
      </c>
      <c r="Z179" s="113">
        <v>6</v>
      </c>
    </row>
    <row r="180" spans="1:26">
      <c r="A180" s="164">
        <v>176</v>
      </c>
      <c r="B180" s="255" t="s">
        <v>306</v>
      </c>
      <c r="C180" s="113">
        <v>934</v>
      </c>
      <c r="D180" s="113">
        <v>2111</v>
      </c>
      <c r="E180" s="113">
        <v>3045</v>
      </c>
      <c r="F180" s="113">
        <v>98</v>
      </c>
      <c r="G180" s="113">
        <v>112</v>
      </c>
      <c r="H180" s="113">
        <v>210</v>
      </c>
      <c r="I180" s="113">
        <v>14</v>
      </c>
      <c r="J180" s="113">
        <v>34</v>
      </c>
      <c r="K180" s="113">
        <v>48</v>
      </c>
      <c r="L180" s="113">
        <v>237</v>
      </c>
      <c r="M180" s="113">
        <v>410</v>
      </c>
      <c r="N180" s="113">
        <v>647</v>
      </c>
      <c r="O180" s="113">
        <v>0</v>
      </c>
      <c r="P180" s="113">
        <v>0</v>
      </c>
      <c r="Q180" s="113">
        <v>0</v>
      </c>
      <c r="R180" s="113">
        <v>32</v>
      </c>
      <c r="S180" s="113">
        <v>77</v>
      </c>
      <c r="T180" s="113">
        <v>109</v>
      </c>
      <c r="U180" s="113">
        <v>37</v>
      </c>
      <c r="V180" s="113">
        <v>81</v>
      </c>
      <c r="W180" s="113">
        <v>118</v>
      </c>
      <c r="X180" s="113">
        <v>4</v>
      </c>
      <c r="Y180" s="113">
        <v>19</v>
      </c>
      <c r="Z180" s="113">
        <v>23</v>
      </c>
    </row>
    <row r="181" spans="1:26">
      <c r="A181" s="164">
        <v>177</v>
      </c>
      <c r="B181" s="255" t="s">
        <v>293</v>
      </c>
      <c r="C181" s="113">
        <v>6914</v>
      </c>
      <c r="D181" s="113">
        <v>8247</v>
      </c>
      <c r="E181" s="113">
        <v>15161</v>
      </c>
      <c r="F181" s="113">
        <v>751</v>
      </c>
      <c r="G181" s="113">
        <v>912</v>
      </c>
      <c r="H181" s="113">
        <v>1663</v>
      </c>
      <c r="I181" s="113">
        <v>216</v>
      </c>
      <c r="J181" s="113">
        <v>265</v>
      </c>
      <c r="K181" s="113">
        <v>481</v>
      </c>
      <c r="L181" s="113">
        <v>2419</v>
      </c>
      <c r="M181" s="113">
        <v>2816</v>
      </c>
      <c r="N181" s="113">
        <v>5235</v>
      </c>
      <c r="O181" s="113">
        <v>4</v>
      </c>
      <c r="P181" s="113">
        <v>11</v>
      </c>
      <c r="Q181" s="113">
        <v>15</v>
      </c>
      <c r="R181" s="113">
        <v>243</v>
      </c>
      <c r="S181" s="113">
        <v>306</v>
      </c>
      <c r="T181" s="113">
        <v>549</v>
      </c>
      <c r="U181" s="113">
        <v>69</v>
      </c>
      <c r="V181" s="113">
        <v>138</v>
      </c>
      <c r="W181" s="113">
        <v>207</v>
      </c>
      <c r="X181" s="113">
        <v>126</v>
      </c>
      <c r="Y181" s="113">
        <v>142</v>
      </c>
      <c r="Z181" s="113">
        <v>268</v>
      </c>
    </row>
    <row r="182" spans="1:26">
      <c r="A182" s="164">
        <v>178</v>
      </c>
      <c r="B182" s="255" t="s">
        <v>283</v>
      </c>
      <c r="C182" s="113">
        <v>1979</v>
      </c>
      <c r="D182" s="113">
        <v>4008</v>
      </c>
      <c r="E182" s="113">
        <v>5987</v>
      </c>
      <c r="F182" s="113">
        <v>303</v>
      </c>
      <c r="G182" s="113">
        <v>460</v>
      </c>
      <c r="H182" s="113">
        <v>763</v>
      </c>
      <c r="I182" s="113">
        <v>51</v>
      </c>
      <c r="J182" s="113">
        <v>80</v>
      </c>
      <c r="K182" s="113">
        <v>131</v>
      </c>
      <c r="L182" s="113">
        <v>585</v>
      </c>
      <c r="M182" s="113">
        <v>1668</v>
      </c>
      <c r="N182" s="113">
        <v>2253</v>
      </c>
      <c r="O182" s="113">
        <v>5</v>
      </c>
      <c r="P182" s="113">
        <v>1</v>
      </c>
      <c r="Q182" s="113">
        <v>6</v>
      </c>
      <c r="R182" s="113">
        <v>40</v>
      </c>
      <c r="S182" s="113">
        <v>64</v>
      </c>
      <c r="T182" s="113">
        <v>104</v>
      </c>
      <c r="U182" s="113">
        <v>51</v>
      </c>
      <c r="V182" s="113">
        <v>225</v>
      </c>
      <c r="W182" s="113">
        <v>276</v>
      </c>
      <c r="X182" s="113">
        <v>15</v>
      </c>
      <c r="Y182" s="113">
        <v>45</v>
      </c>
      <c r="Z182" s="113">
        <v>60</v>
      </c>
    </row>
    <row r="183" spans="1:26">
      <c r="A183" s="164">
        <v>179</v>
      </c>
      <c r="B183" s="255" t="s">
        <v>322</v>
      </c>
      <c r="C183" s="113">
        <v>374</v>
      </c>
      <c r="D183" s="113">
        <v>415</v>
      </c>
      <c r="E183" s="113">
        <v>789</v>
      </c>
      <c r="F183" s="113">
        <v>24</v>
      </c>
      <c r="G183" s="113">
        <v>9</v>
      </c>
      <c r="H183" s="113">
        <v>33</v>
      </c>
      <c r="I183" s="113">
        <v>7</v>
      </c>
      <c r="J183" s="113">
        <v>4</v>
      </c>
      <c r="K183" s="113">
        <v>11</v>
      </c>
      <c r="L183" s="113">
        <v>48</v>
      </c>
      <c r="M183" s="113">
        <v>64</v>
      </c>
      <c r="N183" s="113">
        <v>112</v>
      </c>
      <c r="O183" s="113">
        <v>2</v>
      </c>
      <c r="P183" s="113">
        <v>0</v>
      </c>
      <c r="Q183" s="113">
        <v>2</v>
      </c>
      <c r="R183" s="113">
        <v>12</v>
      </c>
      <c r="S183" s="113">
        <v>9</v>
      </c>
      <c r="T183" s="113">
        <v>21</v>
      </c>
      <c r="U183" s="113">
        <v>21</v>
      </c>
      <c r="V183" s="113">
        <v>17</v>
      </c>
      <c r="W183" s="113">
        <v>38</v>
      </c>
      <c r="X183" s="113">
        <v>13</v>
      </c>
      <c r="Y183" s="113">
        <v>10</v>
      </c>
      <c r="Z183" s="113">
        <v>23</v>
      </c>
    </row>
    <row r="184" spans="1:26">
      <c r="A184" s="164">
        <v>180</v>
      </c>
      <c r="B184" s="255" t="s">
        <v>303</v>
      </c>
      <c r="C184" s="113">
        <v>1584</v>
      </c>
      <c r="D184" s="113">
        <v>2239</v>
      </c>
      <c r="E184" s="113">
        <v>3823</v>
      </c>
      <c r="F184" s="113">
        <v>178</v>
      </c>
      <c r="G184" s="113">
        <v>220</v>
      </c>
      <c r="H184" s="113">
        <v>398</v>
      </c>
      <c r="I184" s="113">
        <v>91</v>
      </c>
      <c r="J184" s="113">
        <v>124</v>
      </c>
      <c r="K184" s="113">
        <v>215</v>
      </c>
      <c r="L184" s="113">
        <v>574</v>
      </c>
      <c r="M184" s="113">
        <v>760</v>
      </c>
      <c r="N184" s="113">
        <v>1334</v>
      </c>
      <c r="O184" s="113">
        <v>1</v>
      </c>
      <c r="P184" s="113">
        <v>1</v>
      </c>
      <c r="Q184" s="113">
        <v>2</v>
      </c>
      <c r="R184" s="113">
        <v>25</v>
      </c>
      <c r="S184" s="113">
        <v>68</v>
      </c>
      <c r="T184" s="113">
        <v>93</v>
      </c>
      <c r="U184" s="113">
        <v>45</v>
      </c>
      <c r="V184" s="113">
        <v>96</v>
      </c>
      <c r="W184" s="113">
        <v>141</v>
      </c>
      <c r="X184" s="113">
        <v>39</v>
      </c>
      <c r="Y184" s="113">
        <v>31</v>
      </c>
      <c r="Z184" s="113">
        <v>70</v>
      </c>
    </row>
    <row r="185" spans="1:26">
      <c r="A185" s="164">
        <v>181</v>
      </c>
      <c r="B185" s="255" t="s">
        <v>297</v>
      </c>
      <c r="C185" s="113">
        <v>2521</v>
      </c>
      <c r="D185" s="113">
        <v>2192</v>
      </c>
      <c r="E185" s="113">
        <v>4713</v>
      </c>
      <c r="F185" s="113">
        <v>183</v>
      </c>
      <c r="G185" s="113">
        <v>154</v>
      </c>
      <c r="H185" s="113">
        <v>337</v>
      </c>
      <c r="I185" s="113">
        <v>74</v>
      </c>
      <c r="J185" s="113">
        <v>54</v>
      </c>
      <c r="K185" s="113">
        <v>128</v>
      </c>
      <c r="L185" s="113">
        <v>557</v>
      </c>
      <c r="M185" s="113">
        <v>464</v>
      </c>
      <c r="N185" s="113">
        <v>1021</v>
      </c>
      <c r="O185" s="113">
        <v>1</v>
      </c>
      <c r="P185" s="113">
        <v>0</v>
      </c>
      <c r="Q185" s="113">
        <v>1</v>
      </c>
      <c r="R185" s="113">
        <v>87</v>
      </c>
      <c r="S185" s="113">
        <v>68</v>
      </c>
      <c r="T185" s="113">
        <v>155</v>
      </c>
      <c r="U185" s="113">
        <v>46</v>
      </c>
      <c r="V185" s="113">
        <v>56</v>
      </c>
      <c r="W185" s="113">
        <v>102</v>
      </c>
      <c r="X185" s="113">
        <v>6</v>
      </c>
      <c r="Y185" s="113">
        <v>2</v>
      </c>
      <c r="Z185" s="113">
        <v>8</v>
      </c>
    </row>
    <row r="186" spans="1:26">
      <c r="A186" s="164">
        <v>182</v>
      </c>
      <c r="B186" s="255" t="s">
        <v>291</v>
      </c>
      <c r="C186" s="113">
        <v>11280</v>
      </c>
      <c r="D186" s="113">
        <v>13098</v>
      </c>
      <c r="E186" s="113">
        <v>24378</v>
      </c>
      <c r="F186" s="113">
        <v>2434</v>
      </c>
      <c r="G186" s="113">
        <v>2375</v>
      </c>
      <c r="H186" s="113">
        <v>4809</v>
      </c>
      <c r="I186" s="113">
        <v>2143</v>
      </c>
      <c r="J186" s="113">
        <v>2114</v>
      </c>
      <c r="K186" s="113">
        <v>4257</v>
      </c>
      <c r="L186" s="113">
        <v>3411</v>
      </c>
      <c r="M186" s="113">
        <v>3867</v>
      </c>
      <c r="N186" s="113">
        <v>7278</v>
      </c>
      <c r="O186" s="113">
        <v>9</v>
      </c>
      <c r="P186" s="113">
        <v>5</v>
      </c>
      <c r="Q186" s="113">
        <v>14</v>
      </c>
      <c r="R186" s="113">
        <v>122</v>
      </c>
      <c r="S186" s="113">
        <v>158</v>
      </c>
      <c r="T186" s="113">
        <v>280</v>
      </c>
      <c r="U186" s="113">
        <v>300</v>
      </c>
      <c r="V186" s="113">
        <v>587</v>
      </c>
      <c r="W186" s="113">
        <v>887</v>
      </c>
      <c r="X186" s="113">
        <v>56</v>
      </c>
      <c r="Y186" s="113">
        <v>85</v>
      </c>
      <c r="Z186" s="113">
        <v>141</v>
      </c>
    </row>
    <row r="187" spans="1:26">
      <c r="A187" s="164">
        <v>183</v>
      </c>
      <c r="B187" s="255" t="s">
        <v>454</v>
      </c>
      <c r="C187" s="113">
        <v>35</v>
      </c>
      <c r="D187" s="113">
        <v>34</v>
      </c>
      <c r="E187" s="113">
        <v>69</v>
      </c>
      <c r="F187" s="113">
        <v>8</v>
      </c>
      <c r="G187" s="113">
        <v>1</v>
      </c>
      <c r="H187" s="113">
        <v>9</v>
      </c>
      <c r="I187" s="113">
        <v>1</v>
      </c>
      <c r="J187" s="113">
        <v>1</v>
      </c>
      <c r="K187" s="113">
        <v>2</v>
      </c>
      <c r="L187" s="113">
        <v>19</v>
      </c>
      <c r="M187" s="113">
        <v>9</v>
      </c>
      <c r="N187" s="113">
        <v>28</v>
      </c>
      <c r="O187" s="113">
        <v>0</v>
      </c>
      <c r="P187" s="113">
        <v>0</v>
      </c>
      <c r="Q187" s="113">
        <v>0</v>
      </c>
      <c r="R187" s="113">
        <v>0</v>
      </c>
      <c r="S187" s="113">
        <v>0</v>
      </c>
      <c r="T187" s="113">
        <v>0</v>
      </c>
      <c r="U187" s="113">
        <v>0</v>
      </c>
      <c r="V187" s="113">
        <v>0</v>
      </c>
      <c r="W187" s="113">
        <v>0</v>
      </c>
      <c r="X187" s="113">
        <v>0</v>
      </c>
      <c r="Y187" s="113">
        <v>0</v>
      </c>
      <c r="Z187" s="113">
        <v>0</v>
      </c>
    </row>
    <row r="188" spans="1:26">
      <c r="A188" s="164">
        <v>184</v>
      </c>
      <c r="B188" s="255" t="s">
        <v>795</v>
      </c>
      <c r="C188" s="113">
        <v>29</v>
      </c>
      <c r="D188" s="113">
        <v>103</v>
      </c>
      <c r="E188" s="113">
        <v>132</v>
      </c>
      <c r="F188" s="113">
        <v>3</v>
      </c>
      <c r="G188" s="113">
        <v>10</v>
      </c>
      <c r="H188" s="113">
        <v>13</v>
      </c>
      <c r="I188" s="113">
        <v>2</v>
      </c>
      <c r="J188" s="113">
        <v>3</v>
      </c>
      <c r="K188" s="113">
        <v>5</v>
      </c>
      <c r="L188" s="113">
        <v>5</v>
      </c>
      <c r="M188" s="113">
        <v>17</v>
      </c>
      <c r="N188" s="113">
        <v>22</v>
      </c>
      <c r="O188" s="113">
        <v>0</v>
      </c>
      <c r="P188" s="113">
        <v>0</v>
      </c>
      <c r="Q188" s="113">
        <v>0</v>
      </c>
      <c r="R188" s="113">
        <v>0</v>
      </c>
      <c r="S188" s="113">
        <v>0</v>
      </c>
      <c r="T188" s="113">
        <v>0</v>
      </c>
      <c r="U188" s="113">
        <v>0</v>
      </c>
      <c r="V188" s="113">
        <v>12</v>
      </c>
      <c r="W188" s="113">
        <v>12</v>
      </c>
      <c r="X188" s="113">
        <v>1</v>
      </c>
      <c r="Y188" s="113">
        <v>0</v>
      </c>
      <c r="Z188" s="113">
        <v>1</v>
      </c>
    </row>
    <row r="189" spans="1:26">
      <c r="A189" s="164">
        <v>185</v>
      </c>
      <c r="B189" s="255" t="s">
        <v>815</v>
      </c>
      <c r="C189" s="113">
        <v>13</v>
      </c>
      <c r="D189" s="113">
        <v>4</v>
      </c>
      <c r="E189" s="113">
        <v>17</v>
      </c>
      <c r="F189" s="113">
        <v>0</v>
      </c>
      <c r="G189" s="113">
        <v>0</v>
      </c>
      <c r="H189" s="113">
        <v>0</v>
      </c>
      <c r="I189" s="113">
        <v>0</v>
      </c>
      <c r="J189" s="113">
        <v>0</v>
      </c>
      <c r="K189" s="113">
        <v>0</v>
      </c>
      <c r="L189" s="113">
        <v>0</v>
      </c>
      <c r="M189" s="113">
        <v>0</v>
      </c>
      <c r="N189" s="113">
        <v>0</v>
      </c>
      <c r="O189" s="113">
        <v>0</v>
      </c>
      <c r="P189" s="113">
        <v>0</v>
      </c>
      <c r="Q189" s="113">
        <v>0</v>
      </c>
      <c r="R189" s="113">
        <v>0</v>
      </c>
      <c r="S189" s="113">
        <v>0</v>
      </c>
      <c r="T189" s="113">
        <v>0</v>
      </c>
      <c r="U189" s="113">
        <v>0</v>
      </c>
      <c r="V189" s="113">
        <v>0</v>
      </c>
      <c r="W189" s="113">
        <v>0</v>
      </c>
      <c r="X189" s="113">
        <v>0</v>
      </c>
      <c r="Y189" s="113">
        <v>0</v>
      </c>
      <c r="Z189" s="113">
        <v>0</v>
      </c>
    </row>
    <row r="190" spans="1:26">
      <c r="A190" s="164">
        <v>186</v>
      </c>
      <c r="B190" s="255" t="s">
        <v>301</v>
      </c>
      <c r="C190" s="113">
        <v>1028</v>
      </c>
      <c r="D190" s="113">
        <v>4321</v>
      </c>
      <c r="E190" s="113">
        <v>5349</v>
      </c>
      <c r="F190" s="113">
        <v>120</v>
      </c>
      <c r="G190" s="113">
        <v>564</v>
      </c>
      <c r="H190" s="113">
        <v>684</v>
      </c>
      <c r="I190" s="113">
        <v>45</v>
      </c>
      <c r="J190" s="113">
        <v>265</v>
      </c>
      <c r="K190" s="113">
        <v>310</v>
      </c>
      <c r="L190" s="113">
        <v>270</v>
      </c>
      <c r="M190" s="113">
        <v>1130</v>
      </c>
      <c r="N190" s="113">
        <v>1400</v>
      </c>
      <c r="O190" s="113">
        <v>0</v>
      </c>
      <c r="P190" s="113">
        <v>0</v>
      </c>
      <c r="Q190" s="113">
        <v>0</v>
      </c>
      <c r="R190" s="113">
        <v>10</v>
      </c>
      <c r="S190" s="113">
        <v>43</v>
      </c>
      <c r="T190" s="113">
        <v>53</v>
      </c>
      <c r="U190" s="113">
        <v>17</v>
      </c>
      <c r="V190" s="113">
        <v>150</v>
      </c>
      <c r="W190" s="113">
        <v>167</v>
      </c>
      <c r="X190" s="113">
        <v>2</v>
      </c>
      <c r="Y190" s="113">
        <v>21</v>
      </c>
      <c r="Z190" s="113">
        <v>23</v>
      </c>
    </row>
    <row r="191" spans="1:26">
      <c r="A191" s="164">
        <v>187</v>
      </c>
      <c r="B191" s="255" t="s">
        <v>320</v>
      </c>
      <c r="C191" s="113">
        <v>372</v>
      </c>
      <c r="D191" s="113">
        <v>328</v>
      </c>
      <c r="E191" s="113">
        <v>700</v>
      </c>
      <c r="F191" s="113">
        <v>22</v>
      </c>
      <c r="G191" s="113">
        <v>43</v>
      </c>
      <c r="H191" s="113">
        <v>65</v>
      </c>
      <c r="I191" s="113">
        <v>9</v>
      </c>
      <c r="J191" s="113">
        <v>6</v>
      </c>
      <c r="K191" s="113">
        <v>15</v>
      </c>
      <c r="L191" s="113">
        <v>53</v>
      </c>
      <c r="M191" s="113">
        <v>74</v>
      </c>
      <c r="N191" s="113">
        <v>127</v>
      </c>
      <c r="O191" s="113">
        <v>1</v>
      </c>
      <c r="P191" s="113">
        <v>0</v>
      </c>
      <c r="Q191" s="113">
        <v>1</v>
      </c>
      <c r="R191" s="113">
        <v>4</v>
      </c>
      <c r="S191" s="113">
        <v>0</v>
      </c>
      <c r="T191" s="113">
        <v>4</v>
      </c>
      <c r="U191" s="113">
        <v>2</v>
      </c>
      <c r="V191" s="113">
        <v>12</v>
      </c>
      <c r="W191" s="113">
        <v>14</v>
      </c>
      <c r="X191" s="113">
        <v>0</v>
      </c>
      <c r="Y191" s="113">
        <v>0</v>
      </c>
      <c r="Z191" s="113">
        <v>0</v>
      </c>
    </row>
    <row r="192" spans="1:26">
      <c r="A192" s="164">
        <v>188</v>
      </c>
      <c r="B192" s="255" t="s">
        <v>335</v>
      </c>
      <c r="C192" s="113">
        <v>37</v>
      </c>
      <c r="D192" s="113">
        <v>11</v>
      </c>
      <c r="E192" s="113">
        <v>48</v>
      </c>
      <c r="F192" s="113">
        <v>6</v>
      </c>
      <c r="G192" s="113">
        <v>1</v>
      </c>
      <c r="H192" s="113">
        <v>7</v>
      </c>
      <c r="I192" s="113">
        <v>3</v>
      </c>
      <c r="J192" s="113">
        <v>0</v>
      </c>
      <c r="K192" s="113">
        <v>3</v>
      </c>
      <c r="L192" s="113">
        <v>14</v>
      </c>
      <c r="M192" s="113">
        <v>5</v>
      </c>
      <c r="N192" s="113">
        <v>19</v>
      </c>
      <c r="O192" s="113">
        <v>0</v>
      </c>
      <c r="P192" s="113">
        <v>0</v>
      </c>
      <c r="Q192" s="113">
        <v>0</v>
      </c>
      <c r="R192" s="113">
        <v>2</v>
      </c>
      <c r="S192" s="113">
        <v>0</v>
      </c>
      <c r="T192" s="113">
        <v>2</v>
      </c>
      <c r="U192" s="113">
        <v>3</v>
      </c>
      <c r="V192" s="113">
        <v>0</v>
      </c>
      <c r="W192" s="113">
        <v>3</v>
      </c>
      <c r="X192" s="113">
        <v>0</v>
      </c>
      <c r="Y192" s="113">
        <v>0</v>
      </c>
      <c r="Z192" s="113">
        <v>0</v>
      </c>
    </row>
    <row r="193" spans="1:26">
      <c r="A193" s="164">
        <v>189</v>
      </c>
      <c r="B193" s="255" t="s">
        <v>348</v>
      </c>
      <c r="C193" s="113">
        <v>8</v>
      </c>
      <c r="D193" s="113">
        <v>13</v>
      </c>
      <c r="E193" s="113">
        <v>21</v>
      </c>
      <c r="F193" s="113">
        <v>0</v>
      </c>
      <c r="G193" s="113">
        <v>0</v>
      </c>
      <c r="H193" s="113">
        <v>0</v>
      </c>
      <c r="I193" s="113">
        <v>0</v>
      </c>
      <c r="J193" s="113">
        <v>0</v>
      </c>
      <c r="K193" s="113">
        <v>0</v>
      </c>
      <c r="L193" s="113">
        <v>2</v>
      </c>
      <c r="M193" s="113">
        <v>2</v>
      </c>
      <c r="N193" s="113">
        <v>4</v>
      </c>
      <c r="O193" s="113">
        <v>0</v>
      </c>
      <c r="P193" s="113">
        <v>0</v>
      </c>
      <c r="Q193" s="113">
        <v>0</v>
      </c>
      <c r="R193" s="113">
        <v>1</v>
      </c>
      <c r="S193" s="113">
        <v>0</v>
      </c>
      <c r="T193" s="113">
        <v>1</v>
      </c>
      <c r="U193" s="113">
        <v>0</v>
      </c>
      <c r="V193" s="113">
        <v>0</v>
      </c>
      <c r="W193" s="113">
        <v>0</v>
      </c>
      <c r="X193" s="113">
        <v>0</v>
      </c>
      <c r="Y193" s="113">
        <v>0</v>
      </c>
      <c r="Z193" s="113">
        <v>0</v>
      </c>
    </row>
    <row r="194" spans="1:26">
      <c r="A194" s="164">
        <v>190</v>
      </c>
      <c r="B194" s="255" t="s">
        <v>334</v>
      </c>
      <c r="C194" s="113">
        <v>65</v>
      </c>
      <c r="D194" s="113">
        <v>105</v>
      </c>
      <c r="E194" s="113">
        <v>170</v>
      </c>
      <c r="F194" s="113">
        <v>5</v>
      </c>
      <c r="G194" s="113">
        <v>4</v>
      </c>
      <c r="H194" s="113">
        <v>9</v>
      </c>
      <c r="I194" s="113">
        <v>1</v>
      </c>
      <c r="J194" s="113">
        <v>3</v>
      </c>
      <c r="K194" s="113">
        <v>4</v>
      </c>
      <c r="L194" s="113">
        <v>20</v>
      </c>
      <c r="M194" s="113">
        <v>26</v>
      </c>
      <c r="N194" s="113">
        <v>46</v>
      </c>
      <c r="O194" s="113">
        <v>0</v>
      </c>
      <c r="P194" s="113">
        <v>0</v>
      </c>
      <c r="Q194" s="113">
        <v>0</v>
      </c>
      <c r="R194" s="113">
        <v>1</v>
      </c>
      <c r="S194" s="113">
        <v>9</v>
      </c>
      <c r="T194" s="113">
        <v>10</v>
      </c>
      <c r="U194" s="113">
        <v>4</v>
      </c>
      <c r="V194" s="113">
        <v>16</v>
      </c>
      <c r="W194" s="113">
        <v>20</v>
      </c>
      <c r="X194" s="113">
        <v>0</v>
      </c>
      <c r="Y194" s="113">
        <v>1</v>
      </c>
      <c r="Z194" s="113">
        <v>1</v>
      </c>
    </row>
    <row r="195" spans="1:26">
      <c r="A195" s="164">
        <v>191</v>
      </c>
      <c r="B195" s="255" t="s">
        <v>338</v>
      </c>
      <c r="C195" s="113">
        <v>92</v>
      </c>
      <c r="D195" s="113">
        <v>136</v>
      </c>
      <c r="E195" s="113">
        <v>228</v>
      </c>
      <c r="F195" s="113">
        <v>6</v>
      </c>
      <c r="G195" s="113">
        <v>6</v>
      </c>
      <c r="H195" s="113">
        <v>12</v>
      </c>
      <c r="I195" s="113">
        <v>2</v>
      </c>
      <c r="J195" s="113">
        <v>3</v>
      </c>
      <c r="K195" s="113">
        <v>5</v>
      </c>
      <c r="L195" s="113">
        <v>38</v>
      </c>
      <c r="M195" s="113">
        <v>54</v>
      </c>
      <c r="N195" s="113">
        <v>92</v>
      </c>
      <c r="O195" s="113">
        <v>0</v>
      </c>
      <c r="P195" s="113">
        <v>0</v>
      </c>
      <c r="Q195" s="113">
        <v>0</v>
      </c>
      <c r="R195" s="113">
        <v>6</v>
      </c>
      <c r="S195" s="113">
        <v>12</v>
      </c>
      <c r="T195" s="113">
        <v>18</v>
      </c>
      <c r="U195" s="113">
        <v>1</v>
      </c>
      <c r="V195" s="113">
        <v>12</v>
      </c>
      <c r="W195" s="113">
        <v>13</v>
      </c>
      <c r="X195" s="113">
        <v>0</v>
      </c>
      <c r="Y195" s="113">
        <v>10</v>
      </c>
      <c r="Z195" s="113">
        <v>10</v>
      </c>
    </row>
    <row r="196" spans="1:26">
      <c r="A196" s="164">
        <v>192</v>
      </c>
      <c r="B196" s="255" t="s">
        <v>351</v>
      </c>
      <c r="C196" s="113">
        <v>10</v>
      </c>
      <c r="D196" s="113">
        <v>15</v>
      </c>
      <c r="E196" s="113">
        <v>25</v>
      </c>
      <c r="F196" s="113">
        <v>0</v>
      </c>
      <c r="G196" s="113">
        <v>0</v>
      </c>
      <c r="H196" s="113">
        <v>0</v>
      </c>
      <c r="I196" s="113">
        <v>0</v>
      </c>
      <c r="J196" s="113">
        <v>1</v>
      </c>
      <c r="K196" s="113">
        <v>1</v>
      </c>
      <c r="L196" s="113">
        <v>1</v>
      </c>
      <c r="M196" s="113">
        <v>2</v>
      </c>
      <c r="N196" s="113">
        <v>3</v>
      </c>
      <c r="O196" s="113">
        <v>0</v>
      </c>
      <c r="P196" s="113">
        <v>0</v>
      </c>
      <c r="Q196" s="113">
        <v>0</v>
      </c>
      <c r="R196" s="113">
        <v>0</v>
      </c>
      <c r="S196" s="113">
        <v>1</v>
      </c>
      <c r="T196" s="113">
        <v>1</v>
      </c>
      <c r="U196" s="113">
        <v>0</v>
      </c>
      <c r="V196" s="113">
        <v>0</v>
      </c>
      <c r="W196" s="113">
        <v>0</v>
      </c>
      <c r="X196" s="113">
        <v>0</v>
      </c>
      <c r="Y196" s="113">
        <v>0</v>
      </c>
      <c r="Z196" s="113">
        <v>0</v>
      </c>
    </row>
    <row r="197" spans="1:26">
      <c r="A197" s="164">
        <v>193</v>
      </c>
      <c r="B197" s="255" t="s">
        <v>341</v>
      </c>
      <c r="C197" s="113">
        <v>11</v>
      </c>
      <c r="D197" s="113">
        <v>52</v>
      </c>
      <c r="E197" s="113">
        <v>63</v>
      </c>
      <c r="F197" s="113">
        <v>0</v>
      </c>
      <c r="G197" s="113">
        <v>1</v>
      </c>
      <c r="H197" s="113">
        <v>1</v>
      </c>
      <c r="I197" s="113">
        <v>0</v>
      </c>
      <c r="J197" s="113">
        <v>1</v>
      </c>
      <c r="K197" s="113">
        <v>1</v>
      </c>
      <c r="L197" s="113">
        <v>4</v>
      </c>
      <c r="M197" s="113">
        <v>23</v>
      </c>
      <c r="N197" s="113">
        <v>27</v>
      </c>
      <c r="O197" s="113">
        <v>0</v>
      </c>
      <c r="P197" s="113">
        <v>0</v>
      </c>
      <c r="Q197" s="113">
        <v>0</v>
      </c>
      <c r="R197" s="113">
        <v>1</v>
      </c>
      <c r="S197" s="113">
        <v>3</v>
      </c>
      <c r="T197" s="113">
        <v>4</v>
      </c>
      <c r="U197" s="113">
        <v>0</v>
      </c>
      <c r="V197" s="113">
        <v>0</v>
      </c>
      <c r="W197" s="113">
        <v>0</v>
      </c>
      <c r="X197" s="113">
        <v>1</v>
      </c>
      <c r="Y197" s="113">
        <v>4</v>
      </c>
      <c r="Z197" s="113">
        <v>5</v>
      </c>
    </row>
    <row r="198" spans="1:26">
      <c r="A198" s="164">
        <v>194</v>
      </c>
      <c r="B198" s="255" t="s">
        <v>980</v>
      </c>
      <c r="C198" s="113">
        <v>9</v>
      </c>
      <c r="D198" s="113">
        <v>5</v>
      </c>
      <c r="E198" s="113">
        <v>14</v>
      </c>
      <c r="F198" s="113">
        <v>1</v>
      </c>
      <c r="G198" s="113">
        <v>0</v>
      </c>
      <c r="H198" s="113">
        <v>1</v>
      </c>
      <c r="I198" s="113">
        <v>1</v>
      </c>
      <c r="J198" s="113">
        <v>1</v>
      </c>
      <c r="K198" s="113">
        <v>2</v>
      </c>
      <c r="L198" s="113">
        <v>4</v>
      </c>
      <c r="M198" s="113">
        <v>3</v>
      </c>
      <c r="N198" s="113">
        <v>7</v>
      </c>
      <c r="O198" s="113">
        <v>0</v>
      </c>
      <c r="P198" s="113">
        <v>0</v>
      </c>
      <c r="Q198" s="113">
        <v>0</v>
      </c>
      <c r="R198" s="113">
        <v>0</v>
      </c>
      <c r="S198" s="113">
        <v>0</v>
      </c>
      <c r="T198" s="113">
        <v>0</v>
      </c>
      <c r="U198" s="113">
        <v>0</v>
      </c>
      <c r="V198" s="113">
        <v>0</v>
      </c>
      <c r="W198" s="113">
        <v>0</v>
      </c>
      <c r="X198" s="113">
        <v>0</v>
      </c>
      <c r="Y198" s="113">
        <v>0</v>
      </c>
      <c r="Z198" s="113">
        <v>0</v>
      </c>
    </row>
    <row r="199" spans="1:26">
      <c r="A199" s="164">
        <v>195</v>
      </c>
      <c r="B199" s="255" t="s">
        <v>285</v>
      </c>
      <c r="C199" s="113">
        <v>134614</v>
      </c>
      <c r="D199" s="113">
        <v>221832</v>
      </c>
      <c r="E199" s="113">
        <v>356446</v>
      </c>
      <c r="F199" s="113">
        <v>16019</v>
      </c>
      <c r="G199" s="113">
        <v>23128</v>
      </c>
      <c r="H199" s="113">
        <v>39147</v>
      </c>
      <c r="I199" s="113">
        <v>7566</v>
      </c>
      <c r="J199" s="113">
        <v>11226</v>
      </c>
      <c r="K199" s="113">
        <v>18792</v>
      </c>
      <c r="L199" s="113">
        <v>48583</v>
      </c>
      <c r="M199" s="113">
        <v>87639</v>
      </c>
      <c r="N199" s="113">
        <v>136222</v>
      </c>
      <c r="O199" s="113">
        <v>114</v>
      </c>
      <c r="P199" s="113">
        <v>121</v>
      </c>
      <c r="Q199" s="113">
        <v>235</v>
      </c>
      <c r="R199" s="113">
        <v>3340</v>
      </c>
      <c r="S199" s="113">
        <v>5790</v>
      </c>
      <c r="T199" s="113">
        <v>9130</v>
      </c>
      <c r="U199" s="113">
        <v>2411</v>
      </c>
      <c r="V199" s="113">
        <v>6474</v>
      </c>
      <c r="W199" s="113">
        <v>8885</v>
      </c>
      <c r="X199" s="113">
        <v>2043</v>
      </c>
      <c r="Y199" s="113">
        <v>3044</v>
      </c>
      <c r="Z199" s="113">
        <v>5087</v>
      </c>
    </row>
    <row r="200" spans="1:26">
      <c r="A200" s="164">
        <v>196</v>
      </c>
      <c r="B200" s="255" t="s">
        <v>337</v>
      </c>
      <c r="C200" s="113">
        <v>199</v>
      </c>
      <c r="D200" s="113">
        <v>325</v>
      </c>
      <c r="E200" s="113">
        <v>524</v>
      </c>
      <c r="F200" s="113">
        <v>12</v>
      </c>
      <c r="G200" s="113">
        <v>39</v>
      </c>
      <c r="H200" s="113">
        <v>51</v>
      </c>
      <c r="I200" s="113">
        <v>6</v>
      </c>
      <c r="J200" s="113">
        <v>12</v>
      </c>
      <c r="K200" s="113">
        <v>18</v>
      </c>
      <c r="L200" s="113">
        <v>47</v>
      </c>
      <c r="M200" s="113">
        <v>94</v>
      </c>
      <c r="N200" s="113">
        <v>141</v>
      </c>
      <c r="O200" s="113">
        <v>0</v>
      </c>
      <c r="P200" s="113">
        <v>0</v>
      </c>
      <c r="Q200" s="113">
        <v>0</v>
      </c>
      <c r="R200" s="113">
        <v>4</v>
      </c>
      <c r="S200" s="113">
        <v>5</v>
      </c>
      <c r="T200" s="113">
        <v>9</v>
      </c>
      <c r="U200" s="113">
        <v>8</v>
      </c>
      <c r="V200" s="113">
        <v>20</v>
      </c>
      <c r="W200" s="113">
        <v>28</v>
      </c>
      <c r="X200" s="113">
        <v>0</v>
      </c>
      <c r="Y200" s="113">
        <v>0</v>
      </c>
      <c r="Z200" s="113">
        <v>0</v>
      </c>
    </row>
    <row r="201" spans="1:26">
      <c r="A201" s="164">
        <v>197</v>
      </c>
      <c r="B201" s="255" t="s">
        <v>289</v>
      </c>
      <c r="C201" s="113">
        <v>32156</v>
      </c>
      <c r="D201" s="113">
        <v>16334</v>
      </c>
      <c r="E201" s="113">
        <v>48490</v>
      </c>
      <c r="F201" s="113">
        <v>3111</v>
      </c>
      <c r="G201" s="113">
        <v>1610</v>
      </c>
      <c r="H201" s="113">
        <v>4721</v>
      </c>
      <c r="I201" s="113">
        <v>912</v>
      </c>
      <c r="J201" s="113">
        <v>461</v>
      </c>
      <c r="K201" s="113">
        <v>1373</v>
      </c>
      <c r="L201" s="113">
        <v>8531</v>
      </c>
      <c r="M201" s="113">
        <v>4634</v>
      </c>
      <c r="N201" s="113">
        <v>13165</v>
      </c>
      <c r="O201" s="113">
        <v>43</v>
      </c>
      <c r="P201" s="113">
        <v>12</v>
      </c>
      <c r="Q201" s="113">
        <v>55</v>
      </c>
      <c r="R201" s="113">
        <v>1073</v>
      </c>
      <c r="S201" s="113">
        <v>541</v>
      </c>
      <c r="T201" s="113">
        <v>1614</v>
      </c>
      <c r="U201" s="113">
        <v>582</v>
      </c>
      <c r="V201" s="113">
        <v>480</v>
      </c>
      <c r="W201" s="113">
        <v>1062</v>
      </c>
      <c r="X201" s="113">
        <v>744</v>
      </c>
      <c r="Y201" s="113">
        <v>187</v>
      </c>
      <c r="Z201" s="113">
        <v>931</v>
      </c>
    </row>
    <row r="202" spans="1:26">
      <c r="A202" s="164">
        <v>198</v>
      </c>
      <c r="B202" s="255" t="s">
        <v>346</v>
      </c>
      <c r="C202" s="113">
        <v>23</v>
      </c>
      <c r="D202" s="113">
        <v>16</v>
      </c>
      <c r="E202" s="113">
        <v>39</v>
      </c>
      <c r="F202" s="113">
        <v>0</v>
      </c>
      <c r="G202" s="113">
        <v>1</v>
      </c>
      <c r="H202" s="113">
        <v>1</v>
      </c>
      <c r="I202" s="113">
        <v>0</v>
      </c>
      <c r="J202" s="113">
        <v>1</v>
      </c>
      <c r="K202" s="113">
        <v>1</v>
      </c>
      <c r="L202" s="113">
        <v>2</v>
      </c>
      <c r="M202" s="113">
        <v>1</v>
      </c>
      <c r="N202" s="113">
        <v>3</v>
      </c>
      <c r="O202" s="113">
        <v>0</v>
      </c>
      <c r="P202" s="113">
        <v>0</v>
      </c>
      <c r="Q202" s="113">
        <v>0</v>
      </c>
      <c r="R202" s="113">
        <v>0</v>
      </c>
      <c r="S202" s="113">
        <v>1</v>
      </c>
      <c r="T202" s="113">
        <v>1</v>
      </c>
      <c r="U202" s="113">
        <v>0</v>
      </c>
      <c r="V202" s="113">
        <v>1</v>
      </c>
      <c r="W202" s="113">
        <v>1</v>
      </c>
      <c r="X202" s="113">
        <v>0</v>
      </c>
      <c r="Y202" s="113">
        <v>0</v>
      </c>
      <c r="Z202" s="113">
        <v>0</v>
      </c>
    </row>
    <row r="203" spans="1:26">
      <c r="A203" s="164">
        <v>199</v>
      </c>
      <c r="B203" s="255" t="s">
        <v>981</v>
      </c>
      <c r="C203" s="113">
        <v>4</v>
      </c>
      <c r="D203" s="113">
        <v>5</v>
      </c>
      <c r="E203" s="113">
        <v>9</v>
      </c>
      <c r="F203" s="113">
        <v>0</v>
      </c>
      <c r="G203" s="113">
        <v>1</v>
      </c>
      <c r="H203" s="113">
        <v>1</v>
      </c>
      <c r="I203" s="113">
        <v>0</v>
      </c>
      <c r="J203" s="113">
        <v>0</v>
      </c>
      <c r="K203" s="113">
        <v>0</v>
      </c>
      <c r="L203" s="113">
        <v>2</v>
      </c>
      <c r="M203" s="113">
        <v>0</v>
      </c>
      <c r="N203" s="113">
        <v>2</v>
      </c>
      <c r="O203" s="113">
        <v>0</v>
      </c>
      <c r="P203" s="113">
        <v>0</v>
      </c>
      <c r="Q203" s="113">
        <v>0</v>
      </c>
      <c r="R203" s="113">
        <v>0</v>
      </c>
      <c r="S203" s="113">
        <v>0</v>
      </c>
      <c r="T203" s="113">
        <v>0</v>
      </c>
      <c r="U203" s="113">
        <v>0</v>
      </c>
      <c r="V203" s="113">
        <v>0</v>
      </c>
      <c r="W203" s="113">
        <v>0</v>
      </c>
      <c r="X203" s="113">
        <v>0</v>
      </c>
      <c r="Y203" s="113">
        <v>0</v>
      </c>
      <c r="Z203" s="113">
        <v>0</v>
      </c>
    </row>
    <row r="204" spans="1:26">
      <c r="A204" s="164">
        <v>200</v>
      </c>
      <c r="B204" s="255" t="s">
        <v>312</v>
      </c>
      <c r="C204" s="113">
        <v>924</v>
      </c>
      <c r="D204" s="113">
        <v>736</v>
      </c>
      <c r="E204" s="113">
        <v>1660</v>
      </c>
      <c r="F204" s="113">
        <v>104</v>
      </c>
      <c r="G204" s="113">
        <v>71</v>
      </c>
      <c r="H204" s="113">
        <v>175</v>
      </c>
      <c r="I204" s="113">
        <v>65</v>
      </c>
      <c r="J204" s="113">
        <v>48</v>
      </c>
      <c r="K204" s="113">
        <v>113</v>
      </c>
      <c r="L204" s="113">
        <v>257</v>
      </c>
      <c r="M204" s="113">
        <v>183</v>
      </c>
      <c r="N204" s="113">
        <v>440</v>
      </c>
      <c r="O204" s="113">
        <v>3</v>
      </c>
      <c r="P204" s="113">
        <v>0</v>
      </c>
      <c r="Q204" s="113">
        <v>3</v>
      </c>
      <c r="R204" s="113">
        <v>38</v>
      </c>
      <c r="S204" s="113">
        <v>20</v>
      </c>
      <c r="T204" s="113">
        <v>58</v>
      </c>
      <c r="U204" s="113">
        <v>42</v>
      </c>
      <c r="V204" s="113">
        <v>31</v>
      </c>
      <c r="W204" s="113">
        <v>73</v>
      </c>
      <c r="X204" s="113">
        <v>9</v>
      </c>
      <c r="Y204" s="113">
        <v>7</v>
      </c>
      <c r="Z204" s="113">
        <v>16</v>
      </c>
    </row>
    <row r="205" spans="1:26">
      <c r="A205" s="164">
        <v>201</v>
      </c>
      <c r="B205" s="255" t="s">
        <v>799</v>
      </c>
      <c r="C205" s="113">
        <v>64</v>
      </c>
      <c r="D205" s="113">
        <v>39</v>
      </c>
      <c r="E205" s="113">
        <v>103</v>
      </c>
      <c r="F205" s="113">
        <v>8</v>
      </c>
      <c r="G205" s="113">
        <v>3</v>
      </c>
      <c r="H205" s="113">
        <v>11</v>
      </c>
      <c r="I205" s="113">
        <v>0</v>
      </c>
      <c r="J205" s="113">
        <v>0</v>
      </c>
      <c r="K205" s="113">
        <v>0</v>
      </c>
      <c r="L205" s="113">
        <v>34</v>
      </c>
      <c r="M205" s="113">
        <v>19</v>
      </c>
      <c r="N205" s="113">
        <v>53</v>
      </c>
      <c r="O205" s="113">
        <v>0</v>
      </c>
      <c r="P205" s="113">
        <v>0</v>
      </c>
      <c r="Q205" s="113">
        <v>0</v>
      </c>
      <c r="R205" s="113">
        <v>0</v>
      </c>
      <c r="S205" s="113">
        <v>0</v>
      </c>
      <c r="T205" s="113">
        <v>0</v>
      </c>
      <c r="U205" s="113">
        <v>1</v>
      </c>
      <c r="V205" s="113">
        <v>8</v>
      </c>
      <c r="W205" s="113">
        <v>9</v>
      </c>
      <c r="X205" s="113">
        <v>0</v>
      </c>
      <c r="Y205" s="113">
        <v>0</v>
      </c>
      <c r="Z205" s="113">
        <v>0</v>
      </c>
    </row>
    <row r="206" spans="1:26">
      <c r="A206" s="164">
        <v>202</v>
      </c>
      <c r="B206" s="255" t="s">
        <v>790</v>
      </c>
      <c r="C206" s="113">
        <v>193</v>
      </c>
      <c r="D206" s="113">
        <v>171</v>
      </c>
      <c r="E206" s="113">
        <v>364</v>
      </c>
      <c r="F206" s="113">
        <v>23</v>
      </c>
      <c r="G206" s="113">
        <v>12</v>
      </c>
      <c r="H206" s="113">
        <v>35</v>
      </c>
      <c r="I206" s="113">
        <v>15</v>
      </c>
      <c r="J206" s="113">
        <v>8</v>
      </c>
      <c r="K206" s="113">
        <v>23</v>
      </c>
      <c r="L206" s="113">
        <v>48</v>
      </c>
      <c r="M206" s="113">
        <v>39</v>
      </c>
      <c r="N206" s="113">
        <v>87</v>
      </c>
      <c r="O206" s="113">
        <v>0</v>
      </c>
      <c r="P206" s="113">
        <v>0</v>
      </c>
      <c r="Q206" s="113">
        <v>0</v>
      </c>
      <c r="R206" s="113">
        <v>3</v>
      </c>
      <c r="S206" s="113">
        <v>4</v>
      </c>
      <c r="T206" s="113">
        <v>7</v>
      </c>
      <c r="U206" s="113">
        <v>7</v>
      </c>
      <c r="V206" s="113">
        <v>13</v>
      </c>
      <c r="W206" s="113">
        <v>20</v>
      </c>
      <c r="X206" s="113">
        <v>6</v>
      </c>
      <c r="Y206" s="113">
        <v>7</v>
      </c>
      <c r="Z206" s="113">
        <v>13</v>
      </c>
    </row>
    <row r="207" spans="1:26">
      <c r="A207" s="164">
        <v>203</v>
      </c>
      <c r="B207" s="255" t="s">
        <v>789</v>
      </c>
      <c r="C207" s="113">
        <v>860</v>
      </c>
      <c r="D207" s="113">
        <v>521</v>
      </c>
      <c r="E207" s="113">
        <v>1381</v>
      </c>
      <c r="F207" s="113">
        <v>60</v>
      </c>
      <c r="G207" s="113">
        <v>32</v>
      </c>
      <c r="H207" s="113">
        <v>92</v>
      </c>
      <c r="I207" s="113">
        <v>49</v>
      </c>
      <c r="J207" s="113">
        <v>44</v>
      </c>
      <c r="K207" s="113">
        <v>93</v>
      </c>
      <c r="L207" s="113">
        <v>85</v>
      </c>
      <c r="M207" s="113">
        <v>62</v>
      </c>
      <c r="N207" s="113">
        <v>147</v>
      </c>
      <c r="O207" s="113">
        <v>1</v>
      </c>
      <c r="P207" s="113">
        <v>0</v>
      </c>
      <c r="Q207" s="113">
        <v>1</v>
      </c>
      <c r="R207" s="113">
        <v>32</v>
      </c>
      <c r="S207" s="113">
        <v>14</v>
      </c>
      <c r="T207" s="113">
        <v>46</v>
      </c>
      <c r="U207" s="113">
        <v>12</v>
      </c>
      <c r="V207" s="113">
        <v>18</v>
      </c>
      <c r="W207" s="113">
        <v>30</v>
      </c>
      <c r="X207" s="113">
        <v>7</v>
      </c>
      <c r="Y207" s="113">
        <v>7</v>
      </c>
      <c r="Z207" s="113">
        <v>14</v>
      </c>
    </row>
    <row r="208" spans="1:26">
      <c r="A208" s="164">
        <v>204</v>
      </c>
      <c r="B208" s="255" t="s">
        <v>792</v>
      </c>
      <c r="C208" s="113">
        <v>306</v>
      </c>
      <c r="D208" s="113">
        <v>272</v>
      </c>
      <c r="E208" s="113">
        <v>578</v>
      </c>
      <c r="F208" s="113">
        <v>17</v>
      </c>
      <c r="G208" s="113">
        <v>28</v>
      </c>
      <c r="H208" s="113">
        <v>45</v>
      </c>
      <c r="I208" s="113">
        <v>6</v>
      </c>
      <c r="J208" s="113">
        <v>2</v>
      </c>
      <c r="K208" s="113">
        <v>8</v>
      </c>
      <c r="L208" s="113">
        <v>121</v>
      </c>
      <c r="M208" s="113">
        <v>79</v>
      </c>
      <c r="N208" s="113">
        <v>200</v>
      </c>
      <c r="O208" s="113">
        <v>0</v>
      </c>
      <c r="P208" s="113">
        <v>0</v>
      </c>
      <c r="Q208" s="113">
        <v>0</v>
      </c>
      <c r="R208" s="113">
        <v>55</v>
      </c>
      <c r="S208" s="113">
        <v>18</v>
      </c>
      <c r="T208" s="113">
        <v>73</v>
      </c>
      <c r="U208" s="113">
        <v>2</v>
      </c>
      <c r="V208" s="113">
        <v>5</v>
      </c>
      <c r="W208" s="113">
        <v>7</v>
      </c>
      <c r="X208" s="113">
        <v>5</v>
      </c>
      <c r="Y208" s="113">
        <v>5</v>
      </c>
      <c r="Z208" s="113">
        <v>10</v>
      </c>
    </row>
    <row r="209" spans="1:26">
      <c r="A209" s="164">
        <v>205</v>
      </c>
      <c r="B209" s="255" t="s">
        <v>793</v>
      </c>
      <c r="C209" s="113">
        <v>76</v>
      </c>
      <c r="D209" s="113">
        <v>62</v>
      </c>
      <c r="E209" s="113">
        <v>138</v>
      </c>
      <c r="F209" s="113">
        <v>7</v>
      </c>
      <c r="G209" s="113">
        <v>1</v>
      </c>
      <c r="H209" s="113">
        <v>8</v>
      </c>
      <c r="I209" s="113">
        <v>0</v>
      </c>
      <c r="J209" s="113">
        <v>0</v>
      </c>
      <c r="K209" s="113">
        <v>0</v>
      </c>
      <c r="L209" s="113">
        <v>20</v>
      </c>
      <c r="M209" s="113">
        <v>9</v>
      </c>
      <c r="N209" s="113">
        <v>29</v>
      </c>
      <c r="O209" s="113">
        <v>0</v>
      </c>
      <c r="P209" s="113">
        <v>0</v>
      </c>
      <c r="Q209" s="113">
        <v>0</v>
      </c>
      <c r="R209" s="113">
        <v>1</v>
      </c>
      <c r="S209" s="113">
        <v>1</v>
      </c>
      <c r="T209" s="113">
        <v>2</v>
      </c>
      <c r="U209" s="113">
        <v>1</v>
      </c>
      <c r="V209" s="113">
        <v>1</v>
      </c>
      <c r="W209" s="113">
        <v>2</v>
      </c>
      <c r="X209" s="113">
        <v>1</v>
      </c>
      <c r="Y209" s="113">
        <v>2</v>
      </c>
      <c r="Z209" s="113">
        <v>3</v>
      </c>
    </row>
    <row r="210" spans="1:26">
      <c r="A210" s="164">
        <v>206</v>
      </c>
      <c r="B210" s="255" t="s">
        <v>431</v>
      </c>
      <c r="C210" s="113">
        <v>221</v>
      </c>
      <c r="D210" s="113">
        <v>194</v>
      </c>
      <c r="E210" s="113">
        <v>415</v>
      </c>
      <c r="F210" s="113">
        <v>41</v>
      </c>
      <c r="G210" s="113">
        <v>26</v>
      </c>
      <c r="H210" s="113">
        <v>67</v>
      </c>
      <c r="I210" s="113">
        <v>30</v>
      </c>
      <c r="J210" s="113">
        <v>35</v>
      </c>
      <c r="K210" s="113">
        <v>65</v>
      </c>
      <c r="L210" s="113">
        <v>58</v>
      </c>
      <c r="M210" s="113">
        <v>56</v>
      </c>
      <c r="N210" s="113">
        <v>114</v>
      </c>
      <c r="O210" s="113">
        <v>0</v>
      </c>
      <c r="P210" s="113">
        <v>0</v>
      </c>
      <c r="Q210" s="113">
        <v>0</v>
      </c>
      <c r="R210" s="113">
        <v>0</v>
      </c>
      <c r="S210" s="113">
        <v>0</v>
      </c>
      <c r="T210" s="113">
        <v>0</v>
      </c>
      <c r="U210" s="113">
        <v>0</v>
      </c>
      <c r="V210" s="113">
        <v>0</v>
      </c>
      <c r="W210" s="113">
        <v>0</v>
      </c>
      <c r="X210" s="113">
        <v>17</v>
      </c>
      <c r="Y210" s="113">
        <v>12</v>
      </c>
      <c r="Z210" s="113">
        <v>29</v>
      </c>
    </row>
    <row r="211" spans="1:26">
      <c r="A211" s="164">
        <v>207</v>
      </c>
      <c r="B211" s="255" t="s">
        <v>814</v>
      </c>
      <c r="C211" s="113">
        <v>20</v>
      </c>
      <c r="D211" s="113">
        <v>20</v>
      </c>
      <c r="E211" s="113">
        <v>40</v>
      </c>
      <c r="F211" s="113">
        <v>1</v>
      </c>
      <c r="G211" s="113">
        <v>1</v>
      </c>
      <c r="H211" s="113">
        <v>2</v>
      </c>
      <c r="I211" s="113">
        <v>0</v>
      </c>
      <c r="J211" s="113">
        <v>0</v>
      </c>
      <c r="K211" s="113">
        <v>0</v>
      </c>
      <c r="L211" s="113">
        <v>2</v>
      </c>
      <c r="M211" s="113">
        <v>1</v>
      </c>
      <c r="N211" s="113">
        <v>3</v>
      </c>
      <c r="O211" s="113">
        <v>0</v>
      </c>
      <c r="P211" s="113">
        <v>0</v>
      </c>
      <c r="Q211" s="113">
        <v>0</v>
      </c>
      <c r="R211" s="113">
        <v>0</v>
      </c>
      <c r="S211" s="113">
        <v>0</v>
      </c>
      <c r="T211" s="113">
        <v>0</v>
      </c>
      <c r="U211" s="113">
        <v>0</v>
      </c>
      <c r="V211" s="113">
        <v>0</v>
      </c>
      <c r="W211" s="113">
        <v>0</v>
      </c>
      <c r="X211" s="113">
        <v>0</v>
      </c>
      <c r="Y211" s="113">
        <v>0</v>
      </c>
      <c r="Z211" s="113">
        <v>0</v>
      </c>
    </row>
    <row r="212" spans="1:26">
      <c r="A212" s="164">
        <v>208</v>
      </c>
      <c r="B212" s="255" t="s">
        <v>299</v>
      </c>
      <c r="C212" s="113">
        <v>5281</v>
      </c>
      <c r="D212" s="113">
        <v>3497</v>
      </c>
      <c r="E212" s="113">
        <v>8778</v>
      </c>
      <c r="F212" s="113">
        <v>231</v>
      </c>
      <c r="G212" s="113">
        <v>140</v>
      </c>
      <c r="H212" s="113">
        <v>371</v>
      </c>
      <c r="I212" s="113">
        <v>94</v>
      </c>
      <c r="J212" s="113">
        <v>81</v>
      </c>
      <c r="K212" s="113">
        <v>175</v>
      </c>
      <c r="L212" s="113">
        <v>1115</v>
      </c>
      <c r="M212" s="113">
        <v>634</v>
      </c>
      <c r="N212" s="113">
        <v>1749</v>
      </c>
      <c r="O212" s="113">
        <v>0</v>
      </c>
      <c r="P212" s="113">
        <v>0</v>
      </c>
      <c r="Q212" s="113">
        <v>0</v>
      </c>
      <c r="R212" s="113">
        <v>113</v>
      </c>
      <c r="S212" s="113">
        <v>65</v>
      </c>
      <c r="T212" s="113">
        <v>178</v>
      </c>
      <c r="U212" s="113">
        <v>379</v>
      </c>
      <c r="V212" s="113">
        <v>274</v>
      </c>
      <c r="W212" s="113">
        <v>653</v>
      </c>
      <c r="X212" s="113">
        <v>7</v>
      </c>
      <c r="Y212" s="113">
        <v>4</v>
      </c>
      <c r="Z212" s="113">
        <v>11</v>
      </c>
    </row>
    <row r="213" spans="1:26">
      <c r="A213" s="164">
        <v>209</v>
      </c>
      <c r="B213" s="255" t="s">
        <v>310</v>
      </c>
      <c r="C213" s="113">
        <v>961</v>
      </c>
      <c r="D213" s="113">
        <v>472</v>
      </c>
      <c r="E213" s="113">
        <v>1433</v>
      </c>
      <c r="F213" s="113">
        <v>156</v>
      </c>
      <c r="G213" s="113">
        <v>53</v>
      </c>
      <c r="H213" s="113">
        <v>209</v>
      </c>
      <c r="I213" s="113">
        <v>90</v>
      </c>
      <c r="J213" s="113">
        <v>39</v>
      </c>
      <c r="K213" s="113">
        <v>129</v>
      </c>
      <c r="L213" s="113">
        <v>214</v>
      </c>
      <c r="M213" s="113">
        <v>96</v>
      </c>
      <c r="N213" s="113">
        <v>310</v>
      </c>
      <c r="O213" s="113">
        <v>25</v>
      </c>
      <c r="P213" s="113">
        <v>1</v>
      </c>
      <c r="Q213" s="113">
        <v>26</v>
      </c>
      <c r="R213" s="113">
        <v>2</v>
      </c>
      <c r="S213" s="113">
        <v>0</v>
      </c>
      <c r="T213" s="113">
        <v>2</v>
      </c>
      <c r="U213" s="113">
        <v>5</v>
      </c>
      <c r="V213" s="113">
        <v>0</v>
      </c>
      <c r="W213" s="113">
        <v>5</v>
      </c>
      <c r="X213" s="113">
        <v>18</v>
      </c>
      <c r="Y213" s="113">
        <v>3</v>
      </c>
      <c r="Z213" s="113">
        <v>21</v>
      </c>
    </row>
    <row r="214" spans="1:26">
      <c r="A214" s="164">
        <v>210</v>
      </c>
      <c r="B214" s="255" t="s">
        <v>433</v>
      </c>
      <c r="C214" s="113">
        <v>74333</v>
      </c>
      <c r="D214" s="113">
        <v>73513</v>
      </c>
      <c r="E214" s="113">
        <v>147846</v>
      </c>
      <c r="F214" s="113">
        <v>8409</v>
      </c>
      <c r="G214" s="113">
        <v>7496</v>
      </c>
      <c r="H214" s="113">
        <v>15905</v>
      </c>
      <c r="I214" s="113">
        <v>5038</v>
      </c>
      <c r="J214" s="113">
        <v>5352</v>
      </c>
      <c r="K214" s="113">
        <v>10390</v>
      </c>
      <c r="L214" s="113">
        <v>21649</v>
      </c>
      <c r="M214" s="113">
        <v>20960</v>
      </c>
      <c r="N214" s="113">
        <v>42609</v>
      </c>
      <c r="O214" s="113">
        <v>58</v>
      </c>
      <c r="P214" s="113">
        <v>13</v>
      </c>
      <c r="Q214" s="113">
        <v>71</v>
      </c>
      <c r="R214" s="113">
        <v>830</v>
      </c>
      <c r="S214" s="113">
        <v>696</v>
      </c>
      <c r="T214" s="113">
        <v>1526</v>
      </c>
      <c r="U214" s="113">
        <v>1012</v>
      </c>
      <c r="V214" s="113">
        <v>995</v>
      </c>
      <c r="W214" s="113">
        <v>2007</v>
      </c>
      <c r="X214" s="113">
        <v>557</v>
      </c>
      <c r="Y214" s="113">
        <v>525</v>
      </c>
      <c r="Z214" s="113">
        <v>1082</v>
      </c>
    </row>
    <row r="215" spans="1:26">
      <c r="A215" s="164">
        <v>211</v>
      </c>
      <c r="B215" s="255" t="s">
        <v>794</v>
      </c>
      <c r="C215" s="113">
        <v>15</v>
      </c>
      <c r="D215" s="113">
        <v>33</v>
      </c>
      <c r="E215" s="113">
        <v>48</v>
      </c>
      <c r="F215" s="113">
        <v>2</v>
      </c>
      <c r="G215" s="113">
        <v>4</v>
      </c>
      <c r="H215" s="113">
        <v>6</v>
      </c>
      <c r="I215" s="113">
        <v>0</v>
      </c>
      <c r="J215" s="113">
        <v>2</v>
      </c>
      <c r="K215" s="113">
        <v>2</v>
      </c>
      <c r="L215" s="113">
        <v>0</v>
      </c>
      <c r="M215" s="113">
        <v>4</v>
      </c>
      <c r="N215" s="113">
        <v>4</v>
      </c>
      <c r="O215" s="113">
        <v>0</v>
      </c>
      <c r="P215" s="113">
        <v>0</v>
      </c>
      <c r="Q215" s="113">
        <v>0</v>
      </c>
      <c r="R215" s="113">
        <v>2</v>
      </c>
      <c r="S215" s="113">
        <v>0</v>
      </c>
      <c r="T215" s="113">
        <v>2</v>
      </c>
      <c r="U215" s="113">
        <v>0</v>
      </c>
      <c r="V215" s="113">
        <v>3</v>
      </c>
      <c r="W215" s="113">
        <v>3</v>
      </c>
      <c r="X215" s="113">
        <v>0</v>
      </c>
      <c r="Y215" s="113">
        <v>0</v>
      </c>
      <c r="Z215" s="113">
        <v>0</v>
      </c>
    </row>
    <row r="216" spans="1:26">
      <c r="A216" s="164">
        <v>212</v>
      </c>
      <c r="B216" s="255" t="s">
        <v>275</v>
      </c>
      <c r="C216" s="113">
        <v>17579</v>
      </c>
      <c r="D216" s="113">
        <v>13812</v>
      </c>
      <c r="E216" s="113">
        <v>31391</v>
      </c>
      <c r="F216" s="113">
        <v>1601</v>
      </c>
      <c r="G216" s="113">
        <v>968</v>
      </c>
      <c r="H216" s="113">
        <v>2569</v>
      </c>
      <c r="I216" s="113">
        <v>551</v>
      </c>
      <c r="J216" s="113">
        <v>397</v>
      </c>
      <c r="K216" s="113">
        <v>948</v>
      </c>
      <c r="L216" s="113">
        <v>3400</v>
      </c>
      <c r="M216" s="113">
        <v>2636</v>
      </c>
      <c r="N216" s="113">
        <v>6036</v>
      </c>
      <c r="O216" s="113">
        <v>13</v>
      </c>
      <c r="P216" s="113">
        <v>4</v>
      </c>
      <c r="Q216" s="113">
        <v>17</v>
      </c>
      <c r="R216" s="113">
        <v>535</v>
      </c>
      <c r="S216" s="113">
        <v>378</v>
      </c>
      <c r="T216" s="113">
        <v>913</v>
      </c>
      <c r="U216" s="113">
        <v>440</v>
      </c>
      <c r="V216" s="113">
        <v>438</v>
      </c>
      <c r="W216" s="113">
        <v>878</v>
      </c>
      <c r="X216" s="113">
        <v>97</v>
      </c>
      <c r="Y216" s="113">
        <v>80</v>
      </c>
      <c r="Z216" s="113">
        <v>177</v>
      </c>
    </row>
    <row r="217" spans="1:26">
      <c r="A217" s="164">
        <v>213</v>
      </c>
      <c r="B217" s="255" t="s">
        <v>295</v>
      </c>
      <c r="C217" s="113">
        <v>1762</v>
      </c>
      <c r="D217" s="113">
        <v>3385</v>
      </c>
      <c r="E217" s="113">
        <v>5147</v>
      </c>
      <c r="F217" s="113">
        <v>148</v>
      </c>
      <c r="G217" s="113">
        <v>307</v>
      </c>
      <c r="H217" s="113">
        <v>455</v>
      </c>
      <c r="I217" s="113">
        <v>70</v>
      </c>
      <c r="J217" s="113">
        <v>101</v>
      </c>
      <c r="K217" s="113">
        <v>171</v>
      </c>
      <c r="L217" s="113">
        <v>777</v>
      </c>
      <c r="M217" s="113">
        <v>1359</v>
      </c>
      <c r="N217" s="113">
        <v>2136</v>
      </c>
      <c r="O217" s="113">
        <v>0</v>
      </c>
      <c r="P217" s="113">
        <v>0</v>
      </c>
      <c r="Q217" s="113">
        <v>0</v>
      </c>
      <c r="R217" s="113">
        <v>196</v>
      </c>
      <c r="S217" s="113">
        <v>361</v>
      </c>
      <c r="T217" s="113">
        <v>557</v>
      </c>
      <c r="U217" s="113">
        <v>57</v>
      </c>
      <c r="V217" s="113">
        <v>169</v>
      </c>
      <c r="W217" s="113">
        <v>226</v>
      </c>
      <c r="X217" s="113">
        <v>17</v>
      </c>
      <c r="Y217" s="113">
        <v>29</v>
      </c>
      <c r="Z217" s="113">
        <v>46</v>
      </c>
    </row>
    <row r="218" spans="1:26">
      <c r="A218" s="164">
        <v>214</v>
      </c>
      <c r="B218" s="255" t="s">
        <v>802</v>
      </c>
      <c r="C218" s="113">
        <v>0</v>
      </c>
      <c r="D218" s="113">
        <v>0</v>
      </c>
      <c r="E218" s="113">
        <v>0</v>
      </c>
      <c r="F218" s="113">
        <v>0</v>
      </c>
      <c r="G218" s="113">
        <v>0</v>
      </c>
      <c r="H218" s="113">
        <v>0</v>
      </c>
      <c r="I218" s="113">
        <v>0</v>
      </c>
      <c r="J218" s="113">
        <v>0</v>
      </c>
      <c r="K218" s="113">
        <v>0</v>
      </c>
      <c r="L218" s="113">
        <v>0</v>
      </c>
      <c r="M218" s="113">
        <v>0</v>
      </c>
      <c r="N218" s="113">
        <v>0</v>
      </c>
      <c r="O218" s="113">
        <v>0</v>
      </c>
      <c r="P218" s="113">
        <v>0</v>
      </c>
      <c r="Q218" s="113">
        <v>0</v>
      </c>
      <c r="R218" s="113">
        <v>0</v>
      </c>
      <c r="S218" s="113">
        <v>0</v>
      </c>
      <c r="T218" s="113">
        <v>0</v>
      </c>
      <c r="U218" s="113">
        <v>0</v>
      </c>
      <c r="V218" s="113">
        <v>0</v>
      </c>
      <c r="W218" s="113">
        <v>0</v>
      </c>
      <c r="X218" s="113">
        <v>0</v>
      </c>
      <c r="Y218" s="113">
        <v>0</v>
      </c>
      <c r="Z218" s="113">
        <v>0</v>
      </c>
    </row>
    <row r="219" spans="1:26">
      <c r="A219" s="164">
        <v>215</v>
      </c>
      <c r="B219" s="255" t="s">
        <v>808</v>
      </c>
      <c r="C219" s="113">
        <v>0</v>
      </c>
      <c r="D219" s="113">
        <v>0</v>
      </c>
      <c r="E219" s="113">
        <v>0</v>
      </c>
      <c r="F219" s="113">
        <v>0</v>
      </c>
      <c r="G219" s="113">
        <v>0</v>
      </c>
      <c r="H219" s="113">
        <v>0</v>
      </c>
      <c r="I219" s="113">
        <v>0</v>
      </c>
      <c r="J219" s="113">
        <v>0</v>
      </c>
      <c r="K219" s="113">
        <v>0</v>
      </c>
      <c r="L219" s="113">
        <v>0</v>
      </c>
      <c r="M219" s="113">
        <v>0</v>
      </c>
      <c r="N219" s="113">
        <v>0</v>
      </c>
      <c r="O219" s="113">
        <v>0</v>
      </c>
      <c r="P219" s="113">
        <v>0</v>
      </c>
      <c r="Q219" s="113">
        <v>0</v>
      </c>
      <c r="R219" s="113">
        <v>0</v>
      </c>
      <c r="S219" s="113">
        <v>0</v>
      </c>
      <c r="T219" s="113">
        <v>0</v>
      </c>
      <c r="U219" s="113">
        <v>0</v>
      </c>
      <c r="V219" s="113">
        <v>0</v>
      </c>
      <c r="W219" s="113">
        <v>0</v>
      </c>
      <c r="X219" s="113">
        <v>0</v>
      </c>
      <c r="Y219" s="113">
        <v>0</v>
      </c>
      <c r="Z219" s="113">
        <v>0</v>
      </c>
    </row>
    <row r="220" spans="1:26">
      <c r="A220" s="164">
        <v>216</v>
      </c>
      <c r="B220" s="255" t="s">
        <v>984</v>
      </c>
      <c r="C220" s="113">
        <v>33</v>
      </c>
      <c r="D220" s="113">
        <v>22</v>
      </c>
      <c r="E220" s="113">
        <v>55</v>
      </c>
      <c r="F220" s="113">
        <v>6</v>
      </c>
      <c r="G220" s="113">
        <v>4</v>
      </c>
      <c r="H220" s="113">
        <v>10</v>
      </c>
      <c r="I220" s="113">
        <v>7</v>
      </c>
      <c r="J220" s="113">
        <v>5</v>
      </c>
      <c r="K220" s="113">
        <v>12</v>
      </c>
      <c r="L220" s="113">
        <v>16</v>
      </c>
      <c r="M220" s="113">
        <v>10</v>
      </c>
      <c r="N220" s="113">
        <v>26</v>
      </c>
      <c r="O220" s="113">
        <v>0</v>
      </c>
      <c r="P220" s="113">
        <v>0</v>
      </c>
      <c r="Q220" s="113">
        <v>0</v>
      </c>
      <c r="R220" s="113">
        <v>0</v>
      </c>
      <c r="S220" s="113">
        <v>0</v>
      </c>
      <c r="T220" s="113">
        <v>0</v>
      </c>
      <c r="U220" s="113">
        <v>0</v>
      </c>
      <c r="V220" s="113">
        <v>0</v>
      </c>
      <c r="W220" s="113">
        <v>0</v>
      </c>
      <c r="X220" s="113">
        <v>0</v>
      </c>
      <c r="Y220" s="113">
        <v>0</v>
      </c>
      <c r="Z220" s="113">
        <v>0</v>
      </c>
    </row>
    <row r="221" spans="1:26">
      <c r="A221" s="164">
        <v>217</v>
      </c>
      <c r="B221" s="255" t="s">
        <v>985</v>
      </c>
      <c r="C221" s="113">
        <v>18</v>
      </c>
      <c r="D221" s="113">
        <v>13</v>
      </c>
      <c r="E221" s="113">
        <v>31</v>
      </c>
      <c r="F221" s="113">
        <v>2</v>
      </c>
      <c r="G221" s="113">
        <v>3</v>
      </c>
      <c r="H221" s="113">
        <v>5</v>
      </c>
      <c r="I221" s="113">
        <v>1</v>
      </c>
      <c r="J221" s="113">
        <v>2</v>
      </c>
      <c r="K221" s="113">
        <v>3</v>
      </c>
      <c r="L221" s="113">
        <v>15</v>
      </c>
      <c r="M221" s="113">
        <v>8</v>
      </c>
      <c r="N221" s="113">
        <v>23</v>
      </c>
      <c r="O221" s="113">
        <v>0</v>
      </c>
      <c r="P221" s="113">
        <v>1</v>
      </c>
      <c r="Q221" s="113">
        <v>1</v>
      </c>
      <c r="R221" s="113">
        <v>0</v>
      </c>
      <c r="S221" s="113">
        <v>2</v>
      </c>
      <c r="T221" s="113">
        <v>2</v>
      </c>
      <c r="U221" s="113">
        <v>0</v>
      </c>
      <c r="V221" s="113">
        <v>0</v>
      </c>
      <c r="W221" s="113">
        <v>0</v>
      </c>
      <c r="X221" s="113">
        <v>0</v>
      </c>
      <c r="Y221" s="113">
        <v>0</v>
      </c>
      <c r="Z221" s="113">
        <v>0</v>
      </c>
    </row>
    <row r="222" spans="1:26">
      <c r="A222" s="164">
        <v>218</v>
      </c>
      <c r="B222" s="255" t="s">
        <v>426</v>
      </c>
      <c r="C222" s="113">
        <v>109</v>
      </c>
      <c r="D222" s="113">
        <v>0</v>
      </c>
      <c r="E222" s="113">
        <v>109</v>
      </c>
      <c r="F222" s="113">
        <v>13</v>
      </c>
      <c r="G222" s="113">
        <v>0</v>
      </c>
      <c r="H222" s="113">
        <v>13</v>
      </c>
      <c r="I222" s="113">
        <v>9</v>
      </c>
      <c r="J222" s="113">
        <v>0</v>
      </c>
      <c r="K222" s="113">
        <v>9</v>
      </c>
      <c r="L222" s="113">
        <v>74</v>
      </c>
      <c r="M222" s="113">
        <v>0</v>
      </c>
      <c r="N222" s="113">
        <v>74</v>
      </c>
      <c r="O222" s="113">
        <v>0</v>
      </c>
      <c r="P222" s="113">
        <v>0</v>
      </c>
      <c r="Q222" s="113">
        <v>0</v>
      </c>
      <c r="R222" s="113">
        <v>0</v>
      </c>
      <c r="S222" s="113">
        <v>0</v>
      </c>
      <c r="T222" s="113">
        <v>0</v>
      </c>
      <c r="U222" s="113">
        <v>0</v>
      </c>
      <c r="V222" s="113">
        <v>0</v>
      </c>
      <c r="W222" s="113">
        <v>0</v>
      </c>
      <c r="X222" s="113">
        <v>0</v>
      </c>
      <c r="Y222" s="113">
        <v>0</v>
      </c>
      <c r="Z222" s="113">
        <v>0</v>
      </c>
    </row>
    <row r="223" spans="1:26">
      <c r="A223" s="164">
        <v>219</v>
      </c>
      <c r="B223" s="255" t="s">
        <v>373</v>
      </c>
      <c r="C223" s="113">
        <v>10063</v>
      </c>
      <c r="D223" s="113">
        <v>7524</v>
      </c>
      <c r="E223" s="113">
        <v>17587</v>
      </c>
      <c r="F223" s="113">
        <v>512</v>
      </c>
      <c r="G223" s="113">
        <v>648</v>
      </c>
      <c r="H223" s="113">
        <v>1160</v>
      </c>
      <c r="I223" s="113">
        <v>318</v>
      </c>
      <c r="J223" s="113">
        <v>408</v>
      </c>
      <c r="K223" s="113">
        <v>726</v>
      </c>
      <c r="L223" s="113">
        <v>1389</v>
      </c>
      <c r="M223" s="113">
        <v>1509</v>
      </c>
      <c r="N223" s="113">
        <v>2898</v>
      </c>
      <c r="O223" s="113">
        <v>1</v>
      </c>
      <c r="P223" s="113">
        <v>1</v>
      </c>
      <c r="Q223" s="113">
        <v>2</v>
      </c>
      <c r="R223" s="113">
        <v>7</v>
      </c>
      <c r="S223" s="113">
        <v>9</v>
      </c>
      <c r="T223" s="113">
        <v>16</v>
      </c>
      <c r="U223" s="113">
        <v>86</v>
      </c>
      <c r="V223" s="113">
        <v>39</v>
      </c>
      <c r="W223" s="113">
        <v>125</v>
      </c>
      <c r="X223" s="113">
        <v>33</v>
      </c>
      <c r="Y223" s="113">
        <v>20</v>
      </c>
      <c r="Z223" s="113">
        <v>53</v>
      </c>
    </row>
    <row r="224" spans="1:26">
      <c r="A224" s="164">
        <v>220</v>
      </c>
      <c r="B224" s="255" t="s">
        <v>333</v>
      </c>
      <c r="C224" s="113">
        <v>67</v>
      </c>
      <c r="D224" s="113">
        <v>86</v>
      </c>
      <c r="E224" s="113">
        <v>153</v>
      </c>
      <c r="F224" s="113">
        <v>6</v>
      </c>
      <c r="G224" s="113">
        <v>11</v>
      </c>
      <c r="H224" s="113">
        <v>17</v>
      </c>
      <c r="I224" s="113">
        <v>1</v>
      </c>
      <c r="J224" s="113">
        <v>6</v>
      </c>
      <c r="K224" s="113">
        <v>7</v>
      </c>
      <c r="L224" s="113">
        <v>29</v>
      </c>
      <c r="M224" s="113">
        <v>46</v>
      </c>
      <c r="N224" s="113">
        <v>75</v>
      </c>
      <c r="O224" s="113">
        <v>0</v>
      </c>
      <c r="P224" s="113">
        <v>0</v>
      </c>
      <c r="Q224" s="113">
        <v>0</v>
      </c>
      <c r="R224" s="113">
        <v>0</v>
      </c>
      <c r="S224" s="113">
        <v>0</v>
      </c>
      <c r="T224" s="113">
        <v>0</v>
      </c>
      <c r="U224" s="113">
        <v>0</v>
      </c>
      <c r="V224" s="113">
        <v>0</v>
      </c>
      <c r="W224" s="113">
        <v>0</v>
      </c>
      <c r="X224" s="113">
        <v>1</v>
      </c>
      <c r="Y224" s="113">
        <v>3</v>
      </c>
      <c r="Z224" s="113">
        <v>4</v>
      </c>
    </row>
    <row r="225" spans="1:26">
      <c r="A225" s="164">
        <v>221</v>
      </c>
      <c r="B225" s="255" t="s">
        <v>393</v>
      </c>
      <c r="C225" s="113">
        <v>1561</v>
      </c>
      <c r="D225" s="113">
        <v>1772</v>
      </c>
      <c r="E225" s="113">
        <v>3333</v>
      </c>
      <c r="F225" s="113">
        <v>201</v>
      </c>
      <c r="G225" s="113">
        <v>275</v>
      </c>
      <c r="H225" s="113">
        <v>476</v>
      </c>
      <c r="I225" s="113">
        <v>202</v>
      </c>
      <c r="J225" s="113">
        <v>285</v>
      </c>
      <c r="K225" s="113">
        <v>487</v>
      </c>
      <c r="L225" s="113">
        <v>445</v>
      </c>
      <c r="M225" s="113">
        <v>729</v>
      </c>
      <c r="N225" s="113">
        <v>1174</v>
      </c>
      <c r="O225" s="113">
        <v>4</v>
      </c>
      <c r="P225" s="113">
        <v>2</v>
      </c>
      <c r="Q225" s="113">
        <v>6</v>
      </c>
      <c r="R225" s="113">
        <v>1</v>
      </c>
      <c r="S225" s="113">
        <v>0</v>
      </c>
      <c r="T225" s="113">
        <v>1</v>
      </c>
      <c r="U225" s="113">
        <v>0</v>
      </c>
      <c r="V225" s="113">
        <v>0</v>
      </c>
      <c r="W225" s="113">
        <v>0</v>
      </c>
      <c r="X225" s="113">
        <v>63</v>
      </c>
      <c r="Y225" s="113">
        <v>36</v>
      </c>
      <c r="Z225" s="113">
        <v>99</v>
      </c>
    </row>
    <row r="226" spans="1:26">
      <c r="A226" s="164">
        <v>222</v>
      </c>
      <c r="B226" s="255" t="s">
        <v>803</v>
      </c>
      <c r="C226" s="113">
        <v>9</v>
      </c>
      <c r="D226" s="113">
        <v>10</v>
      </c>
      <c r="E226" s="113">
        <v>19</v>
      </c>
      <c r="F226" s="113">
        <v>3</v>
      </c>
      <c r="G226" s="113">
        <v>1</v>
      </c>
      <c r="H226" s="113">
        <v>4</v>
      </c>
      <c r="I226" s="113">
        <v>0</v>
      </c>
      <c r="J226" s="113">
        <v>0</v>
      </c>
      <c r="K226" s="113">
        <v>0</v>
      </c>
      <c r="L226" s="113">
        <v>4</v>
      </c>
      <c r="M226" s="113">
        <v>7</v>
      </c>
      <c r="N226" s="113">
        <v>11</v>
      </c>
      <c r="O226" s="113">
        <v>0</v>
      </c>
      <c r="P226" s="113">
        <v>0</v>
      </c>
      <c r="Q226" s="113">
        <v>0</v>
      </c>
      <c r="R226" s="113">
        <v>0</v>
      </c>
      <c r="S226" s="113">
        <v>0</v>
      </c>
      <c r="T226" s="113">
        <v>0</v>
      </c>
      <c r="U226" s="113">
        <v>0</v>
      </c>
      <c r="V226" s="113">
        <v>0</v>
      </c>
      <c r="W226" s="113">
        <v>0</v>
      </c>
      <c r="X226" s="113">
        <v>0</v>
      </c>
      <c r="Y226" s="113">
        <v>0</v>
      </c>
      <c r="Z226" s="113">
        <v>0</v>
      </c>
    </row>
    <row r="227" spans="1:26">
      <c r="A227" s="164">
        <v>223</v>
      </c>
      <c r="B227" s="255" t="s">
        <v>316</v>
      </c>
      <c r="C227" s="113">
        <v>237</v>
      </c>
      <c r="D227" s="113">
        <v>456</v>
      </c>
      <c r="E227" s="113">
        <v>693</v>
      </c>
      <c r="F227" s="113">
        <v>15</v>
      </c>
      <c r="G227" s="113">
        <v>33</v>
      </c>
      <c r="H227" s="113">
        <v>48</v>
      </c>
      <c r="I227" s="113">
        <v>6</v>
      </c>
      <c r="J227" s="113">
        <v>13</v>
      </c>
      <c r="K227" s="113">
        <v>19</v>
      </c>
      <c r="L227" s="113">
        <v>95</v>
      </c>
      <c r="M227" s="113">
        <v>154</v>
      </c>
      <c r="N227" s="113">
        <v>249</v>
      </c>
      <c r="O227" s="113">
        <v>0</v>
      </c>
      <c r="P227" s="113">
        <v>0</v>
      </c>
      <c r="Q227" s="113">
        <v>0</v>
      </c>
      <c r="R227" s="113">
        <v>2</v>
      </c>
      <c r="S227" s="113">
        <v>2</v>
      </c>
      <c r="T227" s="113">
        <v>4</v>
      </c>
      <c r="U227" s="113">
        <v>1</v>
      </c>
      <c r="V227" s="113">
        <v>5</v>
      </c>
      <c r="W227" s="113">
        <v>6</v>
      </c>
      <c r="X227" s="113">
        <v>0</v>
      </c>
      <c r="Y227" s="113">
        <v>1</v>
      </c>
      <c r="Z227" s="113">
        <v>1</v>
      </c>
    </row>
    <row r="228" spans="1:26">
      <c r="A228" s="164">
        <v>224</v>
      </c>
      <c r="B228" s="255" t="s">
        <v>419</v>
      </c>
      <c r="C228" s="113">
        <v>24</v>
      </c>
      <c r="D228" s="113">
        <v>0</v>
      </c>
      <c r="E228" s="113">
        <v>24</v>
      </c>
      <c r="F228" s="113">
        <v>0</v>
      </c>
      <c r="G228" s="113">
        <v>0</v>
      </c>
      <c r="H228" s="113">
        <v>0</v>
      </c>
      <c r="I228" s="113">
        <v>0</v>
      </c>
      <c r="J228" s="113">
        <v>0</v>
      </c>
      <c r="K228" s="113">
        <v>0</v>
      </c>
      <c r="L228" s="113">
        <v>0</v>
      </c>
      <c r="M228" s="113">
        <v>0</v>
      </c>
      <c r="N228" s="113">
        <v>0</v>
      </c>
      <c r="O228" s="113">
        <v>0</v>
      </c>
      <c r="P228" s="113">
        <v>0</v>
      </c>
      <c r="Q228" s="113">
        <v>0</v>
      </c>
      <c r="R228" s="113">
        <v>0</v>
      </c>
      <c r="S228" s="113">
        <v>0</v>
      </c>
      <c r="T228" s="113">
        <v>0</v>
      </c>
      <c r="U228" s="113">
        <v>0</v>
      </c>
      <c r="V228" s="113">
        <v>0</v>
      </c>
      <c r="W228" s="113">
        <v>0</v>
      </c>
      <c r="X228" s="113">
        <v>0</v>
      </c>
      <c r="Y228" s="113">
        <v>0</v>
      </c>
      <c r="Z228" s="113">
        <v>0</v>
      </c>
    </row>
    <row r="229" spans="1:26">
      <c r="A229" s="164">
        <v>225</v>
      </c>
      <c r="B229" s="255" t="s">
        <v>986</v>
      </c>
      <c r="C229" s="113">
        <v>0</v>
      </c>
      <c r="D229" s="113">
        <v>0</v>
      </c>
      <c r="E229" s="113">
        <v>0</v>
      </c>
      <c r="F229" s="113">
        <v>0</v>
      </c>
      <c r="G229" s="113">
        <v>0</v>
      </c>
      <c r="H229" s="113">
        <v>0</v>
      </c>
      <c r="I229" s="113">
        <v>0</v>
      </c>
      <c r="J229" s="113">
        <v>0</v>
      </c>
      <c r="K229" s="113">
        <v>0</v>
      </c>
      <c r="L229" s="113">
        <v>0</v>
      </c>
      <c r="M229" s="113">
        <v>0</v>
      </c>
      <c r="N229" s="113">
        <v>0</v>
      </c>
      <c r="O229" s="113">
        <v>0</v>
      </c>
      <c r="P229" s="113">
        <v>0</v>
      </c>
      <c r="Q229" s="113">
        <v>0</v>
      </c>
      <c r="R229" s="113">
        <v>0</v>
      </c>
      <c r="S229" s="113">
        <v>0</v>
      </c>
      <c r="T229" s="113">
        <v>0</v>
      </c>
      <c r="U229" s="113">
        <v>0</v>
      </c>
      <c r="V229" s="113">
        <v>0</v>
      </c>
      <c r="W229" s="113">
        <v>0</v>
      </c>
      <c r="X229" s="113">
        <v>0</v>
      </c>
      <c r="Y229" s="113">
        <v>0</v>
      </c>
      <c r="Z229" s="113">
        <v>0</v>
      </c>
    </row>
    <row r="230" spans="1:26">
      <c r="A230" s="164">
        <v>226</v>
      </c>
      <c r="B230" s="255" t="s">
        <v>276</v>
      </c>
      <c r="C230" s="113">
        <v>130</v>
      </c>
      <c r="D230" s="113">
        <v>45</v>
      </c>
      <c r="E230" s="113">
        <v>175</v>
      </c>
      <c r="F230" s="113">
        <v>14</v>
      </c>
      <c r="G230" s="113">
        <v>1</v>
      </c>
      <c r="H230" s="113">
        <v>15</v>
      </c>
      <c r="I230" s="113">
        <v>1</v>
      </c>
      <c r="J230" s="113">
        <v>1</v>
      </c>
      <c r="K230" s="113">
        <v>2</v>
      </c>
      <c r="L230" s="113">
        <v>15</v>
      </c>
      <c r="M230" s="113">
        <v>16</v>
      </c>
      <c r="N230" s="113">
        <v>31</v>
      </c>
      <c r="O230" s="113">
        <v>1</v>
      </c>
      <c r="P230" s="113">
        <v>0</v>
      </c>
      <c r="Q230" s="113">
        <v>1</v>
      </c>
      <c r="R230" s="113">
        <v>0</v>
      </c>
      <c r="S230" s="113">
        <v>0</v>
      </c>
      <c r="T230" s="113">
        <v>0</v>
      </c>
      <c r="U230" s="113">
        <v>0</v>
      </c>
      <c r="V230" s="113">
        <v>0</v>
      </c>
      <c r="W230" s="113">
        <v>0</v>
      </c>
      <c r="X230" s="113">
        <v>0</v>
      </c>
      <c r="Y230" s="113">
        <v>0</v>
      </c>
      <c r="Z230" s="113">
        <v>0</v>
      </c>
    </row>
    <row r="231" spans="1:26">
      <c r="A231" s="164">
        <v>227</v>
      </c>
      <c r="B231" s="255" t="s">
        <v>417</v>
      </c>
      <c r="C231" s="113">
        <v>112</v>
      </c>
      <c r="D231" s="113">
        <v>45</v>
      </c>
      <c r="E231" s="113">
        <v>157</v>
      </c>
      <c r="F231" s="113">
        <v>21</v>
      </c>
      <c r="G231" s="113">
        <v>9</v>
      </c>
      <c r="H231" s="113">
        <v>30</v>
      </c>
      <c r="I231" s="113">
        <v>7</v>
      </c>
      <c r="J231" s="113">
        <v>3</v>
      </c>
      <c r="K231" s="113">
        <v>10</v>
      </c>
      <c r="L231" s="113">
        <v>68</v>
      </c>
      <c r="M231" s="113">
        <v>30</v>
      </c>
      <c r="N231" s="113">
        <v>98</v>
      </c>
      <c r="O231" s="113">
        <v>0</v>
      </c>
      <c r="P231" s="113">
        <v>0</v>
      </c>
      <c r="Q231" s="113">
        <v>0</v>
      </c>
      <c r="R231" s="113">
        <v>0</v>
      </c>
      <c r="S231" s="113">
        <v>0</v>
      </c>
      <c r="T231" s="113">
        <v>0</v>
      </c>
      <c r="U231" s="113">
        <v>0</v>
      </c>
      <c r="V231" s="113">
        <v>0</v>
      </c>
      <c r="W231" s="113">
        <v>0</v>
      </c>
      <c r="X231" s="113">
        <v>9</v>
      </c>
      <c r="Y231" s="113">
        <v>1</v>
      </c>
      <c r="Z231" s="113">
        <v>10</v>
      </c>
    </row>
    <row r="232" spans="1:26" s="265" customFormat="1" ht="14.25">
      <c r="A232" s="1166" t="s">
        <v>60</v>
      </c>
      <c r="B232" s="1167"/>
      <c r="C232" s="206">
        <v>5280551</v>
      </c>
      <c r="D232" s="115">
        <v>5458022</v>
      </c>
      <c r="E232" s="115">
        <v>10738573</v>
      </c>
      <c r="F232" s="206">
        <v>681677</v>
      </c>
      <c r="G232" s="115">
        <v>718650</v>
      </c>
      <c r="H232" s="115">
        <v>1400327</v>
      </c>
      <c r="I232" s="206">
        <v>290321</v>
      </c>
      <c r="J232" s="115">
        <v>321655</v>
      </c>
      <c r="K232" s="115">
        <v>611976</v>
      </c>
      <c r="L232" s="206">
        <v>1826480</v>
      </c>
      <c r="M232" s="115">
        <v>1921409</v>
      </c>
      <c r="N232" s="115">
        <v>3747889</v>
      </c>
      <c r="O232" s="206">
        <v>6488</v>
      </c>
      <c r="P232" s="115">
        <v>5645</v>
      </c>
      <c r="Q232" s="115">
        <v>12133</v>
      </c>
      <c r="R232" s="206">
        <v>182259</v>
      </c>
      <c r="S232" s="115">
        <v>192044</v>
      </c>
      <c r="T232" s="115">
        <v>374303</v>
      </c>
      <c r="U232" s="206">
        <v>80641</v>
      </c>
      <c r="V232" s="115">
        <v>110132</v>
      </c>
      <c r="W232" s="115">
        <v>190773</v>
      </c>
      <c r="X232" s="206">
        <v>43065</v>
      </c>
      <c r="Y232" s="115">
        <v>47035</v>
      </c>
      <c r="Z232" s="115">
        <v>90100</v>
      </c>
    </row>
  </sheetData>
  <mergeCells count="16">
    <mergeCell ref="U1:Y1"/>
    <mergeCell ref="A232:B232"/>
    <mergeCell ref="O2:Q2"/>
    <mergeCell ref="R2:T2"/>
    <mergeCell ref="U2:W2"/>
    <mergeCell ref="X2:Z2"/>
    <mergeCell ref="O1:S1"/>
    <mergeCell ref="A1:B1"/>
    <mergeCell ref="C1:H1"/>
    <mergeCell ref="I1:N1"/>
    <mergeCell ref="A2:A3"/>
    <mergeCell ref="B2:B3"/>
    <mergeCell ref="C2:E2"/>
    <mergeCell ref="F2:H2"/>
    <mergeCell ref="I2:K2"/>
    <mergeCell ref="L2:N2"/>
  </mergeCells>
  <pageMargins left="0.51181102362204722" right="0.28000000000000003" top="0.39370078740157483" bottom="0.39370078740157483" header="0.19685039370078741" footer="7.874015748031496E-2"/>
  <pageSetup paperSize="9" scale="61" firstPageNumber="28" pageOrder="overThenDown" orientation="portrait" useFirstPageNumber="1" r:id="rId1"/>
  <headerFooter>
    <oddFooter>&amp;L&amp;9AISHE 2021-22&amp;CT-34a</oddFooter>
  </headerFooter>
  <rowBreaks count="1" manualBreakCount="1">
    <brk id="164" max="25" man="1"/>
  </rowBreaks>
  <colBreaks count="3" manualBreakCount="3">
    <brk id="8" max="231" man="1"/>
    <brk id="14" max="231" man="1"/>
    <brk id="20" max="231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F115"/>
  <sheetViews>
    <sheetView view="pageBreakPreview" zoomScaleSheetLayoutView="100" workbookViewId="0">
      <selection activeCell="F15" sqref="F15"/>
    </sheetView>
  </sheetViews>
  <sheetFormatPr defaultColWidth="9.28515625" defaultRowHeight="15"/>
  <cols>
    <col min="1" max="1" width="9.28515625" style="314"/>
    <col min="2" max="2" width="33.7109375" style="448" customWidth="1"/>
    <col min="3" max="3" width="43.28515625" style="315" bestFit="1" customWidth="1"/>
    <col min="4" max="6" width="14.28515625" style="316" customWidth="1"/>
    <col min="7" max="16384" width="9.28515625" style="256"/>
  </cols>
  <sheetData>
    <row r="1" spans="1:6" ht="39" customHeight="1">
      <c r="A1" s="262"/>
      <c r="B1" s="1031" t="s">
        <v>906</v>
      </c>
      <c r="C1" s="1031"/>
      <c r="D1" s="1031"/>
      <c r="E1" s="1031"/>
      <c r="F1" s="1031"/>
    </row>
    <row r="2" spans="1:6" s="311" customFormat="1" ht="22.5" customHeight="1">
      <c r="A2" s="268" t="s">
        <v>988</v>
      </c>
      <c r="B2" s="1173" t="s">
        <v>461</v>
      </c>
      <c r="C2" s="1173"/>
      <c r="D2" s="268" t="s">
        <v>87</v>
      </c>
      <c r="E2" s="268" t="s">
        <v>88</v>
      </c>
      <c r="F2" s="268" t="s">
        <v>12</v>
      </c>
    </row>
    <row r="3" spans="1:6" s="313" customFormat="1" ht="12.6" customHeight="1">
      <c r="A3" s="312">
        <v>1</v>
      </c>
      <c r="B3" s="447">
        <v>2</v>
      </c>
      <c r="C3" s="312">
        <v>3</v>
      </c>
      <c r="D3" s="312">
        <v>4</v>
      </c>
      <c r="E3" s="312">
        <v>5</v>
      </c>
      <c r="F3" s="312">
        <v>6</v>
      </c>
    </row>
    <row r="4" spans="1:6" ht="16.5" customHeight="1">
      <c r="A4" s="257">
        <v>1</v>
      </c>
      <c r="B4" s="178" t="s">
        <v>6</v>
      </c>
      <c r="C4" s="310"/>
      <c r="D4" s="164">
        <v>44516</v>
      </c>
      <c r="E4" s="164">
        <v>19092</v>
      </c>
      <c r="F4" s="164">
        <v>63608</v>
      </c>
    </row>
    <row r="5" spans="1:6" ht="16.5" customHeight="1">
      <c r="A5" s="257">
        <v>2</v>
      </c>
      <c r="B5" s="178" t="s">
        <v>497</v>
      </c>
      <c r="C5" s="317"/>
      <c r="D5" s="164">
        <v>3713</v>
      </c>
      <c r="E5" s="164">
        <v>4358</v>
      </c>
      <c r="F5" s="164">
        <v>8071</v>
      </c>
    </row>
    <row r="6" spans="1:6" ht="16.5" customHeight="1">
      <c r="A6" s="257">
        <v>3</v>
      </c>
      <c r="B6" s="178" t="s">
        <v>188</v>
      </c>
      <c r="C6" s="317"/>
      <c r="D6" s="164">
        <v>1110637</v>
      </c>
      <c r="E6" s="164">
        <v>1305493</v>
      </c>
      <c r="F6" s="164">
        <v>2416130</v>
      </c>
    </row>
    <row r="7" spans="1:6" ht="16.5" customHeight="1">
      <c r="A7" s="257">
        <v>4</v>
      </c>
      <c r="B7" s="178" t="s">
        <v>189</v>
      </c>
      <c r="C7" s="317"/>
      <c r="D7" s="164">
        <v>559773</v>
      </c>
      <c r="E7" s="164">
        <v>567971</v>
      </c>
      <c r="F7" s="164">
        <v>1127744</v>
      </c>
    </row>
    <row r="8" spans="1:6" ht="16.5" customHeight="1">
      <c r="A8" s="257">
        <v>5</v>
      </c>
      <c r="B8" s="178" t="s">
        <v>990</v>
      </c>
      <c r="C8" s="317"/>
      <c r="D8" s="164">
        <v>4</v>
      </c>
      <c r="E8" s="164">
        <v>1</v>
      </c>
      <c r="F8" s="164">
        <v>5</v>
      </c>
    </row>
    <row r="9" spans="1:6" ht="16.5" customHeight="1">
      <c r="A9" s="257">
        <v>6</v>
      </c>
      <c r="B9" s="178" t="s">
        <v>510</v>
      </c>
      <c r="C9" s="317"/>
      <c r="D9" s="164">
        <v>161</v>
      </c>
      <c r="E9" s="164">
        <v>186</v>
      </c>
      <c r="F9" s="164">
        <v>347</v>
      </c>
    </row>
    <row r="10" spans="1:6" ht="16.5" customHeight="1">
      <c r="A10" s="257">
        <v>7</v>
      </c>
      <c r="B10" s="178" t="s">
        <v>506</v>
      </c>
      <c r="C10" s="317"/>
      <c r="D10" s="164">
        <v>599</v>
      </c>
      <c r="E10" s="164">
        <v>768</v>
      </c>
      <c r="F10" s="164">
        <v>1367</v>
      </c>
    </row>
    <row r="11" spans="1:6" ht="16.5" customHeight="1">
      <c r="A11" s="257">
        <v>8</v>
      </c>
      <c r="B11" s="178" t="s">
        <v>511</v>
      </c>
      <c r="C11" s="317"/>
      <c r="D11" s="164">
        <v>81</v>
      </c>
      <c r="E11" s="164">
        <v>67</v>
      </c>
      <c r="F11" s="164">
        <v>148</v>
      </c>
    </row>
    <row r="12" spans="1:6" ht="16.5" customHeight="1">
      <c r="A12" s="257">
        <v>9</v>
      </c>
      <c r="B12" s="178" t="s">
        <v>500</v>
      </c>
      <c r="C12" s="317"/>
      <c r="D12" s="164">
        <v>2488</v>
      </c>
      <c r="E12" s="164">
        <v>5359</v>
      </c>
      <c r="F12" s="164">
        <v>7847</v>
      </c>
    </row>
    <row r="13" spans="1:6" ht="16.5" customHeight="1">
      <c r="A13" s="257">
        <v>10</v>
      </c>
      <c r="B13" s="178" t="s">
        <v>177</v>
      </c>
      <c r="C13" s="317"/>
      <c r="D13" s="164">
        <v>247742</v>
      </c>
      <c r="E13" s="164">
        <v>456007</v>
      </c>
      <c r="F13" s="164">
        <v>703749</v>
      </c>
    </row>
    <row r="14" spans="1:6" ht="16.5" customHeight="1">
      <c r="A14" s="257">
        <v>11</v>
      </c>
      <c r="B14" s="1040" t="s">
        <v>192</v>
      </c>
      <c r="C14" s="317" t="s">
        <v>471</v>
      </c>
      <c r="D14" s="164">
        <v>3593</v>
      </c>
      <c r="E14" s="164">
        <v>1215</v>
      </c>
      <c r="F14" s="164">
        <v>4808</v>
      </c>
    </row>
    <row r="15" spans="1:6" ht="16.5" customHeight="1">
      <c r="A15" s="257">
        <v>12</v>
      </c>
      <c r="B15" s="1041"/>
      <c r="C15" s="317" t="s">
        <v>470</v>
      </c>
      <c r="D15" s="164">
        <v>3168</v>
      </c>
      <c r="E15" s="164">
        <v>1524</v>
      </c>
      <c r="F15" s="164">
        <v>4692</v>
      </c>
    </row>
    <row r="16" spans="1:6" ht="16.5" customHeight="1">
      <c r="A16" s="257">
        <v>13</v>
      </c>
      <c r="B16" s="1041"/>
      <c r="C16" s="317" t="s">
        <v>187</v>
      </c>
      <c r="D16" s="164">
        <v>6107</v>
      </c>
      <c r="E16" s="164">
        <v>7577</v>
      </c>
      <c r="F16" s="164">
        <v>13684</v>
      </c>
    </row>
    <row r="17" spans="1:6" ht="16.5" customHeight="1">
      <c r="A17" s="257">
        <v>14</v>
      </c>
      <c r="B17" s="1041"/>
      <c r="C17" s="317" t="s">
        <v>992</v>
      </c>
      <c r="D17" s="164">
        <v>0</v>
      </c>
      <c r="E17" s="164">
        <v>0</v>
      </c>
      <c r="F17" s="164">
        <v>0</v>
      </c>
    </row>
    <row r="18" spans="1:6" ht="16.5" customHeight="1">
      <c r="A18" s="257">
        <v>15</v>
      </c>
      <c r="B18" s="1041"/>
      <c r="C18" s="317" t="s">
        <v>993</v>
      </c>
      <c r="D18" s="164">
        <v>167</v>
      </c>
      <c r="E18" s="164">
        <v>67</v>
      </c>
      <c r="F18" s="164">
        <v>234</v>
      </c>
    </row>
    <row r="19" spans="1:6" ht="16.5" customHeight="1">
      <c r="A19" s="257">
        <v>16</v>
      </c>
      <c r="B19" s="1041"/>
      <c r="C19" s="317" t="s">
        <v>994</v>
      </c>
      <c r="D19" s="164">
        <v>132</v>
      </c>
      <c r="E19" s="164">
        <v>31</v>
      </c>
      <c r="F19" s="164">
        <v>163</v>
      </c>
    </row>
    <row r="20" spans="1:6" ht="16.5" customHeight="1">
      <c r="A20" s="257">
        <v>17</v>
      </c>
      <c r="B20" s="1041"/>
      <c r="C20" s="317" t="s">
        <v>995</v>
      </c>
      <c r="D20" s="164">
        <v>109</v>
      </c>
      <c r="E20" s="164">
        <v>4</v>
      </c>
      <c r="F20" s="164">
        <v>113</v>
      </c>
    </row>
    <row r="21" spans="1:6" ht="16.5" customHeight="1">
      <c r="A21" s="257">
        <v>18</v>
      </c>
      <c r="B21" s="1041"/>
      <c r="C21" s="317" t="s">
        <v>996</v>
      </c>
      <c r="D21" s="164">
        <v>103</v>
      </c>
      <c r="E21" s="164">
        <v>13</v>
      </c>
      <c r="F21" s="164">
        <v>116</v>
      </c>
    </row>
    <row r="22" spans="1:6" ht="16.5" customHeight="1">
      <c r="A22" s="257">
        <v>19</v>
      </c>
      <c r="B22" s="1041"/>
      <c r="C22" s="317" t="s">
        <v>817</v>
      </c>
      <c r="D22" s="164">
        <v>375</v>
      </c>
      <c r="E22" s="164">
        <v>2</v>
      </c>
      <c r="F22" s="164">
        <v>377</v>
      </c>
    </row>
    <row r="23" spans="1:6" ht="16.5" customHeight="1">
      <c r="A23" s="257">
        <v>20</v>
      </c>
      <c r="B23" s="1041"/>
      <c r="C23" s="317" t="s">
        <v>469</v>
      </c>
      <c r="D23" s="164">
        <v>10117</v>
      </c>
      <c r="E23" s="164">
        <v>3392</v>
      </c>
      <c r="F23" s="164">
        <v>13509</v>
      </c>
    </row>
    <row r="24" spans="1:6" ht="16.5" customHeight="1">
      <c r="A24" s="257">
        <v>21</v>
      </c>
      <c r="B24" s="1041"/>
      <c r="C24" s="317" t="s">
        <v>997</v>
      </c>
      <c r="D24" s="164">
        <v>0</v>
      </c>
      <c r="E24" s="164">
        <v>2</v>
      </c>
      <c r="F24" s="164">
        <v>2</v>
      </c>
    </row>
    <row r="25" spans="1:6" ht="16.5" customHeight="1">
      <c r="A25" s="257">
        <v>22</v>
      </c>
      <c r="B25" s="1041"/>
      <c r="C25" s="317" t="s">
        <v>465</v>
      </c>
      <c r="D25" s="164">
        <v>87134</v>
      </c>
      <c r="E25" s="164">
        <v>26769</v>
      </c>
      <c r="F25" s="164">
        <v>113903</v>
      </c>
    </row>
    <row r="26" spans="1:6" ht="16.5" customHeight="1">
      <c r="A26" s="257">
        <v>23</v>
      </c>
      <c r="B26" s="1041"/>
      <c r="C26" s="317" t="s">
        <v>462</v>
      </c>
      <c r="D26" s="164">
        <v>133769</v>
      </c>
      <c r="E26" s="164">
        <v>83696</v>
      </c>
      <c r="F26" s="164">
        <v>217465</v>
      </c>
    </row>
    <row r="27" spans="1:6" ht="16.5" customHeight="1">
      <c r="A27" s="257">
        <v>24</v>
      </c>
      <c r="B27" s="1041"/>
      <c r="C27" s="317" t="s">
        <v>998</v>
      </c>
      <c r="D27" s="164">
        <v>21</v>
      </c>
      <c r="E27" s="164">
        <v>33</v>
      </c>
      <c r="F27" s="164">
        <v>54</v>
      </c>
    </row>
    <row r="28" spans="1:6" ht="16.5" customHeight="1">
      <c r="A28" s="257">
        <v>25</v>
      </c>
      <c r="B28" s="1041"/>
      <c r="C28" s="317" t="s">
        <v>476</v>
      </c>
      <c r="D28" s="164">
        <v>544</v>
      </c>
      <c r="E28" s="164">
        <v>326</v>
      </c>
      <c r="F28" s="164">
        <v>870</v>
      </c>
    </row>
    <row r="29" spans="1:6" ht="16.5" customHeight="1">
      <c r="A29" s="257">
        <v>26</v>
      </c>
      <c r="B29" s="1041"/>
      <c r="C29" s="317" t="s">
        <v>999</v>
      </c>
      <c r="D29" s="164">
        <v>1</v>
      </c>
      <c r="E29" s="164">
        <v>0</v>
      </c>
      <c r="F29" s="164">
        <v>1</v>
      </c>
    </row>
    <row r="30" spans="1:6" ht="16.5" customHeight="1">
      <c r="A30" s="257">
        <v>27</v>
      </c>
      <c r="B30" s="1041"/>
      <c r="C30" s="317" t="s">
        <v>1000</v>
      </c>
      <c r="D30" s="164">
        <v>0</v>
      </c>
      <c r="E30" s="164">
        <v>0</v>
      </c>
      <c r="F30" s="164">
        <v>0</v>
      </c>
    </row>
    <row r="31" spans="1:6" ht="16.5" customHeight="1">
      <c r="A31" s="257">
        <v>28</v>
      </c>
      <c r="B31" s="1041"/>
      <c r="C31" s="317" t="s">
        <v>1001</v>
      </c>
      <c r="D31" s="164">
        <v>1562</v>
      </c>
      <c r="E31" s="164">
        <v>477</v>
      </c>
      <c r="F31" s="164">
        <v>2039</v>
      </c>
    </row>
    <row r="32" spans="1:6" ht="16.5" customHeight="1">
      <c r="A32" s="257">
        <v>29</v>
      </c>
      <c r="B32" s="1041"/>
      <c r="C32" s="317" t="s">
        <v>466</v>
      </c>
      <c r="D32" s="164">
        <v>60832</v>
      </c>
      <c r="E32" s="164">
        <v>24375</v>
      </c>
      <c r="F32" s="164">
        <v>85207</v>
      </c>
    </row>
    <row r="33" spans="1:6" ht="16.5" customHeight="1">
      <c r="A33" s="257">
        <v>30</v>
      </c>
      <c r="B33" s="1041"/>
      <c r="C33" s="317" t="s">
        <v>1002</v>
      </c>
      <c r="D33" s="164">
        <v>3776</v>
      </c>
      <c r="E33" s="164">
        <v>2202</v>
      </c>
      <c r="F33" s="164">
        <v>5978</v>
      </c>
    </row>
    <row r="34" spans="1:6" ht="16.5" customHeight="1">
      <c r="A34" s="257">
        <v>31</v>
      </c>
      <c r="B34" s="1041"/>
      <c r="C34" s="317" t="s">
        <v>464</v>
      </c>
      <c r="D34" s="164">
        <v>75985</v>
      </c>
      <c r="E34" s="164">
        <v>56766</v>
      </c>
      <c r="F34" s="164">
        <v>132751</v>
      </c>
    </row>
    <row r="35" spans="1:6" ht="16.5" customHeight="1">
      <c r="A35" s="257">
        <v>32</v>
      </c>
      <c r="B35" s="1041"/>
      <c r="C35" s="317" t="s">
        <v>192</v>
      </c>
      <c r="D35" s="164">
        <v>14657</v>
      </c>
      <c r="E35" s="164">
        <v>6860</v>
      </c>
      <c r="F35" s="164">
        <v>21517</v>
      </c>
    </row>
    <row r="36" spans="1:6" ht="16.5" customHeight="1">
      <c r="A36" s="257">
        <v>33</v>
      </c>
      <c r="B36" s="1041"/>
      <c r="C36" s="317" t="s">
        <v>472</v>
      </c>
      <c r="D36" s="164">
        <v>2128</v>
      </c>
      <c r="E36" s="164">
        <v>1828</v>
      </c>
      <c r="F36" s="164">
        <v>3956</v>
      </c>
    </row>
    <row r="37" spans="1:6" ht="16.5" customHeight="1">
      <c r="A37" s="257">
        <v>34</v>
      </c>
      <c r="B37" s="1041"/>
      <c r="C37" s="317" t="s">
        <v>816</v>
      </c>
      <c r="D37" s="164">
        <v>571</v>
      </c>
      <c r="E37" s="164">
        <v>461</v>
      </c>
      <c r="F37" s="164">
        <v>1032</v>
      </c>
    </row>
    <row r="38" spans="1:6" ht="16.5" customHeight="1">
      <c r="A38" s="257">
        <v>35</v>
      </c>
      <c r="B38" s="1041"/>
      <c r="C38" s="317" t="s">
        <v>475</v>
      </c>
      <c r="D38" s="164">
        <v>2250</v>
      </c>
      <c r="E38" s="164">
        <v>69</v>
      </c>
      <c r="F38" s="164">
        <v>2319</v>
      </c>
    </row>
    <row r="39" spans="1:6" ht="16.5" customHeight="1">
      <c r="A39" s="257">
        <v>36</v>
      </c>
      <c r="B39" s="1041"/>
      <c r="C39" s="317" t="s">
        <v>1004</v>
      </c>
      <c r="D39" s="164">
        <v>200</v>
      </c>
      <c r="E39" s="164">
        <v>15</v>
      </c>
      <c r="F39" s="164">
        <v>215</v>
      </c>
    </row>
    <row r="40" spans="1:6" ht="16.5" customHeight="1">
      <c r="A40" s="257">
        <v>37</v>
      </c>
      <c r="B40" s="1041"/>
      <c r="C40" s="317" t="s">
        <v>463</v>
      </c>
      <c r="D40" s="164">
        <v>148254</v>
      </c>
      <c r="E40" s="164">
        <v>10177</v>
      </c>
      <c r="F40" s="164">
        <v>158431</v>
      </c>
    </row>
    <row r="41" spans="1:6" ht="16.5" customHeight="1">
      <c r="A41" s="257">
        <v>38</v>
      </c>
      <c r="B41" s="1041"/>
      <c r="C41" s="317" t="s">
        <v>1005</v>
      </c>
      <c r="D41" s="164">
        <v>239</v>
      </c>
      <c r="E41" s="164">
        <v>72</v>
      </c>
      <c r="F41" s="164">
        <v>311</v>
      </c>
    </row>
    <row r="42" spans="1:6" ht="16.5" customHeight="1">
      <c r="A42" s="257">
        <v>39</v>
      </c>
      <c r="B42" s="1041"/>
      <c r="C42" s="317" t="s">
        <v>473</v>
      </c>
      <c r="D42" s="164">
        <v>1778</v>
      </c>
      <c r="E42" s="164">
        <v>458</v>
      </c>
      <c r="F42" s="164">
        <v>2236</v>
      </c>
    </row>
    <row r="43" spans="1:6" ht="16.5" customHeight="1">
      <c r="A43" s="257">
        <v>40</v>
      </c>
      <c r="B43" s="1041"/>
      <c r="C43" s="317" t="s">
        <v>474</v>
      </c>
      <c r="D43" s="164">
        <v>1986</v>
      </c>
      <c r="E43" s="164">
        <v>63</v>
      </c>
      <c r="F43" s="164">
        <v>2049</v>
      </c>
    </row>
    <row r="44" spans="1:6" ht="16.5" customHeight="1">
      <c r="A44" s="257">
        <v>41</v>
      </c>
      <c r="B44" s="1041"/>
      <c r="C44" s="317" t="s">
        <v>1006</v>
      </c>
      <c r="D44" s="164">
        <v>6</v>
      </c>
      <c r="E44" s="164">
        <v>1</v>
      </c>
      <c r="F44" s="164">
        <v>7</v>
      </c>
    </row>
    <row r="45" spans="1:6" ht="16.5" customHeight="1">
      <c r="A45" s="257">
        <v>42</v>
      </c>
      <c r="B45" s="1041"/>
      <c r="C45" s="317" t="s">
        <v>467</v>
      </c>
      <c r="D45" s="164">
        <v>28084</v>
      </c>
      <c r="E45" s="164">
        <v>13122</v>
      </c>
      <c r="F45" s="164">
        <v>41206</v>
      </c>
    </row>
    <row r="46" spans="1:6" ht="16.5" customHeight="1">
      <c r="A46" s="257">
        <v>43</v>
      </c>
      <c r="B46" s="1041"/>
      <c r="C46" s="317" t="s">
        <v>1007</v>
      </c>
      <c r="D46" s="164">
        <v>21</v>
      </c>
      <c r="E46" s="164">
        <v>6</v>
      </c>
      <c r="F46" s="164">
        <v>27</v>
      </c>
    </row>
    <row r="47" spans="1:6" ht="16.5" customHeight="1">
      <c r="A47" s="257">
        <v>44</v>
      </c>
      <c r="B47" s="1041"/>
      <c r="C47" s="317" t="s">
        <v>477</v>
      </c>
      <c r="D47" s="164">
        <v>163</v>
      </c>
      <c r="E47" s="164">
        <v>165</v>
      </c>
      <c r="F47" s="164">
        <v>328</v>
      </c>
    </row>
    <row r="48" spans="1:6" ht="16.5" customHeight="1">
      <c r="A48" s="257">
        <v>45</v>
      </c>
      <c r="B48" s="1041"/>
      <c r="C48" s="317" t="s">
        <v>1008</v>
      </c>
      <c r="D48" s="164">
        <v>14</v>
      </c>
      <c r="E48" s="164">
        <v>3</v>
      </c>
      <c r="F48" s="164">
        <v>17</v>
      </c>
    </row>
    <row r="49" spans="1:6" ht="16.5" customHeight="1">
      <c r="A49" s="257">
        <v>46</v>
      </c>
      <c r="B49" s="1042"/>
      <c r="C49" s="317" t="s">
        <v>523</v>
      </c>
      <c r="D49" s="164">
        <v>8</v>
      </c>
      <c r="E49" s="164">
        <v>2</v>
      </c>
      <c r="F49" s="164">
        <v>10</v>
      </c>
    </row>
    <row r="50" spans="1:6" ht="16.5" customHeight="1">
      <c r="A50" s="257">
        <v>47</v>
      </c>
      <c r="B50" s="178" t="s">
        <v>478</v>
      </c>
      <c r="C50" s="317"/>
      <c r="D50" s="115">
        <v>587854</v>
      </c>
      <c r="E50" s="115">
        <v>241773</v>
      </c>
      <c r="F50" s="115">
        <v>829627</v>
      </c>
    </row>
    <row r="51" spans="1:6" ht="16.5" customHeight="1">
      <c r="A51" s="257">
        <v>48</v>
      </c>
      <c r="B51" s="178" t="s">
        <v>502</v>
      </c>
      <c r="C51" s="317"/>
      <c r="D51" s="164">
        <v>1456</v>
      </c>
      <c r="E51" s="164">
        <v>4568</v>
      </c>
      <c r="F51" s="164">
        <v>6024</v>
      </c>
    </row>
    <row r="52" spans="1:6" ht="16.5" customHeight="1">
      <c r="A52" s="257">
        <v>49</v>
      </c>
      <c r="B52" s="178" t="s">
        <v>178</v>
      </c>
      <c r="C52" s="317"/>
      <c r="D52" s="164">
        <v>4829</v>
      </c>
      <c r="E52" s="164">
        <v>5356</v>
      </c>
      <c r="F52" s="164">
        <v>10185</v>
      </c>
    </row>
    <row r="53" spans="1:6" ht="16.5" customHeight="1">
      <c r="A53" s="257">
        <v>50</v>
      </c>
      <c r="B53" s="178" t="s">
        <v>507</v>
      </c>
      <c r="C53" s="317"/>
      <c r="D53" s="164">
        <v>682</v>
      </c>
      <c r="E53" s="164">
        <v>623</v>
      </c>
      <c r="F53" s="164">
        <v>1305</v>
      </c>
    </row>
    <row r="54" spans="1:6" ht="16.5" customHeight="1">
      <c r="A54" s="257">
        <v>51</v>
      </c>
      <c r="B54" s="178" t="s">
        <v>513</v>
      </c>
      <c r="C54" s="317"/>
      <c r="D54" s="164">
        <v>48</v>
      </c>
      <c r="E54" s="164">
        <v>39</v>
      </c>
      <c r="F54" s="164">
        <v>87</v>
      </c>
    </row>
    <row r="55" spans="1:6" ht="16.5" customHeight="1">
      <c r="A55" s="257">
        <v>52</v>
      </c>
      <c r="B55" s="178" t="s">
        <v>496</v>
      </c>
      <c r="C55" s="317"/>
      <c r="D55" s="164">
        <v>19434</v>
      </c>
      <c r="E55" s="164">
        <v>26465</v>
      </c>
      <c r="F55" s="164">
        <v>45899</v>
      </c>
    </row>
    <row r="56" spans="1:6" ht="16.5" customHeight="1">
      <c r="A56" s="257">
        <v>53</v>
      </c>
      <c r="B56" s="178" t="s">
        <v>514</v>
      </c>
      <c r="C56" s="317"/>
      <c r="D56" s="164">
        <v>27</v>
      </c>
      <c r="E56" s="164">
        <v>176</v>
      </c>
      <c r="F56" s="164">
        <v>203</v>
      </c>
    </row>
    <row r="57" spans="1:6" ht="16.5" customHeight="1">
      <c r="A57" s="257">
        <v>54</v>
      </c>
      <c r="B57" s="178" t="s">
        <v>210</v>
      </c>
      <c r="C57" s="317"/>
      <c r="D57" s="164">
        <v>1396</v>
      </c>
      <c r="E57" s="164">
        <v>17096</v>
      </c>
      <c r="F57" s="164">
        <v>18492</v>
      </c>
    </row>
    <row r="58" spans="1:6" ht="16.5" customHeight="1">
      <c r="A58" s="257">
        <v>55</v>
      </c>
      <c r="B58" s="178" t="s">
        <v>505</v>
      </c>
      <c r="C58" s="317"/>
      <c r="D58" s="164">
        <v>5992</v>
      </c>
      <c r="E58" s="164">
        <v>1580</v>
      </c>
      <c r="F58" s="164">
        <v>7572</v>
      </c>
    </row>
    <row r="59" spans="1:6" ht="16.5" customHeight="1">
      <c r="A59" s="257">
        <v>56</v>
      </c>
      <c r="B59" s="178" t="s">
        <v>495</v>
      </c>
      <c r="C59" s="317"/>
      <c r="D59" s="164">
        <v>26362</v>
      </c>
      <c r="E59" s="164">
        <v>49516</v>
      </c>
      <c r="F59" s="164">
        <v>75878</v>
      </c>
    </row>
    <row r="60" spans="1:6" ht="16.5" customHeight="1">
      <c r="A60" s="257">
        <v>57</v>
      </c>
      <c r="B60" s="178" t="s">
        <v>468</v>
      </c>
      <c r="C60" s="317"/>
      <c r="D60" s="164">
        <v>8</v>
      </c>
      <c r="E60" s="164">
        <v>5</v>
      </c>
      <c r="F60" s="164">
        <v>13</v>
      </c>
    </row>
    <row r="61" spans="1:6" ht="16.5" customHeight="1">
      <c r="A61" s="257">
        <v>58</v>
      </c>
      <c r="B61" s="178" t="s">
        <v>494</v>
      </c>
      <c r="C61" s="317"/>
      <c r="D61" s="164">
        <v>149775</v>
      </c>
      <c r="E61" s="164">
        <v>108428</v>
      </c>
      <c r="F61" s="164">
        <v>258203</v>
      </c>
    </row>
    <row r="62" spans="1:6" ht="16.5" customHeight="1">
      <c r="A62" s="257">
        <v>59</v>
      </c>
      <c r="B62" s="178" t="s">
        <v>180</v>
      </c>
      <c r="C62" s="317"/>
      <c r="D62" s="164">
        <v>4825</v>
      </c>
      <c r="E62" s="164">
        <v>5014</v>
      </c>
      <c r="F62" s="164">
        <v>9839</v>
      </c>
    </row>
    <row r="63" spans="1:6" ht="16.5" customHeight="1">
      <c r="A63" s="257">
        <v>60</v>
      </c>
      <c r="B63" s="178" t="s">
        <v>8</v>
      </c>
      <c r="C63" s="317"/>
      <c r="D63" s="164">
        <v>72207</v>
      </c>
      <c r="E63" s="164">
        <v>35738</v>
      </c>
      <c r="F63" s="164">
        <v>107945</v>
      </c>
    </row>
    <row r="64" spans="1:6" ht="16.5" customHeight="1">
      <c r="A64" s="257">
        <v>61</v>
      </c>
      <c r="B64" s="178" t="s">
        <v>499</v>
      </c>
      <c r="C64" s="317"/>
      <c r="D64" s="164">
        <v>11154</v>
      </c>
      <c r="E64" s="164">
        <v>10961</v>
      </c>
      <c r="F64" s="164">
        <v>22115</v>
      </c>
    </row>
    <row r="65" spans="1:6" ht="16.5" customHeight="1">
      <c r="A65" s="257">
        <v>62</v>
      </c>
      <c r="B65" s="178" t="s">
        <v>501</v>
      </c>
      <c r="C65" s="317"/>
      <c r="D65" s="164">
        <v>1617</v>
      </c>
      <c r="E65" s="164">
        <v>2320</v>
      </c>
      <c r="F65" s="164">
        <v>3937</v>
      </c>
    </row>
    <row r="66" spans="1:6" ht="16.5" customHeight="1">
      <c r="A66" s="257">
        <v>63</v>
      </c>
      <c r="B66" s="178" t="s">
        <v>182</v>
      </c>
      <c r="C66" s="317"/>
      <c r="D66" s="164">
        <v>126242</v>
      </c>
      <c r="E66" s="164">
        <v>82799</v>
      </c>
      <c r="F66" s="164">
        <v>209041</v>
      </c>
    </row>
    <row r="67" spans="1:6" ht="16.5" customHeight="1">
      <c r="A67" s="257">
        <v>64</v>
      </c>
      <c r="B67" s="178" t="s">
        <v>512</v>
      </c>
      <c r="C67" s="317"/>
      <c r="D67" s="164">
        <v>318</v>
      </c>
      <c r="E67" s="164">
        <v>68</v>
      </c>
      <c r="F67" s="164">
        <v>386</v>
      </c>
    </row>
    <row r="68" spans="1:6" ht="16.5" customHeight="1">
      <c r="A68" s="257">
        <v>65</v>
      </c>
      <c r="B68" s="1040" t="s">
        <v>479</v>
      </c>
      <c r="C68" s="317" t="s">
        <v>584</v>
      </c>
      <c r="D68" s="164">
        <v>66</v>
      </c>
      <c r="E68" s="164">
        <v>32</v>
      </c>
      <c r="F68" s="164">
        <v>98</v>
      </c>
    </row>
    <row r="69" spans="1:6" ht="16.5" customHeight="1">
      <c r="A69" s="257">
        <v>66</v>
      </c>
      <c r="B69" s="1041"/>
      <c r="C69" s="317" t="s">
        <v>572</v>
      </c>
      <c r="D69" s="164">
        <v>19</v>
      </c>
      <c r="E69" s="164">
        <v>11</v>
      </c>
      <c r="F69" s="164">
        <v>30</v>
      </c>
    </row>
    <row r="70" spans="1:6" ht="16.5" customHeight="1">
      <c r="A70" s="257">
        <v>67</v>
      </c>
      <c r="B70" s="1041"/>
      <c r="C70" s="317" t="s">
        <v>482</v>
      </c>
      <c r="D70" s="164">
        <v>5747</v>
      </c>
      <c r="E70" s="164">
        <v>9252</v>
      </c>
      <c r="F70" s="164">
        <v>14999</v>
      </c>
    </row>
    <row r="71" spans="1:6" ht="16.5" customHeight="1">
      <c r="A71" s="257">
        <v>68</v>
      </c>
      <c r="B71" s="1041"/>
      <c r="C71" s="317" t="s">
        <v>578</v>
      </c>
      <c r="D71" s="164">
        <v>353</v>
      </c>
      <c r="E71" s="164">
        <v>458</v>
      </c>
      <c r="F71" s="164">
        <v>811</v>
      </c>
    </row>
    <row r="72" spans="1:6" ht="16.5" customHeight="1">
      <c r="A72" s="257">
        <v>69</v>
      </c>
      <c r="B72" s="1041"/>
      <c r="C72" s="317" t="s">
        <v>587</v>
      </c>
      <c r="D72" s="164">
        <v>816</v>
      </c>
      <c r="E72" s="164">
        <v>1357</v>
      </c>
      <c r="F72" s="164">
        <v>2173</v>
      </c>
    </row>
    <row r="73" spans="1:6" ht="16.5" customHeight="1">
      <c r="A73" s="257">
        <v>70</v>
      </c>
      <c r="B73" s="1041"/>
      <c r="C73" s="317" t="s">
        <v>590</v>
      </c>
      <c r="D73" s="164">
        <v>3</v>
      </c>
      <c r="E73" s="164">
        <v>6</v>
      </c>
      <c r="F73" s="164">
        <v>9</v>
      </c>
    </row>
    <row r="74" spans="1:6" ht="16.5" customHeight="1">
      <c r="A74" s="257">
        <v>71</v>
      </c>
      <c r="B74" s="1041"/>
      <c r="C74" s="317" t="s">
        <v>481</v>
      </c>
      <c r="D74" s="164">
        <v>5158</v>
      </c>
      <c r="E74" s="164">
        <v>14436</v>
      </c>
      <c r="F74" s="164">
        <v>19594</v>
      </c>
    </row>
    <row r="75" spans="1:6" ht="16.5" customHeight="1">
      <c r="A75" s="257">
        <v>72</v>
      </c>
      <c r="B75" s="1041"/>
      <c r="C75" s="317" t="s">
        <v>579</v>
      </c>
      <c r="D75" s="164">
        <v>104</v>
      </c>
      <c r="E75" s="164">
        <v>61</v>
      </c>
      <c r="F75" s="164">
        <v>165</v>
      </c>
    </row>
    <row r="76" spans="1:6" ht="16.5" customHeight="1">
      <c r="A76" s="257">
        <v>73</v>
      </c>
      <c r="B76" s="1041"/>
      <c r="C76" s="317" t="s">
        <v>586</v>
      </c>
      <c r="D76" s="164">
        <v>84</v>
      </c>
      <c r="E76" s="164">
        <v>34</v>
      </c>
      <c r="F76" s="164">
        <v>118</v>
      </c>
    </row>
    <row r="77" spans="1:6" ht="16.5" customHeight="1">
      <c r="A77" s="257">
        <v>74</v>
      </c>
      <c r="B77" s="1041"/>
      <c r="C77" s="317" t="s">
        <v>480</v>
      </c>
      <c r="D77" s="164">
        <v>18697</v>
      </c>
      <c r="E77" s="164">
        <v>21226</v>
      </c>
      <c r="F77" s="164">
        <v>39923</v>
      </c>
    </row>
    <row r="78" spans="1:6" ht="16.5" customHeight="1">
      <c r="A78" s="257">
        <v>75</v>
      </c>
      <c r="B78" s="1041"/>
      <c r="C78" s="317" t="s">
        <v>491</v>
      </c>
      <c r="D78" s="164">
        <v>385</v>
      </c>
      <c r="E78" s="164">
        <v>422</v>
      </c>
      <c r="F78" s="164">
        <v>807</v>
      </c>
    </row>
    <row r="79" spans="1:6" ht="16.5" customHeight="1">
      <c r="A79" s="257">
        <v>76</v>
      </c>
      <c r="B79" s="1041"/>
      <c r="C79" s="317" t="s">
        <v>573</v>
      </c>
      <c r="D79" s="164">
        <v>197</v>
      </c>
      <c r="E79" s="164">
        <v>169</v>
      </c>
      <c r="F79" s="164">
        <v>366</v>
      </c>
    </row>
    <row r="80" spans="1:6" ht="16.5" customHeight="1">
      <c r="A80" s="257">
        <v>77</v>
      </c>
      <c r="B80" s="1041"/>
      <c r="C80" s="317" t="s">
        <v>483</v>
      </c>
      <c r="D80" s="164">
        <v>3451</v>
      </c>
      <c r="E80" s="164">
        <v>6378</v>
      </c>
      <c r="F80" s="164">
        <v>9829</v>
      </c>
    </row>
    <row r="81" spans="1:6" ht="16.5" customHeight="1">
      <c r="A81" s="257">
        <v>78</v>
      </c>
      <c r="B81" s="1041"/>
      <c r="C81" s="317" t="s">
        <v>492</v>
      </c>
      <c r="D81" s="164">
        <v>376</v>
      </c>
      <c r="E81" s="164">
        <v>590</v>
      </c>
      <c r="F81" s="164">
        <v>966</v>
      </c>
    </row>
    <row r="82" spans="1:6" ht="16.5" customHeight="1">
      <c r="A82" s="257">
        <v>79</v>
      </c>
      <c r="B82" s="1041"/>
      <c r="C82" s="317" t="s">
        <v>588</v>
      </c>
      <c r="D82" s="164">
        <v>10</v>
      </c>
      <c r="E82" s="164">
        <v>12</v>
      </c>
      <c r="F82" s="164">
        <v>22</v>
      </c>
    </row>
    <row r="83" spans="1:6" ht="16.5" customHeight="1">
      <c r="A83" s="257">
        <v>80</v>
      </c>
      <c r="B83" s="1041"/>
      <c r="C83" s="317" t="s">
        <v>489</v>
      </c>
      <c r="D83" s="164">
        <v>432</v>
      </c>
      <c r="E83" s="164">
        <v>512</v>
      </c>
      <c r="F83" s="164">
        <v>944</v>
      </c>
    </row>
    <row r="84" spans="1:6" ht="16.5" customHeight="1">
      <c r="A84" s="257">
        <v>81</v>
      </c>
      <c r="B84" s="1041"/>
      <c r="C84" s="317" t="s">
        <v>479</v>
      </c>
      <c r="D84" s="164">
        <v>9989</v>
      </c>
      <c r="E84" s="164">
        <v>15662</v>
      </c>
      <c r="F84" s="164">
        <v>25651</v>
      </c>
    </row>
    <row r="85" spans="1:6" ht="16.5" customHeight="1">
      <c r="A85" s="257">
        <v>82</v>
      </c>
      <c r="B85" s="1041"/>
      <c r="C85" s="317" t="s">
        <v>583</v>
      </c>
      <c r="D85" s="164">
        <v>589</v>
      </c>
      <c r="E85" s="164">
        <v>963</v>
      </c>
      <c r="F85" s="164">
        <v>1552</v>
      </c>
    </row>
    <row r="86" spans="1:6" ht="16.5" customHeight="1">
      <c r="A86" s="257">
        <v>83</v>
      </c>
      <c r="B86" s="1041"/>
      <c r="C86" s="317" t="s">
        <v>598</v>
      </c>
      <c r="D86" s="164">
        <v>5</v>
      </c>
      <c r="E86" s="164">
        <v>2</v>
      </c>
      <c r="F86" s="164">
        <v>7</v>
      </c>
    </row>
    <row r="87" spans="1:6" ht="16.5" customHeight="1">
      <c r="A87" s="257">
        <v>84</v>
      </c>
      <c r="B87" s="1041"/>
      <c r="C87" s="317" t="s">
        <v>592</v>
      </c>
      <c r="D87" s="164">
        <v>4</v>
      </c>
      <c r="E87" s="164">
        <v>5</v>
      </c>
      <c r="F87" s="164">
        <v>9</v>
      </c>
    </row>
    <row r="88" spans="1:6" ht="16.5" customHeight="1">
      <c r="A88" s="257">
        <v>85</v>
      </c>
      <c r="B88" s="1041"/>
      <c r="C88" s="317" t="s">
        <v>589</v>
      </c>
      <c r="D88" s="164">
        <v>2</v>
      </c>
      <c r="E88" s="164">
        <v>1</v>
      </c>
      <c r="F88" s="164">
        <v>3</v>
      </c>
    </row>
    <row r="89" spans="1:6" ht="16.5" customHeight="1">
      <c r="A89" s="257">
        <v>86</v>
      </c>
      <c r="B89" s="1041"/>
      <c r="C89" s="317" t="s">
        <v>76</v>
      </c>
      <c r="D89" s="164">
        <v>17529</v>
      </c>
      <c r="E89" s="164">
        <v>66116</v>
      </c>
      <c r="F89" s="164">
        <v>83645</v>
      </c>
    </row>
    <row r="90" spans="1:6" ht="16.5" customHeight="1">
      <c r="A90" s="257">
        <v>87</v>
      </c>
      <c r="B90" s="1041"/>
      <c r="C90" s="317" t="s">
        <v>487</v>
      </c>
      <c r="D90" s="164">
        <v>214</v>
      </c>
      <c r="E90" s="164">
        <v>480</v>
      </c>
      <c r="F90" s="164">
        <v>694</v>
      </c>
    </row>
    <row r="91" spans="1:6" ht="16.5" customHeight="1">
      <c r="A91" s="257">
        <v>88</v>
      </c>
      <c r="B91" s="1041"/>
      <c r="C91" s="317" t="s">
        <v>485</v>
      </c>
      <c r="D91" s="164">
        <v>628</v>
      </c>
      <c r="E91" s="164">
        <v>973</v>
      </c>
      <c r="F91" s="164">
        <v>1601</v>
      </c>
    </row>
    <row r="92" spans="1:6" ht="16.5" customHeight="1">
      <c r="A92" s="257">
        <v>89</v>
      </c>
      <c r="B92" s="1041"/>
      <c r="C92" s="317" t="s">
        <v>486</v>
      </c>
      <c r="D92" s="164">
        <v>1490</v>
      </c>
      <c r="E92" s="164">
        <v>2073</v>
      </c>
      <c r="F92" s="164">
        <v>3563</v>
      </c>
    </row>
    <row r="93" spans="1:6" ht="16.5" customHeight="1">
      <c r="A93" s="257">
        <v>90</v>
      </c>
      <c r="B93" s="1041"/>
      <c r="C93" s="317" t="s">
        <v>490</v>
      </c>
      <c r="D93" s="164">
        <v>193</v>
      </c>
      <c r="E93" s="164">
        <v>379</v>
      </c>
      <c r="F93" s="164">
        <v>572</v>
      </c>
    </row>
    <row r="94" spans="1:6" ht="16.5" customHeight="1">
      <c r="A94" s="257">
        <v>91</v>
      </c>
      <c r="B94" s="1041"/>
      <c r="C94" s="317" t="s">
        <v>574</v>
      </c>
      <c r="D94" s="164">
        <v>207</v>
      </c>
      <c r="E94" s="164">
        <v>166</v>
      </c>
      <c r="F94" s="164">
        <v>373</v>
      </c>
    </row>
    <row r="95" spans="1:6" ht="16.5" customHeight="1">
      <c r="A95" s="257">
        <v>92</v>
      </c>
      <c r="B95" s="1041"/>
      <c r="C95" s="317" t="s">
        <v>200</v>
      </c>
      <c r="D95" s="164">
        <v>39478</v>
      </c>
      <c r="E95" s="164">
        <v>29359</v>
      </c>
      <c r="F95" s="164">
        <v>68837</v>
      </c>
    </row>
    <row r="96" spans="1:6" ht="16.5" customHeight="1">
      <c r="A96" s="257">
        <v>93</v>
      </c>
      <c r="B96" s="1041"/>
      <c r="C96" s="317" t="s">
        <v>581</v>
      </c>
      <c r="D96" s="164">
        <v>80</v>
      </c>
      <c r="E96" s="164">
        <v>45</v>
      </c>
      <c r="F96" s="164">
        <v>125</v>
      </c>
    </row>
    <row r="97" spans="1:6" ht="16.5" customHeight="1">
      <c r="A97" s="257">
        <v>94</v>
      </c>
      <c r="B97" s="1041"/>
      <c r="C97" s="317" t="s">
        <v>201</v>
      </c>
      <c r="D97" s="164">
        <v>4366</v>
      </c>
      <c r="E97" s="164">
        <v>9619</v>
      </c>
      <c r="F97" s="164">
        <v>13985</v>
      </c>
    </row>
    <row r="98" spans="1:6" ht="16.5" customHeight="1">
      <c r="A98" s="257">
        <v>95</v>
      </c>
      <c r="B98" s="1041"/>
      <c r="C98" s="317" t="s">
        <v>1010</v>
      </c>
      <c r="D98" s="164">
        <v>8</v>
      </c>
      <c r="E98" s="164">
        <v>19</v>
      </c>
      <c r="F98" s="164">
        <v>27</v>
      </c>
    </row>
    <row r="99" spans="1:6" ht="16.5" customHeight="1">
      <c r="A99" s="257">
        <v>96</v>
      </c>
      <c r="B99" s="1041"/>
      <c r="C99" s="317" t="s">
        <v>577</v>
      </c>
      <c r="D99" s="164">
        <v>94</v>
      </c>
      <c r="E99" s="164">
        <v>41</v>
      </c>
      <c r="F99" s="164">
        <v>135</v>
      </c>
    </row>
    <row r="100" spans="1:6" ht="16.5" customHeight="1">
      <c r="A100" s="257">
        <v>97</v>
      </c>
      <c r="B100" s="1041"/>
      <c r="C100" s="317" t="s">
        <v>576</v>
      </c>
      <c r="D100" s="164">
        <v>9</v>
      </c>
      <c r="E100" s="164">
        <v>13</v>
      </c>
      <c r="F100" s="164">
        <v>22</v>
      </c>
    </row>
    <row r="101" spans="1:6" ht="16.5" customHeight="1">
      <c r="A101" s="257">
        <v>98</v>
      </c>
      <c r="B101" s="1041"/>
      <c r="C101" s="317" t="s">
        <v>585</v>
      </c>
      <c r="D101" s="164">
        <v>2</v>
      </c>
      <c r="E101" s="164">
        <v>2</v>
      </c>
      <c r="F101" s="164">
        <v>4</v>
      </c>
    </row>
    <row r="102" spans="1:6" ht="16.5" customHeight="1">
      <c r="A102" s="257">
        <v>99</v>
      </c>
      <c r="B102" s="1042"/>
      <c r="C102" s="317" t="s">
        <v>484</v>
      </c>
      <c r="D102" s="164">
        <v>822</v>
      </c>
      <c r="E102" s="164">
        <v>1047</v>
      </c>
      <c r="F102" s="164">
        <v>1869</v>
      </c>
    </row>
    <row r="103" spans="1:6" ht="16.5" customHeight="1">
      <c r="A103" s="257">
        <v>100</v>
      </c>
      <c r="B103" s="178" t="s">
        <v>493</v>
      </c>
      <c r="C103" s="317"/>
      <c r="D103" s="115">
        <v>111607</v>
      </c>
      <c r="E103" s="115">
        <v>181921</v>
      </c>
      <c r="F103" s="115">
        <v>293528</v>
      </c>
    </row>
    <row r="104" spans="1:6" ht="16.5" customHeight="1">
      <c r="A104" s="257">
        <v>101</v>
      </c>
      <c r="B104" s="178" t="s">
        <v>183</v>
      </c>
      <c r="C104" s="317"/>
      <c r="D104" s="164">
        <v>10672</v>
      </c>
      <c r="E104" s="164">
        <v>8092</v>
      </c>
      <c r="F104" s="164">
        <v>18764</v>
      </c>
    </row>
    <row r="105" spans="1:6" ht="16.5" customHeight="1">
      <c r="A105" s="257">
        <v>102</v>
      </c>
      <c r="B105" s="178" t="s">
        <v>11</v>
      </c>
      <c r="C105" s="317"/>
      <c r="D105" s="164">
        <v>3</v>
      </c>
      <c r="E105" s="164">
        <v>6</v>
      </c>
      <c r="F105" s="164">
        <v>9</v>
      </c>
    </row>
    <row r="106" spans="1:6" ht="16.5" customHeight="1">
      <c r="A106" s="257">
        <v>103</v>
      </c>
      <c r="B106" s="178" t="s">
        <v>504</v>
      </c>
      <c r="C106" s="317"/>
      <c r="D106" s="164">
        <v>4399</v>
      </c>
      <c r="E106" s="164">
        <v>3553</v>
      </c>
      <c r="F106" s="164">
        <v>7952</v>
      </c>
    </row>
    <row r="107" spans="1:6" ht="16.5" customHeight="1">
      <c r="A107" s="257">
        <v>104</v>
      </c>
      <c r="B107" s="178" t="s">
        <v>498</v>
      </c>
      <c r="C107" s="317"/>
      <c r="D107" s="164">
        <v>17534</v>
      </c>
      <c r="E107" s="164">
        <v>7672</v>
      </c>
      <c r="F107" s="164">
        <v>25206</v>
      </c>
    </row>
    <row r="108" spans="1:6" ht="16.5" customHeight="1">
      <c r="A108" s="257">
        <v>105</v>
      </c>
      <c r="B108" s="178" t="s">
        <v>508</v>
      </c>
      <c r="C108" s="317"/>
      <c r="D108" s="164">
        <v>509</v>
      </c>
      <c r="E108" s="164">
        <v>364</v>
      </c>
      <c r="F108" s="164">
        <v>873</v>
      </c>
    </row>
    <row r="109" spans="1:6" ht="16.5" customHeight="1">
      <c r="A109" s="257">
        <v>106</v>
      </c>
      <c r="B109" s="178" t="s">
        <v>186</v>
      </c>
      <c r="C109" s="317"/>
      <c r="D109" s="164">
        <v>553016</v>
      </c>
      <c r="E109" s="164">
        <v>644317</v>
      </c>
      <c r="F109" s="164">
        <v>1197333</v>
      </c>
    </row>
    <row r="110" spans="1:6" ht="16.5" customHeight="1">
      <c r="A110" s="257">
        <v>107</v>
      </c>
      <c r="B110" s="178" t="s">
        <v>1011</v>
      </c>
      <c r="C110" s="317"/>
      <c r="D110" s="164">
        <v>44</v>
      </c>
      <c r="E110" s="164">
        <v>26</v>
      </c>
      <c r="F110" s="164">
        <v>70</v>
      </c>
    </row>
    <row r="111" spans="1:6" ht="16.5" customHeight="1">
      <c r="A111" s="257">
        <v>108</v>
      </c>
      <c r="B111" s="178" t="s">
        <v>208</v>
      </c>
      <c r="C111" s="310"/>
      <c r="D111" s="164">
        <v>129857</v>
      </c>
      <c r="E111" s="164">
        <v>134117</v>
      </c>
      <c r="F111" s="164">
        <v>263974</v>
      </c>
    </row>
    <row r="112" spans="1:6" ht="16.5" customHeight="1">
      <c r="A112" s="257">
        <v>109</v>
      </c>
      <c r="B112" s="178" t="s">
        <v>202</v>
      </c>
      <c r="C112" s="310"/>
      <c r="D112" s="164">
        <v>3222</v>
      </c>
      <c r="E112" s="164">
        <v>3473</v>
      </c>
      <c r="F112" s="164">
        <v>6695</v>
      </c>
    </row>
    <row r="113" spans="1:6" ht="16.5" customHeight="1">
      <c r="A113" s="257">
        <v>110</v>
      </c>
      <c r="B113" s="178" t="s">
        <v>503</v>
      </c>
      <c r="C113" s="310"/>
      <c r="D113" s="164">
        <v>2094</v>
      </c>
      <c r="E113" s="164">
        <v>1670</v>
      </c>
      <c r="F113" s="164">
        <v>3764</v>
      </c>
    </row>
    <row r="114" spans="1:6" ht="16.5" customHeight="1">
      <c r="A114" s="257">
        <v>111</v>
      </c>
      <c r="B114" s="178" t="s">
        <v>509</v>
      </c>
      <c r="C114" s="310"/>
      <c r="D114" s="164">
        <v>0</v>
      </c>
      <c r="E114" s="164">
        <v>288</v>
      </c>
      <c r="F114" s="164">
        <v>288</v>
      </c>
    </row>
    <row r="115" spans="1:6">
      <c r="A115" s="1018" t="s">
        <v>60</v>
      </c>
      <c r="B115" s="1018"/>
      <c r="C115" s="1018"/>
      <c r="D115" s="115">
        <v>3816897</v>
      </c>
      <c r="E115" s="115">
        <v>3937326</v>
      </c>
      <c r="F115" s="115">
        <v>7754223</v>
      </c>
    </row>
  </sheetData>
  <mergeCells count="5">
    <mergeCell ref="B1:F1"/>
    <mergeCell ref="B2:C2"/>
    <mergeCell ref="A115:C115"/>
    <mergeCell ref="B68:B102"/>
    <mergeCell ref="B14:B49"/>
  </mergeCells>
  <pageMargins left="0.59055118110236227" right="0.31496062992125984" top="0.51181102362204722" bottom="0.51181102362204722" header="0.31496062992125984" footer="0.31496062992125984"/>
  <pageSetup paperSize="9" scale="71" firstPageNumber="103" orientation="portrait" useFirstPageNumber="1" r:id="rId1"/>
  <headerFooter>
    <oddFooter>&amp;LAISHE 2021-22&amp;CT-35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L281"/>
  <sheetViews>
    <sheetView topLeftCell="A228" zoomScaleNormal="100" zoomScaleSheetLayoutView="100" workbookViewId="0">
      <selection activeCell="D280" sqref="D280"/>
    </sheetView>
  </sheetViews>
  <sheetFormatPr defaultColWidth="9.28515625" defaultRowHeight="15"/>
  <cols>
    <col min="1" max="1" width="11.5703125" style="273" bestFit="1" customWidth="1"/>
    <col min="2" max="2" width="26.28515625" style="768" customWidth="1"/>
    <col min="3" max="3" width="29" style="258" customWidth="1"/>
    <col min="4" max="12" width="9.42578125" style="266" customWidth="1"/>
    <col min="13" max="16384" width="9.28515625" style="256"/>
  </cols>
  <sheetData>
    <row r="1" spans="1:12" ht="35.25" customHeight="1">
      <c r="A1" s="290"/>
      <c r="B1" s="1178" t="s">
        <v>907</v>
      </c>
      <c r="C1" s="1178"/>
      <c r="D1" s="1178"/>
      <c r="E1" s="1178"/>
      <c r="F1" s="1178"/>
      <c r="G1" s="1178"/>
      <c r="H1" s="1178"/>
      <c r="I1" s="1178"/>
      <c r="J1" s="1178"/>
      <c r="K1" s="1178"/>
      <c r="L1" s="1178"/>
    </row>
    <row r="2" spans="1:12" s="308" customFormat="1" ht="17.649999999999999" customHeight="1">
      <c r="A2" s="1177" t="s">
        <v>988</v>
      </c>
      <c r="B2" s="1179" t="s">
        <v>461</v>
      </c>
      <c r="C2" s="1179"/>
      <c r="D2" s="1177" t="s">
        <v>89</v>
      </c>
      <c r="E2" s="1177"/>
      <c r="F2" s="1177"/>
      <c r="G2" s="1177" t="s">
        <v>90</v>
      </c>
      <c r="H2" s="1177"/>
      <c r="I2" s="1177"/>
      <c r="J2" s="1177" t="s">
        <v>85</v>
      </c>
      <c r="K2" s="1177"/>
      <c r="L2" s="1177"/>
    </row>
    <row r="3" spans="1:12" s="308" customFormat="1" ht="17.649999999999999" customHeight="1">
      <c r="A3" s="1177"/>
      <c r="B3" s="1179"/>
      <c r="C3" s="1179"/>
      <c r="D3" s="433" t="s">
        <v>87</v>
      </c>
      <c r="E3" s="433" t="s">
        <v>88</v>
      </c>
      <c r="F3" s="433" t="s">
        <v>12</v>
      </c>
      <c r="G3" s="433" t="s">
        <v>87</v>
      </c>
      <c r="H3" s="433" t="s">
        <v>88</v>
      </c>
      <c r="I3" s="433" t="s">
        <v>12</v>
      </c>
      <c r="J3" s="433" t="s">
        <v>87</v>
      </c>
      <c r="K3" s="433" t="s">
        <v>88</v>
      </c>
      <c r="L3" s="433" t="s">
        <v>12</v>
      </c>
    </row>
    <row r="4" spans="1:12" s="318" customFormat="1" ht="11.25" customHeight="1">
      <c r="A4" s="439">
        <v>1</v>
      </c>
      <c r="B4" s="766">
        <v>2</v>
      </c>
      <c r="C4" s="320">
        <v>3</v>
      </c>
      <c r="D4" s="319">
        <v>4</v>
      </c>
      <c r="E4" s="319">
        <v>5</v>
      </c>
      <c r="F4" s="319">
        <v>6</v>
      </c>
      <c r="G4" s="319">
        <v>7</v>
      </c>
      <c r="H4" s="319">
        <v>8</v>
      </c>
      <c r="I4" s="319">
        <v>9</v>
      </c>
      <c r="J4" s="319">
        <v>10</v>
      </c>
      <c r="K4" s="319">
        <v>11</v>
      </c>
      <c r="L4" s="319">
        <v>12</v>
      </c>
    </row>
    <row r="5" spans="1:12">
      <c r="A5" s="290">
        <v>1</v>
      </c>
      <c r="B5" s="1180" t="s">
        <v>6</v>
      </c>
      <c r="C5" s="321" t="s">
        <v>6</v>
      </c>
      <c r="D5" s="289">
        <v>801</v>
      </c>
      <c r="E5" s="289">
        <v>624</v>
      </c>
      <c r="F5" s="289">
        <v>1425</v>
      </c>
      <c r="G5" s="289">
        <v>0</v>
      </c>
      <c r="H5" s="289">
        <v>0</v>
      </c>
      <c r="I5" s="289">
        <v>0</v>
      </c>
      <c r="J5" s="289">
        <v>6397</v>
      </c>
      <c r="K5" s="289">
        <v>3904</v>
      </c>
      <c r="L5" s="289">
        <v>10301</v>
      </c>
    </row>
    <row r="6" spans="1:12">
      <c r="A6" s="290">
        <v>2</v>
      </c>
      <c r="B6" s="1181"/>
      <c r="C6" s="321" t="s">
        <v>516</v>
      </c>
      <c r="D6" s="289">
        <v>10</v>
      </c>
      <c r="E6" s="289">
        <v>6</v>
      </c>
      <c r="F6" s="289">
        <v>16</v>
      </c>
      <c r="G6" s="289">
        <v>0</v>
      </c>
      <c r="H6" s="289"/>
      <c r="I6" s="289"/>
      <c r="J6" s="289">
        <v>200</v>
      </c>
      <c r="K6" s="289">
        <v>211</v>
      </c>
      <c r="L6" s="289">
        <v>411</v>
      </c>
    </row>
    <row r="7" spans="1:12">
      <c r="A7" s="290">
        <v>3</v>
      </c>
      <c r="B7" s="1181"/>
      <c r="C7" s="321" t="s">
        <v>515</v>
      </c>
      <c r="D7" s="289">
        <v>124</v>
      </c>
      <c r="E7" s="289">
        <v>100</v>
      </c>
      <c r="F7" s="289">
        <v>224</v>
      </c>
      <c r="G7" s="289">
        <v>0</v>
      </c>
      <c r="H7" s="289"/>
      <c r="I7" s="289"/>
      <c r="J7" s="289">
        <v>1259</v>
      </c>
      <c r="K7" s="289">
        <v>694</v>
      </c>
      <c r="L7" s="289">
        <v>1953</v>
      </c>
    </row>
    <row r="8" spans="1:12">
      <c r="A8" s="290">
        <v>4</v>
      </c>
      <c r="B8" s="1182"/>
      <c r="C8" s="321" t="s">
        <v>517</v>
      </c>
      <c r="D8" s="289">
        <v>2</v>
      </c>
      <c r="E8" s="289">
        <v>0</v>
      </c>
      <c r="F8" s="289">
        <v>2</v>
      </c>
      <c r="G8" s="289">
        <v>0</v>
      </c>
      <c r="H8" s="289"/>
      <c r="I8" s="289"/>
      <c r="J8" s="289">
        <v>21</v>
      </c>
      <c r="K8" s="289">
        <v>42</v>
      </c>
      <c r="L8" s="289">
        <v>63</v>
      </c>
    </row>
    <row r="9" spans="1:12" s="265" customFormat="1" ht="14.25">
      <c r="A9" s="290">
        <v>5</v>
      </c>
      <c r="B9" s="767" t="s">
        <v>518</v>
      </c>
      <c r="C9" s="922"/>
      <c r="D9" s="923">
        <v>937</v>
      </c>
      <c r="E9" s="923">
        <v>730</v>
      </c>
      <c r="F9" s="923">
        <v>1667</v>
      </c>
      <c r="G9" s="923">
        <v>0</v>
      </c>
      <c r="H9" s="923">
        <v>0</v>
      </c>
      <c r="I9" s="923">
        <v>0</v>
      </c>
      <c r="J9" s="923">
        <v>7877</v>
      </c>
      <c r="K9" s="923">
        <v>4851</v>
      </c>
      <c r="L9" s="923">
        <v>12728</v>
      </c>
    </row>
    <row r="10" spans="1:12">
      <c r="A10" s="288">
        <v>6</v>
      </c>
      <c r="B10" s="921" t="s">
        <v>497</v>
      </c>
      <c r="C10" s="321" t="s">
        <v>497</v>
      </c>
      <c r="D10" s="289">
        <v>386</v>
      </c>
      <c r="E10" s="289">
        <v>424</v>
      </c>
      <c r="F10" s="289">
        <v>810</v>
      </c>
      <c r="G10" s="289">
        <v>100</v>
      </c>
      <c r="H10" s="289">
        <v>144</v>
      </c>
      <c r="I10" s="289">
        <v>244</v>
      </c>
      <c r="J10" s="289">
        <v>14067</v>
      </c>
      <c r="K10" s="289">
        <v>20470</v>
      </c>
      <c r="L10" s="289">
        <v>34537</v>
      </c>
    </row>
    <row r="11" spans="1:12" s="265" customFormat="1" ht="14.25">
      <c r="A11" s="290">
        <v>7</v>
      </c>
      <c r="B11" s="767" t="s">
        <v>1012</v>
      </c>
      <c r="C11" s="922"/>
      <c r="D11" s="923">
        <v>386</v>
      </c>
      <c r="E11" s="923">
        <v>424</v>
      </c>
      <c r="F11" s="923">
        <v>810</v>
      </c>
      <c r="G11" s="923">
        <v>100</v>
      </c>
      <c r="H11" s="923">
        <v>144</v>
      </c>
      <c r="I11" s="923">
        <v>244</v>
      </c>
      <c r="J11" s="923">
        <v>14067</v>
      </c>
      <c r="K11" s="923">
        <v>20470</v>
      </c>
      <c r="L11" s="923">
        <v>34537</v>
      </c>
    </row>
    <row r="12" spans="1:12">
      <c r="A12" s="290">
        <v>8</v>
      </c>
      <c r="B12" s="767" t="s">
        <v>188</v>
      </c>
      <c r="C12" s="321" t="s">
        <v>188</v>
      </c>
      <c r="D12" s="289">
        <v>0</v>
      </c>
      <c r="E12" s="289"/>
      <c r="F12" s="289"/>
      <c r="G12" s="289">
        <v>0</v>
      </c>
      <c r="H12" s="289"/>
      <c r="I12" s="289"/>
      <c r="J12" s="289">
        <v>15</v>
      </c>
      <c r="K12" s="289">
        <v>47</v>
      </c>
      <c r="L12" s="289">
        <v>62</v>
      </c>
    </row>
    <row r="13" spans="1:12" s="265" customFormat="1" ht="14.25">
      <c r="A13" s="290">
        <v>9</v>
      </c>
      <c r="B13" s="767" t="s">
        <v>1013</v>
      </c>
      <c r="C13" s="922"/>
      <c r="D13" s="923">
        <v>0</v>
      </c>
      <c r="E13" s="923"/>
      <c r="F13" s="923"/>
      <c r="G13" s="923">
        <v>0</v>
      </c>
      <c r="H13" s="923"/>
      <c r="I13" s="923"/>
      <c r="J13" s="923">
        <v>15</v>
      </c>
      <c r="K13" s="923">
        <v>47</v>
      </c>
      <c r="L13" s="923">
        <v>62</v>
      </c>
    </row>
    <row r="14" spans="1:12">
      <c r="A14" s="290">
        <v>10</v>
      </c>
      <c r="B14" s="1180" t="s">
        <v>189</v>
      </c>
      <c r="C14" s="321" t="s">
        <v>189</v>
      </c>
      <c r="D14" s="289">
        <v>455</v>
      </c>
      <c r="E14" s="289">
        <v>603</v>
      </c>
      <c r="F14" s="289">
        <v>1058</v>
      </c>
      <c r="G14" s="289">
        <v>151</v>
      </c>
      <c r="H14" s="289">
        <v>351</v>
      </c>
      <c r="I14" s="289">
        <v>502</v>
      </c>
      <c r="J14" s="289">
        <v>67250</v>
      </c>
      <c r="K14" s="289">
        <v>122314</v>
      </c>
      <c r="L14" s="289">
        <v>189564</v>
      </c>
    </row>
    <row r="15" spans="1:12">
      <c r="A15" s="290">
        <v>11</v>
      </c>
      <c r="B15" s="1182"/>
      <c r="C15" s="321" t="s">
        <v>519</v>
      </c>
      <c r="D15" s="289">
        <v>0</v>
      </c>
      <c r="E15" s="289"/>
      <c r="F15" s="289"/>
      <c r="G15" s="289">
        <v>11</v>
      </c>
      <c r="H15" s="289">
        <v>24</v>
      </c>
      <c r="I15" s="289">
        <v>35</v>
      </c>
      <c r="J15" s="289">
        <v>25</v>
      </c>
      <c r="K15" s="289">
        <v>176</v>
      </c>
      <c r="L15" s="289">
        <v>201</v>
      </c>
    </row>
    <row r="16" spans="1:12" s="265" customFormat="1" ht="14.25">
      <c r="A16" s="290">
        <v>12</v>
      </c>
      <c r="B16" s="767" t="s">
        <v>520</v>
      </c>
      <c r="C16" s="922"/>
      <c r="D16" s="923">
        <v>455</v>
      </c>
      <c r="E16" s="923">
        <v>603</v>
      </c>
      <c r="F16" s="923">
        <v>1058</v>
      </c>
      <c r="G16" s="923">
        <v>162</v>
      </c>
      <c r="H16" s="923">
        <v>375</v>
      </c>
      <c r="I16" s="923">
        <v>537</v>
      </c>
      <c r="J16" s="923">
        <v>67275</v>
      </c>
      <c r="K16" s="923">
        <v>122490</v>
      </c>
      <c r="L16" s="923">
        <v>189765</v>
      </c>
    </row>
    <row r="17" spans="1:12">
      <c r="A17" s="290">
        <v>13</v>
      </c>
      <c r="B17" s="767" t="s">
        <v>990</v>
      </c>
      <c r="C17" s="321" t="s">
        <v>1014</v>
      </c>
      <c r="D17" s="289">
        <v>0</v>
      </c>
      <c r="E17" s="289"/>
      <c r="F17" s="289"/>
      <c r="G17" s="289">
        <v>0</v>
      </c>
      <c r="H17" s="289"/>
      <c r="I17" s="289"/>
      <c r="J17" s="289">
        <v>9</v>
      </c>
      <c r="K17" s="289">
        <v>4</v>
      </c>
      <c r="L17" s="289">
        <v>13</v>
      </c>
    </row>
    <row r="18" spans="1:12" s="265" customFormat="1" ht="14.25">
      <c r="A18" s="290">
        <v>14</v>
      </c>
      <c r="B18" s="767" t="s">
        <v>1015</v>
      </c>
      <c r="C18" s="922"/>
      <c r="D18" s="923">
        <v>0</v>
      </c>
      <c r="E18" s="923"/>
      <c r="F18" s="923"/>
      <c r="G18" s="923">
        <v>0</v>
      </c>
      <c r="H18" s="923"/>
      <c r="I18" s="923"/>
      <c r="J18" s="923">
        <v>9</v>
      </c>
      <c r="K18" s="923">
        <v>4</v>
      </c>
      <c r="L18" s="923">
        <v>13</v>
      </c>
    </row>
    <row r="19" spans="1:12" ht="28.5">
      <c r="A19" s="290">
        <v>15</v>
      </c>
      <c r="B19" s="767" t="s">
        <v>510</v>
      </c>
      <c r="C19" s="321" t="s">
        <v>510</v>
      </c>
      <c r="D19" s="289">
        <v>4</v>
      </c>
      <c r="E19" s="289">
        <v>2</v>
      </c>
      <c r="F19" s="289">
        <v>6</v>
      </c>
      <c r="G19" s="289">
        <v>0</v>
      </c>
      <c r="H19" s="289"/>
      <c r="I19" s="289"/>
      <c r="J19" s="289">
        <v>177</v>
      </c>
      <c r="K19" s="289">
        <v>239</v>
      </c>
      <c r="L19" s="289">
        <v>416</v>
      </c>
    </row>
    <row r="20" spans="1:12" s="265" customFormat="1" ht="28.5">
      <c r="A20" s="290">
        <v>16</v>
      </c>
      <c r="B20" s="767" t="s">
        <v>1016</v>
      </c>
      <c r="C20" s="922"/>
      <c r="D20" s="923">
        <v>4</v>
      </c>
      <c r="E20" s="923">
        <v>2</v>
      </c>
      <c r="F20" s="923">
        <v>6</v>
      </c>
      <c r="G20" s="923">
        <v>0</v>
      </c>
      <c r="H20" s="923"/>
      <c r="I20" s="923"/>
      <c r="J20" s="923">
        <v>177</v>
      </c>
      <c r="K20" s="923">
        <v>239</v>
      </c>
      <c r="L20" s="923">
        <v>416</v>
      </c>
    </row>
    <row r="21" spans="1:12">
      <c r="A21" s="290">
        <v>17</v>
      </c>
      <c r="B21" s="767" t="s">
        <v>506</v>
      </c>
      <c r="C21" s="321" t="s">
        <v>506</v>
      </c>
      <c r="D21" s="289">
        <v>44</v>
      </c>
      <c r="E21" s="289">
        <v>51</v>
      </c>
      <c r="F21" s="289">
        <v>95</v>
      </c>
      <c r="G21" s="289">
        <v>6</v>
      </c>
      <c r="H21" s="289">
        <v>12</v>
      </c>
      <c r="I21" s="289">
        <v>18</v>
      </c>
      <c r="J21" s="289">
        <v>2302</v>
      </c>
      <c r="K21" s="289">
        <v>3772</v>
      </c>
      <c r="L21" s="289">
        <v>6074</v>
      </c>
    </row>
    <row r="22" spans="1:12" s="265" customFormat="1" ht="14.25">
      <c r="A22" s="290">
        <v>18</v>
      </c>
      <c r="B22" s="767" t="s">
        <v>1017</v>
      </c>
      <c r="C22" s="922"/>
      <c r="D22" s="923">
        <v>44</v>
      </c>
      <c r="E22" s="923">
        <v>51</v>
      </c>
      <c r="F22" s="923">
        <v>95</v>
      </c>
      <c r="G22" s="923">
        <v>6</v>
      </c>
      <c r="H22" s="923">
        <v>12</v>
      </c>
      <c r="I22" s="923">
        <v>18</v>
      </c>
      <c r="J22" s="923">
        <v>2302</v>
      </c>
      <c r="K22" s="923">
        <v>3772</v>
      </c>
      <c r="L22" s="923">
        <v>6074</v>
      </c>
    </row>
    <row r="23" spans="1:12">
      <c r="A23" s="290">
        <v>19</v>
      </c>
      <c r="B23" s="1180" t="s">
        <v>1018</v>
      </c>
      <c r="C23" s="321" t="s">
        <v>1018</v>
      </c>
      <c r="D23" s="289">
        <v>0</v>
      </c>
      <c r="E23" s="289"/>
      <c r="F23" s="289"/>
      <c r="G23" s="289">
        <v>0</v>
      </c>
      <c r="H23" s="289"/>
      <c r="I23" s="289"/>
      <c r="J23" s="289">
        <v>51</v>
      </c>
      <c r="K23" s="289">
        <v>29</v>
      </c>
      <c r="L23" s="289">
        <v>80</v>
      </c>
    </row>
    <row r="24" spans="1:12">
      <c r="A24" s="290">
        <v>20</v>
      </c>
      <c r="B24" s="1182"/>
      <c r="C24" s="321" t="s">
        <v>1019</v>
      </c>
      <c r="D24" s="289">
        <v>0</v>
      </c>
      <c r="E24" s="289"/>
      <c r="F24" s="289"/>
      <c r="G24" s="289">
        <v>0</v>
      </c>
      <c r="H24" s="289"/>
      <c r="I24" s="289"/>
      <c r="J24" s="289">
        <v>275</v>
      </c>
      <c r="K24" s="289">
        <v>102</v>
      </c>
      <c r="L24" s="289">
        <v>377</v>
      </c>
    </row>
    <row r="25" spans="1:12" s="265" customFormat="1" ht="14.25">
      <c r="A25" s="290">
        <v>21</v>
      </c>
      <c r="B25" s="767" t="s">
        <v>1020</v>
      </c>
      <c r="C25" s="922"/>
      <c r="D25" s="923">
        <v>0</v>
      </c>
      <c r="E25" s="923"/>
      <c r="F25" s="923"/>
      <c r="G25" s="923">
        <v>0</v>
      </c>
      <c r="H25" s="923"/>
      <c r="I25" s="923"/>
      <c r="J25" s="923">
        <v>326</v>
      </c>
      <c r="K25" s="923">
        <v>131</v>
      </c>
      <c r="L25" s="923">
        <v>457</v>
      </c>
    </row>
    <row r="26" spans="1:12">
      <c r="A26" s="290">
        <v>22</v>
      </c>
      <c r="B26" s="1180" t="s">
        <v>511</v>
      </c>
      <c r="C26" s="321" t="s">
        <v>511</v>
      </c>
      <c r="D26" s="289">
        <v>9</v>
      </c>
      <c r="E26" s="289">
        <v>3</v>
      </c>
      <c r="F26" s="289">
        <v>12</v>
      </c>
      <c r="G26" s="289">
        <v>90</v>
      </c>
      <c r="H26" s="289">
        <v>0</v>
      </c>
      <c r="I26" s="289">
        <v>90</v>
      </c>
      <c r="J26" s="289">
        <v>546</v>
      </c>
      <c r="K26" s="289">
        <v>247</v>
      </c>
      <c r="L26" s="289">
        <v>793</v>
      </c>
    </row>
    <row r="27" spans="1:12">
      <c r="A27" s="290">
        <v>23</v>
      </c>
      <c r="B27" s="1182"/>
      <c r="C27" s="321" t="s">
        <v>1021</v>
      </c>
      <c r="D27" s="289">
        <v>0</v>
      </c>
      <c r="E27" s="289"/>
      <c r="F27" s="289"/>
      <c r="G27" s="289">
        <v>0</v>
      </c>
      <c r="H27" s="289"/>
      <c r="I27" s="289"/>
      <c r="J27" s="289">
        <v>2</v>
      </c>
      <c r="K27" s="289">
        <v>7</v>
      </c>
      <c r="L27" s="289">
        <v>9</v>
      </c>
    </row>
    <row r="28" spans="1:12" s="265" customFormat="1" ht="14.25">
      <c r="A28" s="290">
        <v>24</v>
      </c>
      <c r="B28" s="767" t="s">
        <v>1022</v>
      </c>
      <c r="C28" s="922"/>
      <c r="D28" s="923">
        <v>9</v>
      </c>
      <c r="E28" s="923">
        <v>3</v>
      </c>
      <c r="F28" s="923">
        <v>12</v>
      </c>
      <c r="G28" s="923">
        <v>90</v>
      </c>
      <c r="H28" s="923">
        <v>0</v>
      </c>
      <c r="I28" s="923">
        <v>90</v>
      </c>
      <c r="J28" s="923">
        <v>548</v>
      </c>
      <c r="K28" s="923">
        <v>254</v>
      </c>
      <c r="L28" s="923">
        <v>802</v>
      </c>
    </row>
    <row r="29" spans="1:12">
      <c r="A29" s="290">
        <v>25</v>
      </c>
      <c r="B29" s="1180" t="s">
        <v>500</v>
      </c>
      <c r="C29" s="321" t="s">
        <v>500</v>
      </c>
      <c r="D29" s="289">
        <v>13</v>
      </c>
      <c r="E29" s="289">
        <v>8</v>
      </c>
      <c r="F29" s="289">
        <v>21</v>
      </c>
      <c r="G29" s="289">
        <v>0</v>
      </c>
      <c r="H29" s="289">
        <v>0</v>
      </c>
      <c r="I29" s="289">
        <v>0</v>
      </c>
      <c r="J29" s="289">
        <v>567</v>
      </c>
      <c r="K29" s="289">
        <v>787</v>
      </c>
      <c r="L29" s="289">
        <v>1354</v>
      </c>
    </row>
    <row r="30" spans="1:12">
      <c r="A30" s="290">
        <v>26</v>
      </c>
      <c r="B30" s="1181"/>
      <c r="C30" s="321" t="s">
        <v>800</v>
      </c>
      <c r="D30" s="289">
        <v>0</v>
      </c>
      <c r="E30" s="289"/>
      <c r="F30" s="289"/>
      <c r="G30" s="289">
        <v>0</v>
      </c>
      <c r="H30" s="289"/>
      <c r="I30" s="289"/>
      <c r="J30" s="289">
        <v>1</v>
      </c>
      <c r="K30" s="289">
        <v>14</v>
      </c>
      <c r="L30" s="289">
        <v>15</v>
      </c>
    </row>
    <row r="31" spans="1:12">
      <c r="A31" s="290">
        <v>27</v>
      </c>
      <c r="B31" s="1182"/>
      <c r="C31" s="321" t="s">
        <v>521</v>
      </c>
      <c r="D31" s="289">
        <v>0</v>
      </c>
      <c r="E31" s="289"/>
      <c r="F31" s="289"/>
      <c r="G31" s="289">
        <v>0</v>
      </c>
      <c r="H31" s="289"/>
      <c r="I31" s="289"/>
      <c r="J31" s="289">
        <v>44</v>
      </c>
      <c r="K31" s="289">
        <v>248</v>
      </c>
      <c r="L31" s="289">
        <v>292</v>
      </c>
    </row>
    <row r="32" spans="1:12" s="265" customFormat="1" ht="14.25">
      <c r="A32" s="290">
        <v>28</v>
      </c>
      <c r="B32" s="767" t="s">
        <v>522</v>
      </c>
      <c r="C32" s="922"/>
      <c r="D32" s="923">
        <v>13</v>
      </c>
      <c r="E32" s="923">
        <v>8</v>
      </c>
      <c r="F32" s="923">
        <v>21</v>
      </c>
      <c r="G32" s="923">
        <v>0</v>
      </c>
      <c r="H32" s="923">
        <v>0</v>
      </c>
      <c r="I32" s="923">
        <v>0</v>
      </c>
      <c r="J32" s="923">
        <v>612</v>
      </c>
      <c r="K32" s="923">
        <v>1049</v>
      </c>
      <c r="L32" s="923">
        <v>1661</v>
      </c>
    </row>
    <row r="33" spans="1:12" ht="28.5">
      <c r="A33" s="290">
        <v>29</v>
      </c>
      <c r="B33" s="767" t="s">
        <v>819</v>
      </c>
      <c r="C33" s="321" t="s">
        <v>1023</v>
      </c>
      <c r="D33" s="289">
        <v>1</v>
      </c>
      <c r="E33" s="289">
        <v>0</v>
      </c>
      <c r="F33" s="289">
        <v>1</v>
      </c>
      <c r="G33" s="289">
        <v>3</v>
      </c>
      <c r="H33" s="289">
        <v>16</v>
      </c>
      <c r="I33" s="289">
        <v>19</v>
      </c>
      <c r="J33" s="289">
        <v>55</v>
      </c>
      <c r="K33" s="289">
        <v>74</v>
      </c>
      <c r="L33" s="289">
        <v>129</v>
      </c>
    </row>
    <row r="34" spans="1:12" s="265" customFormat="1" ht="28.5">
      <c r="A34" s="290">
        <v>30</v>
      </c>
      <c r="B34" s="767" t="s">
        <v>1024</v>
      </c>
      <c r="C34" s="922"/>
      <c r="D34" s="923">
        <v>1</v>
      </c>
      <c r="E34" s="923">
        <v>0</v>
      </c>
      <c r="F34" s="923">
        <v>1</v>
      </c>
      <c r="G34" s="923">
        <v>3</v>
      </c>
      <c r="H34" s="923">
        <v>16</v>
      </c>
      <c r="I34" s="923">
        <v>19</v>
      </c>
      <c r="J34" s="923">
        <v>55</v>
      </c>
      <c r="K34" s="923">
        <v>74</v>
      </c>
      <c r="L34" s="923">
        <v>129</v>
      </c>
    </row>
    <row r="35" spans="1:12">
      <c r="A35" s="290">
        <v>31</v>
      </c>
      <c r="B35" s="767" t="s">
        <v>177</v>
      </c>
      <c r="C35" s="321" t="s">
        <v>177</v>
      </c>
      <c r="D35" s="289">
        <v>327</v>
      </c>
      <c r="E35" s="289">
        <v>444</v>
      </c>
      <c r="F35" s="289">
        <v>771</v>
      </c>
      <c r="G35" s="289">
        <v>81</v>
      </c>
      <c r="H35" s="289">
        <v>143</v>
      </c>
      <c r="I35" s="289">
        <v>224</v>
      </c>
      <c r="J35" s="289">
        <v>31675</v>
      </c>
      <c r="K35" s="289">
        <v>53127</v>
      </c>
      <c r="L35" s="289">
        <v>84802</v>
      </c>
    </row>
    <row r="36" spans="1:12" s="265" customFormat="1" ht="14.25">
      <c r="A36" s="290">
        <v>32</v>
      </c>
      <c r="B36" s="767" t="s">
        <v>1025</v>
      </c>
      <c r="C36" s="922"/>
      <c r="D36" s="923">
        <v>327</v>
      </c>
      <c r="E36" s="923">
        <v>444</v>
      </c>
      <c r="F36" s="923">
        <v>771</v>
      </c>
      <c r="G36" s="923">
        <v>81</v>
      </c>
      <c r="H36" s="923">
        <v>143</v>
      </c>
      <c r="I36" s="923">
        <v>224</v>
      </c>
      <c r="J36" s="923">
        <v>31675</v>
      </c>
      <c r="K36" s="923">
        <v>53127</v>
      </c>
      <c r="L36" s="923">
        <v>84802</v>
      </c>
    </row>
    <row r="37" spans="1:12">
      <c r="A37" s="290">
        <v>33</v>
      </c>
      <c r="B37" s="1180" t="s">
        <v>192</v>
      </c>
      <c r="C37" s="321" t="s">
        <v>471</v>
      </c>
      <c r="D37" s="289">
        <v>55</v>
      </c>
      <c r="E37" s="289">
        <v>9</v>
      </c>
      <c r="F37" s="289">
        <v>64</v>
      </c>
      <c r="G37" s="289">
        <v>0</v>
      </c>
      <c r="H37" s="289"/>
      <c r="I37" s="289"/>
      <c r="J37" s="289">
        <v>160</v>
      </c>
      <c r="K37" s="289">
        <v>39</v>
      </c>
      <c r="L37" s="289">
        <v>199</v>
      </c>
    </row>
    <row r="38" spans="1:12">
      <c r="A38" s="290">
        <v>34</v>
      </c>
      <c r="B38" s="1181"/>
      <c r="C38" s="321" t="s">
        <v>470</v>
      </c>
      <c r="D38" s="289">
        <v>49</v>
      </c>
      <c r="E38" s="289">
        <v>18</v>
      </c>
      <c r="F38" s="289">
        <v>67</v>
      </c>
      <c r="G38" s="289">
        <v>0</v>
      </c>
      <c r="H38" s="289"/>
      <c r="I38" s="289"/>
      <c r="J38" s="289">
        <v>366</v>
      </c>
      <c r="K38" s="289">
        <v>152</v>
      </c>
      <c r="L38" s="289">
        <v>518</v>
      </c>
    </row>
    <row r="39" spans="1:12">
      <c r="A39" s="290">
        <v>35</v>
      </c>
      <c r="B39" s="1181"/>
      <c r="C39" s="321" t="s">
        <v>187</v>
      </c>
      <c r="D39" s="289">
        <v>14</v>
      </c>
      <c r="E39" s="289">
        <v>14</v>
      </c>
      <c r="F39" s="289">
        <v>28</v>
      </c>
      <c r="G39" s="289">
        <v>0</v>
      </c>
      <c r="H39" s="289"/>
      <c r="I39" s="289"/>
      <c r="J39" s="289">
        <v>653</v>
      </c>
      <c r="K39" s="289">
        <v>901</v>
      </c>
      <c r="L39" s="289">
        <v>1554</v>
      </c>
    </row>
    <row r="40" spans="1:12">
      <c r="A40" s="290">
        <v>36</v>
      </c>
      <c r="B40" s="1181"/>
      <c r="C40" s="321" t="s">
        <v>817</v>
      </c>
      <c r="D40" s="289">
        <v>0</v>
      </c>
      <c r="E40" s="289"/>
      <c r="F40" s="289"/>
      <c r="G40" s="289">
        <v>0</v>
      </c>
      <c r="H40" s="289"/>
      <c r="I40" s="289"/>
      <c r="J40" s="289">
        <v>24</v>
      </c>
      <c r="K40" s="289">
        <v>3</v>
      </c>
      <c r="L40" s="289">
        <v>27</v>
      </c>
    </row>
    <row r="41" spans="1:12">
      <c r="A41" s="290">
        <v>37</v>
      </c>
      <c r="B41" s="1181"/>
      <c r="C41" s="321" t="s">
        <v>469</v>
      </c>
      <c r="D41" s="289">
        <v>146</v>
      </c>
      <c r="E41" s="289">
        <v>77</v>
      </c>
      <c r="F41" s="289">
        <v>223</v>
      </c>
      <c r="G41" s="289">
        <v>0</v>
      </c>
      <c r="H41" s="289"/>
      <c r="I41" s="289"/>
      <c r="J41" s="289">
        <v>687</v>
      </c>
      <c r="K41" s="289">
        <v>379</v>
      </c>
      <c r="L41" s="289">
        <v>1066</v>
      </c>
    </row>
    <row r="42" spans="1:12">
      <c r="A42" s="290">
        <v>38</v>
      </c>
      <c r="B42" s="1181"/>
      <c r="C42" s="321" t="s">
        <v>465</v>
      </c>
      <c r="D42" s="289">
        <v>371</v>
      </c>
      <c r="E42" s="289">
        <v>158</v>
      </c>
      <c r="F42" s="289">
        <v>529</v>
      </c>
      <c r="G42" s="289">
        <v>0</v>
      </c>
      <c r="H42" s="289"/>
      <c r="I42" s="289"/>
      <c r="J42" s="289">
        <v>9086</v>
      </c>
      <c r="K42" s="289">
        <v>4037</v>
      </c>
      <c r="L42" s="289">
        <v>13123</v>
      </c>
    </row>
    <row r="43" spans="1:12">
      <c r="A43" s="290">
        <v>39</v>
      </c>
      <c r="B43" s="1181"/>
      <c r="C43" s="321" t="s">
        <v>462</v>
      </c>
      <c r="D43" s="289">
        <v>510</v>
      </c>
      <c r="E43" s="289">
        <v>288</v>
      </c>
      <c r="F43" s="289">
        <v>798</v>
      </c>
      <c r="G43" s="289">
        <v>0</v>
      </c>
      <c r="H43" s="289"/>
      <c r="I43" s="289"/>
      <c r="J43" s="289">
        <v>5547</v>
      </c>
      <c r="K43" s="289">
        <v>5136</v>
      </c>
      <c r="L43" s="289">
        <v>10683</v>
      </c>
    </row>
    <row r="44" spans="1:12">
      <c r="A44" s="290">
        <v>40</v>
      </c>
      <c r="B44" s="1181"/>
      <c r="C44" s="321" t="s">
        <v>476</v>
      </c>
      <c r="D44" s="289">
        <v>3</v>
      </c>
      <c r="E44" s="289">
        <v>0</v>
      </c>
      <c r="F44" s="289">
        <v>3</v>
      </c>
      <c r="G44" s="289">
        <v>0</v>
      </c>
      <c r="H44" s="289"/>
      <c r="I44" s="289"/>
      <c r="J44" s="289">
        <v>52</v>
      </c>
      <c r="K44" s="289">
        <v>27</v>
      </c>
      <c r="L44" s="289">
        <v>79</v>
      </c>
    </row>
    <row r="45" spans="1:12" ht="30">
      <c r="A45" s="290">
        <v>41</v>
      </c>
      <c r="B45" s="1181"/>
      <c r="C45" s="321" t="s">
        <v>1000</v>
      </c>
      <c r="D45" s="289">
        <v>2</v>
      </c>
      <c r="E45" s="289">
        <v>0</v>
      </c>
      <c r="F45" s="289">
        <v>2</v>
      </c>
      <c r="G45" s="289">
        <v>0</v>
      </c>
      <c r="H45" s="289"/>
      <c r="I45" s="289"/>
      <c r="J45" s="289">
        <v>0</v>
      </c>
      <c r="K45" s="289"/>
      <c r="L45" s="289"/>
    </row>
    <row r="46" spans="1:12">
      <c r="A46" s="290">
        <v>42</v>
      </c>
      <c r="B46" s="1181"/>
      <c r="C46" s="321" t="s">
        <v>466</v>
      </c>
      <c r="D46" s="289">
        <v>478</v>
      </c>
      <c r="E46" s="289">
        <v>162</v>
      </c>
      <c r="F46" s="289">
        <v>640</v>
      </c>
      <c r="G46" s="289">
        <v>0</v>
      </c>
      <c r="H46" s="289"/>
      <c r="I46" s="289"/>
      <c r="J46" s="289">
        <v>4061</v>
      </c>
      <c r="K46" s="289">
        <v>2130</v>
      </c>
      <c r="L46" s="289">
        <v>6191</v>
      </c>
    </row>
    <row r="47" spans="1:12" ht="30">
      <c r="A47" s="290">
        <v>43</v>
      </c>
      <c r="B47" s="1181"/>
      <c r="C47" s="321" t="s">
        <v>1002</v>
      </c>
      <c r="D47" s="289">
        <v>4</v>
      </c>
      <c r="E47" s="289">
        <v>1</v>
      </c>
      <c r="F47" s="289">
        <v>5</v>
      </c>
      <c r="G47" s="289">
        <v>0</v>
      </c>
      <c r="H47" s="289"/>
      <c r="I47" s="289"/>
      <c r="J47" s="289">
        <v>0</v>
      </c>
      <c r="K47" s="289"/>
      <c r="L47" s="289"/>
    </row>
    <row r="48" spans="1:12">
      <c r="A48" s="290">
        <v>44</v>
      </c>
      <c r="B48" s="1181"/>
      <c r="C48" s="321" t="s">
        <v>464</v>
      </c>
      <c r="D48" s="289">
        <v>654</v>
      </c>
      <c r="E48" s="289">
        <v>344</v>
      </c>
      <c r="F48" s="289">
        <v>998</v>
      </c>
      <c r="G48" s="289">
        <v>0</v>
      </c>
      <c r="H48" s="289"/>
      <c r="I48" s="289"/>
      <c r="J48" s="289">
        <v>4177</v>
      </c>
      <c r="K48" s="289">
        <v>3974</v>
      </c>
      <c r="L48" s="289">
        <v>8151</v>
      </c>
    </row>
    <row r="49" spans="1:12">
      <c r="A49" s="290">
        <v>45</v>
      </c>
      <c r="B49" s="1181"/>
      <c r="C49" s="321" t="s">
        <v>192</v>
      </c>
      <c r="D49" s="289">
        <v>33</v>
      </c>
      <c r="E49" s="289">
        <v>31</v>
      </c>
      <c r="F49" s="289">
        <v>64</v>
      </c>
      <c r="G49" s="289">
        <v>0</v>
      </c>
      <c r="H49" s="289"/>
      <c r="I49" s="289"/>
      <c r="J49" s="289">
        <v>1055</v>
      </c>
      <c r="K49" s="289">
        <v>579</v>
      </c>
      <c r="L49" s="289">
        <v>1634</v>
      </c>
    </row>
    <row r="50" spans="1:12">
      <c r="A50" s="290">
        <v>46</v>
      </c>
      <c r="B50" s="1181"/>
      <c r="C50" s="321" t="s">
        <v>472</v>
      </c>
      <c r="D50" s="289">
        <v>20</v>
      </c>
      <c r="E50" s="289">
        <v>16</v>
      </c>
      <c r="F50" s="289">
        <v>36</v>
      </c>
      <c r="G50" s="289">
        <v>0</v>
      </c>
      <c r="H50" s="289"/>
      <c r="I50" s="289"/>
      <c r="J50" s="289">
        <v>326</v>
      </c>
      <c r="K50" s="289">
        <v>531</v>
      </c>
      <c r="L50" s="289">
        <v>857</v>
      </c>
    </row>
    <row r="51" spans="1:12">
      <c r="A51" s="290">
        <v>47</v>
      </c>
      <c r="B51" s="1181"/>
      <c r="C51" s="321" t="s">
        <v>816</v>
      </c>
      <c r="D51" s="289">
        <v>6</v>
      </c>
      <c r="E51" s="289">
        <v>0</v>
      </c>
      <c r="F51" s="289">
        <v>6</v>
      </c>
      <c r="G51" s="289">
        <v>0</v>
      </c>
      <c r="H51" s="289"/>
      <c r="I51" s="289"/>
      <c r="J51" s="289">
        <v>9</v>
      </c>
      <c r="K51" s="289">
        <v>17</v>
      </c>
      <c r="L51" s="289">
        <v>26</v>
      </c>
    </row>
    <row r="52" spans="1:12">
      <c r="A52" s="290">
        <v>48</v>
      </c>
      <c r="B52" s="1181"/>
      <c r="C52" s="321" t="s">
        <v>475</v>
      </c>
      <c r="D52" s="289">
        <v>9</v>
      </c>
      <c r="E52" s="289">
        <v>3</v>
      </c>
      <c r="F52" s="289">
        <v>12</v>
      </c>
      <c r="G52" s="289">
        <v>0</v>
      </c>
      <c r="H52" s="289"/>
      <c r="I52" s="289"/>
      <c r="J52" s="289">
        <v>73</v>
      </c>
      <c r="K52" s="289">
        <v>16</v>
      </c>
      <c r="L52" s="289">
        <v>89</v>
      </c>
    </row>
    <row r="53" spans="1:12">
      <c r="A53" s="290">
        <v>49</v>
      </c>
      <c r="B53" s="1181"/>
      <c r="C53" s="321" t="s">
        <v>463</v>
      </c>
      <c r="D53" s="289">
        <v>872</v>
      </c>
      <c r="E53" s="289">
        <v>78</v>
      </c>
      <c r="F53" s="289">
        <v>950</v>
      </c>
      <c r="G53" s="289">
        <v>0</v>
      </c>
      <c r="H53" s="289"/>
      <c r="I53" s="289"/>
      <c r="J53" s="289">
        <v>7553</v>
      </c>
      <c r="K53" s="289">
        <v>944</v>
      </c>
      <c r="L53" s="289">
        <v>8497</v>
      </c>
    </row>
    <row r="54" spans="1:12">
      <c r="A54" s="290">
        <v>50</v>
      </c>
      <c r="B54" s="1181"/>
      <c r="C54" s="321" t="s">
        <v>473</v>
      </c>
      <c r="D54" s="289">
        <v>126</v>
      </c>
      <c r="E54" s="289">
        <v>29</v>
      </c>
      <c r="F54" s="289">
        <v>155</v>
      </c>
      <c r="G54" s="289">
        <v>0</v>
      </c>
      <c r="H54" s="289"/>
      <c r="I54" s="289"/>
      <c r="J54" s="289">
        <v>495</v>
      </c>
      <c r="K54" s="289">
        <v>95</v>
      </c>
      <c r="L54" s="289">
        <v>590</v>
      </c>
    </row>
    <row r="55" spans="1:12">
      <c r="A55" s="290">
        <v>51</v>
      </c>
      <c r="B55" s="1181"/>
      <c r="C55" s="321" t="s">
        <v>474</v>
      </c>
      <c r="D55" s="289">
        <v>19</v>
      </c>
      <c r="E55" s="289">
        <v>1</v>
      </c>
      <c r="F55" s="289">
        <v>20</v>
      </c>
      <c r="G55" s="289">
        <v>0</v>
      </c>
      <c r="H55" s="289"/>
      <c r="I55" s="289"/>
      <c r="J55" s="289">
        <v>184</v>
      </c>
      <c r="K55" s="289">
        <v>31</v>
      </c>
      <c r="L55" s="289">
        <v>215</v>
      </c>
    </row>
    <row r="56" spans="1:12" ht="30">
      <c r="A56" s="290">
        <v>52</v>
      </c>
      <c r="B56" s="1181"/>
      <c r="C56" s="321" t="s">
        <v>467</v>
      </c>
      <c r="D56" s="289">
        <v>1074</v>
      </c>
      <c r="E56" s="289">
        <v>595</v>
      </c>
      <c r="F56" s="289">
        <v>1669</v>
      </c>
      <c r="G56" s="289">
        <v>0</v>
      </c>
      <c r="H56" s="289">
        <v>6</v>
      </c>
      <c r="I56" s="289">
        <v>6</v>
      </c>
      <c r="J56" s="289">
        <v>5182</v>
      </c>
      <c r="K56" s="289">
        <v>2669</v>
      </c>
      <c r="L56" s="289">
        <v>7851</v>
      </c>
    </row>
    <row r="57" spans="1:12">
      <c r="A57" s="290">
        <v>53</v>
      </c>
      <c r="B57" s="1181"/>
      <c r="C57" s="321" t="s">
        <v>477</v>
      </c>
      <c r="D57" s="289">
        <v>1</v>
      </c>
      <c r="E57" s="289">
        <v>0</v>
      </c>
      <c r="F57" s="289">
        <v>1</v>
      </c>
      <c r="G57" s="289">
        <v>0</v>
      </c>
      <c r="H57" s="289"/>
      <c r="I57" s="289"/>
      <c r="J57" s="289">
        <v>311</v>
      </c>
      <c r="K57" s="289">
        <v>356</v>
      </c>
      <c r="L57" s="289">
        <v>667</v>
      </c>
    </row>
    <row r="58" spans="1:12">
      <c r="A58" s="290">
        <v>54</v>
      </c>
      <c r="B58" s="1181"/>
      <c r="C58" s="321" t="s">
        <v>1026</v>
      </c>
      <c r="D58" s="289">
        <v>0</v>
      </c>
      <c r="E58" s="289"/>
      <c r="F58" s="289"/>
      <c r="G58" s="289">
        <v>0</v>
      </c>
      <c r="H58" s="289"/>
      <c r="I58" s="289"/>
      <c r="J58" s="289">
        <v>14</v>
      </c>
      <c r="K58" s="289">
        <v>3</v>
      </c>
      <c r="L58" s="289">
        <v>17</v>
      </c>
    </row>
    <row r="59" spans="1:12">
      <c r="A59" s="290">
        <v>55</v>
      </c>
      <c r="B59" s="1181"/>
      <c r="C59" s="321" t="s">
        <v>524</v>
      </c>
      <c r="D59" s="289">
        <v>0</v>
      </c>
      <c r="E59" s="289"/>
      <c r="F59" s="289"/>
      <c r="G59" s="289">
        <v>0</v>
      </c>
      <c r="H59" s="289"/>
      <c r="I59" s="289"/>
      <c r="J59" s="289">
        <v>21</v>
      </c>
      <c r="K59" s="289">
        <v>9</v>
      </c>
      <c r="L59" s="289">
        <v>30</v>
      </c>
    </row>
    <row r="60" spans="1:12">
      <c r="A60" s="290">
        <v>56</v>
      </c>
      <c r="B60" s="1182"/>
      <c r="C60" s="321" t="s">
        <v>523</v>
      </c>
      <c r="D60" s="289">
        <v>0</v>
      </c>
      <c r="E60" s="289"/>
      <c r="F60" s="289"/>
      <c r="G60" s="289">
        <v>0</v>
      </c>
      <c r="H60" s="289"/>
      <c r="I60" s="289"/>
      <c r="J60" s="289">
        <v>58</v>
      </c>
      <c r="K60" s="289">
        <v>56</v>
      </c>
      <c r="L60" s="289">
        <v>114</v>
      </c>
    </row>
    <row r="61" spans="1:12" s="265" customFormat="1" ht="28.5">
      <c r="A61" s="290">
        <v>57</v>
      </c>
      <c r="B61" s="767" t="s">
        <v>478</v>
      </c>
      <c r="C61" s="922"/>
      <c r="D61" s="923">
        <v>4446</v>
      </c>
      <c r="E61" s="923">
        <v>1824</v>
      </c>
      <c r="F61" s="923">
        <v>6270</v>
      </c>
      <c r="G61" s="923">
        <v>0</v>
      </c>
      <c r="H61" s="923">
        <v>6</v>
      </c>
      <c r="I61" s="923">
        <v>6</v>
      </c>
      <c r="J61" s="923">
        <v>40094</v>
      </c>
      <c r="K61" s="923">
        <v>22084</v>
      </c>
      <c r="L61" s="923">
        <v>62178</v>
      </c>
    </row>
    <row r="62" spans="1:12">
      <c r="A62" s="290">
        <v>58</v>
      </c>
      <c r="B62" s="767" t="s">
        <v>1027</v>
      </c>
      <c r="C62" s="321" t="s">
        <v>1009</v>
      </c>
      <c r="D62" s="289">
        <v>17</v>
      </c>
      <c r="E62" s="289">
        <v>5</v>
      </c>
      <c r="F62" s="289">
        <v>22</v>
      </c>
      <c r="G62" s="289">
        <v>0</v>
      </c>
      <c r="H62" s="289"/>
      <c r="I62" s="289"/>
      <c r="J62" s="289">
        <v>0</v>
      </c>
      <c r="K62" s="289"/>
      <c r="L62" s="289"/>
    </row>
    <row r="63" spans="1:12" s="265" customFormat="1" ht="14.25">
      <c r="A63" s="290">
        <v>59</v>
      </c>
      <c r="B63" s="767" t="s">
        <v>1028</v>
      </c>
      <c r="C63" s="922"/>
      <c r="D63" s="923">
        <v>17</v>
      </c>
      <c r="E63" s="923">
        <v>5</v>
      </c>
      <c r="F63" s="923">
        <v>22</v>
      </c>
      <c r="G63" s="923">
        <v>0</v>
      </c>
      <c r="H63" s="923"/>
      <c r="I63" s="923"/>
      <c r="J63" s="923">
        <v>0</v>
      </c>
      <c r="K63" s="923"/>
      <c r="L63" s="923"/>
    </row>
    <row r="64" spans="1:12">
      <c r="A64" s="290">
        <v>60</v>
      </c>
      <c r="B64" s="767" t="s">
        <v>502</v>
      </c>
      <c r="C64" s="321" t="s">
        <v>502</v>
      </c>
      <c r="D64" s="289">
        <v>3</v>
      </c>
      <c r="E64" s="289">
        <v>9</v>
      </c>
      <c r="F64" s="289">
        <v>12</v>
      </c>
      <c r="G64" s="289">
        <v>0</v>
      </c>
      <c r="H64" s="289">
        <v>0</v>
      </c>
      <c r="I64" s="289">
        <v>0</v>
      </c>
      <c r="J64" s="289">
        <v>256</v>
      </c>
      <c r="K64" s="289">
        <v>877</v>
      </c>
      <c r="L64" s="289">
        <v>1133</v>
      </c>
    </row>
    <row r="65" spans="1:12" s="265" customFormat="1" ht="14.25">
      <c r="A65" s="290">
        <v>61</v>
      </c>
      <c r="B65" s="767" t="s">
        <v>1029</v>
      </c>
      <c r="C65" s="922"/>
      <c r="D65" s="923">
        <v>3</v>
      </c>
      <c r="E65" s="923">
        <v>9</v>
      </c>
      <c r="F65" s="923">
        <v>12</v>
      </c>
      <c r="G65" s="923">
        <v>0</v>
      </c>
      <c r="H65" s="923">
        <v>0</v>
      </c>
      <c r="I65" s="923">
        <v>0</v>
      </c>
      <c r="J65" s="923">
        <v>256</v>
      </c>
      <c r="K65" s="923">
        <v>877</v>
      </c>
      <c r="L65" s="923">
        <v>1133</v>
      </c>
    </row>
    <row r="66" spans="1:12">
      <c r="A66" s="290">
        <v>62</v>
      </c>
      <c r="B66" s="1180" t="s">
        <v>178</v>
      </c>
      <c r="C66" s="321" t="s">
        <v>178</v>
      </c>
      <c r="D66" s="289">
        <v>13</v>
      </c>
      <c r="E66" s="289">
        <v>18</v>
      </c>
      <c r="F66" s="289">
        <v>31</v>
      </c>
      <c r="G66" s="289">
        <v>7</v>
      </c>
      <c r="H66" s="289">
        <v>8</v>
      </c>
      <c r="I66" s="289">
        <v>15</v>
      </c>
      <c r="J66" s="289">
        <v>531</v>
      </c>
      <c r="K66" s="289">
        <v>692</v>
      </c>
      <c r="L66" s="289">
        <v>1223</v>
      </c>
    </row>
    <row r="67" spans="1:12">
      <c r="A67" s="290">
        <v>63</v>
      </c>
      <c r="B67" s="1181"/>
      <c r="C67" s="321" t="s">
        <v>527</v>
      </c>
      <c r="D67" s="289">
        <v>12</v>
      </c>
      <c r="E67" s="289">
        <v>10</v>
      </c>
      <c r="F67" s="289">
        <v>22</v>
      </c>
      <c r="G67" s="289">
        <v>2</v>
      </c>
      <c r="H67" s="289">
        <v>5</v>
      </c>
      <c r="I67" s="289">
        <v>7</v>
      </c>
      <c r="J67" s="289">
        <v>413</v>
      </c>
      <c r="K67" s="289">
        <v>602</v>
      </c>
      <c r="L67" s="289">
        <v>1015</v>
      </c>
    </row>
    <row r="68" spans="1:12">
      <c r="A68" s="290">
        <v>64</v>
      </c>
      <c r="B68" s="1181"/>
      <c r="C68" s="321" t="s">
        <v>526</v>
      </c>
      <c r="D68" s="289">
        <v>17</v>
      </c>
      <c r="E68" s="289">
        <v>18</v>
      </c>
      <c r="F68" s="289">
        <v>35</v>
      </c>
      <c r="G68" s="289">
        <v>5</v>
      </c>
      <c r="H68" s="289">
        <v>3</v>
      </c>
      <c r="I68" s="289">
        <v>8</v>
      </c>
      <c r="J68" s="289">
        <v>339</v>
      </c>
      <c r="K68" s="289">
        <v>508</v>
      </c>
      <c r="L68" s="289">
        <v>847</v>
      </c>
    </row>
    <row r="69" spans="1:12">
      <c r="A69" s="290">
        <v>65</v>
      </c>
      <c r="B69" s="1182"/>
      <c r="C69" s="321" t="s">
        <v>525</v>
      </c>
      <c r="D69" s="289">
        <v>19</v>
      </c>
      <c r="E69" s="289">
        <v>8</v>
      </c>
      <c r="F69" s="289">
        <v>27</v>
      </c>
      <c r="G69" s="289">
        <v>4</v>
      </c>
      <c r="H69" s="289">
        <v>12</v>
      </c>
      <c r="I69" s="289">
        <v>16</v>
      </c>
      <c r="J69" s="289">
        <v>539</v>
      </c>
      <c r="K69" s="289">
        <v>414</v>
      </c>
      <c r="L69" s="289">
        <v>953</v>
      </c>
    </row>
    <row r="70" spans="1:12" s="265" customFormat="1" ht="14.25">
      <c r="A70" s="290">
        <v>66</v>
      </c>
      <c r="B70" s="767" t="s">
        <v>528</v>
      </c>
      <c r="C70" s="922"/>
      <c r="D70" s="923">
        <v>61</v>
      </c>
      <c r="E70" s="923">
        <v>54</v>
      </c>
      <c r="F70" s="923">
        <v>115</v>
      </c>
      <c r="G70" s="923">
        <v>18</v>
      </c>
      <c r="H70" s="923">
        <v>28</v>
      </c>
      <c r="I70" s="923">
        <v>46</v>
      </c>
      <c r="J70" s="923">
        <v>1822</v>
      </c>
      <c r="K70" s="923">
        <v>2216</v>
      </c>
      <c r="L70" s="923">
        <v>4038</v>
      </c>
    </row>
    <row r="71" spans="1:12">
      <c r="A71" s="290">
        <v>67</v>
      </c>
      <c r="B71" s="767" t="s">
        <v>507</v>
      </c>
      <c r="C71" s="321" t="s">
        <v>507</v>
      </c>
      <c r="D71" s="289">
        <v>35</v>
      </c>
      <c r="E71" s="289">
        <v>36</v>
      </c>
      <c r="F71" s="289">
        <v>71</v>
      </c>
      <c r="G71" s="289">
        <v>0</v>
      </c>
      <c r="H71" s="289"/>
      <c r="I71" s="289"/>
      <c r="J71" s="289">
        <v>331</v>
      </c>
      <c r="K71" s="289">
        <v>269</v>
      </c>
      <c r="L71" s="289">
        <v>600</v>
      </c>
    </row>
    <row r="72" spans="1:12" s="265" customFormat="1" ht="14.25">
      <c r="A72" s="290">
        <v>68</v>
      </c>
      <c r="B72" s="767" t="s">
        <v>1030</v>
      </c>
      <c r="C72" s="922"/>
      <c r="D72" s="923">
        <v>35</v>
      </c>
      <c r="E72" s="923">
        <v>36</v>
      </c>
      <c r="F72" s="923">
        <v>71</v>
      </c>
      <c r="G72" s="923">
        <v>0</v>
      </c>
      <c r="H72" s="923"/>
      <c r="I72" s="923"/>
      <c r="J72" s="923">
        <v>331</v>
      </c>
      <c r="K72" s="923">
        <v>269</v>
      </c>
      <c r="L72" s="923">
        <v>600</v>
      </c>
    </row>
    <row r="73" spans="1:12">
      <c r="A73" s="290">
        <v>69</v>
      </c>
      <c r="B73" s="1180" t="s">
        <v>513</v>
      </c>
      <c r="C73" s="321" t="s">
        <v>529</v>
      </c>
      <c r="D73" s="289">
        <v>0</v>
      </c>
      <c r="E73" s="289"/>
      <c r="F73" s="289"/>
      <c r="G73" s="289">
        <v>0</v>
      </c>
      <c r="H73" s="289"/>
      <c r="I73" s="289"/>
      <c r="J73" s="289">
        <v>8</v>
      </c>
      <c r="K73" s="289">
        <v>13</v>
      </c>
      <c r="L73" s="289">
        <v>21</v>
      </c>
    </row>
    <row r="74" spans="1:12">
      <c r="A74" s="290">
        <v>70</v>
      </c>
      <c r="B74" s="1182"/>
      <c r="C74" s="321" t="s">
        <v>530</v>
      </c>
      <c r="D74" s="289">
        <v>0</v>
      </c>
      <c r="E74" s="289"/>
      <c r="F74" s="289"/>
      <c r="G74" s="289">
        <v>0</v>
      </c>
      <c r="H74" s="289"/>
      <c r="I74" s="289"/>
      <c r="J74" s="289">
        <v>6</v>
      </c>
      <c r="K74" s="289">
        <v>4</v>
      </c>
      <c r="L74" s="289">
        <v>10</v>
      </c>
    </row>
    <row r="75" spans="1:12" s="265" customFormat="1" ht="14.25">
      <c r="A75" s="290">
        <v>71</v>
      </c>
      <c r="B75" s="767" t="s">
        <v>779</v>
      </c>
      <c r="C75" s="922"/>
      <c r="D75" s="923">
        <v>0</v>
      </c>
      <c r="E75" s="923"/>
      <c r="F75" s="923"/>
      <c r="G75" s="923">
        <v>0</v>
      </c>
      <c r="H75" s="923"/>
      <c r="I75" s="923"/>
      <c r="J75" s="923">
        <v>14</v>
      </c>
      <c r="K75" s="923">
        <v>17</v>
      </c>
      <c r="L75" s="923">
        <v>31</v>
      </c>
    </row>
    <row r="76" spans="1:12">
      <c r="A76" s="290">
        <v>72</v>
      </c>
      <c r="B76" s="1180" t="s">
        <v>496</v>
      </c>
      <c r="C76" s="321" t="s">
        <v>531</v>
      </c>
      <c r="D76" s="289">
        <v>309</v>
      </c>
      <c r="E76" s="289">
        <v>450</v>
      </c>
      <c r="F76" s="289">
        <v>759</v>
      </c>
      <c r="G76" s="289">
        <v>116</v>
      </c>
      <c r="H76" s="289">
        <v>506</v>
      </c>
      <c r="I76" s="289">
        <v>622</v>
      </c>
      <c r="J76" s="289">
        <v>31159</v>
      </c>
      <c r="K76" s="289">
        <v>56935</v>
      </c>
      <c r="L76" s="289">
        <v>88094</v>
      </c>
    </row>
    <row r="77" spans="1:12">
      <c r="A77" s="290">
        <v>73</v>
      </c>
      <c r="B77" s="1181"/>
      <c r="C77" s="321" t="s">
        <v>533</v>
      </c>
      <c r="D77" s="289">
        <v>0</v>
      </c>
      <c r="E77" s="289">
        <v>1</v>
      </c>
      <c r="F77" s="289">
        <v>1</v>
      </c>
      <c r="G77" s="289">
        <v>0</v>
      </c>
      <c r="H77" s="289"/>
      <c r="I77" s="289"/>
      <c r="J77" s="289">
        <v>68</v>
      </c>
      <c r="K77" s="289">
        <v>159</v>
      </c>
      <c r="L77" s="289">
        <v>227</v>
      </c>
    </row>
    <row r="78" spans="1:12">
      <c r="A78" s="290">
        <v>74</v>
      </c>
      <c r="B78" s="1181"/>
      <c r="C78" s="321" t="s">
        <v>534</v>
      </c>
      <c r="D78" s="289">
        <v>1</v>
      </c>
      <c r="E78" s="289">
        <v>1</v>
      </c>
      <c r="F78" s="289">
        <v>2</v>
      </c>
      <c r="G78" s="289">
        <v>3</v>
      </c>
      <c r="H78" s="289">
        <v>1</v>
      </c>
      <c r="I78" s="289">
        <v>4</v>
      </c>
      <c r="J78" s="289">
        <v>6</v>
      </c>
      <c r="K78" s="289">
        <v>26</v>
      </c>
      <c r="L78" s="289">
        <v>32</v>
      </c>
    </row>
    <row r="79" spans="1:12">
      <c r="A79" s="290">
        <v>75</v>
      </c>
      <c r="B79" s="1181"/>
      <c r="C79" s="321" t="s">
        <v>532</v>
      </c>
      <c r="D79" s="289">
        <v>49</v>
      </c>
      <c r="E79" s="289">
        <v>30</v>
      </c>
      <c r="F79" s="289">
        <v>79</v>
      </c>
      <c r="G79" s="289">
        <v>17</v>
      </c>
      <c r="H79" s="289">
        <v>6</v>
      </c>
      <c r="I79" s="289">
        <v>23</v>
      </c>
      <c r="J79" s="289">
        <v>1064</v>
      </c>
      <c r="K79" s="289">
        <v>500</v>
      </c>
      <c r="L79" s="289">
        <v>1564</v>
      </c>
    </row>
    <row r="80" spans="1:12">
      <c r="A80" s="290">
        <v>76</v>
      </c>
      <c r="B80" s="1182"/>
      <c r="C80" s="321" t="s">
        <v>535</v>
      </c>
      <c r="D80" s="289">
        <v>0</v>
      </c>
      <c r="E80" s="289">
        <v>0</v>
      </c>
      <c r="F80" s="289">
        <v>0</v>
      </c>
      <c r="G80" s="289">
        <v>0</v>
      </c>
      <c r="H80" s="289"/>
      <c r="I80" s="289"/>
      <c r="J80" s="289">
        <v>16</v>
      </c>
      <c r="K80" s="289">
        <v>18</v>
      </c>
      <c r="L80" s="289">
        <v>34</v>
      </c>
    </row>
    <row r="81" spans="1:12" s="265" customFormat="1" ht="14.25">
      <c r="A81" s="290">
        <v>77</v>
      </c>
      <c r="B81" s="767" t="s">
        <v>536</v>
      </c>
      <c r="C81" s="922"/>
      <c r="D81" s="923">
        <v>359</v>
      </c>
      <c r="E81" s="923">
        <v>482</v>
      </c>
      <c r="F81" s="923">
        <v>841</v>
      </c>
      <c r="G81" s="923">
        <v>136</v>
      </c>
      <c r="H81" s="923">
        <v>513</v>
      </c>
      <c r="I81" s="923">
        <v>649</v>
      </c>
      <c r="J81" s="923">
        <v>32313</v>
      </c>
      <c r="K81" s="923">
        <v>57638</v>
      </c>
      <c r="L81" s="923">
        <v>89951</v>
      </c>
    </row>
    <row r="82" spans="1:12">
      <c r="A82" s="290">
        <v>78</v>
      </c>
      <c r="B82" s="767" t="s">
        <v>1031</v>
      </c>
      <c r="C82" s="321" t="s">
        <v>1032</v>
      </c>
      <c r="D82" s="289">
        <v>0</v>
      </c>
      <c r="E82" s="289"/>
      <c r="F82" s="289"/>
      <c r="G82" s="289">
        <v>0</v>
      </c>
      <c r="H82" s="289"/>
      <c r="I82" s="289"/>
      <c r="J82" s="289">
        <v>45</v>
      </c>
      <c r="K82" s="289">
        <v>202</v>
      </c>
      <c r="L82" s="289">
        <v>247</v>
      </c>
    </row>
    <row r="83" spans="1:12" s="265" customFormat="1" ht="14.25">
      <c r="A83" s="290">
        <v>79</v>
      </c>
      <c r="B83" s="767" t="s">
        <v>1033</v>
      </c>
      <c r="C83" s="922"/>
      <c r="D83" s="923">
        <v>0</v>
      </c>
      <c r="E83" s="923"/>
      <c r="F83" s="923"/>
      <c r="G83" s="923">
        <v>0</v>
      </c>
      <c r="H83" s="923"/>
      <c r="I83" s="923"/>
      <c r="J83" s="923">
        <v>45</v>
      </c>
      <c r="K83" s="923">
        <v>202</v>
      </c>
      <c r="L83" s="923">
        <v>247</v>
      </c>
    </row>
    <row r="84" spans="1:12">
      <c r="A84" s="290">
        <v>80</v>
      </c>
      <c r="B84" s="767" t="s">
        <v>514</v>
      </c>
      <c r="C84" s="321" t="s">
        <v>514</v>
      </c>
      <c r="D84" s="289">
        <v>3</v>
      </c>
      <c r="E84" s="289">
        <v>3</v>
      </c>
      <c r="F84" s="289">
        <v>6</v>
      </c>
      <c r="G84" s="289">
        <v>6</v>
      </c>
      <c r="H84" s="289">
        <v>0</v>
      </c>
      <c r="I84" s="289">
        <v>6</v>
      </c>
      <c r="J84" s="289">
        <v>115</v>
      </c>
      <c r="K84" s="289">
        <v>153</v>
      </c>
      <c r="L84" s="289">
        <v>268</v>
      </c>
    </row>
    <row r="85" spans="1:12" s="265" customFormat="1" ht="14.25">
      <c r="A85" s="290">
        <v>81</v>
      </c>
      <c r="B85" s="767" t="s">
        <v>1034</v>
      </c>
      <c r="C85" s="922"/>
      <c r="D85" s="923">
        <v>3</v>
      </c>
      <c r="E85" s="923">
        <v>3</v>
      </c>
      <c r="F85" s="923">
        <v>6</v>
      </c>
      <c r="G85" s="923">
        <v>6</v>
      </c>
      <c r="H85" s="923">
        <v>0</v>
      </c>
      <c r="I85" s="923">
        <v>6</v>
      </c>
      <c r="J85" s="923">
        <v>115</v>
      </c>
      <c r="K85" s="923">
        <v>153</v>
      </c>
      <c r="L85" s="923">
        <v>268</v>
      </c>
    </row>
    <row r="86" spans="1:12">
      <c r="A86" s="290">
        <v>82</v>
      </c>
      <c r="B86" s="1180" t="s">
        <v>210</v>
      </c>
      <c r="C86" s="321" t="s">
        <v>1035</v>
      </c>
      <c r="D86" s="289">
        <v>0</v>
      </c>
      <c r="E86" s="289"/>
      <c r="F86" s="289"/>
      <c r="G86" s="289">
        <v>0</v>
      </c>
      <c r="H86" s="289"/>
      <c r="I86" s="289"/>
      <c r="J86" s="289">
        <v>74</v>
      </c>
      <c r="K86" s="289">
        <v>36</v>
      </c>
      <c r="L86" s="289">
        <v>110</v>
      </c>
    </row>
    <row r="87" spans="1:12">
      <c r="A87" s="290">
        <v>83</v>
      </c>
      <c r="B87" s="1181"/>
      <c r="C87" s="321" t="s">
        <v>210</v>
      </c>
      <c r="D87" s="289">
        <v>32</v>
      </c>
      <c r="E87" s="289">
        <v>169</v>
      </c>
      <c r="F87" s="289">
        <v>201</v>
      </c>
      <c r="G87" s="289">
        <v>0</v>
      </c>
      <c r="H87" s="289">
        <v>2</v>
      </c>
      <c r="I87" s="289">
        <v>2</v>
      </c>
      <c r="J87" s="289">
        <v>242</v>
      </c>
      <c r="K87" s="289">
        <v>4230</v>
      </c>
      <c r="L87" s="289">
        <v>4472</v>
      </c>
    </row>
    <row r="88" spans="1:12">
      <c r="A88" s="290">
        <v>84</v>
      </c>
      <c r="B88" s="1182"/>
      <c r="C88" s="321" t="s">
        <v>537</v>
      </c>
      <c r="D88" s="289">
        <v>0</v>
      </c>
      <c r="E88" s="289">
        <v>10</v>
      </c>
      <c r="F88" s="289">
        <v>10</v>
      </c>
      <c r="G88" s="289">
        <v>2</v>
      </c>
      <c r="H88" s="289">
        <v>2</v>
      </c>
      <c r="I88" s="289">
        <v>4</v>
      </c>
      <c r="J88" s="289">
        <v>133</v>
      </c>
      <c r="K88" s="289">
        <v>1178</v>
      </c>
      <c r="L88" s="289">
        <v>1311</v>
      </c>
    </row>
    <row r="89" spans="1:12" s="265" customFormat="1" ht="14.25">
      <c r="A89" s="290">
        <v>85</v>
      </c>
      <c r="B89" s="767" t="s">
        <v>538</v>
      </c>
      <c r="C89" s="922"/>
      <c r="D89" s="923">
        <v>32</v>
      </c>
      <c r="E89" s="923">
        <v>179</v>
      </c>
      <c r="F89" s="923">
        <v>211</v>
      </c>
      <c r="G89" s="923">
        <v>2</v>
      </c>
      <c r="H89" s="923">
        <v>4</v>
      </c>
      <c r="I89" s="923">
        <v>6</v>
      </c>
      <c r="J89" s="923">
        <v>449</v>
      </c>
      <c r="K89" s="923">
        <v>5444</v>
      </c>
      <c r="L89" s="923">
        <v>5893</v>
      </c>
    </row>
    <row r="90" spans="1:12">
      <c r="A90" s="290">
        <v>86</v>
      </c>
      <c r="B90" s="1180" t="s">
        <v>505</v>
      </c>
      <c r="C90" s="321" t="s">
        <v>823</v>
      </c>
      <c r="D90" s="289">
        <v>0</v>
      </c>
      <c r="E90" s="289"/>
      <c r="F90" s="289"/>
      <c r="G90" s="289">
        <v>0</v>
      </c>
      <c r="H90" s="289"/>
      <c r="I90" s="289"/>
      <c r="J90" s="289">
        <v>3</v>
      </c>
      <c r="K90" s="289">
        <v>11</v>
      </c>
      <c r="L90" s="289">
        <v>14</v>
      </c>
    </row>
    <row r="91" spans="1:12">
      <c r="A91" s="290">
        <v>87</v>
      </c>
      <c r="B91" s="1181"/>
      <c r="C91" s="321" t="s">
        <v>822</v>
      </c>
      <c r="D91" s="289">
        <v>0</v>
      </c>
      <c r="E91" s="289"/>
      <c r="F91" s="289"/>
      <c r="G91" s="289">
        <v>0</v>
      </c>
      <c r="H91" s="289"/>
      <c r="I91" s="289"/>
      <c r="J91" s="289">
        <v>36</v>
      </c>
      <c r="K91" s="289">
        <v>21</v>
      </c>
      <c r="L91" s="289">
        <v>57</v>
      </c>
    </row>
    <row r="92" spans="1:12">
      <c r="A92" s="290">
        <v>88</v>
      </c>
      <c r="B92" s="1181"/>
      <c r="C92" s="321" t="s">
        <v>820</v>
      </c>
      <c r="D92" s="289">
        <v>0</v>
      </c>
      <c r="E92" s="289"/>
      <c r="F92" s="289"/>
      <c r="G92" s="289">
        <v>0</v>
      </c>
      <c r="H92" s="289"/>
      <c r="I92" s="289"/>
      <c r="J92" s="289">
        <v>64</v>
      </c>
      <c r="K92" s="289">
        <v>41</v>
      </c>
      <c r="L92" s="289">
        <v>105</v>
      </c>
    </row>
    <row r="93" spans="1:12" ht="30">
      <c r="A93" s="290">
        <v>89</v>
      </c>
      <c r="B93" s="1182"/>
      <c r="C93" s="321" t="s">
        <v>821</v>
      </c>
      <c r="D93" s="289">
        <v>0</v>
      </c>
      <c r="E93" s="289"/>
      <c r="F93" s="289"/>
      <c r="G93" s="289">
        <v>0</v>
      </c>
      <c r="H93" s="289"/>
      <c r="I93" s="289"/>
      <c r="J93" s="289">
        <v>1</v>
      </c>
      <c r="K93" s="289">
        <v>0</v>
      </c>
      <c r="L93" s="289">
        <v>1</v>
      </c>
    </row>
    <row r="94" spans="1:12" s="265" customFormat="1" ht="28.5">
      <c r="A94" s="290">
        <v>90</v>
      </c>
      <c r="B94" s="767" t="s">
        <v>862</v>
      </c>
      <c r="C94" s="922"/>
      <c r="D94" s="923">
        <v>0</v>
      </c>
      <c r="E94" s="923"/>
      <c r="F94" s="923"/>
      <c r="G94" s="923">
        <v>0</v>
      </c>
      <c r="H94" s="923"/>
      <c r="I94" s="923"/>
      <c r="J94" s="923">
        <v>104</v>
      </c>
      <c r="K94" s="923">
        <v>73</v>
      </c>
      <c r="L94" s="923">
        <v>177</v>
      </c>
    </row>
    <row r="95" spans="1:12">
      <c r="A95" s="290">
        <v>91</v>
      </c>
      <c r="B95" s="1180" t="s">
        <v>495</v>
      </c>
      <c r="C95" s="321" t="s">
        <v>541</v>
      </c>
      <c r="D95" s="289">
        <v>65</v>
      </c>
      <c r="E95" s="289">
        <v>51</v>
      </c>
      <c r="F95" s="289">
        <v>116</v>
      </c>
      <c r="G95" s="289">
        <v>27</v>
      </c>
      <c r="H95" s="289">
        <v>30</v>
      </c>
      <c r="I95" s="289">
        <v>57</v>
      </c>
      <c r="J95" s="289">
        <v>3828</v>
      </c>
      <c r="K95" s="289">
        <v>10963</v>
      </c>
      <c r="L95" s="289">
        <v>14791</v>
      </c>
    </row>
    <row r="96" spans="1:12">
      <c r="A96" s="290">
        <v>92</v>
      </c>
      <c r="B96" s="1181"/>
      <c r="C96" s="321" t="s">
        <v>539</v>
      </c>
      <c r="D96" s="289">
        <v>362</v>
      </c>
      <c r="E96" s="289">
        <v>455</v>
      </c>
      <c r="F96" s="289">
        <v>817</v>
      </c>
      <c r="G96" s="289">
        <v>31</v>
      </c>
      <c r="H96" s="289">
        <v>51</v>
      </c>
      <c r="I96" s="289">
        <v>82</v>
      </c>
      <c r="J96" s="289">
        <v>24500</v>
      </c>
      <c r="K96" s="289">
        <v>43925</v>
      </c>
      <c r="L96" s="289">
        <v>68425</v>
      </c>
    </row>
    <row r="97" spans="1:12">
      <c r="A97" s="290">
        <v>93</v>
      </c>
      <c r="B97" s="1181"/>
      <c r="C97" s="321" t="s">
        <v>546</v>
      </c>
      <c r="D97" s="289">
        <v>74</v>
      </c>
      <c r="E97" s="289">
        <v>38</v>
      </c>
      <c r="F97" s="289">
        <v>112</v>
      </c>
      <c r="G97" s="289">
        <v>0</v>
      </c>
      <c r="H97" s="289"/>
      <c r="I97" s="289"/>
      <c r="J97" s="289">
        <v>874</v>
      </c>
      <c r="K97" s="289">
        <v>1187</v>
      </c>
      <c r="L97" s="289">
        <v>2061</v>
      </c>
    </row>
    <row r="98" spans="1:12">
      <c r="A98" s="290">
        <v>94</v>
      </c>
      <c r="B98" s="1181"/>
      <c r="C98" s="321" t="s">
        <v>548</v>
      </c>
      <c r="D98" s="289">
        <v>15</v>
      </c>
      <c r="E98" s="289">
        <v>39</v>
      </c>
      <c r="F98" s="289">
        <v>54</v>
      </c>
      <c r="G98" s="289">
        <v>11</v>
      </c>
      <c r="H98" s="289">
        <v>17</v>
      </c>
      <c r="I98" s="289">
        <v>28</v>
      </c>
      <c r="J98" s="289">
        <v>127</v>
      </c>
      <c r="K98" s="289">
        <v>878</v>
      </c>
      <c r="L98" s="289">
        <v>1005</v>
      </c>
    </row>
    <row r="99" spans="1:12">
      <c r="A99" s="290">
        <v>95</v>
      </c>
      <c r="B99" s="1181"/>
      <c r="C99" s="321" t="s">
        <v>545</v>
      </c>
      <c r="D99" s="289">
        <v>29</v>
      </c>
      <c r="E99" s="289">
        <v>24</v>
      </c>
      <c r="F99" s="289">
        <v>53</v>
      </c>
      <c r="G99" s="289">
        <v>14</v>
      </c>
      <c r="H99" s="289">
        <v>20</v>
      </c>
      <c r="I99" s="289">
        <v>34</v>
      </c>
      <c r="J99" s="289">
        <v>427</v>
      </c>
      <c r="K99" s="289">
        <v>1124</v>
      </c>
      <c r="L99" s="289">
        <v>1551</v>
      </c>
    </row>
    <row r="100" spans="1:12">
      <c r="A100" s="290">
        <v>96</v>
      </c>
      <c r="B100" s="1181"/>
      <c r="C100" s="321" t="s">
        <v>540</v>
      </c>
      <c r="D100" s="289">
        <v>88</v>
      </c>
      <c r="E100" s="289">
        <v>110</v>
      </c>
      <c r="F100" s="289">
        <v>198</v>
      </c>
      <c r="G100" s="289">
        <v>14</v>
      </c>
      <c r="H100" s="289">
        <v>22</v>
      </c>
      <c r="I100" s="289">
        <v>36</v>
      </c>
      <c r="J100" s="289">
        <v>7053</v>
      </c>
      <c r="K100" s="289">
        <v>12180</v>
      </c>
      <c r="L100" s="289">
        <v>19233</v>
      </c>
    </row>
    <row r="101" spans="1:12">
      <c r="A101" s="290">
        <v>97</v>
      </c>
      <c r="B101" s="1181"/>
      <c r="C101" s="321" t="s">
        <v>825</v>
      </c>
      <c r="D101" s="289">
        <v>0</v>
      </c>
      <c r="E101" s="289">
        <v>0</v>
      </c>
      <c r="F101" s="289">
        <v>0</v>
      </c>
      <c r="G101" s="289">
        <v>0</v>
      </c>
      <c r="H101" s="289"/>
      <c r="I101" s="289"/>
      <c r="J101" s="289">
        <v>5</v>
      </c>
      <c r="K101" s="289">
        <v>5</v>
      </c>
      <c r="L101" s="289">
        <v>10</v>
      </c>
    </row>
    <row r="102" spans="1:12">
      <c r="A102" s="290">
        <v>98</v>
      </c>
      <c r="B102" s="1181"/>
      <c r="C102" s="321" t="s">
        <v>547</v>
      </c>
      <c r="D102" s="289">
        <v>18</v>
      </c>
      <c r="E102" s="289">
        <v>40</v>
      </c>
      <c r="F102" s="289">
        <v>58</v>
      </c>
      <c r="G102" s="289">
        <v>4</v>
      </c>
      <c r="H102" s="289">
        <v>8</v>
      </c>
      <c r="I102" s="289">
        <v>12</v>
      </c>
      <c r="J102" s="289">
        <v>657</v>
      </c>
      <c r="K102" s="289">
        <v>1755</v>
      </c>
      <c r="L102" s="289">
        <v>2412</v>
      </c>
    </row>
    <row r="103" spans="1:12">
      <c r="A103" s="290">
        <v>99</v>
      </c>
      <c r="B103" s="1181"/>
      <c r="C103" s="321" t="s">
        <v>185</v>
      </c>
      <c r="D103" s="289">
        <v>165</v>
      </c>
      <c r="E103" s="289">
        <v>110</v>
      </c>
      <c r="F103" s="289">
        <v>275</v>
      </c>
      <c r="G103" s="289">
        <v>58</v>
      </c>
      <c r="H103" s="289">
        <v>59</v>
      </c>
      <c r="I103" s="289">
        <v>117</v>
      </c>
      <c r="J103" s="289">
        <v>4236</v>
      </c>
      <c r="K103" s="289">
        <v>7647</v>
      </c>
      <c r="L103" s="289">
        <v>11883</v>
      </c>
    </row>
    <row r="104" spans="1:12">
      <c r="A104" s="290">
        <v>100</v>
      </c>
      <c r="B104" s="1181"/>
      <c r="C104" s="321" t="s">
        <v>543</v>
      </c>
      <c r="D104" s="289">
        <v>37</v>
      </c>
      <c r="E104" s="289">
        <v>59</v>
      </c>
      <c r="F104" s="289">
        <v>96</v>
      </c>
      <c r="G104" s="289">
        <v>110</v>
      </c>
      <c r="H104" s="289">
        <v>291</v>
      </c>
      <c r="I104" s="289">
        <v>401</v>
      </c>
      <c r="J104" s="289">
        <v>3127</v>
      </c>
      <c r="K104" s="289">
        <v>5955</v>
      </c>
      <c r="L104" s="289">
        <v>9082</v>
      </c>
    </row>
    <row r="105" spans="1:12">
      <c r="A105" s="290">
        <v>101</v>
      </c>
      <c r="B105" s="1181"/>
      <c r="C105" s="321" t="s">
        <v>544</v>
      </c>
      <c r="D105" s="289">
        <v>49</v>
      </c>
      <c r="E105" s="289">
        <v>26</v>
      </c>
      <c r="F105" s="289">
        <v>75</v>
      </c>
      <c r="G105" s="289">
        <v>0</v>
      </c>
      <c r="H105" s="289">
        <v>1</v>
      </c>
      <c r="I105" s="289">
        <v>1</v>
      </c>
      <c r="J105" s="289">
        <v>1630</v>
      </c>
      <c r="K105" s="289">
        <v>2434</v>
      </c>
      <c r="L105" s="289">
        <v>4064</v>
      </c>
    </row>
    <row r="106" spans="1:12">
      <c r="A106" s="290">
        <v>102</v>
      </c>
      <c r="B106" s="1182"/>
      <c r="C106" s="321" t="s">
        <v>542</v>
      </c>
      <c r="D106" s="289">
        <v>93</v>
      </c>
      <c r="E106" s="289">
        <v>47</v>
      </c>
      <c r="F106" s="289">
        <v>140</v>
      </c>
      <c r="G106" s="289">
        <v>12</v>
      </c>
      <c r="H106" s="289">
        <v>12</v>
      </c>
      <c r="I106" s="289">
        <v>24</v>
      </c>
      <c r="J106" s="289">
        <v>4892</v>
      </c>
      <c r="K106" s="289">
        <v>6167</v>
      </c>
      <c r="L106" s="289">
        <v>11059</v>
      </c>
    </row>
    <row r="107" spans="1:12" s="265" customFormat="1" ht="14.25">
      <c r="A107" s="290">
        <v>103</v>
      </c>
      <c r="B107" s="767" t="s">
        <v>549</v>
      </c>
      <c r="C107" s="922"/>
      <c r="D107" s="923">
        <v>995</v>
      </c>
      <c r="E107" s="923">
        <v>999</v>
      </c>
      <c r="F107" s="923">
        <v>1994</v>
      </c>
      <c r="G107" s="923">
        <v>281</v>
      </c>
      <c r="H107" s="923">
        <v>511</v>
      </c>
      <c r="I107" s="923">
        <v>792</v>
      </c>
      <c r="J107" s="923">
        <v>51356</v>
      </c>
      <c r="K107" s="923">
        <v>94220</v>
      </c>
      <c r="L107" s="923">
        <v>145576</v>
      </c>
    </row>
    <row r="108" spans="1:12">
      <c r="A108" s="290">
        <v>104</v>
      </c>
      <c r="B108" s="1180" t="s">
        <v>494</v>
      </c>
      <c r="C108" s="321" t="s">
        <v>551</v>
      </c>
      <c r="D108" s="289">
        <v>0</v>
      </c>
      <c r="E108" s="289"/>
      <c r="F108" s="289"/>
      <c r="G108" s="289">
        <v>0</v>
      </c>
      <c r="H108" s="289"/>
      <c r="I108" s="289"/>
      <c r="J108" s="289">
        <v>43</v>
      </c>
      <c r="K108" s="289">
        <v>25</v>
      </c>
      <c r="L108" s="289">
        <v>68</v>
      </c>
    </row>
    <row r="109" spans="1:12">
      <c r="A109" s="290">
        <v>105</v>
      </c>
      <c r="B109" s="1181"/>
      <c r="C109" s="321" t="s">
        <v>190</v>
      </c>
      <c r="D109" s="289">
        <v>68</v>
      </c>
      <c r="E109" s="289">
        <v>55</v>
      </c>
      <c r="F109" s="289">
        <v>123</v>
      </c>
      <c r="G109" s="289">
        <v>30</v>
      </c>
      <c r="H109" s="289">
        <v>18</v>
      </c>
      <c r="I109" s="289">
        <v>48</v>
      </c>
      <c r="J109" s="289">
        <v>27108</v>
      </c>
      <c r="K109" s="289">
        <v>22315</v>
      </c>
      <c r="L109" s="289">
        <v>49423</v>
      </c>
    </row>
    <row r="110" spans="1:12">
      <c r="A110" s="290">
        <v>106</v>
      </c>
      <c r="B110" s="1181"/>
      <c r="C110" s="321" t="s">
        <v>550</v>
      </c>
      <c r="D110" s="289">
        <v>176</v>
      </c>
      <c r="E110" s="289">
        <v>208</v>
      </c>
      <c r="F110" s="289">
        <v>384</v>
      </c>
      <c r="G110" s="289">
        <v>25</v>
      </c>
      <c r="H110" s="289">
        <v>125</v>
      </c>
      <c r="I110" s="289">
        <v>150</v>
      </c>
      <c r="J110" s="289">
        <v>7097</v>
      </c>
      <c r="K110" s="289">
        <v>10090</v>
      </c>
      <c r="L110" s="289">
        <v>17187</v>
      </c>
    </row>
    <row r="111" spans="1:12">
      <c r="A111" s="290">
        <v>107</v>
      </c>
      <c r="B111" s="1181"/>
      <c r="C111" s="321" t="s">
        <v>468</v>
      </c>
      <c r="D111" s="289">
        <v>77</v>
      </c>
      <c r="E111" s="289">
        <v>35</v>
      </c>
      <c r="F111" s="289">
        <v>112</v>
      </c>
      <c r="G111" s="289">
        <v>0</v>
      </c>
      <c r="H111" s="289">
        <v>1</v>
      </c>
      <c r="I111" s="289">
        <v>1</v>
      </c>
      <c r="J111" s="289">
        <v>2846</v>
      </c>
      <c r="K111" s="289">
        <v>2778</v>
      </c>
      <c r="L111" s="289">
        <v>5624</v>
      </c>
    </row>
    <row r="112" spans="1:12">
      <c r="A112" s="290">
        <v>108</v>
      </c>
      <c r="B112" s="1181"/>
      <c r="C112" s="321" t="s">
        <v>826</v>
      </c>
      <c r="D112" s="289">
        <v>2</v>
      </c>
      <c r="E112" s="289">
        <v>0</v>
      </c>
      <c r="F112" s="289">
        <v>2</v>
      </c>
      <c r="G112" s="289">
        <v>0</v>
      </c>
      <c r="H112" s="289"/>
      <c r="I112" s="289"/>
      <c r="J112" s="289">
        <v>188</v>
      </c>
      <c r="K112" s="289">
        <v>265</v>
      </c>
      <c r="L112" s="289">
        <v>453</v>
      </c>
    </row>
    <row r="113" spans="1:12">
      <c r="A113" s="290">
        <v>109</v>
      </c>
      <c r="B113" s="1182"/>
      <c r="C113" s="321" t="s">
        <v>552</v>
      </c>
      <c r="D113" s="289">
        <v>0</v>
      </c>
      <c r="E113" s="289"/>
      <c r="F113" s="289"/>
      <c r="G113" s="289">
        <v>0</v>
      </c>
      <c r="H113" s="289"/>
      <c r="I113" s="289"/>
      <c r="J113" s="289">
        <v>12</v>
      </c>
      <c r="K113" s="289">
        <v>7</v>
      </c>
      <c r="L113" s="289">
        <v>19</v>
      </c>
    </row>
    <row r="114" spans="1:12" s="265" customFormat="1" ht="14.25">
      <c r="A114" s="290">
        <v>110</v>
      </c>
      <c r="B114" s="767" t="s">
        <v>553</v>
      </c>
      <c r="C114" s="922"/>
      <c r="D114" s="923">
        <v>323</v>
      </c>
      <c r="E114" s="923">
        <v>298</v>
      </c>
      <c r="F114" s="923">
        <v>621</v>
      </c>
      <c r="G114" s="923">
        <v>55</v>
      </c>
      <c r="H114" s="923">
        <v>144</v>
      </c>
      <c r="I114" s="923">
        <v>199</v>
      </c>
      <c r="J114" s="923">
        <v>37294</v>
      </c>
      <c r="K114" s="923">
        <v>35480</v>
      </c>
      <c r="L114" s="923">
        <v>72774</v>
      </c>
    </row>
    <row r="115" spans="1:12" ht="30">
      <c r="A115" s="290">
        <v>111</v>
      </c>
      <c r="B115" s="1180" t="s">
        <v>180</v>
      </c>
      <c r="C115" s="321" t="s">
        <v>180</v>
      </c>
      <c r="D115" s="289">
        <v>58</v>
      </c>
      <c r="E115" s="289">
        <v>48</v>
      </c>
      <c r="F115" s="289">
        <v>106</v>
      </c>
      <c r="G115" s="289">
        <v>6</v>
      </c>
      <c r="H115" s="289">
        <v>5</v>
      </c>
      <c r="I115" s="289">
        <v>11</v>
      </c>
      <c r="J115" s="289">
        <v>3462</v>
      </c>
      <c r="K115" s="289">
        <v>3572</v>
      </c>
      <c r="L115" s="289">
        <v>7034</v>
      </c>
    </row>
    <row r="116" spans="1:12" ht="30">
      <c r="A116" s="290">
        <v>112</v>
      </c>
      <c r="B116" s="1182"/>
      <c r="C116" s="321" t="s">
        <v>827</v>
      </c>
      <c r="D116" s="289">
        <v>0</v>
      </c>
      <c r="E116" s="289"/>
      <c r="F116" s="289"/>
      <c r="G116" s="289">
        <v>0</v>
      </c>
      <c r="H116" s="289"/>
      <c r="I116" s="289"/>
      <c r="J116" s="289">
        <v>56</v>
      </c>
      <c r="K116" s="289">
        <v>105</v>
      </c>
      <c r="L116" s="289">
        <v>161</v>
      </c>
    </row>
    <row r="117" spans="1:12" s="265" customFormat="1" ht="28.5">
      <c r="A117" s="290">
        <v>113</v>
      </c>
      <c r="B117" s="767" t="s">
        <v>863</v>
      </c>
      <c r="C117" s="922"/>
      <c r="D117" s="923">
        <v>58</v>
      </c>
      <c r="E117" s="923">
        <v>48</v>
      </c>
      <c r="F117" s="923">
        <v>106</v>
      </c>
      <c r="G117" s="923">
        <v>6</v>
      </c>
      <c r="H117" s="923">
        <v>5</v>
      </c>
      <c r="I117" s="923">
        <v>11</v>
      </c>
      <c r="J117" s="923">
        <v>3518</v>
      </c>
      <c r="K117" s="923">
        <v>3677</v>
      </c>
      <c r="L117" s="923">
        <v>7195</v>
      </c>
    </row>
    <row r="118" spans="1:12">
      <c r="A118" s="290">
        <v>114</v>
      </c>
      <c r="B118" s="1180" t="s">
        <v>8</v>
      </c>
      <c r="C118" s="321" t="s">
        <v>557</v>
      </c>
      <c r="D118" s="289">
        <v>0</v>
      </c>
      <c r="E118" s="289"/>
      <c r="F118" s="289"/>
      <c r="G118" s="289">
        <v>0</v>
      </c>
      <c r="H118" s="289"/>
      <c r="I118" s="289"/>
      <c r="J118" s="289">
        <v>41</v>
      </c>
      <c r="K118" s="289">
        <v>15</v>
      </c>
      <c r="L118" s="289">
        <v>56</v>
      </c>
    </row>
    <row r="119" spans="1:12">
      <c r="A119" s="290">
        <v>115</v>
      </c>
      <c r="B119" s="1181"/>
      <c r="C119" s="321" t="s">
        <v>554</v>
      </c>
      <c r="D119" s="289">
        <v>1</v>
      </c>
      <c r="E119" s="289">
        <v>0</v>
      </c>
      <c r="F119" s="289">
        <v>1</v>
      </c>
      <c r="G119" s="289">
        <v>0</v>
      </c>
      <c r="H119" s="289"/>
      <c r="I119" s="289"/>
      <c r="J119" s="289">
        <v>572</v>
      </c>
      <c r="K119" s="289">
        <v>430</v>
      </c>
      <c r="L119" s="289">
        <v>1002</v>
      </c>
    </row>
    <row r="120" spans="1:12">
      <c r="A120" s="290">
        <v>116</v>
      </c>
      <c r="B120" s="1181"/>
      <c r="C120" s="321" t="s">
        <v>556</v>
      </c>
      <c r="D120" s="289">
        <v>0</v>
      </c>
      <c r="E120" s="289"/>
      <c r="F120" s="289"/>
      <c r="G120" s="289">
        <v>0</v>
      </c>
      <c r="H120" s="289"/>
      <c r="I120" s="289"/>
      <c r="J120" s="289">
        <v>20</v>
      </c>
      <c r="K120" s="289">
        <v>28</v>
      </c>
      <c r="L120" s="289">
        <v>48</v>
      </c>
    </row>
    <row r="121" spans="1:12">
      <c r="A121" s="290">
        <v>117</v>
      </c>
      <c r="B121" s="1181"/>
      <c r="C121" s="321" t="s">
        <v>555</v>
      </c>
      <c r="D121" s="289">
        <v>0</v>
      </c>
      <c r="E121" s="289"/>
      <c r="F121" s="289"/>
      <c r="G121" s="289">
        <v>0</v>
      </c>
      <c r="H121" s="289"/>
      <c r="I121" s="289"/>
      <c r="J121" s="289">
        <v>52</v>
      </c>
      <c r="K121" s="289">
        <v>39</v>
      </c>
      <c r="L121" s="289">
        <v>91</v>
      </c>
    </row>
    <row r="122" spans="1:12">
      <c r="A122" s="290">
        <v>118</v>
      </c>
      <c r="B122" s="1182"/>
      <c r="C122" s="321" t="s">
        <v>8</v>
      </c>
      <c r="D122" s="289">
        <v>232</v>
      </c>
      <c r="E122" s="289">
        <v>186</v>
      </c>
      <c r="F122" s="289">
        <v>418</v>
      </c>
      <c r="G122" s="289">
        <v>14</v>
      </c>
      <c r="H122" s="289">
        <v>16</v>
      </c>
      <c r="I122" s="289">
        <v>30</v>
      </c>
      <c r="J122" s="289">
        <v>8650</v>
      </c>
      <c r="K122" s="289">
        <v>7254</v>
      </c>
      <c r="L122" s="289">
        <v>15904</v>
      </c>
    </row>
    <row r="123" spans="1:12" s="265" customFormat="1" ht="14.25">
      <c r="A123" s="290">
        <v>119</v>
      </c>
      <c r="B123" s="767" t="s">
        <v>558</v>
      </c>
      <c r="C123" s="922"/>
      <c r="D123" s="923">
        <v>233</v>
      </c>
      <c r="E123" s="923">
        <v>186</v>
      </c>
      <c r="F123" s="923">
        <v>419</v>
      </c>
      <c r="G123" s="923">
        <v>14</v>
      </c>
      <c r="H123" s="923">
        <v>16</v>
      </c>
      <c r="I123" s="923">
        <v>30</v>
      </c>
      <c r="J123" s="923">
        <v>9335</v>
      </c>
      <c r="K123" s="923">
        <v>7766</v>
      </c>
      <c r="L123" s="923">
        <v>17101</v>
      </c>
    </row>
    <row r="124" spans="1:12" ht="28.5">
      <c r="A124" s="290">
        <v>120</v>
      </c>
      <c r="B124" s="767" t="s">
        <v>499</v>
      </c>
      <c r="C124" s="321" t="s">
        <v>499</v>
      </c>
      <c r="D124" s="289">
        <v>108</v>
      </c>
      <c r="E124" s="289">
        <v>107</v>
      </c>
      <c r="F124" s="289">
        <v>215</v>
      </c>
      <c r="G124" s="289">
        <v>15</v>
      </c>
      <c r="H124" s="289">
        <v>29</v>
      </c>
      <c r="I124" s="289">
        <v>44</v>
      </c>
      <c r="J124" s="289">
        <v>3691</v>
      </c>
      <c r="K124" s="289">
        <v>3798</v>
      </c>
      <c r="L124" s="289">
        <v>7489</v>
      </c>
    </row>
    <row r="125" spans="1:12" s="265" customFormat="1" ht="28.5">
      <c r="A125" s="290">
        <v>121</v>
      </c>
      <c r="B125" s="767" t="s">
        <v>1036</v>
      </c>
      <c r="C125" s="922"/>
      <c r="D125" s="923">
        <v>108</v>
      </c>
      <c r="E125" s="923">
        <v>107</v>
      </c>
      <c r="F125" s="923">
        <v>215</v>
      </c>
      <c r="G125" s="923">
        <v>15</v>
      </c>
      <c r="H125" s="923">
        <v>29</v>
      </c>
      <c r="I125" s="923">
        <v>44</v>
      </c>
      <c r="J125" s="923">
        <v>3691</v>
      </c>
      <c r="K125" s="923">
        <v>3798</v>
      </c>
      <c r="L125" s="923">
        <v>7489</v>
      </c>
    </row>
    <row r="126" spans="1:12">
      <c r="A126" s="290">
        <v>122</v>
      </c>
      <c r="B126" s="767" t="s">
        <v>501</v>
      </c>
      <c r="C126" s="321" t="s">
        <v>501</v>
      </c>
      <c r="D126" s="289">
        <v>123</v>
      </c>
      <c r="E126" s="289">
        <v>75</v>
      </c>
      <c r="F126" s="289">
        <v>198</v>
      </c>
      <c r="G126" s="289">
        <v>11</v>
      </c>
      <c r="H126" s="289">
        <v>30</v>
      </c>
      <c r="I126" s="289">
        <v>41</v>
      </c>
      <c r="J126" s="289">
        <v>27</v>
      </c>
      <c r="K126" s="289">
        <v>77</v>
      </c>
      <c r="L126" s="289">
        <v>104</v>
      </c>
    </row>
    <row r="127" spans="1:12" s="265" customFormat="1" ht="14.25">
      <c r="A127" s="290">
        <v>123</v>
      </c>
      <c r="B127" s="767" t="s">
        <v>1037</v>
      </c>
      <c r="C127" s="922"/>
      <c r="D127" s="923">
        <v>123</v>
      </c>
      <c r="E127" s="923">
        <v>75</v>
      </c>
      <c r="F127" s="923">
        <v>198</v>
      </c>
      <c r="G127" s="923">
        <v>11</v>
      </c>
      <c r="H127" s="923">
        <v>30</v>
      </c>
      <c r="I127" s="923">
        <v>41</v>
      </c>
      <c r="J127" s="923">
        <v>27</v>
      </c>
      <c r="K127" s="923">
        <v>77</v>
      </c>
      <c r="L127" s="923">
        <v>104</v>
      </c>
    </row>
    <row r="128" spans="1:12">
      <c r="A128" s="290">
        <v>124</v>
      </c>
      <c r="B128" s="1180" t="s">
        <v>182</v>
      </c>
      <c r="C128" s="321" t="s">
        <v>567</v>
      </c>
      <c r="D128" s="289">
        <v>0</v>
      </c>
      <c r="E128" s="289">
        <v>1</v>
      </c>
      <c r="F128" s="289">
        <v>1</v>
      </c>
      <c r="G128" s="289">
        <v>0</v>
      </c>
      <c r="H128" s="289"/>
      <c r="I128" s="289"/>
      <c r="J128" s="289">
        <v>380</v>
      </c>
      <c r="K128" s="289">
        <v>248</v>
      </c>
      <c r="L128" s="289">
        <v>628</v>
      </c>
    </row>
    <row r="129" spans="1:12">
      <c r="A129" s="290">
        <v>125</v>
      </c>
      <c r="B129" s="1181"/>
      <c r="C129" s="321" t="s">
        <v>831</v>
      </c>
      <c r="D129" s="289">
        <v>0</v>
      </c>
      <c r="E129" s="289"/>
      <c r="F129" s="289"/>
      <c r="G129" s="289">
        <v>0</v>
      </c>
      <c r="H129" s="289"/>
      <c r="I129" s="289"/>
      <c r="J129" s="289">
        <v>53</v>
      </c>
      <c r="K129" s="289">
        <v>50</v>
      </c>
      <c r="L129" s="289">
        <v>103</v>
      </c>
    </row>
    <row r="130" spans="1:12">
      <c r="A130" s="290">
        <v>126</v>
      </c>
      <c r="B130" s="1181"/>
      <c r="C130" s="321" t="s">
        <v>559</v>
      </c>
      <c r="D130" s="289">
        <v>233</v>
      </c>
      <c r="E130" s="289">
        <v>229</v>
      </c>
      <c r="F130" s="289">
        <v>462</v>
      </c>
      <c r="G130" s="289">
        <v>9</v>
      </c>
      <c r="H130" s="289">
        <v>27</v>
      </c>
      <c r="I130" s="289">
        <v>36</v>
      </c>
      <c r="J130" s="289">
        <v>125275</v>
      </c>
      <c r="K130" s="289">
        <v>97326</v>
      </c>
      <c r="L130" s="289">
        <v>222601</v>
      </c>
    </row>
    <row r="131" spans="1:12">
      <c r="A131" s="290">
        <v>127</v>
      </c>
      <c r="B131" s="1181"/>
      <c r="C131" s="321" t="s">
        <v>560</v>
      </c>
      <c r="D131" s="289">
        <v>407</v>
      </c>
      <c r="E131" s="289">
        <v>296</v>
      </c>
      <c r="F131" s="289">
        <v>703</v>
      </c>
      <c r="G131" s="289">
        <v>15</v>
      </c>
      <c r="H131" s="289">
        <v>20</v>
      </c>
      <c r="I131" s="289">
        <v>35</v>
      </c>
      <c r="J131" s="289">
        <v>6796</v>
      </c>
      <c r="K131" s="289">
        <v>4512</v>
      </c>
      <c r="L131" s="289">
        <v>11308</v>
      </c>
    </row>
    <row r="132" spans="1:12">
      <c r="A132" s="290">
        <v>128</v>
      </c>
      <c r="B132" s="1181"/>
      <c r="C132" s="321" t="s">
        <v>829</v>
      </c>
      <c r="D132" s="289">
        <v>0</v>
      </c>
      <c r="E132" s="289"/>
      <c r="F132" s="289"/>
      <c r="G132" s="289">
        <v>0</v>
      </c>
      <c r="H132" s="289"/>
      <c r="I132" s="289"/>
      <c r="J132" s="289">
        <v>262</v>
      </c>
      <c r="K132" s="289">
        <v>233</v>
      </c>
      <c r="L132" s="289">
        <v>495</v>
      </c>
    </row>
    <row r="133" spans="1:12">
      <c r="A133" s="290">
        <v>129</v>
      </c>
      <c r="B133" s="1181"/>
      <c r="C133" s="321" t="s">
        <v>832</v>
      </c>
      <c r="D133" s="289">
        <v>0</v>
      </c>
      <c r="E133" s="289"/>
      <c r="F133" s="289"/>
      <c r="G133" s="289">
        <v>0</v>
      </c>
      <c r="H133" s="289"/>
      <c r="I133" s="289"/>
      <c r="J133" s="289">
        <v>61</v>
      </c>
      <c r="K133" s="289">
        <v>93</v>
      </c>
      <c r="L133" s="289">
        <v>154</v>
      </c>
    </row>
    <row r="134" spans="1:12">
      <c r="A134" s="290">
        <v>130</v>
      </c>
      <c r="B134" s="1181"/>
      <c r="C134" s="321" t="s">
        <v>563</v>
      </c>
      <c r="D134" s="289">
        <v>2</v>
      </c>
      <c r="E134" s="289">
        <v>5</v>
      </c>
      <c r="F134" s="289">
        <v>7</v>
      </c>
      <c r="G134" s="289">
        <v>3</v>
      </c>
      <c r="H134" s="289">
        <v>1</v>
      </c>
      <c r="I134" s="289">
        <v>4</v>
      </c>
      <c r="J134" s="289">
        <v>1183</v>
      </c>
      <c r="K134" s="289">
        <v>1026</v>
      </c>
      <c r="L134" s="289">
        <v>2209</v>
      </c>
    </row>
    <row r="135" spans="1:12">
      <c r="A135" s="290">
        <v>131</v>
      </c>
      <c r="B135" s="1181"/>
      <c r="C135" s="321" t="s">
        <v>488</v>
      </c>
      <c r="D135" s="289">
        <v>0</v>
      </c>
      <c r="E135" s="289"/>
      <c r="F135" s="289"/>
      <c r="G135" s="289">
        <v>0</v>
      </c>
      <c r="H135" s="289"/>
      <c r="I135" s="289"/>
      <c r="J135" s="289">
        <v>785</v>
      </c>
      <c r="K135" s="289">
        <v>1034</v>
      </c>
      <c r="L135" s="289">
        <v>1819</v>
      </c>
    </row>
    <row r="136" spans="1:12">
      <c r="A136" s="290">
        <v>132</v>
      </c>
      <c r="B136" s="1181"/>
      <c r="C136" s="321" t="s">
        <v>570</v>
      </c>
      <c r="D136" s="289">
        <v>6</v>
      </c>
      <c r="E136" s="289">
        <v>1</v>
      </c>
      <c r="F136" s="289">
        <v>7</v>
      </c>
      <c r="G136" s="289">
        <v>0</v>
      </c>
      <c r="H136" s="289"/>
      <c r="I136" s="289"/>
      <c r="J136" s="289">
        <v>136</v>
      </c>
      <c r="K136" s="289">
        <v>49</v>
      </c>
      <c r="L136" s="289">
        <v>185</v>
      </c>
    </row>
    <row r="137" spans="1:12">
      <c r="A137" s="290">
        <v>133</v>
      </c>
      <c r="B137" s="1181"/>
      <c r="C137" s="321" t="s">
        <v>564</v>
      </c>
      <c r="D137" s="289">
        <v>0</v>
      </c>
      <c r="E137" s="289">
        <v>5</v>
      </c>
      <c r="F137" s="289">
        <v>5</v>
      </c>
      <c r="G137" s="289">
        <v>0</v>
      </c>
      <c r="H137" s="289"/>
      <c r="I137" s="289"/>
      <c r="J137" s="289">
        <v>1572</v>
      </c>
      <c r="K137" s="289">
        <v>1750</v>
      </c>
      <c r="L137" s="289">
        <v>3322</v>
      </c>
    </row>
    <row r="138" spans="1:12">
      <c r="A138" s="290">
        <v>134</v>
      </c>
      <c r="B138" s="1181"/>
      <c r="C138" s="321" t="s">
        <v>566</v>
      </c>
      <c r="D138" s="289">
        <v>0</v>
      </c>
      <c r="E138" s="289"/>
      <c r="F138" s="289"/>
      <c r="G138" s="289">
        <v>0</v>
      </c>
      <c r="H138" s="289"/>
      <c r="I138" s="289"/>
      <c r="J138" s="289">
        <v>816</v>
      </c>
      <c r="K138" s="289">
        <v>669</v>
      </c>
      <c r="L138" s="289">
        <v>1485</v>
      </c>
    </row>
    <row r="139" spans="1:12">
      <c r="A139" s="290">
        <v>135</v>
      </c>
      <c r="B139" s="1181"/>
      <c r="C139" s="321" t="s">
        <v>182</v>
      </c>
      <c r="D139" s="289">
        <v>2</v>
      </c>
      <c r="E139" s="289">
        <v>1</v>
      </c>
      <c r="F139" s="289">
        <v>3</v>
      </c>
      <c r="G139" s="289">
        <v>0</v>
      </c>
      <c r="H139" s="289"/>
      <c r="I139" s="289"/>
      <c r="J139" s="289">
        <v>389</v>
      </c>
      <c r="K139" s="289">
        <v>220</v>
      </c>
      <c r="L139" s="289">
        <v>609</v>
      </c>
    </row>
    <row r="140" spans="1:12" ht="30">
      <c r="A140" s="290">
        <v>136</v>
      </c>
      <c r="B140" s="1181"/>
      <c r="C140" s="321" t="s">
        <v>828</v>
      </c>
      <c r="D140" s="289">
        <v>2</v>
      </c>
      <c r="E140" s="289">
        <v>10</v>
      </c>
      <c r="F140" s="289">
        <v>12</v>
      </c>
      <c r="G140" s="289">
        <v>0</v>
      </c>
      <c r="H140" s="289"/>
      <c r="I140" s="289"/>
      <c r="J140" s="289">
        <v>1021</v>
      </c>
      <c r="K140" s="289">
        <v>612</v>
      </c>
      <c r="L140" s="289">
        <v>1633</v>
      </c>
    </row>
    <row r="141" spans="1:12">
      <c r="A141" s="290">
        <v>137</v>
      </c>
      <c r="B141" s="1181"/>
      <c r="C141" s="321" t="s">
        <v>565</v>
      </c>
      <c r="D141" s="289">
        <v>2</v>
      </c>
      <c r="E141" s="289">
        <v>4</v>
      </c>
      <c r="F141" s="289">
        <v>6</v>
      </c>
      <c r="G141" s="289">
        <v>2</v>
      </c>
      <c r="H141" s="289">
        <v>5</v>
      </c>
      <c r="I141" s="289">
        <v>7</v>
      </c>
      <c r="J141" s="289">
        <v>939</v>
      </c>
      <c r="K141" s="289">
        <v>580</v>
      </c>
      <c r="L141" s="289">
        <v>1519</v>
      </c>
    </row>
    <row r="142" spans="1:12">
      <c r="A142" s="290">
        <v>138</v>
      </c>
      <c r="B142" s="1181"/>
      <c r="C142" s="321" t="s">
        <v>561</v>
      </c>
      <c r="D142" s="289">
        <v>192</v>
      </c>
      <c r="E142" s="289">
        <v>130</v>
      </c>
      <c r="F142" s="289">
        <v>322</v>
      </c>
      <c r="G142" s="289">
        <v>3</v>
      </c>
      <c r="H142" s="289">
        <v>1</v>
      </c>
      <c r="I142" s="289">
        <v>4</v>
      </c>
      <c r="J142" s="289">
        <v>3091</v>
      </c>
      <c r="K142" s="289">
        <v>2292</v>
      </c>
      <c r="L142" s="289">
        <v>5383</v>
      </c>
    </row>
    <row r="143" spans="1:12">
      <c r="A143" s="290">
        <v>139</v>
      </c>
      <c r="B143" s="1181"/>
      <c r="C143" s="321" t="s">
        <v>568</v>
      </c>
      <c r="D143" s="289">
        <v>0</v>
      </c>
      <c r="E143" s="289"/>
      <c r="F143" s="289"/>
      <c r="G143" s="289">
        <v>0</v>
      </c>
      <c r="H143" s="289"/>
      <c r="I143" s="289"/>
      <c r="J143" s="289">
        <v>43</v>
      </c>
      <c r="K143" s="289">
        <v>23</v>
      </c>
      <c r="L143" s="289">
        <v>66</v>
      </c>
    </row>
    <row r="144" spans="1:12" ht="30">
      <c r="A144" s="290">
        <v>140</v>
      </c>
      <c r="B144" s="1181"/>
      <c r="C144" s="321" t="s">
        <v>830</v>
      </c>
      <c r="D144" s="289">
        <v>0</v>
      </c>
      <c r="E144" s="289"/>
      <c r="F144" s="289"/>
      <c r="G144" s="289">
        <v>0</v>
      </c>
      <c r="H144" s="289"/>
      <c r="I144" s="289"/>
      <c r="J144" s="289">
        <v>137</v>
      </c>
      <c r="K144" s="289">
        <v>125</v>
      </c>
      <c r="L144" s="289">
        <v>262</v>
      </c>
    </row>
    <row r="145" spans="1:12">
      <c r="A145" s="290">
        <v>141</v>
      </c>
      <c r="B145" s="1181"/>
      <c r="C145" s="321" t="s">
        <v>562</v>
      </c>
      <c r="D145" s="289">
        <v>0</v>
      </c>
      <c r="E145" s="289"/>
      <c r="F145" s="289"/>
      <c r="G145" s="289">
        <v>0</v>
      </c>
      <c r="H145" s="289"/>
      <c r="I145" s="289"/>
      <c r="J145" s="289">
        <v>677</v>
      </c>
      <c r="K145" s="289">
        <v>466</v>
      </c>
      <c r="L145" s="289">
        <v>1143</v>
      </c>
    </row>
    <row r="146" spans="1:12">
      <c r="A146" s="290">
        <v>142</v>
      </c>
      <c r="B146" s="1182"/>
      <c r="C146" s="321" t="s">
        <v>569</v>
      </c>
      <c r="D146" s="289">
        <v>6</v>
      </c>
      <c r="E146" s="289">
        <v>2</v>
      </c>
      <c r="F146" s="289">
        <v>8</v>
      </c>
      <c r="G146" s="289">
        <v>1</v>
      </c>
      <c r="H146" s="289">
        <v>0</v>
      </c>
      <c r="I146" s="289">
        <v>1</v>
      </c>
      <c r="J146" s="289">
        <v>1014</v>
      </c>
      <c r="K146" s="289">
        <v>642</v>
      </c>
      <c r="L146" s="289">
        <v>1656</v>
      </c>
    </row>
    <row r="147" spans="1:12" s="265" customFormat="1" ht="14.25">
      <c r="A147" s="290">
        <v>143</v>
      </c>
      <c r="B147" s="767" t="s">
        <v>571</v>
      </c>
      <c r="C147" s="922"/>
      <c r="D147" s="923">
        <v>852</v>
      </c>
      <c r="E147" s="923">
        <v>684</v>
      </c>
      <c r="F147" s="923">
        <v>1536</v>
      </c>
      <c r="G147" s="923">
        <v>33</v>
      </c>
      <c r="H147" s="923">
        <v>54</v>
      </c>
      <c r="I147" s="923">
        <v>87</v>
      </c>
      <c r="J147" s="923">
        <v>144630</v>
      </c>
      <c r="K147" s="923">
        <v>111950</v>
      </c>
      <c r="L147" s="923">
        <v>256580</v>
      </c>
    </row>
    <row r="148" spans="1:12" ht="28.5">
      <c r="A148" s="290">
        <v>144</v>
      </c>
      <c r="B148" s="767" t="s">
        <v>512</v>
      </c>
      <c r="C148" s="321" t="s">
        <v>512</v>
      </c>
      <c r="D148" s="289">
        <v>195</v>
      </c>
      <c r="E148" s="289">
        <v>123</v>
      </c>
      <c r="F148" s="289">
        <v>318</v>
      </c>
      <c r="G148" s="289">
        <v>2</v>
      </c>
      <c r="H148" s="289">
        <v>1</v>
      </c>
      <c r="I148" s="289">
        <v>3</v>
      </c>
      <c r="J148" s="289">
        <v>152</v>
      </c>
      <c r="K148" s="289">
        <v>275</v>
      </c>
      <c r="L148" s="289">
        <v>427</v>
      </c>
    </row>
    <row r="149" spans="1:12" s="265" customFormat="1" ht="28.5">
      <c r="A149" s="290">
        <v>145</v>
      </c>
      <c r="B149" s="767" t="s">
        <v>1040</v>
      </c>
      <c r="C149" s="922"/>
      <c r="D149" s="923">
        <v>195</v>
      </c>
      <c r="E149" s="923">
        <v>123</v>
      </c>
      <c r="F149" s="923">
        <v>318</v>
      </c>
      <c r="G149" s="923">
        <v>2</v>
      </c>
      <c r="H149" s="923">
        <v>1</v>
      </c>
      <c r="I149" s="923">
        <v>3</v>
      </c>
      <c r="J149" s="923">
        <v>152</v>
      </c>
      <c r="K149" s="923">
        <v>275</v>
      </c>
      <c r="L149" s="923">
        <v>427</v>
      </c>
    </row>
    <row r="150" spans="1:12">
      <c r="A150" s="290">
        <v>146</v>
      </c>
      <c r="B150" s="1180" t="s">
        <v>479</v>
      </c>
      <c r="C150" s="321" t="s">
        <v>584</v>
      </c>
      <c r="D150" s="289">
        <v>4</v>
      </c>
      <c r="E150" s="289">
        <v>9</v>
      </c>
      <c r="F150" s="289">
        <v>13</v>
      </c>
      <c r="G150" s="289">
        <v>0</v>
      </c>
      <c r="H150" s="289"/>
      <c r="I150" s="289"/>
      <c r="J150" s="289">
        <v>167</v>
      </c>
      <c r="K150" s="289">
        <v>185</v>
      </c>
      <c r="L150" s="289">
        <v>352</v>
      </c>
    </row>
    <row r="151" spans="1:12">
      <c r="A151" s="290">
        <v>147</v>
      </c>
      <c r="B151" s="1181"/>
      <c r="C151" s="321" t="s">
        <v>572</v>
      </c>
      <c r="D151" s="289">
        <v>9</v>
      </c>
      <c r="E151" s="289">
        <v>6</v>
      </c>
      <c r="F151" s="289">
        <v>15</v>
      </c>
      <c r="G151" s="289">
        <v>0</v>
      </c>
      <c r="H151" s="289"/>
      <c r="I151" s="289"/>
      <c r="J151" s="289">
        <v>693</v>
      </c>
      <c r="K151" s="289">
        <v>934</v>
      </c>
      <c r="L151" s="289">
        <v>1627</v>
      </c>
    </row>
    <row r="152" spans="1:12">
      <c r="A152" s="290">
        <v>148</v>
      </c>
      <c r="B152" s="1181"/>
      <c r="C152" s="321" t="s">
        <v>482</v>
      </c>
      <c r="D152" s="289">
        <v>38</v>
      </c>
      <c r="E152" s="289">
        <v>32</v>
      </c>
      <c r="F152" s="289">
        <v>70</v>
      </c>
      <c r="G152" s="289">
        <v>0</v>
      </c>
      <c r="H152" s="289"/>
      <c r="I152" s="289"/>
      <c r="J152" s="289">
        <v>685</v>
      </c>
      <c r="K152" s="289">
        <v>1447</v>
      </c>
      <c r="L152" s="289">
        <v>2132</v>
      </c>
    </row>
    <row r="153" spans="1:12">
      <c r="A153" s="290">
        <v>149</v>
      </c>
      <c r="B153" s="1181"/>
      <c r="C153" s="321" t="s">
        <v>578</v>
      </c>
      <c r="D153" s="289">
        <v>22</v>
      </c>
      <c r="E153" s="289">
        <v>29</v>
      </c>
      <c r="F153" s="289">
        <v>51</v>
      </c>
      <c r="G153" s="289">
        <v>0</v>
      </c>
      <c r="H153" s="289">
        <v>7</v>
      </c>
      <c r="I153" s="289">
        <v>7</v>
      </c>
      <c r="J153" s="289">
        <v>664</v>
      </c>
      <c r="K153" s="289">
        <v>1441</v>
      </c>
      <c r="L153" s="289">
        <v>2105</v>
      </c>
    </row>
    <row r="154" spans="1:12">
      <c r="A154" s="290">
        <v>150</v>
      </c>
      <c r="B154" s="1181"/>
      <c r="C154" s="321" t="s">
        <v>600</v>
      </c>
      <c r="D154" s="289">
        <v>0</v>
      </c>
      <c r="E154" s="289">
        <v>0</v>
      </c>
      <c r="F154" s="289">
        <v>0</v>
      </c>
      <c r="G154" s="289">
        <v>1</v>
      </c>
      <c r="H154" s="289">
        <v>2</v>
      </c>
      <c r="I154" s="289">
        <v>3</v>
      </c>
      <c r="J154" s="289">
        <v>0</v>
      </c>
      <c r="K154" s="289">
        <v>0</v>
      </c>
      <c r="L154" s="289">
        <v>0</v>
      </c>
    </row>
    <row r="155" spans="1:12">
      <c r="A155" s="290">
        <v>151</v>
      </c>
      <c r="B155" s="1181"/>
      <c r="C155" s="321" t="s">
        <v>596</v>
      </c>
      <c r="D155" s="289">
        <v>0</v>
      </c>
      <c r="E155" s="289"/>
      <c r="F155" s="289"/>
      <c r="G155" s="289">
        <v>0</v>
      </c>
      <c r="H155" s="289"/>
      <c r="I155" s="289"/>
      <c r="J155" s="289">
        <v>21</v>
      </c>
      <c r="K155" s="289">
        <v>38</v>
      </c>
      <c r="L155" s="289">
        <v>59</v>
      </c>
    </row>
    <row r="156" spans="1:12">
      <c r="A156" s="290">
        <v>152</v>
      </c>
      <c r="B156" s="1181"/>
      <c r="C156" s="321" t="s">
        <v>587</v>
      </c>
      <c r="D156" s="289">
        <v>73</v>
      </c>
      <c r="E156" s="289">
        <v>85</v>
      </c>
      <c r="F156" s="289">
        <v>158</v>
      </c>
      <c r="G156" s="289">
        <v>4</v>
      </c>
      <c r="H156" s="289">
        <v>7</v>
      </c>
      <c r="I156" s="289">
        <v>11</v>
      </c>
      <c r="J156" s="289">
        <v>1634</v>
      </c>
      <c r="K156" s="289">
        <v>3610</v>
      </c>
      <c r="L156" s="289">
        <v>5244</v>
      </c>
    </row>
    <row r="157" spans="1:12">
      <c r="A157" s="290">
        <v>153</v>
      </c>
      <c r="B157" s="1181"/>
      <c r="C157" s="321" t="s">
        <v>590</v>
      </c>
      <c r="D157" s="289">
        <v>99</v>
      </c>
      <c r="E157" s="289">
        <v>16</v>
      </c>
      <c r="F157" s="289">
        <v>115</v>
      </c>
      <c r="G157" s="289">
        <v>0</v>
      </c>
      <c r="H157" s="289"/>
      <c r="I157" s="289"/>
      <c r="J157" s="289">
        <v>57</v>
      </c>
      <c r="K157" s="289">
        <v>18</v>
      </c>
      <c r="L157" s="289">
        <v>75</v>
      </c>
    </row>
    <row r="158" spans="1:12">
      <c r="A158" s="290">
        <v>154</v>
      </c>
      <c r="B158" s="1181"/>
      <c r="C158" s="321" t="s">
        <v>481</v>
      </c>
      <c r="D158" s="289">
        <v>13</v>
      </c>
      <c r="E158" s="289">
        <v>22</v>
      </c>
      <c r="F158" s="289">
        <v>35</v>
      </c>
      <c r="G158" s="289">
        <v>0</v>
      </c>
      <c r="H158" s="289"/>
      <c r="I158" s="289"/>
      <c r="J158" s="289">
        <v>1478</v>
      </c>
      <c r="K158" s="289">
        <v>3262</v>
      </c>
      <c r="L158" s="289">
        <v>4740</v>
      </c>
    </row>
    <row r="159" spans="1:12">
      <c r="A159" s="290">
        <v>155</v>
      </c>
      <c r="B159" s="1181"/>
      <c r="C159" s="321" t="s">
        <v>582</v>
      </c>
      <c r="D159" s="289">
        <v>0</v>
      </c>
      <c r="E159" s="289"/>
      <c r="F159" s="289"/>
      <c r="G159" s="289">
        <v>0</v>
      </c>
      <c r="H159" s="289"/>
      <c r="I159" s="289"/>
      <c r="J159" s="289">
        <v>166</v>
      </c>
      <c r="K159" s="289">
        <v>341</v>
      </c>
      <c r="L159" s="289">
        <v>507</v>
      </c>
    </row>
    <row r="160" spans="1:12">
      <c r="A160" s="290">
        <v>156</v>
      </c>
      <c r="B160" s="1181"/>
      <c r="C160" s="321" t="s">
        <v>599</v>
      </c>
      <c r="D160" s="289">
        <v>16</v>
      </c>
      <c r="E160" s="289">
        <v>11</v>
      </c>
      <c r="F160" s="289">
        <v>27</v>
      </c>
      <c r="G160" s="289">
        <v>0</v>
      </c>
      <c r="H160" s="289"/>
      <c r="I160" s="289"/>
      <c r="J160" s="289">
        <v>18</v>
      </c>
      <c r="K160" s="289">
        <v>9</v>
      </c>
      <c r="L160" s="289">
        <v>27</v>
      </c>
    </row>
    <row r="161" spans="1:12">
      <c r="A161" s="290">
        <v>157</v>
      </c>
      <c r="B161" s="1181"/>
      <c r="C161" s="321" t="s">
        <v>579</v>
      </c>
      <c r="D161" s="289">
        <v>0</v>
      </c>
      <c r="E161" s="289">
        <v>5</v>
      </c>
      <c r="F161" s="289">
        <v>5</v>
      </c>
      <c r="G161" s="289">
        <v>0</v>
      </c>
      <c r="H161" s="289"/>
      <c r="I161" s="289"/>
      <c r="J161" s="289">
        <v>207</v>
      </c>
      <c r="K161" s="289">
        <v>302</v>
      </c>
      <c r="L161" s="289">
        <v>509</v>
      </c>
    </row>
    <row r="162" spans="1:12">
      <c r="A162" s="290">
        <v>158</v>
      </c>
      <c r="B162" s="1181"/>
      <c r="C162" s="321" t="s">
        <v>586</v>
      </c>
      <c r="D162" s="289">
        <v>0</v>
      </c>
      <c r="E162" s="289"/>
      <c r="F162" s="289"/>
      <c r="G162" s="289">
        <v>0</v>
      </c>
      <c r="H162" s="289"/>
      <c r="I162" s="289"/>
      <c r="J162" s="289">
        <v>67</v>
      </c>
      <c r="K162" s="289">
        <v>27</v>
      </c>
      <c r="L162" s="289">
        <v>94</v>
      </c>
    </row>
    <row r="163" spans="1:12">
      <c r="A163" s="290">
        <v>159</v>
      </c>
      <c r="B163" s="1181"/>
      <c r="C163" s="321" t="s">
        <v>597</v>
      </c>
      <c r="D163" s="289">
        <v>61</v>
      </c>
      <c r="E163" s="289">
        <v>2</v>
      </c>
      <c r="F163" s="289">
        <v>63</v>
      </c>
      <c r="G163" s="289">
        <v>0</v>
      </c>
      <c r="H163" s="289"/>
      <c r="I163" s="289"/>
      <c r="J163" s="289">
        <v>29</v>
      </c>
      <c r="K163" s="289">
        <v>10</v>
      </c>
      <c r="L163" s="289">
        <v>39</v>
      </c>
    </row>
    <row r="164" spans="1:12">
      <c r="A164" s="290">
        <v>160</v>
      </c>
      <c r="B164" s="1181"/>
      <c r="C164" s="321" t="s">
        <v>480</v>
      </c>
      <c r="D164" s="289">
        <v>18</v>
      </c>
      <c r="E164" s="289">
        <v>23</v>
      </c>
      <c r="F164" s="289">
        <v>41</v>
      </c>
      <c r="G164" s="289">
        <v>1</v>
      </c>
      <c r="H164" s="289">
        <v>7</v>
      </c>
      <c r="I164" s="289">
        <v>8</v>
      </c>
      <c r="J164" s="289">
        <v>1803</v>
      </c>
      <c r="K164" s="289">
        <v>1205</v>
      </c>
      <c r="L164" s="289">
        <v>3008</v>
      </c>
    </row>
    <row r="165" spans="1:12">
      <c r="A165" s="290">
        <v>161</v>
      </c>
      <c r="B165" s="1181"/>
      <c r="C165" s="321" t="s">
        <v>491</v>
      </c>
      <c r="D165" s="289">
        <v>9</v>
      </c>
      <c r="E165" s="289">
        <v>1</v>
      </c>
      <c r="F165" s="289">
        <v>10</v>
      </c>
      <c r="G165" s="289">
        <v>0</v>
      </c>
      <c r="H165" s="289"/>
      <c r="I165" s="289"/>
      <c r="J165" s="289">
        <v>1364</v>
      </c>
      <c r="K165" s="289">
        <v>586</v>
      </c>
      <c r="L165" s="289">
        <v>1950</v>
      </c>
    </row>
    <row r="166" spans="1:12">
      <c r="A166" s="290">
        <v>162</v>
      </c>
      <c r="B166" s="1181"/>
      <c r="C166" s="321" t="s">
        <v>573</v>
      </c>
      <c r="D166" s="289">
        <v>2</v>
      </c>
      <c r="E166" s="289">
        <v>7</v>
      </c>
      <c r="F166" s="289">
        <v>9</v>
      </c>
      <c r="G166" s="289">
        <v>0</v>
      </c>
      <c r="H166" s="289"/>
      <c r="I166" s="289"/>
      <c r="J166" s="289">
        <v>117</v>
      </c>
      <c r="K166" s="289">
        <v>1094</v>
      </c>
      <c r="L166" s="289">
        <v>1211</v>
      </c>
    </row>
    <row r="167" spans="1:12">
      <c r="A167" s="290">
        <v>163</v>
      </c>
      <c r="B167" s="1181"/>
      <c r="C167" s="321" t="s">
        <v>595</v>
      </c>
      <c r="D167" s="289">
        <v>2</v>
      </c>
      <c r="E167" s="289">
        <v>1</v>
      </c>
      <c r="F167" s="289">
        <v>3</v>
      </c>
      <c r="G167" s="289">
        <v>0</v>
      </c>
      <c r="H167" s="289"/>
      <c r="I167" s="289"/>
      <c r="J167" s="289">
        <v>12</v>
      </c>
      <c r="K167" s="289">
        <v>21</v>
      </c>
      <c r="L167" s="289">
        <v>33</v>
      </c>
    </row>
    <row r="168" spans="1:12">
      <c r="A168" s="290">
        <v>164</v>
      </c>
      <c r="B168" s="1181"/>
      <c r="C168" s="321" t="s">
        <v>602</v>
      </c>
      <c r="D168" s="289">
        <v>8</v>
      </c>
      <c r="E168" s="289">
        <v>2</v>
      </c>
      <c r="F168" s="289">
        <v>10</v>
      </c>
      <c r="G168" s="289">
        <v>0</v>
      </c>
      <c r="H168" s="289"/>
      <c r="I168" s="289"/>
      <c r="J168" s="289">
        <v>6</v>
      </c>
      <c r="K168" s="289">
        <v>1</v>
      </c>
      <c r="L168" s="289">
        <v>7</v>
      </c>
    </row>
    <row r="169" spans="1:12">
      <c r="A169" s="290">
        <v>165</v>
      </c>
      <c r="B169" s="1181"/>
      <c r="C169" s="321" t="s">
        <v>483</v>
      </c>
      <c r="D169" s="289">
        <v>15</v>
      </c>
      <c r="E169" s="289">
        <v>11</v>
      </c>
      <c r="F169" s="289">
        <v>26</v>
      </c>
      <c r="G169" s="289">
        <v>0</v>
      </c>
      <c r="H169" s="289"/>
      <c r="I169" s="289"/>
      <c r="J169" s="289">
        <v>255</v>
      </c>
      <c r="K169" s="289">
        <v>465</v>
      </c>
      <c r="L169" s="289">
        <v>720</v>
      </c>
    </row>
    <row r="170" spans="1:12">
      <c r="A170" s="290">
        <v>166</v>
      </c>
      <c r="B170" s="1181"/>
      <c r="C170" s="321" t="s">
        <v>492</v>
      </c>
      <c r="D170" s="289">
        <v>0</v>
      </c>
      <c r="E170" s="289">
        <v>1</v>
      </c>
      <c r="F170" s="289">
        <v>1</v>
      </c>
      <c r="G170" s="289">
        <v>0</v>
      </c>
      <c r="H170" s="289"/>
      <c r="I170" s="289"/>
      <c r="J170" s="289">
        <v>142</v>
      </c>
      <c r="K170" s="289">
        <v>242</v>
      </c>
      <c r="L170" s="289">
        <v>384</v>
      </c>
    </row>
    <row r="171" spans="1:12">
      <c r="A171" s="290">
        <v>167</v>
      </c>
      <c r="B171" s="1181"/>
      <c r="C171" s="321" t="s">
        <v>588</v>
      </c>
      <c r="D171" s="289">
        <v>1</v>
      </c>
      <c r="E171" s="289">
        <v>4</v>
      </c>
      <c r="F171" s="289">
        <v>5</v>
      </c>
      <c r="G171" s="289">
        <v>0</v>
      </c>
      <c r="H171" s="289"/>
      <c r="I171" s="289"/>
      <c r="J171" s="289">
        <v>8</v>
      </c>
      <c r="K171" s="289">
        <v>29</v>
      </c>
      <c r="L171" s="289">
        <v>37</v>
      </c>
    </row>
    <row r="172" spans="1:12">
      <c r="A172" s="290">
        <v>168</v>
      </c>
      <c r="B172" s="1181"/>
      <c r="C172" s="321" t="s">
        <v>489</v>
      </c>
      <c r="D172" s="289">
        <v>0</v>
      </c>
      <c r="E172" s="289"/>
      <c r="F172" s="289"/>
      <c r="G172" s="289">
        <v>0</v>
      </c>
      <c r="H172" s="289"/>
      <c r="I172" s="289"/>
      <c r="J172" s="289">
        <v>77</v>
      </c>
      <c r="K172" s="289">
        <v>59</v>
      </c>
      <c r="L172" s="289">
        <v>136</v>
      </c>
    </row>
    <row r="173" spans="1:12">
      <c r="A173" s="290">
        <v>169</v>
      </c>
      <c r="B173" s="1181"/>
      <c r="C173" s="321" t="s">
        <v>593</v>
      </c>
      <c r="D173" s="289">
        <v>4</v>
      </c>
      <c r="E173" s="289">
        <v>4</v>
      </c>
      <c r="F173" s="289">
        <v>8</v>
      </c>
      <c r="G173" s="289">
        <v>0</v>
      </c>
      <c r="H173" s="289"/>
      <c r="I173" s="289"/>
      <c r="J173" s="289">
        <v>20</v>
      </c>
      <c r="K173" s="289">
        <v>27</v>
      </c>
      <c r="L173" s="289">
        <v>47</v>
      </c>
    </row>
    <row r="174" spans="1:12">
      <c r="A174" s="290">
        <v>170</v>
      </c>
      <c r="B174" s="1181"/>
      <c r="C174" s="321" t="s">
        <v>479</v>
      </c>
      <c r="D174" s="289">
        <v>124</v>
      </c>
      <c r="E174" s="289">
        <v>78</v>
      </c>
      <c r="F174" s="289">
        <v>202</v>
      </c>
      <c r="G174" s="289">
        <v>1</v>
      </c>
      <c r="H174" s="289">
        <v>3</v>
      </c>
      <c r="I174" s="289">
        <v>4</v>
      </c>
      <c r="J174" s="289">
        <v>701</v>
      </c>
      <c r="K174" s="289">
        <v>1097</v>
      </c>
      <c r="L174" s="289">
        <v>1798</v>
      </c>
    </row>
    <row r="175" spans="1:12">
      <c r="A175" s="290">
        <v>171</v>
      </c>
      <c r="B175" s="1181"/>
      <c r="C175" s="321" t="s">
        <v>583</v>
      </c>
      <c r="D175" s="289">
        <v>23</v>
      </c>
      <c r="E175" s="289">
        <v>45</v>
      </c>
      <c r="F175" s="289">
        <v>68</v>
      </c>
      <c r="G175" s="289">
        <v>3</v>
      </c>
      <c r="H175" s="289">
        <v>10</v>
      </c>
      <c r="I175" s="289">
        <v>13</v>
      </c>
      <c r="J175" s="289">
        <v>1608</v>
      </c>
      <c r="K175" s="289">
        <v>4313</v>
      </c>
      <c r="L175" s="289">
        <v>5921</v>
      </c>
    </row>
    <row r="176" spans="1:12">
      <c r="A176" s="290">
        <v>172</v>
      </c>
      <c r="B176" s="1181"/>
      <c r="C176" s="321" t="s">
        <v>598</v>
      </c>
      <c r="D176" s="289">
        <v>31</v>
      </c>
      <c r="E176" s="289">
        <v>7</v>
      </c>
      <c r="F176" s="289">
        <v>38</v>
      </c>
      <c r="G176" s="289">
        <v>0</v>
      </c>
      <c r="H176" s="289"/>
      <c r="I176" s="289"/>
      <c r="J176" s="289">
        <v>18</v>
      </c>
      <c r="K176" s="289">
        <v>10</v>
      </c>
      <c r="L176" s="289">
        <v>28</v>
      </c>
    </row>
    <row r="177" spans="1:12">
      <c r="A177" s="290">
        <v>173</v>
      </c>
      <c r="B177" s="1181"/>
      <c r="C177" s="321" t="s">
        <v>592</v>
      </c>
      <c r="D177" s="289">
        <v>126</v>
      </c>
      <c r="E177" s="289">
        <v>25</v>
      </c>
      <c r="F177" s="289">
        <v>151</v>
      </c>
      <c r="G177" s="289">
        <v>0</v>
      </c>
      <c r="H177" s="289"/>
      <c r="I177" s="289"/>
      <c r="J177" s="289">
        <v>45</v>
      </c>
      <c r="K177" s="289">
        <v>31</v>
      </c>
      <c r="L177" s="289">
        <v>76</v>
      </c>
    </row>
    <row r="178" spans="1:12">
      <c r="A178" s="290">
        <v>174</v>
      </c>
      <c r="B178" s="1181"/>
      <c r="C178" s="321" t="s">
        <v>589</v>
      </c>
      <c r="D178" s="289">
        <v>3</v>
      </c>
      <c r="E178" s="289">
        <v>0</v>
      </c>
      <c r="F178" s="289">
        <v>3</v>
      </c>
      <c r="G178" s="289">
        <v>0</v>
      </c>
      <c r="H178" s="289"/>
      <c r="I178" s="289"/>
      <c r="J178" s="289">
        <v>35</v>
      </c>
      <c r="K178" s="289">
        <v>18</v>
      </c>
      <c r="L178" s="289">
        <v>53</v>
      </c>
    </row>
    <row r="179" spans="1:12">
      <c r="A179" s="290">
        <v>175</v>
      </c>
      <c r="B179" s="1181"/>
      <c r="C179" s="321" t="s">
        <v>76</v>
      </c>
      <c r="D179" s="289">
        <v>13</v>
      </c>
      <c r="E179" s="289">
        <v>36</v>
      </c>
      <c r="F179" s="289">
        <v>49</v>
      </c>
      <c r="G179" s="289">
        <v>1</v>
      </c>
      <c r="H179" s="289">
        <v>7</v>
      </c>
      <c r="I179" s="289">
        <v>8</v>
      </c>
      <c r="J179" s="289">
        <v>1145</v>
      </c>
      <c r="K179" s="289">
        <v>4838</v>
      </c>
      <c r="L179" s="289">
        <v>5983</v>
      </c>
    </row>
    <row r="180" spans="1:12">
      <c r="A180" s="290">
        <v>176</v>
      </c>
      <c r="B180" s="1181"/>
      <c r="C180" s="321" t="s">
        <v>487</v>
      </c>
      <c r="D180" s="289">
        <v>0</v>
      </c>
      <c r="E180" s="289"/>
      <c r="F180" s="289"/>
      <c r="G180" s="289">
        <v>0</v>
      </c>
      <c r="H180" s="289"/>
      <c r="I180" s="289"/>
      <c r="J180" s="289">
        <v>45</v>
      </c>
      <c r="K180" s="289">
        <v>114</v>
      </c>
      <c r="L180" s="289">
        <v>159</v>
      </c>
    </row>
    <row r="181" spans="1:12">
      <c r="A181" s="290">
        <v>177</v>
      </c>
      <c r="B181" s="1181"/>
      <c r="C181" s="321" t="s">
        <v>591</v>
      </c>
      <c r="D181" s="289">
        <v>44</v>
      </c>
      <c r="E181" s="289">
        <v>16</v>
      </c>
      <c r="F181" s="289">
        <v>60</v>
      </c>
      <c r="G181" s="289">
        <v>0</v>
      </c>
      <c r="H181" s="289"/>
      <c r="I181" s="289"/>
      <c r="J181" s="289">
        <v>42</v>
      </c>
      <c r="K181" s="289">
        <v>30</v>
      </c>
      <c r="L181" s="289">
        <v>72</v>
      </c>
    </row>
    <row r="182" spans="1:12">
      <c r="A182" s="290">
        <v>178</v>
      </c>
      <c r="B182" s="1181"/>
      <c r="C182" s="321" t="s">
        <v>485</v>
      </c>
      <c r="D182" s="289">
        <v>1</v>
      </c>
      <c r="E182" s="289">
        <v>1</v>
      </c>
      <c r="F182" s="289">
        <v>2</v>
      </c>
      <c r="G182" s="289">
        <v>0</v>
      </c>
      <c r="H182" s="289"/>
      <c r="I182" s="289"/>
      <c r="J182" s="289">
        <v>277</v>
      </c>
      <c r="K182" s="289">
        <v>686</v>
      </c>
      <c r="L182" s="289">
        <v>963</v>
      </c>
    </row>
    <row r="183" spans="1:12">
      <c r="A183" s="290">
        <v>179</v>
      </c>
      <c r="B183" s="1181"/>
      <c r="C183" s="321" t="s">
        <v>575</v>
      </c>
      <c r="D183" s="289">
        <v>4</v>
      </c>
      <c r="E183" s="289">
        <v>0</v>
      </c>
      <c r="F183" s="289">
        <v>4</v>
      </c>
      <c r="G183" s="289">
        <v>0</v>
      </c>
      <c r="H183" s="289"/>
      <c r="I183" s="289"/>
      <c r="J183" s="289">
        <v>910</v>
      </c>
      <c r="K183" s="289">
        <v>81</v>
      </c>
      <c r="L183" s="289">
        <v>991</v>
      </c>
    </row>
    <row r="184" spans="1:12">
      <c r="A184" s="290">
        <v>180</v>
      </c>
      <c r="B184" s="1181"/>
      <c r="C184" s="321" t="s">
        <v>486</v>
      </c>
      <c r="D184" s="289">
        <v>83</v>
      </c>
      <c r="E184" s="289">
        <v>84</v>
      </c>
      <c r="F184" s="289">
        <v>167</v>
      </c>
      <c r="G184" s="289">
        <v>5</v>
      </c>
      <c r="H184" s="289">
        <v>9</v>
      </c>
      <c r="I184" s="289">
        <v>14</v>
      </c>
      <c r="J184" s="289">
        <v>1033</v>
      </c>
      <c r="K184" s="289">
        <v>1138</v>
      </c>
      <c r="L184" s="289">
        <v>2171</v>
      </c>
    </row>
    <row r="185" spans="1:12">
      <c r="A185" s="290">
        <v>181</v>
      </c>
      <c r="B185" s="1181"/>
      <c r="C185" s="321" t="s">
        <v>490</v>
      </c>
      <c r="D185" s="289">
        <v>1</v>
      </c>
      <c r="E185" s="289">
        <v>4</v>
      </c>
      <c r="F185" s="289">
        <v>5</v>
      </c>
      <c r="G185" s="289">
        <v>0</v>
      </c>
      <c r="H185" s="289"/>
      <c r="I185" s="289"/>
      <c r="J185" s="289">
        <v>228</v>
      </c>
      <c r="K185" s="289">
        <v>700</v>
      </c>
      <c r="L185" s="289">
        <v>928</v>
      </c>
    </row>
    <row r="186" spans="1:12">
      <c r="A186" s="290">
        <v>182</v>
      </c>
      <c r="B186" s="1181"/>
      <c r="C186" s="321" t="s">
        <v>574</v>
      </c>
      <c r="D186" s="289">
        <v>42</v>
      </c>
      <c r="E186" s="289">
        <v>13</v>
      </c>
      <c r="F186" s="289">
        <v>55</v>
      </c>
      <c r="G186" s="289">
        <v>0</v>
      </c>
      <c r="H186" s="289"/>
      <c r="I186" s="289"/>
      <c r="J186" s="289">
        <v>562</v>
      </c>
      <c r="K186" s="289">
        <v>634</v>
      </c>
      <c r="L186" s="289">
        <v>1196</v>
      </c>
    </row>
    <row r="187" spans="1:12">
      <c r="A187" s="290">
        <v>183</v>
      </c>
      <c r="B187" s="1181"/>
      <c r="C187" s="321" t="s">
        <v>200</v>
      </c>
      <c r="D187" s="289">
        <v>240</v>
      </c>
      <c r="E187" s="289">
        <v>189</v>
      </c>
      <c r="F187" s="289">
        <v>429</v>
      </c>
      <c r="G187" s="289">
        <v>0</v>
      </c>
      <c r="H187" s="289"/>
      <c r="I187" s="289"/>
      <c r="J187" s="289">
        <v>8577</v>
      </c>
      <c r="K187" s="289">
        <v>11616</v>
      </c>
      <c r="L187" s="289">
        <v>20193</v>
      </c>
    </row>
    <row r="188" spans="1:12">
      <c r="A188" s="290">
        <v>184</v>
      </c>
      <c r="B188" s="1181"/>
      <c r="C188" s="321" t="s">
        <v>581</v>
      </c>
      <c r="D188" s="289">
        <v>7</v>
      </c>
      <c r="E188" s="289">
        <v>5</v>
      </c>
      <c r="F188" s="289">
        <v>12</v>
      </c>
      <c r="G188" s="289">
        <v>1</v>
      </c>
      <c r="H188" s="289">
        <v>9</v>
      </c>
      <c r="I188" s="289">
        <v>10</v>
      </c>
      <c r="J188" s="289">
        <v>65</v>
      </c>
      <c r="K188" s="289">
        <v>122</v>
      </c>
      <c r="L188" s="289">
        <v>187</v>
      </c>
    </row>
    <row r="189" spans="1:12">
      <c r="A189" s="290">
        <v>185</v>
      </c>
      <c r="B189" s="1181"/>
      <c r="C189" s="321" t="s">
        <v>201</v>
      </c>
      <c r="D189" s="289">
        <v>3</v>
      </c>
      <c r="E189" s="289">
        <v>4</v>
      </c>
      <c r="F189" s="289">
        <v>7</v>
      </c>
      <c r="G189" s="289">
        <v>0</v>
      </c>
      <c r="H189" s="289"/>
      <c r="I189" s="289"/>
      <c r="J189" s="289">
        <v>977</v>
      </c>
      <c r="K189" s="289">
        <v>2118</v>
      </c>
      <c r="L189" s="289">
        <v>3095</v>
      </c>
    </row>
    <row r="190" spans="1:12">
      <c r="A190" s="290">
        <v>186</v>
      </c>
      <c r="B190" s="1181"/>
      <c r="C190" s="321" t="s">
        <v>601</v>
      </c>
      <c r="D190" s="289">
        <v>50</v>
      </c>
      <c r="E190" s="289">
        <v>17</v>
      </c>
      <c r="F190" s="289">
        <v>67</v>
      </c>
      <c r="G190" s="289">
        <v>0</v>
      </c>
      <c r="H190" s="289"/>
      <c r="I190" s="289"/>
      <c r="J190" s="289">
        <v>21</v>
      </c>
      <c r="K190" s="289">
        <v>2</v>
      </c>
      <c r="L190" s="289">
        <v>23</v>
      </c>
    </row>
    <row r="191" spans="1:12">
      <c r="A191" s="290">
        <v>187</v>
      </c>
      <c r="B191" s="1181"/>
      <c r="C191" s="321" t="s">
        <v>1010</v>
      </c>
      <c r="D191" s="289">
        <v>0</v>
      </c>
      <c r="E191" s="289"/>
      <c r="F191" s="289"/>
      <c r="G191" s="289">
        <v>0</v>
      </c>
      <c r="H191" s="289"/>
      <c r="I191" s="289"/>
      <c r="J191" s="289">
        <v>3</v>
      </c>
      <c r="K191" s="289">
        <v>6</v>
      </c>
      <c r="L191" s="289">
        <v>9</v>
      </c>
    </row>
    <row r="192" spans="1:12">
      <c r="A192" s="290">
        <v>188</v>
      </c>
      <c r="B192" s="1181"/>
      <c r="C192" s="321" t="s">
        <v>580</v>
      </c>
      <c r="D192" s="289">
        <v>7</v>
      </c>
      <c r="E192" s="289">
        <v>7</v>
      </c>
      <c r="F192" s="289">
        <v>14</v>
      </c>
      <c r="G192" s="289">
        <v>2</v>
      </c>
      <c r="H192" s="289">
        <v>32</v>
      </c>
      <c r="I192" s="289">
        <v>34</v>
      </c>
      <c r="J192" s="289">
        <v>207</v>
      </c>
      <c r="K192" s="289">
        <v>318</v>
      </c>
      <c r="L192" s="289">
        <v>525</v>
      </c>
    </row>
    <row r="193" spans="1:12">
      <c r="A193" s="290">
        <v>189</v>
      </c>
      <c r="B193" s="1181"/>
      <c r="C193" s="321" t="s">
        <v>577</v>
      </c>
      <c r="D193" s="289">
        <v>2</v>
      </c>
      <c r="E193" s="289">
        <v>9</v>
      </c>
      <c r="F193" s="289">
        <v>11</v>
      </c>
      <c r="G193" s="289">
        <v>0</v>
      </c>
      <c r="H193" s="289"/>
      <c r="I193" s="289"/>
      <c r="J193" s="289">
        <v>536</v>
      </c>
      <c r="K193" s="289">
        <v>864</v>
      </c>
      <c r="L193" s="289">
        <v>1400</v>
      </c>
    </row>
    <row r="194" spans="1:12">
      <c r="A194" s="290">
        <v>190</v>
      </c>
      <c r="B194" s="1181"/>
      <c r="C194" s="321" t="s">
        <v>576</v>
      </c>
      <c r="D194" s="289">
        <v>9</v>
      </c>
      <c r="E194" s="289">
        <v>1</v>
      </c>
      <c r="F194" s="289">
        <v>10</v>
      </c>
      <c r="G194" s="289">
        <v>0</v>
      </c>
      <c r="H194" s="289"/>
      <c r="I194" s="289"/>
      <c r="J194" s="289">
        <v>487</v>
      </c>
      <c r="K194" s="289">
        <v>377</v>
      </c>
      <c r="L194" s="289">
        <v>864</v>
      </c>
    </row>
    <row r="195" spans="1:12">
      <c r="A195" s="290">
        <v>191</v>
      </c>
      <c r="B195" s="1181"/>
      <c r="C195" s="321" t="s">
        <v>585</v>
      </c>
      <c r="D195" s="289">
        <v>0</v>
      </c>
      <c r="E195" s="289"/>
      <c r="F195" s="289"/>
      <c r="G195" s="289">
        <v>0</v>
      </c>
      <c r="H195" s="289"/>
      <c r="I195" s="289"/>
      <c r="J195" s="289">
        <v>63</v>
      </c>
      <c r="K195" s="289">
        <v>65</v>
      </c>
      <c r="L195" s="289">
        <v>128</v>
      </c>
    </row>
    <row r="196" spans="1:12">
      <c r="A196" s="290">
        <v>192</v>
      </c>
      <c r="B196" s="1181"/>
      <c r="C196" s="321" t="s">
        <v>484</v>
      </c>
      <c r="D196" s="289">
        <v>0</v>
      </c>
      <c r="E196" s="289"/>
      <c r="F196" s="289"/>
      <c r="G196" s="289">
        <v>0</v>
      </c>
      <c r="H196" s="289"/>
      <c r="I196" s="289"/>
      <c r="J196" s="289">
        <v>55</v>
      </c>
      <c r="K196" s="289">
        <v>52</v>
      </c>
      <c r="L196" s="289">
        <v>107</v>
      </c>
    </row>
    <row r="197" spans="1:12">
      <c r="A197" s="290">
        <v>193</v>
      </c>
      <c r="B197" s="1182"/>
      <c r="C197" s="321" t="s">
        <v>594</v>
      </c>
      <c r="D197" s="289">
        <v>53</v>
      </c>
      <c r="E197" s="289">
        <v>1</v>
      </c>
      <c r="F197" s="289">
        <v>54</v>
      </c>
      <c r="G197" s="289">
        <v>0</v>
      </c>
      <c r="H197" s="289"/>
      <c r="I197" s="289"/>
      <c r="J197" s="289">
        <v>21</v>
      </c>
      <c r="K197" s="289">
        <v>2</v>
      </c>
      <c r="L197" s="289">
        <v>23</v>
      </c>
    </row>
    <row r="198" spans="1:12" s="265" customFormat="1" ht="14.25">
      <c r="A198" s="290">
        <v>194</v>
      </c>
      <c r="B198" s="767" t="s">
        <v>493</v>
      </c>
      <c r="C198" s="922"/>
      <c r="D198" s="923">
        <v>1260</v>
      </c>
      <c r="E198" s="923">
        <v>813</v>
      </c>
      <c r="F198" s="923">
        <v>2073</v>
      </c>
      <c r="G198" s="923">
        <v>19</v>
      </c>
      <c r="H198" s="923">
        <v>93</v>
      </c>
      <c r="I198" s="923">
        <v>112</v>
      </c>
      <c r="J198" s="923">
        <v>27351</v>
      </c>
      <c r="K198" s="923">
        <v>44585</v>
      </c>
      <c r="L198" s="923">
        <v>71936</v>
      </c>
    </row>
    <row r="199" spans="1:12">
      <c r="A199" s="290">
        <v>195</v>
      </c>
      <c r="B199" s="1180" t="s">
        <v>183</v>
      </c>
      <c r="C199" s="321" t="s">
        <v>604</v>
      </c>
      <c r="D199" s="289">
        <v>19</v>
      </c>
      <c r="E199" s="289">
        <v>5</v>
      </c>
      <c r="F199" s="289">
        <v>24</v>
      </c>
      <c r="G199" s="289">
        <v>0</v>
      </c>
      <c r="H199" s="289"/>
      <c r="I199" s="289"/>
      <c r="J199" s="289">
        <v>94</v>
      </c>
      <c r="K199" s="289">
        <v>25</v>
      </c>
      <c r="L199" s="289">
        <v>119</v>
      </c>
    </row>
    <row r="200" spans="1:12">
      <c r="A200" s="290">
        <v>196</v>
      </c>
      <c r="B200" s="1181"/>
      <c r="C200" s="321" t="s">
        <v>833</v>
      </c>
      <c r="D200" s="289">
        <v>1</v>
      </c>
      <c r="E200" s="289">
        <v>4</v>
      </c>
      <c r="F200" s="289">
        <v>5</v>
      </c>
      <c r="G200" s="289">
        <v>5</v>
      </c>
      <c r="H200" s="289">
        <v>8</v>
      </c>
      <c r="I200" s="289">
        <v>13</v>
      </c>
      <c r="J200" s="289">
        <v>101</v>
      </c>
      <c r="K200" s="289">
        <v>105</v>
      </c>
      <c r="L200" s="289">
        <v>206</v>
      </c>
    </row>
    <row r="201" spans="1:12">
      <c r="A201" s="290">
        <v>197</v>
      </c>
      <c r="B201" s="1181"/>
      <c r="C201" s="321" t="s">
        <v>1041</v>
      </c>
      <c r="D201" s="289">
        <v>136</v>
      </c>
      <c r="E201" s="289">
        <v>67</v>
      </c>
      <c r="F201" s="289">
        <v>203</v>
      </c>
      <c r="G201" s="289">
        <v>26</v>
      </c>
      <c r="H201" s="289">
        <v>46</v>
      </c>
      <c r="I201" s="289">
        <v>72</v>
      </c>
      <c r="J201" s="289">
        <v>6908</v>
      </c>
      <c r="K201" s="289">
        <v>4662</v>
      </c>
      <c r="L201" s="289">
        <v>11570</v>
      </c>
    </row>
    <row r="202" spans="1:12">
      <c r="A202" s="290">
        <v>198</v>
      </c>
      <c r="B202" s="1181"/>
      <c r="C202" s="321" t="s">
        <v>1042</v>
      </c>
      <c r="D202" s="289">
        <v>0</v>
      </c>
      <c r="E202" s="289"/>
      <c r="F202" s="289"/>
      <c r="G202" s="289">
        <v>0</v>
      </c>
      <c r="H202" s="289"/>
      <c r="I202" s="289"/>
      <c r="J202" s="289">
        <v>17</v>
      </c>
      <c r="K202" s="289">
        <v>27</v>
      </c>
      <c r="L202" s="289">
        <v>44</v>
      </c>
    </row>
    <row r="203" spans="1:12">
      <c r="A203" s="290">
        <v>199</v>
      </c>
      <c r="B203" s="1181"/>
      <c r="C203" s="321" t="s">
        <v>508</v>
      </c>
      <c r="D203" s="289">
        <v>0</v>
      </c>
      <c r="E203" s="289"/>
      <c r="F203" s="289"/>
      <c r="G203" s="289">
        <v>0</v>
      </c>
      <c r="H203" s="289"/>
      <c r="I203" s="289"/>
      <c r="J203" s="289">
        <v>22</v>
      </c>
      <c r="K203" s="289">
        <v>15</v>
      </c>
      <c r="L203" s="289">
        <v>37</v>
      </c>
    </row>
    <row r="204" spans="1:12">
      <c r="A204" s="290">
        <v>200</v>
      </c>
      <c r="B204" s="1182"/>
      <c r="C204" s="321" t="s">
        <v>603</v>
      </c>
      <c r="D204" s="289">
        <v>17</v>
      </c>
      <c r="E204" s="289">
        <v>2</v>
      </c>
      <c r="F204" s="289">
        <v>19</v>
      </c>
      <c r="G204" s="289">
        <v>0</v>
      </c>
      <c r="H204" s="289"/>
      <c r="I204" s="289"/>
      <c r="J204" s="289">
        <v>146</v>
      </c>
      <c r="K204" s="289">
        <v>47</v>
      </c>
      <c r="L204" s="289">
        <v>193</v>
      </c>
    </row>
    <row r="205" spans="1:12" s="265" customFormat="1" ht="14.25">
      <c r="A205" s="290">
        <v>201</v>
      </c>
      <c r="B205" s="767" t="s">
        <v>605</v>
      </c>
      <c r="C205" s="922"/>
      <c r="D205" s="923">
        <v>173</v>
      </c>
      <c r="E205" s="923">
        <v>78</v>
      </c>
      <c r="F205" s="923">
        <v>251</v>
      </c>
      <c r="G205" s="923">
        <v>31</v>
      </c>
      <c r="H205" s="923">
        <v>54</v>
      </c>
      <c r="I205" s="923">
        <v>85</v>
      </c>
      <c r="J205" s="923">
        <v>7288</v>
      </c>
      <c r="K205" s="923">
        <v>4881</v>
      </c>
      <c r="L205" s="923">
        <v>12169</v>
      </c>
    </row>
    <row r="206" spans="1:12">
      <c r="A206" s="290">
        <v>202</v>
      </c>
      <c r="B206" s="1180" t="s">
        <v>504</v>
      </c>
      <c r="C206" s="321" t="s">
        <v>842</v>
      </c>
      <c r="D206" s="289">
        <v>0</v>
      </c>
      <c r="E206" s="289"/>
      <c r="F206" s="289"/>
      <c r="G206" s="289">
        <v>0</v>
      </c>
      <c r="H206" s="289"/>
      <c r="I206" s="289"/>
      <c r="J206" s="289">
        <v>0</v>
      </c>
      <c r="K206" s="289">
        <v>0</v>
      </c>
      <c r="L206" s="289">
        <v>0</v>
      </c>
    </row>
    <row r="207" spans="1:12">
      <c r="A207" s="290">
        <v>203</v>
      </c>
      <c r="B207" s="1181"/>
      <c r="C207" s="321" t="s">
        <v>844</v>
      </c>
      <c r="D207" s="289">
        <v>0</v>
      </c>
      <c r="E207" s="289"/>
      <c r="F207" s="289"/>
      <c r="G207" s="289">
        <v>0</v>
      </c>
      <c r="H207" s="289"/>
      <c r="I207" s="289"/>
      <c r="J207" s="289">
        <v>0</v>
      </c>
      <c r="K207" s="289">
        <v>3</v>
      </c>
      <c r="L207" s="289">
        <v>3</v>
      </c>
    </row>
    <row r="208" spans="1:12">
      <c r="A208" s="290">
        <v>204</v>
      </c>
      <c r="B208" s="1181"/>
      <c r="C208" s="321" t="s">
        <v>841</v>
      </c>
      <c r="D208" s="289">
        <v>0</v>
      </c>
      <c r="E208" s="289"/>
      <c r="F208" s="289"/>
      <c r="G208" s="289">
        <v>0</v>
      </c>
      <c r="H208" s="289"/>
      <c r="I208" s="289"/>
      <c r="J208" s="289">
        <v>0</v>
      </c>
      <c r="K208" s="289">
        <v>0</v>
      </c>
      <c r="L208" s="289">
        <v>0</v>
      </c>
    </row>
    <row r="209" spans="1:12" ht="30">
      <c r="A209" s="290">
        <v>205</v>
      </c>
      <c r="B209" s="1181"/>
      <c r="C209" s="321" t="s">
        <v>843</v>
      </c>
      <c r="D209" s="289">
        <v>0</v>
      </c>
      <c r="E209" s="289"/>
      <c r="F209" s="289"/>
      <c r="G209" s="289">
        <v>0</v>
      </c>
      <c r="H209" s="289"/>
      <c r="I209" s="289"/>
      <c r="J209" s="289">
        <v>0</v>
      </c>
      <c r="K209" s="289">
        <v>0</v>
      </c>
      <c r="L209" s="289">
        <v>0</v>
      </c>
    </row>
    <row r="210" spans="1:12">
      <c r="A210" s="290">
        <v>206</v>
      </c>
      <c r="B210" s="1181"/>
      <c r="C210" s="321" t="s">
        <v>1031</v>
      </c>
      <c r="D210" s="289">
        <v>0</v>
      </c>
      <c r="E210" s="289"/>
      <c r="F210" s="289"/>
      <c r="G210" s="289">
        <v>0</v>
      </c>
      <c r="H210" s="289"/>
      <c r="I210" s="289"/>
      <c r="J210" s="289">
        <v>64</v>
      </c>
      <c r="K210" s="289">
        <v>110</v>
      </c>
      <c r="L210" s="289">
        <v>174</v>
      </c>
    </row>
    <row r="211" spans="1:12">
      <c r="A211" s="290">
        <v>207</v>
      </c>
      <c r="B211" s="1181"/>
      <c r="C211" s="321" t="s">
        <v>835</v>
      </c>
      <c r="D211" s="289">
        <v>0</v>
      </c>
      <c r="E211" s="289"/>
      <c r="F211" s="289"/>
      <c r="G211" s="289">
        <v>0</v>
      </c>
      <c r="H211" s="289"/>
      <c r="I211" s="289"/>
      <c r="J211" s="289">
        <v>85</v>
      </c>
      <c r="K211" s="289">
        <v>191</v>
      </c>
      <c r="L211" s="289">
        <v>276</v>
      </c>
    </row>
    <row r="212" spans="1:12">
      <c r="A212" s="290">
        <v>208</v>
      </c>
      <c r="B212" s="1181"/>
      <c r="C212" s="321" t="s">
        <v>839</v>
      </c>
      <c r="D212" s="289">
        <v>0</v>
      </c>
      <c r="E212" s="289"/>
      <c r="F212" s="289"/>
      <c r="G212" s="289">
        <v>0</v>
      </c>
      <c r="H212" s="289"/>
      <c r="I212" s="289"/>
      <c r="J212" s="289">
        <v>14</v>
      </c>
      <c r="K212" s="289">
        <v>11</v>
      </c>
      <c r="L212" s="289">
        <v>25</v>
      </c>
    </row>
    <row r="213" spans="1:12">
      <c r="A213" s="290">
        <v>209</v>
      </c>
      <c r="B213" s="1181"/>
      <c r="C213" s="321" t="s">
        <v>846</v>
      </c>
      <c r="D213" s="289">
        <v>0</v>
      </c>
      <c r="E213" s="289"/>
      <c r="F213" s="289"/>
      <c r="G213" s="289">
        <v>0</v>
      </c>
      <c r="H213" s="289"/>
      <c r="I213" s="289"/>
      <c r="J213" s="289">
        <v>0</v>
      </c>
      <c r="K213" s="289">
        <v>0</v>
      </c>
      <c r="L213" s="289">
        <v>0</v>
      </c>
    </row>
    <row r="214" spans="1:12">
      <c r="A214" s="290">
        <v>210</v>
      </c>
      <c r="B214" s="1181"/>
      <c r="C214" s="321" t="s">
        <v>851</v>
      </c>
      <c r="D214" s="289">
        <v>0</v>
      </c>
      <c r="E214" s="289"/>
      <c r="F214" s="289"/>
      <c r="G214" s="289">
        <v>0</v>
      </c>
      <c r="H214" s="289"/>
      <c r="I214" s="289"/>
      <c r="J214" s="289">
        <v>1</v>
      </c>
      <c r="K214" s="289">
        <v>1</v>
      </c>
      <c r="L214" s="289">
        <v>2</v>
      </c>
    </row>
    <row r="215" spans="1:12" ht="30">
      <c r="A215" s="290">
        <v>211</v>
      </c>
      <c r="B215" s="1181"/>
      <c r="C215" s="321" t="s">
        <v>845</v>
      </c>
      <c r="D215" s="289">
        <v>0</v>
      </c>
      <c r="E215" s="289"/>
      <c r="F215" s="289"/>
      <c r="G215" s="289">
        <v>0</v>
      </c>
      <c r="H215" s="289"/>
      <c r="I215" s="289"/>
      <c r="J215" s="289">
        <v>2</v>
      </c>
      <c r="K215" s="289">
        <v>1</v>
      </c>
      <c r="L215" s="289">
        <v>3</v>
      </c>
    </row>
    <row r="216" spans="1:12">
      <c r="A216" s="290">
        <v>212</v>
      </c>
      <c r="B216" s="1181"/>
      <c r="C216" s="321" t="s">
        <v>840</v>
      </c>
      <c r="D216" s="289">
        <v>0</v>
      </c>
      <c r="E216" s="289"/>
      <c r="F216" s="289"/>
      <c r="G216" s="289">
        <v>0</v>
      </c>
      <c r="H216" s="289"/>
      <c r="I216" s="289"/>
      <c r="J216" s="289">
        <v>16</v>
      </c>
      <c r="K216" s="289">
        <v>8</v>
      </c>
      <c r="L216" s="289">
        <v>24</v>
      </c>
    </row>
    <row r="217" spans="1:12">
      <c r="A217" s="290">
        <v>213</v>
      </c>
      <c r="B217" s="1181"/>
      <c r="C217" s="321" t="s">
        <v>837</v>
      </c>
      <c r="D217" s="289">
        <v>0</v>
      </c>
      <c r="E217" s="289"/>
      <c r="F217" s="289"/>
      <c r="G217" s="289">
        <v>0</v>
      </c>
      <c r="H217" s="289"/>
      <c r="I217" s="289"/>
      <c r="J217" s="289">
        <v>0</v>
      </c>
      <c r="K217" s="289">
        <v>10</v>
      </c>
      <c r="L217" s="289">
        <v>10</v>
      </c>
    </row>
    <row r="218" spans="1:12">
      <c r="A218" s="290">
        <v>214</v>
      </c>
      <c r="B218" s="1181"/>
      <c r="C218" s="321" t="s">
        <v>852</v>
      </c>
      <c r="D218" s="289">
        <v>0</v>
      </c>
      <c r="E218" s="289"/>
      <c r="F218" s="289"/>
      <c r="G218" s="289">
        <v>0</v>
      </c>
      <c r="H218" s="289"/>
      <c r="I218" s="289"/>
      <c r="J218" s="289">
        <v>0</v>
      </c>
      <c r="K218" s="289">
        <v>0</v>
      </c>
      <c r="L218" s="289">
        <v>0</v>
      </c>
    </row>
    <row r="219" spans="1:12">
      <c r="A219" s="290">
        <v>215</v>
      </c>
      <c r="B219" s="1181"/>
      <c r="C219" s="321" t="s">
        <v>849</v>
      </c>
      <c r="D219" s="289">
        <v>0</v>
      </c>
      <c r="E219" s="289"/>
      <c r="F219" s="289"/>
      <c r="G219" s="289">
        <v>0</v>
      </c>
      <c r="H219" s="289"/>
      <c r="I219" s="289"/>
      <c r="J219" s="289">
        <v>0</v>
      </c>
      <c r="K219" s="289">
        <v>0</v>
      </c>
      <c r="L219" s="289">
        <v>0</v>
      </c>
    </row>
    <row r="220" spans="1:12" ht="16.5" customHeight="1">
      <c r="A220" s="290">
        <v>216</v>
      </c>
      <c r="B220" s="1181"/>
      <c r="C220" s="321" t="s">
        <v>838</v>
      </c>
      <c r="D220" s="289">
        <v>0</v>
      </c>
      <c r="E220" s="289"/>
      <c r="F220" s="289"/>
      <c r="G220" s="289">
        <v>0</v>
      </c>
      <c r="H220" s="289"/>
      <c r="I220" s="289"/>
      <c r="J220" s="289">
        <v>3</v>
      </c>
      <c r="K220" s="289">
        <v>1</v>
      </c>
      <c r="L220" s="289">
        <v>4</v>
      </c>
    </row>
    <row r="221" spans="1:12" ht="16.5" customHeight="1">
      <c r="A221" s="290">
        <v>217</v>
      </c>
      <c r="B221" s="1181"/>
      <c r="C221" s="321" t="s">
        <v>847</v>
      </c>
      <c r="D221" s="289">
        <v>0</v>
      </c>
      <c r="E221" s="289"/>
      <c r="F221" s="289"/>
      <c r="G221" s="289">
        <v>0</v>
      </c>
      <c r="H221" s="289"/>
      <c r="I221" s="289"/>
      <c r="J221" s="289">
        <v>1</v>
      </c>
      <c r="K221" s="289">
        <v>7</v>
      </c>
      <c r="L221" s="289">
        <v>8</v>
      </c>
    </row>
    <row r="222" spans="1:12" ht="16.5" customHeight="1">
      <c r="A222" s="290">
        <v>218</v>
      </c>
      <c r="B222" s="1181"/>
      <c r="C222" s="321" t="s">
        <v>836</v>
      </c>
      <c r="D222" s="289">
        <v>0</v>
      </c>
      <c r="E222" s="289"/>
      <c r="F222" s="289"/>
      <c r="G222" s="289">
        <v>0</v>
      </c>
      <c r="H222" s="289"/>
      <c r="I222" s="289"/>
      <c r="J222" s="289">
        <v>19</v>
      </c>
      <c r="K222" s="289">
        <v>16</v>
      </c>
      <c r="L222" s="289">
        <v>35</v>
      </c>
    </row>
    <row r="223" spans="1:12" ht="16.5" customHeight="1">
      <c r="A223" s="290">
        <v>219</v>
      </c>
      <c r="B223" s="1182"/>
      <c r="C223" s="321" t="s">
        <v>834</v>
      </c>
      <c r="D223" s="289">
        <v>0</v>
      </c>
      <c r="E223" s="289"/>
      <c r="F223" s="289"/>
      <c r="G223" s="289">
        <v>0</v>
      </c>
      <c r="H223" s="289"/>
      <c r="I223" s="289"/>
      <c r="J223" s="289">
        <v>486</v>
      </c>
      <c r="K223" s="289">
        <v>1380</v>
      </c>
      <c r="L223" s="289">
        <v>1866</v>
      </c>
    </row>
    <row r="224" spans="1:12" s="265" customFormat="1" ht="16.5" customHeight="1">
      <c r="A224" s="290">
        <v>220</v>
      </c>
      <c r="B224" s="767" t="s">
        <v>864</v>
      </c>
      <c r="C224" s="922"/>
      <c r="D224" s="923">
        <v>0</v>
      </c>
      <c r="E224" s="923"/>
      <c r="F224" s="923"/>
      <c r="G224" s="923">
        <v>0</v>
      </c>
      <c r="H224" s="923"/>
      <c r="I224" s="923"/>
      <c r="J224" s="923">
        <v>691</v>
      </c>
      <c r="K224" s="923">
        <v>1739</v>
      </c>
      <c r="L224" s="923">
        <v>2430</v>
      </c>
    </row>
    <row r="225" spans="1:12" ht="16.5" customHeight="1">
      <c r="A225" s="290">
        <v>221</v>
      </c>
      <c r="B225" s="1180" t="s">
        <v>498</v>
      </c>
      <c r="C225" s="321" t="s">
        <v>498</v>
      </c>
      <c r="D225" s="289">
        <v>219</v>
      </c>
      <c r="E225" s="289">
        <v>54</v>
      </c>
      <c r="F225" s="289">
        <v>273</v>
      </c>
      <c r="G225" s="289">
        <v>48</v>
      </c>
      <c r="H225" s="289">
        <v>8</v>
      </c>
      <c r="I225" s="289">
        <v>56</v>
      </c>
      <c r="J225" s="289">
        <v>3666</v>
      </c>
      <c r="K225" s="289">
        <v>1660</v>
      </c>
      <c r="L225" s="289">
        <v>5326</v>
      </c>
    </row>
    <row r="226" spans="1:12" ht="16.5" customHeight="1">
      <c r="A226" s="290">
        <v>222</v>
      </c>
      <c r="B226" s="1182"/>
      <c r="C226" s="321" t="s">
        <v>606</v>
      </c>
      <c r="D226" s="289">
        <v>12</v>
      </c>
      <c r="E226" s="289">
        <v>4</v>
      </c>
      <c r="F226" s="289">
        <v>16</v>
      </c>
      <c r="G226" s="289">
        <v>3</v>
      </c>
      <c r="H226" s="289">
        <v>1</v>
      </c>
      <c r="I226" s="289">
        <v>4</v>
      </c>
      <c r="J226" s="289">
        <v>115</v>
      </c>
      <c r="K226" s="289">
        <v>100</v>
      </c>
      <c r="L226" s="289">
        <v>215</v>
      </c>
    </row>
    <row r="227" spans="1:12" s="265" customFormat="1" ht="16.5" customHeight="1">
      <c r="A227" s="290">
        <v>223</v>
      </c>
      <c r="B227" s="767" t="s">
        <v>607</v>
      </c>
      <c r="C227" s="922"/>
      <c r="D227" s="923">
        <v>231</v>
      </c>
      <c r="E227" s="923">
        <v>58</v>
      </c>
      <c r="F227" s="923">
        <v>289</v>
      </c>
      <c r="G227" s="923">
        <v>51</v>
      </c>
      <c r="H227" s="923">
        <v>9</v>
      </c>
      <c r="I227" s="923">
        <v>60</v>
      </c>
      <c r="J227" s="923">
        <v>3781</v>
      </c>
      <c r="K227" s="923">
        <v>1760</v>
      </c>
      <c r="L227" s="923">
        <v>5541</v>
      </c>
    </row>
    <row r="228" spans="1:12" ht="16.5" customHeight="1">
      <c r="A228" s="290">
        <v>224</v>
      </c>
      <c r="B228" s="1180" t="s">
        <v>508</v>
      </c>
      <c r="C228" s="321" t="s">
        <v>782</v>
      </c>
      <c r="D228" s="289">
        <v>12</v>
      </c>
      <c r="E228" s="289">
        <v>4</v>
      </c>
      <c r="F228" s="289">
        <v>16</v>
      </c>
      <c r="G228" s="289">
        <v>1</v>
      </c>
      <c r="H228" s="289">
        <v>1</v>
      </c>
      <c r="I228" s="289">
        <v>2</v>
      </c>
      <c r="J228" s="289">
        <v>73</v>
      </c>
      <c r="K228" s="289">
        <v>43</v>
      </c>
      <c r="L228" s="289">
        <v>116</v>
      </c>
    </row>
    <row r="229" spans="1:12" ht="16.5" customHeight="1">
      <c r="A229" s="290">
        <v>225</v>
      </c>
      <c r="B229" s="1181"/>
      <c r="C229" s="321" t="s">
        <v>783</v>
      </c>
      <c r="D229" s="289">
        <v>0</v>
      </c>
      <c r="E229" s="289"/>
      <c r="F229" s="289"/>
      <c r="G229" s="289">
        <v>0</v>
      </c>
      <c r="H229" s="289"/>
      <c r="I229" s="289"/>
      <c r="J229" s="289">
        <v>40</v>
      </c>
      <c r="K229" s="289">
        <v>6</v>
      </c>
      <c r="L229" s="289">
        <v>46</v>
      </c>
    </row>
    <row r="230" spans="1:12" ht="16.5" customHeight="1">
      <c r="A230" s="290">
        <v>226</v>
      </c>
      <c r="B230" s="1181"/>
      <c r="C230" s="321" t="s">
        <v>780</v>
      </c>
      <c r="D230" s="289">
        <v>21</v>
      </c>
      <c r="E230" s="289">
        <v>5</v>
      </c>
      <c r="F230" s="289">
        <v>26</v>
      </c>
      <c r="G230" s="289">
        <v>1</v>
      </c>
      <c r="H230" s="289">
        <v>1</v>
      </c>
      <c r="I230" s="289">
        <v>2</v>
      </c>
      <c r="J230" s="289">
        <v>395</v>
      </c>
      <c r="K230" s="289">
        <v>197</v>
      </c>
      <c r="L230" s="289">
        <v>592</v>
      </c>
    </row>
    <row r="231" spans="1:12" ht="16.5" customHeight="1">
      <c r="A231" s="290">
        <v>227</v>
      </c>
      <c r="B231" s="1181"/>
      <c r="C231" s="321" t="s">
        <v>784</v>
      </c>
      <c r="D231" s="289">
        <v>0</v>
      </c>
      <c r="E231" s="289"/>
      <c r="F231" s="289"/>
      <c r="G231" s="289">
        <v>0</v>
      </c>
      <c r="H231" s="289"/>
      <c r="I231" s="289"/>
      <c r="J231" s="289">
        <v>4</v>
      </c>
      <c r="K231" s="289">
        <v>3</v>
      </c>
      <c r="L231" s="289">
        <v>7</v>
      </c>
    </row>
    <row r="232" spans="1:12" ht="16.5" customHeight="1">
      <c r="A232" s="290">
        <v>228</v>
      </c>
      <c r="B232" s="1181"/>
      <c r="C232" s="321" t="s">
        <v>1045</v>
      </c>
      <c r="D232" s="289">
        <v>50</v>
      </c>
      <c r="E232" s="289">
        <v>36</v>
      </c>
      <c r="F232" s="289">
        <v>86</v>
      </c>
      <c r="G232" s="289">
        <v>0</v>
      </c>
      <c r="H232" s="289">
        <v>1</v>
      </c>
      <c r="I232" s="289">
        <v>1</v>
      </c>
      <c r="J232" s="289">
        <v>615</v>
      </c>
      <c r="K232" s="289">
        <v>600</v>
      </c>
      <c r="L232" s="289">
        <v>1215</v>
      </c>
    </row>
    <row r="233" spans="1:12" ht="16.5" customHeight="1">
      <c r="A233" s="290">
        <v>229</v>
      </c>
      <c r="B233" s="1182"/>
      <c r="C233" s="321" t="s">
        <v>781</v>
      </c>
      <c r="D233" s="289">
        <v>15</v>
      </c>
      <c r="E233" s="289">
        <v>14</v>
      </c>
      <c r="F233" s="289">
        <v>29</v>
      </c>
      <c r="G233" s="289">
        <v>0</v>
      </c>
      <c r="H233" s="289"/>
      <c r="I233" s="289"/>
      <c r="J233" s="289">
        <v>155</v>
      </c>
      <c r="K233" s="289">
        <v>52</v>
      </c>
      <c r="L233" s="289">
        <v>207</v>
      </c>
    </row>
    <row r="234" spans="1:12" s="265" customFormat="1" ht="16.5" customHeight="1">
      <c r="A234" s="290">
        <v>230</v>
      </c>
      <c r="B234" s="767" t="s">
        <v>785</v>
      </c>
      <c r="C234" s="922"/>
      <c r="D234" s="923">
        <v>98</v>
      </c>
      <c r="E234" s="923">
        <v>59</v>
      </c>
      <c r="F234" s="923">
        <v>157</v>
      </c>
      <c r="G234" s="923">
        <v>2</v>
      </c>
      <c r="H234" s="923">
        <v>3</v>
      </c>
      <c r="I234" s="923">
        <v>5</v>
      </c>
      <c r="J234" s="923">
        <v>1282</v>
      </c>
      <c r="K234" s="923">
        <v>901</v>
      </c>
      <c r="L234" s="923">
        <v>2183</v>
      </c>
    </row>
    <row r="235" spans="1:12" ht="16.5" customHeight="1">
      <c r="A235" s="290">
        <v>231</v>
      </c>
      <c r="B235" s="1180" t="s">
        <v>186</v>
      </c>
      <c r="C235" s="321" t="s">
        <v>854</v>
      </c>
      <c r="D235" s="289">
        <v>1</v>
      </c>
      <c r="E235" s="289">
        <v>0</v>
      </c>
      <c r="F235" s="289">
        <v>1</v>
      </c>
      <c r="G235" s="289">
        <v>0</v>
      </c>
      <c r="H235" s="289"/>
      <c r="I235" s="289"/>
      <c r="J235" s="289">
        <v>110</v>
      </c>
      <c r="K235" s="289">
        <v>100</v>
      </c>
      <c r="L235" s="289">
        <v>210</v>
      </c>
    </row>
    <row r="236" spans="1:12" ht="16.5" customHeight="1">
      <c r="A236" s="290">
        <v>232</v>
      </c>
      <c r="B236" s="1181"/>
      <c r="C236" s="321" t="s">
        <v>618</v>
      </c>
      <c r="D236" s="289">
        <v>193</v>
      </c>
      <c r="E236" s="289">
        <v>261</v>
      </c>
      <c r="F236" s="289">
        <v>454</v>
      </c>
      <c r="G236" s="289">
        <v>7</v>
      </c>
      <c r="H236" s="289">
        <v>22</v>
      </c>
      <c r="I236" s="289">
        <v>29</v>
      </c>
      <c r="J236" s="289">
        <v>2570</v>
      </c>
      <c r="K236" s="289">
        <v>5796</v>
      </c>
      <c r="L236" s="289">
        <v>8366</v>
      </c>
    </row>
    <row r="237" spans="1:12" ht="16.5" customHeight="1">
      <c r="A237" s="290">
        <v>233</v>
      </c>
      <c r="B237" s="1181"/>
      <c r="C237" s="321" t="s">
        <v>613</v>
      </c>
      <c r="D237" s="289">
        <v>183</v>
      </c>
      <c r="E237" s="289">
        <v>257</v>
      </c>
      <c r="F237" s="289">
        <v>440</v>
      </c>
      <c r="G237" s="289">
        <v>34</v>
      </c>
      <c r="H237" s="289">
        <v>74</v>
      </c>
      <c r="I237" s="289">
        <v>108</v>
      </c>
      <c r="J237" s="289">
        <v>6414</v>
      </c>
      <c r="K237" s="289">
        <v>18323</v>
      </c>
      <c r="L237" s="289">
        <v>24737</v>
      </c>
    </row>
    <row r="238" spans="1:12">
      <c r="A238" s="290">
        <v>234</v>
      </c>
      <c r="B238" s="1181"/>
      <c r="C238" s="321" t="s">
        <v>609</v>
      </c>
      <c r="D238" s="289">
        <v>1106</v>
      </c>
      <c r="E238" s="289">
        <v>754</v>
      </c>
      <c r="F238" s="289">
        <v>1860</v>
      </c>
      <c r="G238" s="289">
        <v>68</v>
      </c>
      <c r="H238" s="289">
        <v>133</v>
      </c>
      <c r="I238" s="289">
        <v>201</v>
      </c>
      <c r="J238" s="289">
        <v>26032</v>
      </c>
      <c r="K238" s="289">
        <v>34541</v>
      </c>
      <c r="L238" s="289">
        <v>60573</v>
      </c>
    </row>
    <row r="239" spans="1:12">
      <c r="A239" s="290">
        <v>235</v>
      </c>
      <c r="B239" s="1181"/>
      <c r="C239" s="321" t="s">
        <v>1046</v>
      </c>
      <c r="D239" s="289">
        <v>0</v>
      </c>
      <c r="E239" s="289">
        <v>2</v>
      </c>
      <c r="F239" s="289">
        <v>2</v>
      </c>
      <c r="G239" s="289">
        <v>0</v>
      </c>
      <c r="H239" s="289"/>
      <c r="I239" s="289"/>
      <c r="J239" s="289">
        <v>0</v>
      </c>
      <c r="K239" s="289"/>
      <c r="L239" s="289"/>
    </row>
    <row r="240" spans="1:12" ht="21.75" customHeight="1">
      <c r="A240" s="290">
        <v>236</v>
      </c>
      <c r="B240" s="1181"/>
      <c r="C240" s="321" t="s">
        <v>619</v>
      </c>
      <c r="D240" s="289">
        <v>31</v>
      </c>
      <c r="E240" s="289">
        <v>20</v>
      </c>
      <c r="F240" s="289">
        <v>51</v>
      </c>
      <c r="G240" s="289">
        <v>1</v>
      </c>
      <c r="H240" s="289">
        <v>3</v>
      </c>
      <c r="I240" s="289">
        <v>4</v>
      </c>
      <c r="J240" s="289">
        <v>660</v>
      </c>
      <c r="K240" s="289">
        <v>582</v>
      </c>
      <c r="L240" s="289">
        <v>1242</v>
      </c>
    </row>
    <row r="241" spans="1:12">
      <c r="A241" s="290">
        <v>237</v>
      </c>
      <c r="B241" s="1181"/>
      <c r="C241" s="321" t="s">
        <v>616</v>
      </c>
      <c r="D241" s="289">
        <v>144</v>
      </c>
      <c r="E241" s="289">
        <v>109</v>
      </c>
      <c r="F241" s="289">
        <v>253</v>
      </c>
      <c r="G241" s="289">
        <v>7</v>
      </c>
      <c r="H241" s="289">
        <v>28</v>
      </c>
      <c r="I241" s="289">
        <v>35</v>
      </c>
      <c r="J241" s="289">
        <v>1464</v>
      </c>
      <c r="K241" s="289">
        <v>2106</v>
      </c>
      <c r="L241" s="289">
        <v>3570</v>
      </c>
    </row>
    <row r="242" spans="1:12" ht="21" customHeight="1">
      <c r="A242" s="290">
        <v>238</v>
      </c>
      <c r="B242" s="1181"/>
      <c r="C242" s="321" t="s">
        <v>620</v>
      </c>
      <c r="D242" s="289">
        <v>4</v>
      </c>
      <c r="E242" s="289">
        <v>25</v>
      </c>
      <c r="F242" s="289">
        <v>29</v>
      </c>
      <c r="G242" s="289">
        <v>1</v>
      </c>
      <c r="H242" s="289">
        <v>3</v>
      </c>
      <c r="I242" s="289">
        <v>4</v>
      </c>
      <c r="J242" s="289">
        <v>183</v>
      </c>
      <c r="K242" s="289">
        <v>410</v>
      </c>
      <c r="L242" s="289">
        <v>593</v>
      </c>
    </row>
    <row r="243" spans="1:12">
      <c r="A243" s="290">
        <v>239</v>
      </c>
      <c r="B243" s="1181"/>
      <c r="C243" s="321" t="s">
        <v>617</v>
      </c>
      <c r="D243" s="289">
        <v>115</v>
      </c>
      <c r="E243" s="289">
        <v>42</v>
      </c>
      <c r="F243" s="289">
        <v>157</v>
      </c>
      <c r="G243" s="289">
        <v>9</v>
      </c>
      <c r="H243" s="289">
        <v>10</v>
      </c>
      <c r="I243" s="289">
        <v>19</v>
      </c>
      <c r="J243" s="289">
        <v>1889</v>
      </c>
      <c r="K243" s="289">
        <v>1759</v>
      </c>
      <c r="L243" s="289">
        <v>3648</v>
      </c>
    </row>
    <row r="244" spans="1:12" ht="21.75" customHeight="1">
      <c r="A244" s="290">
        <v>240</v>
      </c>
      <c r="B244" s="1181"/>
      <c r="C244" s="321" t="s">
        <v>621</v>
      </c>
      <c r="D244" s="289">
        <v>29</v>
      </c>
      <c r="E244" s="289">
        <v>10</v>
      </c>
      <c r="F244" s="289">
        <v>39</v>
      </c>
      <c r="G244" s="289">
        <v>0</v>
      </c>
      <c r="H244" s="289"/>
      <c r="I244" s="289"/>
      <c r="J244" s="289">
        <v>120</v>
      </c>
      <c r="K244" s="289">
        <v>112</v>
      </c>
      <c r="L244" s="289">
        <v>232</v>
      </c>
    </row>
    <row r="245" spans="1:12" ht="23.25" customHeight="1">
      <c r="A245" s="290">
        <v>241</v>
      </c>
      <c r="B245" s="1181"/>
      <c r="C245" s="321" t="s">
        <v>615</v>
      </c>
      <c r="D245" s="289">
        <v>148</v>
      </c>
      <c r="E245" s="289">
        <v>189</v>
      </c>
      <c r="F245" s="289">
        <v>337</v>
      </c>
      <c r="G245" s="289">
        <v>10</v>
      </c>
      <c r="H245" s="289">
        <v>16</v>
      </c>
      <c r="I245" s="289">
        <v>26</v>
      </c>
      <c r="J245" s="289">
        <v>1994</v>
      </c>
      <c r="K245" s="289">
        <v>4970</v>
      </c>
      <c r="L245" s="289">
        <v>6964</v>
      </c>
    </row>
    <row r="246" spans="1:12">
      <c r="A246" s="290">
        <v>242</v>
      </c>
      <c r="B246" s="1181"/>
      <c r="C246" s="322" t="s">
        <v>1047</v>
      </c>
      <c r="D246" s="288">
        <v>157</v>
      </c>
      <c r="E246" s="288">
        <v>167</v>
      </c>
      <c r="F246" s="288">
        <v>324</v>
      </c>
      <c r="G246" s="288">
        <v>18</v>
      </c>
      <c r="H246" s="288">
        <v>178</v>
      </c>
      <c r="I246" s="288">
        <v>196</v>
      </c>
      <c r="J246" s="288">
        <v>10370</v>
      </c>
      <c r="K246" s="288">
        <v>16107</v>
      </c>
      <c r="L246" s="288">
        <v>26477</v>
      </c>
    </row>
    <row r="247" spans="1:12" ht="30">
      <c r="A247" s="290">
        <v>243</v>
      </c>
      <c r="B247" s="1181"/>
      <c r="C247" s="322" t="s">
        <v>856</v>
      </c>
      <c r="D247" s="288">
        <v>0</v>
      </c>
      <c r="E247" s="288"/>
      <c r="F247" s="288"/>
      <c r="G247" s="288">
        <v>0</v>
      </c>
      <c r="H247" s="288"/>
      <c r="I247" s="288"/>
      <c r="J247" s="288">
        <v>5</v>
      </c>
      <c r="K247" s="288">
        <v>4</v>
      </c>
      <c r="L247" s="288">
        <v>9</v>
      </c>
    </row>
    <row r="248" spans="1:12">
      <c r="A248" s="290">
        <v>244</v>
      </c>
      <c r="B248" s="1181"/>
      <c r="C248" s="322" t="s">
        <v>610</v>
      </c>
      <c r="D248" s="288">
        <v>695</v>
      </c>
      <c r="E248" s="288">
        <v>627</v>
      </c>
      <c r="F248" s="288">
        <v>1322</v>
      </c>
      <c r="G248" s="288">
        <v>21</v>
      </c>
      <c r="H248" s="288">
        <v>70</v>
      </c>
      <c r="I248" s="288">
        <v>91</v>
      </c>
      <c r="J248" s="288">
        <v>13485</v>
      </c>
      <c r="K248" s="288">
        <v>20282</v>
      </c>
      <c r="L248" s="288">
        <v>33767</v>
      </c>
    </row>
    <row r="249" spans="1:12">
      <c r="A249" s="290">
        <v>245</v>
      </c>
      <c r="B249" s="1181"/>
      <c r="C249" s="322" t="s">
        <v>611</v>
      </c>
      <c r="D249" s="288">
        <v>789</v>
      </c>
      <c r="E249" s="288">
        <v>514</v>
      </c>
      <c r="F249" s="288">
        <v>1303</v>
      </c>
      <c r="G249" s="288">
        <v>76</v>
      </c>
      <c r="H249" s="288">
        <v>161</v>
      </c>
      <c r="I249" s="288">
        <v>237</v>
      </c>
      <c r="J249" s="288">
        <v>13993</v>
      </c>
      <c r="K249" s="288">
        <v>19066</v>
      </c>
      <c r="L249" s="288">
        <v>33059</v>
      </c>
    </row>
    <row r="250" spans="1:12">
      <c r="A250" s="290">
        <v>246</v>
      </c>
      <c r="B250" s="1181"/>
      <c r="C250" s="322" t="s">
        <v>186</v>
      </c>
      <c r="D250" s="288">
        <v>205</v>
      </c>
      <c r="E250" s="288">
        <v>212</v>
      </c>
      <c r="F250" s="288">
        <v>417</v>
      </c>
      <c r="G250" s="288">
        <v>23</v>
      </c>
      <c r="H250" s="288">
        <v>71</v>
      </c>
      <c r="I250" s="288">
        <v>94</v>
      </c>
      <c r="J250" s="288">
        <v>10850</v>
      </c>
      <c r="K250" s="288">
        <v>20163</v>
      </c>
      <c r="L250" s="288">
        <v>31013</v>
      </c>
    </row>
    <row r="251" spans="1:12">
      <c r="A251" s="290">
        <v>247</v>
      </c>
      <c r="B251" s="1182"/>
      <c r="C251" s="322" t="s">
        <v>612</v>
      </c>
      <c r="D251" s="288">
        <v>177</v>
      </c>
      <c r="E251" s="288">
        <v>242</v>
      </c>
      <c r="F251" s="288">
        <v>419</v>
      </c>
      <c r="G251" s="288">
        <v>24</v>
      </c>
      <c r="H251" s="288">
        <v>73</v>
      </c>
      <c r="I251" s="288">
        <v>97</v>
      </c>
      <c r="J251" s="288">
        <v>7496</v>
      </c>
      <c r="K251" s="288">
        <v>18906</v>
      </c>
      <c r="L251" s="288">
        <v>26402</v>
      </c>
    </row>
    <row r="252" spans="1:12" s="265" customFormat="1" ht="14.25">
      <c r="A252" s="290">
        <v>248</v>
      </c>
      <c r="B252" s="767" t="s">
        <v>622</v>
      </c>
      <c r="C252" s="924"/>
      <c r="D252" s="290">
        <v>3977</v>
      </c>
      <c r="E252" s="290">
        <v>3431</v>
      </c>
      <c r="F252" s="290">
        <v>7408</v>
      </c>
      <c r="G252" s="290">
        <v>299</v>
      </c>
      <c r="H252" s="290">
        <v>842</v>
      </c>
      <c r="I252" s="290">
        <v>1141</v>
      </c>
      <c r="J252" s="290">
        <v>97635</v>
      </c>
      <c r="K252" s="290">
        <v>163227</v>
      </c>
      <c r="L252" s="290">
        <v>260862</v>
      </c>
    </row>
    <row r="253" spans="1:12">
      <c r="A253" s="290">
        <v>249</v>
      </c>
      <c r="B253" s="1180" t="s">
        <v>208</v>
      </c>
      <c r="C253" s="322" t="s">
        <v>632</v>
      </c>
      <c r="D253" s="288">
        <v>22</v>
      </c>
      <c r="E253" s="288">
        <v>18</v>
      </c>
      <c r="F253" s="288">
        <v>40</v>
      </c>
      <c r="G253" s="288">
        <v>6</v>
      </c>
      <c r="H253" s="288">
        <v>6</v>
      </c>
      <c r="I253" s="288">
        <v>12</v>
      </c>
      <c r="J253" s="288">
        <v>513</v>
      </c>
      <c r="K253" s="288">
        <v>747</v>
      </c>
      <c r="L253" s="288">
        <v>1260</v>
      </c>
    </row>
    <row r="254" spans="1:12">
      <c r="A254" s="290">
        <v>250</v>
      </c>
      <c r="B254" s="1181"/>
      <c r="C254" s="322" t="s">
        <v>858</v>
      </c>
      <c r="D254" s="288">
        <v>0</v>
      </c>
      <c r="E254" s="288">
        <v>3</v>
      </c>
      <c r="F254" s="288">
        <v>3</v>
      </c>
      <c r="G254" s="288">
        <v>0</v>
      </c>
      <c r="H254" s="288"/>
      <c r="I254" s="288"/>
      <c r="J254" s="288">
        <v>91</v>
      </c>
      <c r="K254" s="288">
        <v>106</v>
      </c>
      <c r="L254" s="288">
        <v>197</v>
      </c>
    </row>
    <row r="255" spans="1:12">
      <c r="A255" s="290">
        <v>251</v>
      </c>
      <c r="B255" s="1181"/>
      <c r="C255" s="322" t="s">
        <v>626</v>
      </c>
      <c r="D255" s="288">
        <v>376</v>
      </c>
      <c r="E255" s="288">
        <v>295</v>
      </c>
      <c r="F255" s="288">
        <v>671</v>
      </c>
      <c r="G255" s="288">
        <v>77</v>
      </c>
      <c r="H255" s="288">
        <v>143</v>
      </c>
      <c r="I255" s="288">
        <v>220</v>
      </c>
      <c r="J255" s="288">
        <v>16920</v>
      </c>
      <c r="K255" s="288">
        <v>25560</v>
      </c>
      <c r="L255" s="288">
        <v>42480</v>
      </c>
    </row>
    <row r="256" spans="1:12">
      <c r="A256" s="290">
        <v>252</v>
      </c>
      <c r="B256" s="1181"/>
      <c r="C256" s="322" t="s">
        <v>628</v>
      </c>
      <c r="D256" s="288">
        <v>195</v>
      </c>
      <c r="E256" s="288">
        <v>144</v>
      </c>
      <c r="F256" s="288">
        <v>339</v>
      </c>
      <c r="G256" s="288">
        <v>18</v>
      </c>
      <c r="H256" s="288">
        <v>19</v>
      </c>
      <c r="I256" s="288">
        <v>37</v>
      </c>
      <c r="J256" s="288">
        <v>11789</v>
      </c>
      <c r="K256" s="288">
        <v>14875</v>
      </c>
      <c r="L256" s="288">
        <v>26664</v>
      </c>
    </row>
    <row r="257" spans="1:12">
      <c r="A257" s="290">
        <v>253</v>
      </c>
      <c r="B257" s="1181"/>
      <c r="C257" s="322" t="s">
        <v>624</v>
      </c>
      <c r="D257" s="288">
        <v>294</v>
      </c>
      <c r="E257" s="288">
        <v>200</v>
      </c>
      <c r="F257" s="288">
        <v>494</v>
      </c>
      <c r="G257" s="288">
        <v>108</v>
      </c>
      <c r="H257" s="288">
        <v>209</v>
      </c>
      <c r="I257" s="288">
        <v>317</v>
      </c>
      <c r="J257" s="288">
        <v>32221</v>
      </c>
      <c r="K257" s="288">
        <v>37374</v>
      </c>
      <c r="L257" s="288">
        <v>69595</v>
      </c>
    </row>
    <row r="258" spans="1:12">
      <c r="A258" s="290">
        <v>254</v>
      </c>
      <c r="B258" s="1181"/>
      <c r="C258" s="322" t="s">
        <v>859</v>
      </c>
      <c r="D258" s="288">
        <v>0</v>
      </c>
      <c r="E258" s="288"/>
      <c r="F258" s="288"/>
      <c r="G258" s="288">
        <v>0</v>
      </c>
      <c r="H258" s="288"/>
      <c r="I258" s="288"/>
      <c r="J258" s="288">
        <v>41</v>
      </c>
      <c r="K258" s="288">
        <v>66</v>
      </c>
      <c r="L258" s="288">
        <v>107</v>
      </c>
    </row>
    <row r="259" spans="1:12">
      <c r="A259" s="290">
        <v>255</v>
      </c>
      <c r="B259" s="1181"/>
      <c r="C259" s="322" t="s">
        <v>857</v>
      </c>
      <c r="D259" s="288">
        <v>63</v>
      </c>
      <c r="E259" s="288">
        <v>82</v>
      </c>
      <c r="F259" s="288">
        <v>145</v>
      </c>
      <c r="G259" s="288">
        <v>6</v>
      </c>
      <c r="H259" s="288">
        <v>11</v>
      </c>
      <c r="I259" s="288">
        <v>17</v>
      </c>
      <c r="J259" s="288">
        <v>1427</v>
      </c>
      <c r="K259" s="288">
        <v>1921</v>
      </c>
      <c r="L259" s="288">
        <v>3348</v>
      </c>
    </row>
    <row r="260" spans="1:12">
      <c r="A260" s="290">
        <v>256</v>
      </c>
      <c r="B260" s="1181"/>
      <c r="C260" s="322" t="s">
        <v>860</v>
      </c>
      <c r="D260" s="288">
        <v>2</v>
      </c>
      <c r="E260" s="288">
        <v>2</v>
      </c>
      <c r="F260" s="288">
        <v>4</v>
      </c>
      <c r="G260" s="288">
        <v>0</v>
      </c>
      <c r="H260" s="288"/>
      <c r="I260" s="288"/>
      <c r="J260" s="288">
        <v>28</v>
      </c>
      <c r="K260" s="288">
        <v>89</v>
      </c>
      <c r="L260" s="288">
        <v>117</v>
      </c>
    </row>
    <row r="261" spans="1:12">
      <c r="A261" s="290">
        <v>257</v>
      </c>
      <c r="B261" s="1181"/>
      <c r="C261" s="322" t="s">
        <v>608</v>
      </c>
      <c r="D261" s="288">
        <v>343</v>
      </c>
      <c r="E261" s="288">
        <v>242</v>
      </c>
      <c r="F261" s="288">
        <v>585</v>
      </c>
      <c r="G261" s="288">
        <v>56</v>
      </c>
      <c r="H261" s="288">
        <v>104</v>
      </c>
      <c r="I261" s="288">
        <v>160</v>
      </c>
      <c r="J261" s="288">
        <v>10903</v>
      </c>
      <c r="K261" s="288">
        <v>18130</v>
      </c>
      <c r="L261" s="288">
        <v>29033</v>
      </c>
    </row>
    <row r="262" spans="1:12">
      <c r="A262" s="290">
        <v>258</v>
      </c>
      <c r="B262" s="1181"/>
      <c r="C262" s="322" t="s">
        <v>627</v>
      </c>
      <c r="D262" s="288">
        <v>323</v>
      </c>
      <c r="E262" s="288">
        <v>343</v>
      </c>
      <c r="F262" s="288">
        <v>666</v>
      </c>
      <c r="G262" s="288">
        <v>38</v>
      </c>
      <c r="H262" s="288">
        <v>37</v>
      </c>
      <c r="I262" s="288">
        <v>75</v>
      </c>
      <c r="J262" s="288">
        <v>9843</v>
      </c>
      <c r="K262" s="288">
        <v>17181</v>
      </c>
      <c r="L262" s="288">
        <v>27024</v>
      </c>
    </row>
    <row r="263" spans="1:12">
      <c r="A263" s="290">
        <v>259</v>
      </c>
      <c r="B263" s="1181"/>
      <c r="C263" s="322" t="s">
        <v>631</v>
      </c>
      <c r="D263" s="288">
        <v>107</v>
      </c>
      <c r="E263" s="288">
        <v>77</v>
      </c>
      <c r="F263" s="288">
        <v>184</v>
      </c>
      <c r="G263" s="288">
        <v>25</v>
      </c>
      <c r="H263" s="288">
        <v>49</v>
      </c>
      <c r="I263" s="288">
        <v>74</v>
      </c>
      <c r="J263" s="288">
        <v>1623</v>
      </c>
      <c r="K263" s="288">
        <v>1969</v>
      </c>
      <c r="L263" s="288">
        <v>3592</v>
      </c>
    </row>
    <row r="264" spans="1:12">
      <c r="A264" s="290">
        <v>260</v>
      </c>
      <c r="B264" s="1181"/>
      <c r="C264" s="322" t="s">
        <v>623</v>
      </c>
      <c r="D264" s="288">
        <v>310</v>
      </c>
      <c r="E264" s="288">
        <v>190</v>
      </c>
      <c r="F264" s="288">
        <v>500</v>
      </c>
      <c r="G264" s="288">
        <v>67</v>
      </c>
      <c r="H264" s="288">
        <v>56</v>
      </c>
      <c r="I264" s="288">
        <v>123</v>
      </c>
      <c r="J264" s="288">
        <v>29413</v>
      </c>
      <c r="K264" s="288">
        <v>33646</v>
      </c>
      <c r="L264" s="288">
        <v>63059</v>
      </c>
    </row>
    <row r="265" spans="1:12">
      <c r="A265" s="290">
        <v>261</v>
      </c>
      <c r="B265" s="1181"/>
      <c r="C265" s="322" t="s">
        <v>633</v>
      </c>
      <c r="D265" s="288">
        <v>11</v>
      </c>
      <c r="E265" s="288">
        <v>7</v>
      </c>
      <c r="F265" s="288">
        <v>18</v>
      </c>
      <c r="G265" s="288">
        <v>49</v>
      </c>
      <c r="H265" s="288">
        <v>33</v>
      </c>
      <c r="I265" s="288">
        <v>82</v>
      </c>
      <c r="J265" s="288">
        <v>56</v>
      </c>
      <c r="K265" s="288">
        <v>32</v>
      </c>
      <c r="L265" s="288">
        <v>88</v>
      </c>
    </row>
    <row r="266" spans="1:12">
      <c r="A266" s="290">
        <v>262</v>
      </c>
      <c r="B266" s="1181"/>
      <c r="C266" s="322" t="s">
        <v>629</v>
      </c>
      <c r="D266" s="288">
        <v>65</v>
      </c>
      <c r="E266" s="288">
        <v>139</v>
      </c>
      <c r="F266" s="288">
        <v>204</v>
      </c>
      <c r="G266" s="288">
        <v>17</v>
      </c>
      <c r="H266" s="288">
        <v>125</v>
      </c>
      <c r="I266" s="288">
        <v>142</v>
      </c>
      <c r="J266" s="288">
        <v>4161</v>
      </c>
      <c r="K266" s="288">
        <v>10496</v>
      </c>
      <c r="L266" s="288">
        <v>14657</v>
      </c>
    </row>
    <row r="267" spans="1:12" ht="30">
      <c r="A267" s="290">
        <v>263</v>
      </c>
      <c r="B267" s="1181"/>
      <c r="C267" s="322" t="s">
        <v>861</v>
      </c>
      <c r="D267" s="288">
        <v>0</v>
      </c>
      <c r="E267" s="288"/>
      <c r="F267" s="288"/>
      <c r="G267" s="288">
        <v>0</v>
      </c>
      <c r="H267" s="288"/>
      <c r="I267" s="288"/>
      <c r="J267" s="288">
        <v>0</v>
      </c>
      <c r="K267" s="288">
        <v>13</v>
      </c>
      <c r="L267" s="288">
        <v>13</v>
      </c>
    </row>
    <row r="268" spans="1:12">
      <c r="A268" s="290">
        <v>264</v>
      </c>
      <c r="B268" s="1181"/>
      <c r="C268" s="322" t="s">
        <v>630</v>
      </c>
      <c r="D268" s="288">
        <v>77</v>
      </c>
      <c r="E268" s="288">
        <v>45</v>
      </c>
      <c r="F268" s="288">
        <v>122</v>
      </c>
      <c r="G268" s="288">
        <v>0</v>
      </c>
      <c r="H268" s="288">
        <v>0</v>
      </c>
      <c r="I268" s="288">
        <v>0</v>
      </c>
      <c r="J268" s="288">
        <v>4388</v>
      </c>
      <c r="K268" s="288">
        <v>3212</v>
      </c>
      <c r="L268" s="288">
        <v>7600</v>
      </c>
    </row>
    <row r="269" spans="1:12">
      <c r="A269" s="290">
        <v>265</v>
      </c>
      <c r="B269" s="1181"/>
      <c r="C269" s="322" t="s">
        <v>208</v>
      </c>
      <c r="D269" s="288">
        <v>34</v>
      </c>
      <c r="E269" s="288">
        <v>18</v>
      </c>
      <c r="F269" s="288">
        <v>52</v>
      </c>
      <c r="G269" s="288">
        <v>6</v>
      </c>
      <c r="H269" s="288">
        <v>28</v>
      </c>
      <c r="I269" s="288">
        <v>34</v>
      </c>
      <c r="J269" s="288">
        <v>10863</v>
      </c>
      <c r="K269" s="288">
        <v>15366</v>
      </c>
      <c r="L269" s="288">
        <v>26229</v>
      </c>
    </row>
    <row r="270" spans="1:12">
      <c r="A270" s="290">
        <v>266</v>
      </c>
      <c r="B270" s="1181"/>
      <c r="C270" s="322" t="s">
        <v>625</v>
      </c>
      <c r="D270" s="288">
        <v>246</v>
      </c>
      <c r="E270" s="288">
        <v>245</v>
      </c>
      <c r="F270" s="288">
        <v>491</v>
      </c>
      <c r="G270" s="288">
        <v>32</v>
      </c>
      <c r="H270" s="288">
        <v>56</v>
      </c>
      <c r="I270" s="288">
        <v>88</v>
      </c>
      <c r="J270" s="288">
        <v>25184</v>
      </c>
      <c r="K270" s="288">
        <v>43615</v>
      </c>
      <c r="L270" s="288">
        <v>68799</v>
      </c>
    </row>
    <row r="271" spans="1:12">
      <c r="A271" s="290">
        <v>267</v>
      </c>
      <c r="B271" s="1182"/>
      <c r="C271" s="322" t="s">
        <v>614</v>
      </c>
      <c r="D271" s="288">
        <v>22</v>
      </c>
      <c r="E271" s="288">
        <v>21</v>
      </c>
      <c r="F271" s="288">
        <v>43</v>
      </c>
      <c r="G271" s="288">
        <v>11</v>
      </c>
      <c r="H271" s="288">
        <v>16</v>
      </c>
      <c r="I271" s="288">
        <v>27</v>
      </c>
      <c r="J271" s="288">
        <v>1103</v>
      </c>
      <c r="K271" s="288">
        <v>1653</v>
      </c>
      <c r="L271" s="288">
        <v>2756</v>
      </c>
    </row>
    <row r="272" spans="1:12" s="265" customFormat="1" ht="14.25">
      <c r="A272" s="290">
        <v>268</v>
      </c>
      <c r="B272" s="767" t="s">
        <v>634</v>
      </c>
      <c r="C272" s="924"/>
      <c r="D272" s="290">
        <v>2490</v>
      </c>
      <c r="E272" s="290">
        <v>2071</v>
      </c>
      <c r="F272" s="290">
        <v>4561</v>
      </c>
      <c r="G272" s="290">
        <v>516</v>
      </c>
      <c r="H272" s="290">
        <v>892</v>
      </c>
      <c r="I272" s="290">
        <v>1408</v>
      </c>
      <c r="J272" s="290">
        <v>160567</v>
      </c>
      <c r="K272" s="290">
        <v>226051</v>
      </c>
      <c r="L272" s="290">
        <v>386618</v>
      </c>
    </row>
    <row r="273" spans="1:12">
      <c r="A273" s="290">
        <v>269</v>
      </c>
      <c r="B273" s="767" t="s">
        <v>202</v>
      </c>
      <c r="C273" s="322" t="s">
        <v>202</v>
      </c>
      <c r="D273" s="288">
        <v>36</v>
      </c>
      <c r="E273" s="288">
        <v>66</v>
      </c>
      <c r="F273" s="288">
        <v>102</v>
      </c>
      <c r="G273" s="288">
        <v>34</v>
      </c>
      <c r="H273" s="288">
        <v>73</v>
      </c>
      <c r="I273" s="288">
        <v>107</v>
      </c>
      <c r="J273" s="288">
        <v>11300</v>
      </c>
      <c r="K273" s="288">
        <v>13109</v>
      </c>
      <c r="L273" s="288">
        <v>24409</v>
      </c>
    </row>
    <row r="274" spans="1:12" s="265" customFormat="1" ht="14.25">
      <c r="A274" s="290">
        <v>270</v>
      </c>
      <c r="B274" s="767" t="s">
        <v>1048</v>
      </c>
      <c r="C274" s="924"/>
      <c r="D274" s="290">
        <v>36</v>
      </c>
      <c r="E274" s="290">
        <v>66</v>
      </c>
      <c r="F274" s="290">
        <v>102</v>
      </c>
      <c r="G274" s="290">
        <v>34</v>
      </c>
      <c r="H274" s="290">
        <v>73</v>
      </c>
      <c r="I274" s="290">
        <v>107</v>
      </c>
      <c r="J274" s="290">
        <v>11300</v>
      </c>
      <c r="K274" s="290">
        <v>13109</v>
      </c>
      <c r="L274" s="290">
        <v>24409</v>
      </c>
    </row>
    <row r="275" spans="1:12" ht="27.6" customHeight="1">
      <c r="A275" s="290">
        <v>271</v>
      </c>
      <c r="B275" s="1180" t="s">
        <v>503</v>
      </c>
      <c r="C275" s="322" t="s">
        <v>635</v>
      </c>
      <c r="D275" s="288">
        <v>0</v>
      </c>
      <c r="E275" s="288">
        <v>0</v>
      </c>
      <c r="F275" s="288">
        <v>0</v>
      </c>
      <c r="G275" s="288">
        <v>0</v>
      </c>
      <c r="H275" s="288"/>
      <c r="I275" s="288"/>
      <c r="J275" s="288">
        <v>8</v>
      </c>
      <c r="K275" s="288">
        <v>2</v>
      </c>
      <c r="L275" s="288">
        <v>10</v>
      </c>
    </row>
    <row r="276" spans="1:12">
      <c r="A276" s="290">
        <v>272</v>
      </c>
      <c r="B276" s="1182"/>
      <c r="C276" s="322" t="s">
        <v>503</v>
      </c>
      <c r="D276" s="288">
        <v>166</v>
      </c>
      <c r="E276" s="288">
        <v>150</v>
      </c>
      <c r="F276" s="288">
        <v>316</v>
      </c>
      <c r="G276" s="288">
        <v>0</v>
      </c>
      <c r="H276" s="288"/>
      <c r="I276" s="288"/>
      <c r="J276" s="288">
        <v>959</v>
      </c>
      <c r="K276" s="288">
        <v>779</v>
      </c>
      <c r="L276" s="288">
        <v>1738</v>
      </c>
    </row>
    <row r="277" spans="1:12" s="265" customFormat="1" ht="28.5">
      <c r="A277" s="290">
        <v>273</v>
      </c>
      <c r="B277" s="767" t="s">
        <v>636</v>
      </c>
      <c r="C277" s="924"/>
      <c r="D277" s="290">
        <v>166</v>
      </c>
      <c r="E277" s="290">
        <v>150</v>
      </c>
      <c r="F277" s="290">
        <v>316</v>
      </c>
      <c r="G277" s="290">
        <v>0</v>
      </c>
      <c r="H277" s="290"/>
      <c r="I277" s="290"/>
      <c r="J277" s="290">
        <v>967</v>
      </c>
      <c r="K277" s="290">
        <v>781</v>
      </c>
      <c r="L277" s="290">
        <v>1748</v>
      </c>
    </row>
    <row r="278" spans="1:12">
      <c r="A278" s="290">
        <v>274</v>
      </c>
      <c r="B278" s="767" t="s">
        <v>509</v>
      </c>
      <c r="C278" s="322" t="s">
        <v>509</v>
      </c>
      <c r="D278" s="288">
        <v>14</v>
      </c>
      <c r="E278" s="288">
        <v>21</v>
      </c>
      <c r="F278" s="288">
        <v>35</v>
      </c>
      <c r="G278" s="288">
        <v>6</v>
      </c>
      <c r="H278" s="288">
        <v>11</v>
      </c>
      <c r="I278" s="288">
        <v>17</v>
      </c>
      <c r="J278" s="288">
        <v>453</v>
      </c>
      <c r="K278" s="288">
        <v>4281</v>
      </c>
      <c r="L278" s="288">
        <v>4734</v>
      </c>
    </row>
    <row r="279" spans="1:12" s="265" customFormat="1" ht="14.25">
      <c r="A279" s="290">
        <v>275</v>
      </c>
      <c r="B279" s="767" t="s">
        <v>1049</v>
      </c>
      <c r="C279" s="924"/>
      <c r="D279" s="290">
        <v>14</v>
      </c>
      <c r="E279" s="290">
        <v>21</v>
      </c>
      <c r="F279" s="290">
        <v>35</v>
      </c>
      <c r="G279" s="290">
        <v>6</v>
      </c>
      <c r="H279" s="290">
        <v>11</v>
      </c>
      <c r="I279" s="290">
        <v>17</v>
      </c>
      <c r="J279" s="290">
        <v>453</v>
      </c>
      <c r="K279" s="290">
        <v>4281</v>
      </c>
      <c r="L279" s="290">
        <v>4734</v>
      </c>
    </row>
    <row r="280" spans="1:12" s="273" customFormat="1" ht="14.25">
      <c r="A280" s="1174" t="s">
        <v>60</v>
      </c>
      <c r="B280" s="1175"/>
      <c r="C280" s="1176"/>
      <c r="D280" s="290">
        <v>18447</v>
      </c>
      <c r="E280" s="290">
        <v>14119</v>
      </c>
      <c r="F280" s="290">
        <v>32566</v>
      </c>
      <c r="G280" s="290">
        <v>1979</v>
      </c>
      <c r="H280" s="290">
        <v>4008</v>
      </c>
      <c r="I280" s="290">
        <v>5987</v>
      </c>
      <c r="J280" s="290">
        <v>761799</v>
      </c>
      <c r="K280" s="290">
        <v>1014039</v>
      </c>
      <c r="L280" s="290">
        <v>1775838</v>
      </c>
    </row>
    <row r="281" spans="1:12">
      <c r="D281" s="925"/>
      <c r="E281" s="925"/>
      <c r="F281" s="925"/>
      <c r="G281" s="925"/>
      <c r="H281" s="925"/>
      <c r="I281" s="925"/>
      <c r="J281" s="925"/>
      <c r="K281" s="925"/>
      <c r="L281" s="925"/>
    </row>
  </sheetData>
  <mergeCells count="31">
    <mergeCell ref="B275:B276"/>
    <mergeCell ref="B225:B226"/>
    <mergeCell ref="B206:B223"/>
    <mergeCell ref="B228:B233"/>
    <mergeCell ref="B235:B251"/>
    <mergeCell ref="B253:B271"/>
    <mergeCell ref="B118:B122"/>
    <mergeCell ref="B128:B146"/>
    <mergeCell ref="B150:B197"/>
    <mergeCell ref="B199:B204"/>
    <mergeCell ref="B86:B88"/>
    <mergeCell ref="B90:B93"/>
    <mergeCell ref="B95:B106"/>
    <mergeCell ref="B108:B113"/>
    <mergeCell ref="B115:B116"/>
    <mergeCell ref="A280:C280"/>
    <mergeCell ref="A2:A3"/>
    <mergeCell ref="B1:L1"/>
    <mergeCell ref="B2:C3"/>
    <mergeCell ref="D2:F2"/>
    <mergeCell ref="G2:I2"/>
    <mergeCell ref="J2:L2"/>
    <mergeCell ref="B5:B8"/>
    <mergeCell ref="B14:B15"/>
    <mergeCell ref="B26:B27"/>
    <mergeCell ref="B23:B24"/>
    <mergeCell ref="B29:B31"/>
    <mergeCell ref="B37:B60"/>
    <mergeCell ref="B66:B69"/>
    <mergeCell ref="B73:B74"/>
    <mergeCell ref="B76:B80"/>
  </mergeCells>
  <pageMargins left="0.28000000000000003" right="0.16" top="0.39370078740157483" bottom="0.39370078740157483" header="0.31496062992125984" footer="0.19685039370078741"/>
  <pageSetup paperSize="9" scale="64" firstPageNumber="105" orientation="portrait" useFirstPageNumber="1" r:id="rId1"/>
  <headerFooter>
    <oddFooter>&amp;LAISHE 2021-22&amp;CT-36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50"/>
  </sheetPr>
  <dimension ref="A1:AK41"/>
  <sheetViews>
    <sheetView view="pageBreakPreview" zoomScaleSheetLayoutView="100" workbookViewId="0">
      <pane xSplit="2" ySplit="4" topLeftCell="C20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"/>
  <cols>
    <col min="1" max="1" width="7.28515625" style="127" bestFit="1" customWidth="1"/>
    <col min="2" max="2" width="26.42578125" style="327" customWidth="1"/>
    <col min="3" max="11" width="9.28515625" style="169" customWidth="1"/>
    <col min="12" max="12" width="12.7109375" style="124" customWidth="1"/>
    <col min="13" max="20" width="10.5703125" style="124" customWidth="1"/>
    <col min="21" max="21" width="12.85546875" style="124" customWidth="1"/>
    <col min="22" max="28" width="11.5703125" style="124" customWidth="1"/>
    <col min="29" max="29" width="12.7109375" style="124" customWidth="1"/>
    <col min="30" max="36" width="11.7109375" style="124" customWidth="1"/>
    <col min="37" max="37" width="12.85546875" style="124" customWidth="1"/>
    <col min="38" max="16384" width="9.28515625" style="124"/>
  </cols>
  <sheetData>
    <row r="1" spans="1:37" s="323" customFormat="1" ht="24.75" customHeight="1">
      <c r="A1" s="1183"/>
      <c r="B1" s="1183"/>
      <c r="C1" s="1184" t="s">
        <v>1059</v>
      </c>
      <c r="D1" s="1185"/>
      <c r="E1" s="1185"/>
      <c r="F1" s="1185"/>
      <c r="G1" s="1185"/>
      <c r="H1" s="1185"/>
      <c r="I1" s="1185"/>
      <c r="J1" s="1185"/>
      <c r="K1" s="1185"/>
      <c r="L1" s="1186"/>
      <c r="M1" s="1188" t="str">
        <f>C1</f>
        <v>Table 37. Number of different types of Institutions attached with University</v>
      </c>
      <c r="N1" s="1189"/>
      <c r="O1" s="1189"/>
      <c r="P1" s="1189"/>
      <c r="Q1" s="1189"/>
      <c r="R1" s="1189"/>
      <c r="S1" s="1189"/>
      <c r="T1" s="1189"/>
      <c r="U1" s="1190"/>
      <c r="V1" s="1191" t="str">
        <f>M1</f>
        <v>Table 37. Number of different types of Institutions attached with University</v>
      </c>
      <c r="W1" s="1192"/>
      <c r="X1" s="1192"/>
      <c r="Y1" s="1192"/>
      <c r="Z1" s="1192"/>
      <c r="AA1" s="1192"/>
      <c r="AB1" s="1192"/>
      <c r="AC1" s="1193"/>
      <c r="AD1" s="1191" t="str">
        <f>V1</f>
        <v>Table 37. Number of different types of Institutions attached with University</v>
      </c>
      <c r="AE1" s="1192"/>
      <c r="AF1" s="1192"/>
      <c r="AG1" s="1192"/>
      <c r="AH1" s="1192"/>
      <c r="AI1" s="1192"/>
      <c r="AJ1" s="1192"/>
      <c r="AK1" s="1193"/>
    </row>
    <row r="2" spans="1:37" s="137" customFormat="1" ht="55.15" customHeight="1">
      <c r="A2" s="967" t="s">
        <v>988</v>
      </c>
      <c r="B2" s="1187" t="s">
        <v>168</v>
      </c>
      <c r="C2" s="1187" t="s">
        <v>873</v>
      </c>
      <c r="D2" s="1187"/>
      <c r="E2" s="1187"/>
      <c r="F2" s="1187"/>
      <c r="G2" s="1187" t="s">
        <v>1050</v>
      </c>
      <c r="H2" s="1187" t="s">
        <v>874</v>
      </c>
      <c r="I2" s="1187"/>
      <c r="J2" s="1187"/>
      <c r="K2" s="1187"/>
      <c r="L2" s="1187" t="s">
        <v>1051</v>
      </c>
      <c r="M2" s="1187" t="s">
        <v>159</v>
      </c>
      <c r="N2" s="1187"/>
      <c r="O2" s="1187"/>
      <c r="P2" s="1187"/>
      <c r="Q2" s="1187" t="s">
        <v>1052</v>
      </c>
      <c r="R2" s="1187" t="s">
        <v>162</v>
      </c>
      <c r="S2" s="1187"/>
      <c r="T2" s="1187"/>
      <c r="U2" s="1187" t="s">
        <v>1053</v>
      </c>
      <c r="V2" s="1187" t="s">
        <v>163</v>
      </c>
      <c r="W2" s="1187"/>
      <c r="X2" s="1187" t="s">
        <v>1054</v>
      </c>
      <c r="Y2" s="1187" t="s">
        <v>164</v>
      </c>
      <c r="Z2" s="1187"/>
      <c r="AA2" s="1187"/>
      <c r="AB2" s="1187"/>
      <c r="AC2" s="1187" t="s">
        <v>1055</v>
      </c>
      <c r="AD2" s="1187" t="s">
        <v>157</v>
      </c>
      <c r="AE2" s="1187"/>
      <c r="AF2" s="1187"/>
      <c r="AG2" s="1187" t="s">
        <v>1056</v>
      </c>
      <c r="AH2" s="1187" t="s">
        <v>161</v>
      </c>
      <c r="AI2" s="1187"/>
      <c r="AJ2" s="1187"/>
      <c r="AK2" s="1187" t="s">
        <v>1057</v>
      </c>
    </row>
    <row r="3" spans="1:37" s="324" customFormat="1" ht="180" customHeight="1">
      <c r="A3" s="967"/>
      <c r="B3" s="1187"/>
      <c r="C3" s="884" t="s">
        <v>71</v>
      </c>
      <c r="D3" s="884" t="s">
        <v>72</v>
      </c>
      <c r="E3" s="884" t="s">
        <v>73</v>
      </c>
      <c r="F3" s="884" t="s">
        <v>74</v>
      </c>
      <c r="G3" s="1187"/>
      <c r="H3" s="884" t="s">
        <v>71</v>
      </c>
      <c r="I3" s="884" t="s">
        <v>72</v>
      </c>
      <c r="J3" s="884" t="s">
        <v>73</v>
      </c>
      <c r="K3" s="884" t="s">
        <v>74</v>
      </c>
      <c r="L3" s="1187"/>
      <c r="M3" s="884" t="s">
        <v>71</v>
      </c>
      <c r="N3" s="884" t="s">
        <v>72</v>
      </c>
      <c r="O3" s="884" t="s">
        <v>73</v>
      </c>
      <c r="P3" s="884" t="s">
        <v>74</v>
      </c>
      <c r="Q3" s="1187"/>
      <c r="R3" s="884" t="s">
        <v>72</v>
      </c>
      <c r="S3" s="884" t="s">
        <v>73</v>
      </c>
      <c r="T3" s="884" t="s">
        <v>74</v>
      </c>
      <c r="U3" s="1187"/>
      <c r="V3" s="884" t="s">
        <v>72</v>
      </c>
      <c r="W3" s="884" t="s">
        <v>73</v>
      </c>
      <c r="X3" s="1187"/>
      <c r="Y3" s="884" t="s">
        <v>71</v>
      </c>
      <c r="Z3" s="884" t="s">
        <v>72</v>
      </c>
      <c r="AA3" s="884" t="s">
        <v>73</v>
      </c>
      <c r="AB3" s="884" t="s">
        <v>74</v>
      </c>
      <c r="AC3" s="1187"/>
      <c r="AD3" s="884" t="s">
        <v>72</v>
      </c>
      <c r="AE3" s="884" t="s">
        <v>73</v>
      </c>
      <c r="AF3" s="884" t="s">
        <v>74</v>
      </c>
      <c r="AG3" s="1187"/>
      <c r="AH3" s="884" t="s">
        <v>71</v>
      </c>
      <c r="AI3" s="884" t="s">
        <v>72</v>
      </c>
      <c r="AJ3" s="884" t="s">
        <v>73</v>
      </c>
      <c r="AK3" s="1187"/>
    </row>
    <row r="4" spans="1:37" s="137" customFormat="1" ht="14.25">
      <c r="A4" s="440">
        <v>1</v>
      </c>
      <c r="B4" s="440">
        <v>2</v>
      </c>
      <c r="C4" s="440">
        <v>3</v>
      </c>
      <c r="D4" s="440">
        <v>4</v>
      </c>
      <c r="E4" s="440">
        <v>5</v>
      </c>
      <c r="F4" s="440">
        <v>6</v>
      </c>
      <c r="G4" s="440">
        <v>7</v>
      </c>
      <c r="H4" s="440">
        <v>8</v>
      </c>
      <c r="I4" s="440">
        <v>9</v>
      </c>
      <c r="J4" s="440">
        <v>10</v>
      </c>
      <c r="K4" s="440">
        <v>11</v>
      </c>
      <c r="L4" s="440">
        <v>12</v>
      </c>
      <c r="M4" s="440">
        <v>13</v>
      </c>
      <c r="N4" s="440">
        <v>14</v>
      </c>
      <c r="O4" s="440">
        <v>15</v>
      </c>
      <c r="P4" s="440">
        <v>16</v>
      </c>
      <c r="Q4" s="440">
        <v>17</v>
      </c>
      <c r="R4" s="440">
        <v>18</v>
      </c>
      <c r="S4" s="440">
        <v>19</v>
      </c>
      <c r="T4" s="440">
        <v>20</v>
      </c>
      <c r="U4" s="440">
        <v>21</v>
      </c>
      <c r="V4" s="440">
        <v>22</v>
      </c>
      <c r="W4" s="440">
        <v>23</v>
      </c>
      <c r="X4" s="440">
        <v>24</v>
      </c>
      <c r="Y4" s="440">
        <v>25</v>
      </c>
      <c r="Z4" s="440">
        <v>26</v>
      </c>
      <c r="AA4" s="440">
        <v>27</v>
      </c>
      <c r="AB4" s="440">
        <v>28</v>
      </c>
      <c r="AC4" s="440">
        <v>29</v>
      </c>
      <c r="AD4" s="440">
        <v>30</v>
      </c>
      <c r="AE4" s="440">
        <v>31</v>
      </c>
      <c r="AF4" s="440">
        <v>32</v>
      </c>
      <c r="AG4" s="440">
        <v>33</v>
      </c>
      <c r="AH4" s="440">
        <v>34</v>
      </c>
      <c r="AI4" s="440">
        <v>35</v>
      </c>
      <c r="AJ4" s="440">
        <v>36</v>
      </c>
      <c r="AK4" s="440">
        <v>37</v>
      </c>
    </row>
    <row r="5" spans="1:37" ht="32.25" customHeight="1">
      <c r="A5" s="125">
        <v>1</v>
      </c>
      <c r="B5" s="159" t="s">
        <v>1061</v>
      </c>
      <c r="C5" s="325">
        <v>9</v>
      </c>
      <c r="D5" s="325"/>
      <c r="E5" s="325"/>
      <c r="F5" s="325"/>
      <c r="G5" s="325">
        <v>9</v>
      </c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294"/>
      <c r="AH5" s="294"/>
      <c r="AI5" s="294"/>
      <c r="AJ5" s="294"/>
      <c r="AK5" s="294"/>
    </row>
    <row r="6" spans="1:37" ht="21" customHeight="1">
      <c r="A6" s="125">
        <v>2</v>
      </c>
      <c r="B6" s="159" t="s">
        <v>15</v>
      </c>
      <c r="C6" s="325"/>
      <c r="D6" s="325">
        <v>2</v>
      </c>
      <c r="E6" s="325"/>
      <c r="F6" s="325"/>
      <c r="G6" s="325">
        <v>2</v>
      </c>
      <c r="H6" s="325">
        <v>2542</v>
      </c>
      <c r="I6" s="325">
        <v>58</v>
      </c>
      <c r="J6" s="325">
        <v>7</v>
      </c>
      <c r="K6" s="325"/>
      <c r="L6" s="325">
        <v>2607</v>
      </c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>
        <v>1</v>
      </c>
      <c r="AE6" s="325"/>
      <c r="AF6" s="325"/>
      <c r="AG6" s="294">
        <v>1</v>
      </c>
      <c r="AH6" s="294"/>
      <c r="AI6" s="294">
        <v>1</v>
      </c>
      <c r="AJ6" s="294"/>
      <c r="AK6" s="294">
        <v>1</v>
      </c>
    </row>
    <row r="7" spans="1:37" ht="21" customHeight="1">
      <c r="A7" s="125">
        <v>3</v>
      </c>
      <c r="B7" s="159" t="s">
        <v>16</v>
      </c>
      <c r="C7" s="325">
        <v>42</v>
      </c>
      <c r="D7" s="325">
        <v>2</v>
      </c>
      <c r="E7" s="325"/>
      <c r="F7" s="325"/>
      <c r="G7" s="325">
        <v>44</v>
      </c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294"/>
      <c r="AH7" s="294"/>
      <c r="AI7" s="294"/>
      <c r="AJ7" s="294"/>
      <c r="AK7" s="294"/>
    </row>
    <row r="8" spans="1:37" ht="21" customHeight="1">
      <c r="A8" s="125">
        <v>4</v>
      </c>
      <c r="B8" s="159" t="s">
        <v>17</v>
      </c>
      <c r="C8" s="325">
        <v>64</v>
      </c>
      <c r="D8" s="325"/>
      <c r="E8" s="325"/>
      <c r="F8" s="325"/>
      <c r="G8" s="325">
        <v>64</v>
      </c>
      <c r="H8" s="325">
        <v>537</v>
      </c>
      <c r="I8" s="325">
        <v>6</v>
      </c>
      <c r="J8" s="325"/>
      <c r="K8" s="325">
        <v>1</v>
      </c>
      <c r="L8" s="325">
        <v>544</v>
      </c>
      <c r="M8" s="325"/>
      <c r="N8" s="325"/>
      <c r="O8" s="325"/>
      <c r="P8" s="325"/>
      <c r="Q8" s="325"/>
      <c r="R8" s="325"/>
      <c r="S8" s="325">
        <v>1</v>
      </c>
      <c r="T8" s="325"/>
      <c r="U8" s="325">
        <v>1</v>
      </c>
      <c r="V8" s="325"/>
      <c r="W8" s="325">
        <v>1</v>
      </c>
      <c r="X8" s="325">
        <v>1</v>
      </c>
      <c r="Y8" s="325"/>
      <c r="Z8" s="325"/>
      <c r="AA8" s="325"/>
      <c r="AB8" s="325"/>
      <c r="AC8" s="325"/>
      <c r="AD8" s="325"/>
      <c r="AE8" s="325">
        <v>1</v>
      </c>
      <c r="AF8" s="325"/>
      <c r="AG8" s="294">
        <v>1</v>
      </c>
      <c r="AH8" s="294"/>
      <c r="AI8" s="294"/>
      <c r="AJ8" s="294"/>
      <c r="AK8" s="294"/>
    </row>
    <row r="9" spans="1:37" ht="21" customHeight="1">
      <c r="A9" s="125">
        <v>5</v>
      </c>
      <c r="B9" s="159" t="s">
        <v>18</v>
      </c>
      <c r="C9" s="325"/>
      <c r="D9" s="325">
        <v>8</v>
      </c>
      <c r="E9" s="325">
        <v>1</v>
      </c>
      <c r="F9" s="325"/>
      <c r="G9" s="325">
        <v>9</v>
      </c>
      <c r="H9" s="325">
        <v>811</v>
      </c>
      <c r="I9" s="325">
        <v>273</v>
      </c>
      <c r="J9" s="325"/>
      <c r="K9" s="325">
        <v>28</v>
      </c>
      <c r="L9" s="325">
        <v>1112</v>
      </c>
      <c r="M9" s="325"/>
      <c r="N9" s="325">
        <v>3</v>
      </c>
      <c r="O9" s="325"/>
      <c r="P9" s="325"/>
      <c r="Q9" s="325">
        <v>3</v>
      </c>
      <c r="R9" s="325"/>
      <c r="S9" s="325"/>
      <c r="T9" s="325"/>
      <c r="U9" s="325"/>
      <c r="V9" s="325"/>
      <c r="W9" s="325"/>
      <c r="X9" s="325"/>
      <c r="Y9" s="325"/>
      <c r="Z9" s="325"/>
      <c r="AA9" s="325">
        <v>1</v>
      </c>
      <c r="AB9" s="325"/>
      <c r="AC9" s="325">
        <v>1</v>
      </c>
      <c r="AD9" s="325">
        <v>1</v>
      </c>
      <c r="AE9" s="325">
        <v>1</v>
      </c>
      <c r="AF9" s="325"/>
      <c r="AG9" s="294">
        <v>2</v>
      </c>
      <c r="AH9" s="294"/>
      <c r="AI9" s="294">
        <v>1</v>
      </c>
      <c r="AJ9" s="294"/>
      <c r="AK9" s="294">
        <v>1</v>
      </c>
    </row>
    <row r="10" spans="1:37" ht="21" customHeight="1">
      <c r="A10" s="125">
        <v>6</v>
      </c>
      <c r="B10" s="159" t="s">
        <v>19</v>
      </c>
      <c r="C10" s="325"/>
      <c r="D10" s="325"/>
      <c r="E10" s="325"/>
      <c r="F10" s="325"/>
      <c r="G10" s="325"/>
      <c r="H10" s="325">
        <v>26</v>
      </c>
      <c r="I10" s="325"/>
      <c r="J10" s="325"/>
      <c r="K10" s="325"/>
      <c r="L10" s="325">
        <v>26</v>
      </c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  <c r="AA10" s="325"/>
      <c r="AB10" s="325"/>
      <c r="AC10" s="325"/>
      <c r="AD10" s="325"/>
      <c r="AE10" s="325"/>
      <c r="AF10" s="325"/>
      <c r="AG10" s="294"/>
      <c r="AH10" s="294"/>
      <c r="AI10" s="294"/>
      <c r="AJ10" s="294"/>
      <c r="AK10" s="294"/>
    </row>
    <row r="11" spans="1:37" ht="21" customHeight="1">
      <c r="A11" s="125">
        <v>7</v>
      </c>
      <c r="B11" s="159" t="s">
        <v>20</v>
      </c>
      <c r="C11" s="325"/>
      <c r="D11" s="325"/>
      <c r="E11" s="325"/>
      <c r="F11" s="325"/>
      <c r="G11" s="325"/>
      <c r="H11" s="325">
        <v>876</v>
      </c>
      <c r="I11" s="325">
        <v>41</v>
      </c>
      <c r="J11" s="325">
        <v>1</v>
      </c>
      <c r="K11" s="325">
        <v>4</v>
      </c>
      <c r="L11" s="325">
        <v>922</v>
      </c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  <c r="Z11" s="325"/>
      <c r="AA11" s="325"/>
      <c r="AB11" s="325"/>
      <c r="AC11" s="325"/>
      <c r="AD11" s="325"/>
      <c r="AE11" s="325"/>
      <c r="AF11" s="325"/>
      <c r="AG11" s="294"/>
      <c r="AH11" s="294"/>
      <c r="AI11" s="294"/>
      <c r="AJ11" s="294"/>
      <c r="AK11" s="294"/>
    </row>
    <row r="12" spans="1:37" ht="21" customHeight="1">
      <c r="A12" s="125">
        <v>8</v>
      </c>
      <c r="B12" s="159" t="s">
        <v>23</v>
      </c>
      <c r="C12" s="325">
        <v>9</v>
      </c>
      <c r="D12" s="325">
        <v>69</v>
      </c>
      <c r="E12" s="325"/>
      <c r="F12" s="325">
        <v>4</v>
      </c>
      <c r="G12" s="325">
        <v>82</v>
      </c>
      <c r="H12" s="325">
        <v>98</v>
      </c>
      <c r="I12" s="325">
        <v>12</v>
      </c>
      <c r="J12" s="325"/>
      <c r="K12" s="325">
        <v>2</v>
      </c>
      <c r="L12" s="325">
        <v>112</v>
      </c>
      <c r="M12" s="325"/>
      <c r="N12" s="325"/>
      <c r="O12" s="325"/>
      <c r="P12" s="325"/>
      <c r="Q12" s="325"/>
      <c r="R12" s="325">
        <v>1</v>
      </c>
      <c r="S12" s="325"/>
      <c r="T12" s="325"/>
      <c r="U12" s="325">
        <v>1</v>
      </c>
      <c r="V12" s="325"/>
      <c r="W12" s="325"/>
      <c r="X12" s="325"/>
      <c r="Y12" s="325"/>
      <c r="Z12" s="325">
        <v>1</v>
      </c>
      <c r="AA12" s="325"/>
      <c r="AB12" s="325"/>
      <c r="AC12" s="325">
        <v>1</v>
      </c>
      <c r="AD12" s="325"/>
      <c r="AE12" s="325">
        <v>1</v>
      </c>
      <c r="AF12" s="325"/>
      <c r="AG12" s="294">
        <v>1</v>
      </c>
      <c r="AH12" s="294"/>
      <c r="AI12" s="294"/>
      <c r="AJ12" s="294"/>
      <c r="AK12" s="294"/>
    </row>
    <row r="13" spans="1:37" ht="21" customHeight="1">
      <c r="A13" s="125">
        <v>9</v>
      </c>
      <c r="B13" s="159" t="s">
        <v>24</v>
      </c>
      <c r="C13" s="325"/>
      <c r="D13" s="325"/>
      <c r="E13" s="325"/>
      <c r="F13" s="325"/>
      <c r="G13" s="325"/>
      <c r="H13" s="325">
        <v>61</v>
      </c>
      <c r="I13" s="325">
        <v>1</v>
      </c>
      <c r="J13" s="325">
        <v>2</v>
      </c>
      <c r="K13" s="325">
        <v>8</v>
      </c>
      <c r="L13" s="325">
        <v>72</v>
      </c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  <c r="AA13" s="325">
        <v>1</v>
      </c>
      <c r="AB13" s="325"/>
      <c r="AC13" s="325">
        <v>1</v>
      </c>
      <c r="AD13" s="325"/>
      <c r="AE13" s="325"/>
      <c r="AF13" s="325"/>
      <c r="AG13" s="294"/>
      <c r="AH13" s="294"/>
      <c r="AI13" s="294"/>
      <c r="AJ13" s="294"/>
      <c r="AK13" s="294"/>
    </row>
    <row r="14" spans="1:37" ht="21" customHeight="1">
      <c r="A14" s="125">
        <v>10</v>
      </c>
      <c r="B14" s="159" t="s">
        <v>25</v>
      </c>
      <c r="C14" s="325">
        <v>1</v>
      </c>
      <c r="D14" s="325"/>
      <c r="E14" s="325"/>
      <c r="F14" s="325"/>
      <c r="G14" s="325">
        <v>1</v>
      </c>
      <c r="H14" s="325">
        <v>2314</v>
      </c>
      <c r="I14" s="325">
        <v>80</v>
      </c>
      <c r="J14" s="325">
        <v>25</v>
      </c>
      <c r="K14" s="325">
        <v>41</v>
      </c>
      <c r="L14" s="325">
        <v>2460</v>
      </c>
      <c r="M14" s="325">
        <v>2</v>
      </c>
      <c r="N14" s="325">
        <v>299</v>
      </c>
      <c r="O14" s="325">
        <v>1</v>
      </c>
      <c r="P14" s="325">
        <v>8</v>
      </c>
      <c r="Q14" s="325">
        <v>310</v>
      </c>
      <c r="R14" s="325">
        <v>1</v>
      </c>
      <c r="S14" s="325"/>
      <c r="T14" s="325"/>
      <c r="U14" s="325">
        <v>1</v>
      </c>
      <c r="V14" s="325">
        <v>8</v>
      </c>
      <c r="W14" s="325">
        <v>2</v>
      </c>
      <c r="X14" s="325">
        <v>10</v>
      </c>
      <c r="Y14" s="325"/>
      <c r="Z14" s="325">
        <v>6</v>
      </c>
      <c r="AA14" s="325"/>
      <c r="AB14" s="325"/>
      <c r="AC14" s="325">
        <v>6</v>
      </c>
      <c r="AD14" s="325">
        <v>4</v>
      </c>
      <c r="AE14" s="325">
        <v>1</v>
      </c>
      <c r="AF14" s="325"/>
      <c r="AG14" s="294">
        <v>5</v>
      </c>
      <c r="AH14" s="294"/>
      <c r="AI14" s="294"/>
      <c r="AJ14" s="294"/>
      <c r="AK14" s="294"/>
    </row>
    <row r="15" spans="1:37" ht="21" customHeight="1">
      <c r="A15" s="125">
        <v>11</v>
      </c>
      <c r="B15" s="159" t="s">
        <v>26</v>
      </c>
      <c r="C15" s="325"/>
      <c r="D15" s="325">
        <v>1</v>
      </c>
      <c r="E15" s="325"/>
      <c r="F15" s="325"/>
      <c r="G15" s="325">
        <v>1</v>
      </c>
      <c r="H15" s="325">
        <v>1074</v>
      </c>
      <c r="I15" s="325">
        <v>15</v>
      </c>
      <c r="J15" s="325"/>
      <c r="K15" s="325">
        <v>1</v>
      </c>
      <c r="L15" s="325">
        <v>1090</v>
      </c>
      <c r="M15" s="325"/>
      <c r="N15" s="325">
        <v>4</v>
      </c>
      <c r="O15" s="325"/>
      <c r="P15" s="325"/>
      <c r="Q15" s="325">
        <v>4</v>
      </c>
      <c r="R15" s="325"/>
      <c r="S15" s="325"/>
      <c r="T15" s="325"/>
      <c r="U15" s="325"/>
      <c r="V15" s="325">
        <v>1</v>
      </c>
      <c r="W15" s="325"/>
      <c r="X15" s="325">
        <v>1</v>
      </c>
      <c r="Y15" s="325"/>
      <c r="Z15" s="325"/>
      <c r="AA15" s="325"/>
      <c r="AB15" s="325"/>
      <c r="AC15" s="325"/>
      <c r="AD15" s="325">
        <v>1</v>
      </c>
      <c r="AE15" s="325">
        <v>1</v>
      </c>
      <c r="AF15" s="325"/>
      <c r="AG15" s="294">
        <v>2</v>
      </c>
      <c r="AH15" s="294"/>
      <c r="AI15" s="294"/>
      <c r="AJ15" s="294"/>
      <c r="AK15" s="294"/>
    </row>
    <row r="16" spans="1:37" ht="21" customHeight="1">
      <c r="A16" s="125">
        <v>12</v>
      </c>
      <c r="B16" s="159" t="s">
        <v>27</v>
      </c>
      <c r="C16" s="325"/>
      <c r="D16" s="325"/>
      <c r="E16" s="325"/>
      <c r="F16" s="325"/>
      <c r="G16" s="325"/>
      <c r="H16" s="325">
        <v>341</v>
      </c>
      <c r="I16" s="325">
        <v>8</v>
      </c>
      <c r="J16" s="325">
        <v>1</v>
      </c>
      <c r="K16" s="325">
        <v>7</v>
      </c>
      <c r="L16" s="325">
        <v>357</v>
      </c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  <c r="AA16" s="325"/>
      <c r="AB16" s="325"/>
      <c r="AC16" s="325"/>
      <c r="AD16" s="325"/>
      <c r="AE16" s="325">
        <v>1</v>
      </c>
      <c r="AF16" s="325"/>
      <c r="AG16" s="294">
        <v>1</v>
      </c>
      <c r="AH16" s="294"/>
      <c r="AI16" s="294"/>
      <c r="AJ16" s="294"/>
      <c r="AK16" s="294"/>
    </row>
    <row r="17" spans="1:37">
      <c r="A17" s="125">
        <v>13</v>
      </c>
      <c r="B17" s="159" t="s">
        <v>57</v>
      </c>
      <c r="C17" s="325"/>
      <c r="D17" s="325">
        <v>2</v>
      </c>
      <c r="E17" s="325">
        <v>2</v>
      </c>
      <c r="F17" s="325"/>
      <c r="G17" s="325">
        <v>4</v>
      </c>
      <c r="H17" s="325">
        <v>317</v>
      </c>
      <c r="I17" s="325">
        <v>22</v>
      </c>
      <c r="J17" s="325">
        <v>10</v>
      </c>
      <c r="K17" s="325">
        <v>1</v>
      </c>
      <c r="L17" s="325">
        <v>350</v>
      </c>
      <c r="M17" s="325"/>
      <c r="N17" s="325"/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/>
      <c r="Z17" s="325"/>
      <c r="AA17" s="325"/>
      <c r="AB17" s="325"/>
      <c r="AC17" s="325"/>
      <c r="AD17" s="325"/>
      <c r="AE17" s="325"/>
      <c r="AF17" s="325"/>
      <c r="AG17" s="294"/>
      <c r="AH17" s="294"/>
      <c r="AI17" s="294"/>
      <c r="AJ17" s="294"/>
      <c r="AK17" s="294"/>
    </row>
    <row r="18" spans="1:37" ht="21" customHeight="1">
      <c r="A18" s="125">
        <v>14</v>
      </c>
      <c r="B18" s="159" t="s">
        <v>29</v>
      </c>
      <c r="C18" s="325"/>
      <c r="D18" s="325"/>
      <c r="E18" s="325"/>
      <c r="F18" s="325"/>
      <c r="G18" s="325"/>
      <c r="H18" s="325">
        <v>284</v>
      </c>
      <c r="I18" s="325">
        <v>82</v>
      </c>
      <c r="J18" s="325"/>
      <c r="K18" s="325"/>
      <c r="L18" s="325">
        <v>366</v>
      </c>
      <c r="M18" s="325">
        <v>1</v>
      </c>
      <c r="N18" s="325">
        <v>6</v>
      </c>
      <c r="O18" s="325"/>
      <c r="P18" s="325"/>
      <c r="Q18" s="325">
        <v>7</v>
      </c>
      <c r="R18" s="325"/>
      <c r="S18" s="325"/>
      <c r="T18" s="325"/>
      <c r="U18" s="325"/>
      <c r="V18" s="325"/>
      <c r="W18" s="325"/>
      <c r="X18" s="325"/>
      <c r="Y18" s="325"/>
      <c r="Z18" s="325">
        <v>1</v>
      </c>
      <c r="AA18" s="325">
        <v>2</v>
      </c>
      <c r="AB18" s="325"/>
      <c r="AC18" s="325">
        <v>3</v>
      </c>
      <c r="AD18" s="325"/>
      <c r="AE18" s="325"/>
      <c r="AF18" s="325"/>
      <c r="AG18" s="294"/>
      <c r="AH18" s="294"/>
      <c r="AI18" s="294"/>
      <c r="AJ18" s="294"/>
      <c r="AK18" s="294"/>
    </row>
    <row r="19" spans="1:37" ht="21" customHeight="1">
      <c r="A19" s="125">
        <v>15</v>
      </c>
      <c r="B19" s="159" t="s">
        <v>30</v>
      </c>
      <c r="C19" s="325"/>
      <c r="D19" s="325">
        <v>2</v>
      </c>
      <c r="E19" s="325">
        <v>1</v>
      </c>
      <c r="F19" s="325"/>
      <c r="G19" s="325">
        <v>3</v>
      </c>
      <c r="H19" s="325">
        <v>4350</v>
      </c>
      <c r="I19" s="325">
        <v>78</v>
      </c>
      <c r="J19" s="325">
        <v>31</v>
      </c>
      <c r="K19" s="325">
        <v>54</v>
      </c>
      <c r="L19" s="325">
        <v>4513</v>
      </c>
      <c r="M19" s="325"/>
      <c r="N19" s="325">
        <v>7</v>
      </c>
      <c r="O19" s="325">
        <v>2</v>
      </c>
      <c r="P19" s="325"/>
      <c r="Q19" s="325">
        <v>9</v>
      </c>
      <c r="R19" s="325"/>
      <c r="S19" s="325"/>
      <c r="T19" s="325"/>
      <c r="U19" s="325"/>
      <c r="V19" s="325"/>
      <c r="W19" s="325"/>
      <c r="X19" s="325"/>
      <c r="Y19" s="325"/>
      <c r="Z19" s="325">
        <v>56</v>
      </c>
      <c r="AA19" s="325">
        <v>7</v>
      </c>
      <c r="AB19" s="325"/>
      <c r="AC19" s="325">
        <v>63</v>
      </c>
      <c r="AD19" s="325">
        <v>4</v>
      </c>
      <c r="AE19" s="325">
        <v>1</v>
      </c>
      <c r="AF19" s="325">
        <v>1</v>
      </c>
      <c r="AG19" s="294">
        <v>6</v>
      </c>
      <c r="AH19" s="294"/>
      <c r="AI19" s="294"/>
      <c r="AJ19" s="294"/>
      <c r="AK19" s="294"/>
    </row>
    <row r="20" spans="1:37" ht="21" customHeight="1">
      <c r="A20" s="125">
        <v>16</v>
      </c>
      <c r="B20" s="159" t="s">
        <v>31</v>
      </c>
      <c r="C20" s="325">
        <v>2</v>
      </c>
      <c r="D20" s="325">
        <v>1</v>
      </c>
      <c r="E20" s="325">
        <v>2</v>
      </c>
      <c r="F20" s="325"/>
      <c r="G20" s="325">
        <v>5</v>
      </c>
      <c r="H20" s="325">
        <v>1394</v>
      </c>
      <c r="I20" s="325">
        <v>66</v>
      </c>
      <c r="J20" s="325">
        <v>6</v>
      </c>
      <c r="K20" s="325">
        <v>63</v>
      </c>
      <c r="L20" s="325">
        <v>1529</v>
      </c>
      <c r="M20" s="325"/>
      <c r="N20" s="325"/>
      <c r="O20" s="325"/>
      <c r="P20" s="325"/>
      <c r="Q20" s="325"/>
      <c r="R20" s="325"/>
      <c r="S20" s="325"/>
      <c r="T20" s="325"/>
      <c r="U20" s="325"/>
      <c r="V20" s="325">
        <v>1</v>
      </c>
      <c r="W20" s="325"/>
      <c r="X20" s="325">
        <v>1</v>
      </c>
      <c r="Y20" s="325"/>
      <c r="Z20" s="325"/>
      <c r="AA20" s="325">
        <v>12</v>
      </c>
      <c r="AB20" s="325"/>
      <c r="AC20" s="325">
        <v>12</v>
      </c>
      <c r="AD20" s="325"/>
      <c r="AE20" s="325">
        <v>1</v>
      </c>
      <c r="AF20" s="325">
        <v>1</v>
      </c>
      <c r="AG20" s="294">
        <v>2</v>
      </c>
      <c r="AH20" s="294"/>
      <c r="AI20" s="294"/>
      <c r="AJ20" s="294"/>
      <c r="AK20" s="294"/>
    </row>
    <row r="21" spans="1:37" ht="21" customHeight="1">
      <c r="A21" s="125">
        <v>17</v>
      </c>
      <c r="B21" s="159" t="s">
        <v>154</v>
      </c>
      <c r="C21" s="325"/>
      <c r="D21" s="325"/>
      <c r="E21" s="325"/>
      <c r="F21" s="325"/>
      <c r="G21" s="325"/>
      <c r="H21" s="325">
        <v>5</v>
      </c>
      <c r="I21" s="325">
        <v>1</v>
      </c>
      <c r="J21" s="325">
        <v>2</v>
      </c>
      <c r="K21" s="325"/>
      <c r="L21" s="325">
        <v>8</v>
      </c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  <c r="AA21" s="325"/>
      <c r="AB21" s="325"/>
      <c r="AC21" s="325"/>
      <c r="AD21" s="325"/>
      <c r="AE21" s="325"/>
      <c r="AF21" s="325"/>
      <c r="AG21" s="294"/>
      <c r="AH21" s="294"/>
      <c r="AI21" s="294"/>
      <c r="AJ21" s="294"/>
      <c r="AK21" s="294"/>
    </row>
    <row r="22" spans="1:37" ht="21" customHeight="1">
      <c r="A22" s="125">
        <v>18</v>
      </c>
      <c r="B22" s="159" t="s">
        <v>32</v>
      </c>
      <c r="C22" s="325"/>
      <c r="D22" s="325"/>
      <c r="E22" s="325">
        <v>3</v>
      </c>
      <c r="F22" s="325"/>
      <c r="G22" s="325">
        <v>3</v>
      </c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  <c r="AG22" s="294"/>
      <c r="AH22" s="294"/>
      <c r="AI22" s="294"/>
      <c r="AJ22" s="294"/>
      <c r="AK22" s="294"/>
    </row>
    <row r="23" spans="1:37" ht="21" customHeight="1">
      <c r="A23" s="125">
        <v>19</v>
      </c>
      <c r="B23" s="159" t="s">
        <v>33</v>
      </c>
      <c r="C23" s="325">
        <v>32</v>
      </c>
      <c r="D23" s="325">
        <v>1</v>
      </c>
      <c r="E23" s="325">
        <v>1</v>
      </c>
      <c r="F23" s="325"/>
      <c r="G23" s="325">
        <v>34</v>
      </c>
      <c r="H23" s="325">
        <v>2672</v>
      </c>
      <c r="I23" s="325">
        <v>37</v>
      </c>
      <c r="J23" s="325"/>
      <c r="K23" s="325">
        <v>911</v>
      </c>
      <c r="L23" s="325">
        <v>3620</v>
      </c>
      <c r="M23" s="325">
        <v>2</v>
      </c>
      <c r="N23" s="325">
        <v>77</v>
      </c>
      <c r="O23" s="325"/>
      <c r="P23" s="325"/>
      <c r="Q23" s="325">
        <v>79</v>
      </c>
      <c r="R23" s="325">
        <v>1</v>
      </c>
      <c r="S23" s="325"/>
      <c r="T23" s="325"/>
      <c r="U23" s="325">
        <v>1</v>
      </c>
      <c r="V23" s="325"/>
      <c r="W23" s="325"/>
      <c r="X23" s="325"/>
      <c r="Y23" s="325"/>
      <c r="Z23" s="325"/>
      <c r="AA23" s="325"/>
      <c r="AB23" s="325"/>
      <c r="AC23" s="325"/>
      <c r="AD23" s="325">
        <v>2</v>
      </c>
      <c r="AE23" s="325">
        <v>1</v>
      </c>
      <c r="AF23" s="325"/>
      <c r="AG23" s="294">
        <v>3</v>
      </c>
      <c r="AH23" s="294"/>
      <c r="AI23" s="294"/>
      <c r="AJ23" s="294"/>
      <c r="AK23" s="294"/>
    </row>
    <row r="24" spans="1:37" ht="21" customHeight="1">
      <c r="A24" s="125">
        <v>20</v>
      </c>
      <c r="B24" s="159" t="s">
        <v>34</v>
      </c>
      <c r="C24" s="325">
        <v>3</v>
      </c>
      <c r="D24" s="325">
        <v>3</v>
      </c>
      <c r="E24" s="325">
        <v>1</v>
      </c>
      <c r="F24" s="325">
        <v>1</v>
      </c>
      <c r="G24" s="325">
        <v>8</v>
      </c>
      <c r="H24" s="325">
        <v>4604</v>
      </c>
      <c r="I24" s="325">
        <v>82</v>
      </c>
      <c r="J24" s="325">
        <v>2</v>
      </c>
      <c r="K24" s="325">
        <v>127</v>
      </c>
      <c r="L24" s="325">
        <v>4815</v>
      </c>
      <c r="M24" s="325"/>
      <c r="N24" s="325">
        <v>3</v>
      </c>
      <c r="O24" s="325"/>
      <c r="P24" s="325"/>
      <c r="Q24" s="325">
        <v>3</v>
      </c>
      <c r="R24" s="325">
        <v>2</v>
      </c>
      <c r="S24" s="325">
        <v>2</v>
      </c>
      <c r="T24" s="325"/>
      <c r="U24" s="325">
        <v>4</v>
      </c>
      <c r="V24" s="325"/>
      <c r="W24" s="325">
        <v>1</v>
      </c>
      <c r="X24" s="325">
        <v>1</v>
      </c>
      <c r="Y24" s="325"/>
      <c r="Z24" s="325">
        <v>89</v>
      </c>
      <c r="AA24" s="325">
        <v>4</v>
      </c>
      <c r="AB24" s="325"/>
      <c r="AC24" s="325">
        <v>93</v>
      </c>
      <c r="AD24" s="325"/>
      <c r="AE24" s="325">
        <v>1</v>
      </c>
      <c r="AF24" s="325"/>
      <c r="AG24" s="294">
        <v>1</v>
      </c>
      <c r="AH24" s="294"/>
      <c r="AI24" s="294"/>
      <c r="AJ24" s="294"/>
      <c r="AK24" s="294"/>
    </row>
    <row r="25" spans="1:37" ht="21" customHeight="1">
      <c r="A25" s="125">
        <v>21</v>
      </c>
      <c r="B25" s="159" t="s">
        <v>35</v>
      </c>
      <c r="C25" s="325">
        <v>105</v>
      </c>
      <c r="D25" s="325">
        <v>3</v>
      </c>
      <c r="E25" s="325"/>
      <c r="F25" s="325"/>
      <c r="G25" s="325">
        <v>108</v>
      </c>
      <c r="H25" s="325"/>
      <c r="I25" s="325"/>
      <c r="J25" s="325"/>
      <c r="K25" s="325"/>
      <c r="L25" s="325"/>
      <c r="M25" s="325"/>
      <c r="N25" s="325"/>
      <c r="O25" s="325"/>
      <c r="P25" s="325"/>
      <c r="Q25" s="325"/>
      <c r="R25" s="325"/>
      <c r="S25" s="325"/>
      <c r="T25" s="325"/>
      <c r="U25" s="325"/>
      <c r="V25" s="325"/>
      <c r="W25" s="325"/>
      <c r="X25" s="325"/>
      <c r="Y25" s="325"/>
      <c r="Z25" s="325"/>
      <c r="AA25" s="325"/>
      <c r="AB25" s="325"/>
      <c r="AC25" s="325"/>
      <c r="AD25" s="325"/>
      <c r="AE25" s="325"/>
      <c r="AF25" s="325"/>
      <c r="AG25" s="294"/>
      <c r="AH25" s="294"/>
      <c r="AI25" s="294"/>
      <c r="AJ25" s="294"/>
      <c r="AK25" s="294"/>
    </row>
    <row r="26" spans="1:37" ht="21" customHeight="1">
      <c r="A26" s="125">
        <v>22</v>
      </c>
      <c r="B26" s="159" t="s">
        <v>36</v>
      </c>
      <c r="C26" s="325">
        <v>73</v>
      </c>
      <c r="D26" s="325">
        <v>3</v>
      </c>
      <c r="E26" s="325">
        <v>1</v>
      </c>
      <c r="F26" s="325"/>
      <c r="G26" s="325">
        <v>77</v>
      </c>
      <c r="H26" s="325">
        <v>1</v>
      </c>
      <c r="I26" s="325"/>
      <c r="J26" s="325"/>
      <c r="K26" s="325">
        <v>3</v>
      </c>
      <c r="L26" s="325">
        <v>4</v>
      </c>
      <c r="M26" s="325"/>
      <c r="N26" s="325"/>
      <c r="O26" s="325"/>
      <c r="P26" s="325"/>
      <c r="Q26" s="325"/>
      <c r="R26" s="325"/>
      <c r="S26" s="325"/>
      <c r="T26" s="325"/>
      <c r="U26" s="325"/>
      <c r="V26" s="325"/>
      <c r="W26" s="325"/>
      <c r="X26" s="325"/>
      <c r="Y26" s="325"/>
      <c r="Z26" s="325"/>
      <c r="AA26" s="325"/>
      <c r="AB26" s="325"/>
      <c r="AC26" s="325"/>
      <c r="AD26" s="325"/>
      <c r="AE26" s="325">
        <v>1</v>
      </c>
      <c r="AF26" s="325"/>
      <c r="AG26" s="294">
        <v>1</v>
      </c>
      <c r="AH26" s="294"/>
      <c r="AI26" s="294"/>
      <c r="AJ26" s="294"/>
      <c r="AK26" s="294"/>
    </row>
    <row r="27" spans="1:37" ht="21" customHeight="1">
      <c r="A27" s="125">
        <v>23</v>
      </c>
      <c r="B27" s="159" t="s">
        <v>37</v>
      </c>
      <c r="C27" s="325">
        <v>37</v>
      </c>
      <c r="D27" s="325">
        <v>3</v>
      </c>
      <c r="E27" s="325"/>
      <c r="F27" s="325"/>
      <c r="G27" s="325">
        <v>40</v>
      </c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  <c r="AC27" s="325"/>
      <c r="AD27" s="325"/>
      <c r="AE27" s="325"/>
      <c r="AF27" s="325"/>
      <c r="AG27" s="294"/>
      <c r="AH27" s="294"/>
      <c r="AI27" s="294"/>
      <c r="AJ27" s="294"/>
      <c r="AK27" s="294"/>
    </row>
    <row r="28" spans="1:37" ht="21" customHeight="1">
      <c r="A28" s="125">
        <v>24</v>
      </c>
      <c r="B28" s="159" t="s">
        <v>38</v>
      </c>
      <c r="C28" s="325">
        <v>68</v>
      </c>
      <c r="D28" s="325">
        <v>1</v>
      </c>
      <c r="E28" s="325"/>
      <c r="F28" s="325"/>
      <c r="G28" s="325">
        <v>69</v>
      </c>
      <c r="H28" s="325"/>
      <c r="I28" s="325"/>
      <c r="J28" s="325"/>
      <c r="K28" s="325">
        <v>2</v>
      </c>
      <c r="L28" s="325">
        <v>2</v>
      </c>
      <c r="M28" s="325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  <c r="AA28" s="325"/>
      <c r="AB28" s="325"/>
      <c r="AC28" s="325"/>
      <c r="AD28" s="325"/>
      <c r="AE28" s="325"/>
      <c r="AF28" s="325"/>
      <c r="AG28" s="294"/>
      <c r="AH28" s="294"/>
      <c r="AI28" s="294"/>
      <c r="AJ28" s="294"/>
      <c r="AK28" s="294"/>
    </row>
    <row r="29" spans="1:37" ht="21" customHeight="1">
      <c r="A29" s="125">
        <v>25</v>
      </c>
      <c r="B29" s="159" t="s">
        <v>39</v>
      </c>
      <c r="C29" s="325"/>
      <c r="D29" s="325">
        <v>1</v>
      </c>
      <c r="E29" s="325">
        <v>1</v>
      </c>
      <c r="F29" s="325"/>
      <c r="G29" s="325">
        <v>2</v>
      </c>
      <c r="H29" s="325">
        <v>1273</v>
      </c>
      <c r="I29" s="325">
        <v>26</v>
      </c>
      <c r="J29" s="325">
        <v>1</v>
      </c>
      <c r="K29" s="325">
        <v>1</v>
      </c>
      <c r="L29" s="325">
        <v>1301</v>
      </c>
      <c r="M29" s="325"/>
      <c r="N29" s="325">
        <v>5</v>
      </c>
      <c r="O29" s="325"/>
      <c r="P29" s="325"/>
      <c r="Q29" s="325">
        <v>5</v>
      </c>
      <c r="R29" s="325">
        <v>2</v>
      </c>
      <c r="S29" s="325"/>
      <c r="T29" s="325"/>
      <c r="U29" s="325">
        <v>2</v>
      </c>
      <c r="V29" s="325"/>
      <c r="W29" s="325"/>
      <c r="X29" s="325"/>
      <c r="Y29" s="325"/>
      <c r="Z29" s="325">
        <v>8</v>
      </c>
      <c r="AA29" s="325"/>
      <c r="AB29" s="325">
        <v>1</v>
      </c>
      <c r="AC29" s="325">
        <v>9</v>
      </c>
      <c r="AD29" s="325"/>
      <c r="AE29" s="325">
        <v>1</v>
      </c>
      <c r="AF29" s="325"/>
      <c r="AG29" s="294">
        <v>1</v>
      </c>
      <c r="AH29" s="294"/>
      <c r="AI29" s="294"/>
      <c r="AJ29" s="294"/>
      <c r="AK29" s="294"/>
    </row>
    <row r="30" spans="1:37" ht="21" customHeight="1">
      <c r="A30" s="125">
        <v>26</v>
      </c>
      <c r="B30" s="159" t="s">
        <v>40</v>
      </c>
      <c r="C30" s="325">
        <v>81</v>
      </c>
      <c r="D30" s="325">
        <v>1</v>
      </c>
      <c r="E30" s="325">
        <v>1</v>
      </c>
      <c r="F30" s="325"/>
      <c r="G30" s="325">
        <v>83</v>
      </c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>
        <v>7</v>
      </c>
      <c r="AA30" s="325">
        <v>1</v>
      </c>
      <c r="AB30" s="325"/>
      <c r="AC30" s="325">
        <v>8</v>
      </c>
      <c r="AD30" s="325"/>
      <c r="AE30" s="325"/>
      <c r="AF30" s="325"/>
      <c r="AG30" s="294"/>
      <c r="AH30" s="294"/>
      <c r="AI30" s="294"/>
      <c r="AJ30" s="294"/>
      <c r="AK30" s="294"/>
    </row>
    <row r="31" spans="1:37" ht="21" customHeight="1">
      <c r="A31" s="125">
        <v>27</v>
      </c>
      <c r="B31" s="159" t="s">
        <v>41</v>
      </c>
      <c r="C31" s="325"/>
      <c r="D31" s="325"/>
      <c r="E31" s="325"/>
      <c r="F31" s="325"/>
      <c r="G31" s="325"/>
      <c r="H31" s="325">
        <v>995</v>
      </c>
      <c r="I31" s="325">
        <v>49</v>
      </c>
      <c r="J31" s="325">
        <v>17</v>
      </c>
      <c r="K31" s="325"/>
      <c r="L31" s="325">
        <v>1061</v>
      </c>
      <c r="M31" s="325"/>
      <c r="N31" s="325"/>
      <c r="O31" s="325"/>
      <c r="P31" s="325"/>
      <c r="Q31" s="325"/>
      <c r="R31" s="325"/>
      <c r="S31" s="325"/>
      <c r="T31" s="325"/>
      <c r="U31" s="325"/>
      <c r="V31" s="325"/>
      <c r="W31" s="325"/>
      <c r="X31" s="325"/>
      <c r="Y31" s="325"/>
      <c r="Z31" s="325"/>
      <c r="AA31" s="325"/>
      <c r="AB31" s="325"/>
      <c r="AC31" s="325"/>
      <c r="AD31" s="325">
        <v>1</v>
      </c>
      <c r="AE31" s="325"/>
      <c r="AF31" s="325"/>
      <c r="AG31" s="294">
        <v>1</v>
      </c>
      <c r="AH31" s="294"/>
      <c r="AI31" s="294"/>
      <c r="AJ31" s="294"/>
      <c r="AK31" s="294"/>
    </row>
    <row r="32" spans="1:37" ht="21" customHeight="1">
      <c r="A32" s="125">
        <v>28</v>
      </c>
      <c r="B32" s="159" t="s">
        <v>42</v>
      </c>
      <c r="C32" s="325"/>
      <c r="D32" s="325"/>
      <c r="E32" s="325">
        <v>1</v>
      </c>
      <c r="F32" s="325"/>
      <c r="G32" s="325">
        <v>1</v>
      </c>
      <c r="H32" s="325">
        <v>3887</v>
      </c>
      <c r="I32" s="325">
        <v>47</v>
      </c>
      <c r="J32" s="325"/>
      <c r="K32" s="325">
        <v>78</v>
      </c>
      <c r="L32" s="325">
        <v>4012</v>
      </c>
      <c r="M32" s="325">
        <v>1</v>
      </c>
      <c r="N32" s="325">
        <v>7</v>
      </c>
      <c r="O32" s="325"/>
      <c r="P32" s="325"/>
      <c r="Q32" s="325">
        <v>8</v>
      </c>
      <c r="R32" s="325"/>
      <c r="S32" s="325"/>
      <c r="T32" s="325"/>
      <c r="U32" s="325"/>
      <c r="V32" s="325"/>
      <c r="W32" s="325"/>
      <c r="X32" s="325"/>
      <c r="Y32" s="325"/>
      <c r="Z32" s="325">
        <v>1</v>
      </c>
      <c r="AA32" s="325"/>
      <c r="AB32" s="325"/>
      <c r="AC32" s="325">
        <v>1</v>
      </c>
      <c r="AD32" s="325">
        <v>1</v>
      </c>
      <c r="AE32" s="325">
        <v>1</v>
      </c>
      <c r="AF32" s="325"/>
      <c r="AG32" s="294">
        <v>2</v>
      </c>
      <c r="AH32" s="294">
        <v>22</v>
      </c>
      <c r="AI32" s="294"/>
      <c r="AJ32" s="294">
        <v>1</v>
      </c>
      <c r="AK32" s="294">
        <v>23</v>
      </c>
    </row>
    <row r="33" spans="1:37" ht="21" customHeight="1">
      <c r="A33" s="125">
        <v>29</v>
      </c>
      <c r="B33" s="159" t="s">
        <v>43</v>
      </c>
      <c r="C33" s="325">
        <v>19</v>
      </c>
      <c r="D33" s="325">
        <v>2</v>
      </c>
      <c r="E33" s="325"/>
      <c r="F33" s="325"/>
      <c r="G33" s="325">
        <v>21</v>
      </c>
      <c r="H33" s="325">
        <v>3</v>
      </c>
      <c r="I33" s="325"/>
      <c r="J33" s="325"/>
      <c r="K33" s="325"/>
      <c r="L33" s="325">
        <v>3</v>
      </c>
      <c r="M33" s="325"/>
      <c r="N33" s="325">
        <v>7</v>
      </c>
      <c r="O33" s="325"/>
      <c r="P33" s="325"/>
      <c r="Q33" s="325">
        <v>7</v>
      </c>
      <c r="R33" s="325"/>
      <c r="S33" s="325"/>
      <c r="T33" s="325"/>
      <c r="U33" s="325"/>
      <c r="V33" s="325"/>
      <c r="W33" s="325"/>
      <c r="X33" s="325"/>
      <c r="Y33" s="325"/>
      <c r="Z33" s="325"/>
      <c r="AA33" s="325"/>
      <c r="AB33" s="325"/>
      <c r="AC33" s="325"/>
      <c r="AD33" s="325"/>
      <c r="AE33" s="325"/>
      <c r="AF33" s="325"/>
      <c r="AG33" s="294"/>
      <c r="AH33" s="294"/>
      <c r="AI33" s="294"/>
      <c r="AJ33" s="294"/>
      <c r="AK33" s="294"/>
    </row>
    <row r="34" spans="1:37" ht="21" customHeight="1">
      <c r="A34" s="125">
        <v>30</v>
      </c>
      <c r="B34" s="159" t="s">
        <v>44</v>
      </c>
      <c r="C34" s="325">
        <v>2</v>
      </c>
      <c r="D34" s="325">
        <v>1</v>
      </c>
      <c r="E34" s="325"/>
      <c r="F34" s="325"/>
      <c r="G34" s="325">
        <v>3</v>
      </c>
      <c r="H34" s="325">
        <v>2740</v>
      </c>
      <c r="I34" s="325">
        <v>86</v>
      </c>
      <c r="J34" s="325">
        <v>5</v>
      </c>
      <c r="K34" s="325">
        <v>1</v>
      </c>
      <c r="L34" s="325">
        <v>2832</v>
      </c>
      <c r="M34" s="325"/>
      <c r="N34" s="325"/>
      <c r="O34" s="325"/>
      <c r="P34" s="325"/>
      <c r="Q34" s="325"/>
      <c r="R34" s="325">
        <v>2</v>
      </c>
      <c r="S34" s="325"/>
      <c r="T34" s="325"/>
      <c r="U34" s="325">
        <v>2</v>
      </c>
      <c r="V34" s="325"/>
      <c r="W34" s="325"/>
      <c r="X34" s="325"/>
      <c r="Y34" s="325"/>
      <c r="Z34" s="325">
        <v>35</v>
      </c>
      <c r="AA34" s="325">
        <v>6</v>
      </c>
      <c r="AB34" s="325"/>
      <c r="AC34" s="325">
        <v>41</v>
      </c>
      <c r="AD34" s="325">
        <v>2</v>
      </c>
      <c r="AE34" s="325">
        <v>1</v>
      </c>
      <c r="AF34" s="325"/>
      <c r="AG34" s="294">
        <v>3</v>
      </c>
      <c r="AH34" s="294"/>
      <c r="AI34" s="294"/>
      <c r="AJ34" s="294"/>
      <c r="AK34" s="294"/>
    </row>
    <row r="35" spans="1:37" ht="21" customHeight="1">
      <c r="A35" s="125">
        <v>31</v>
      </c>
      <c r="B35" s="159" t="s">
        <v>131</v>
      </c>
      <c r="C35" s="325"/>
      <c r="D35" s="325">
        <v>1</v>
      </c>
      <c r="E35" s="325"/>
      <c r="F35" s="325">
        <v>2</v>
      </c>
      <c r="G35" s="325">
        <v>3</v>
      </c>
      <c r="H35" s="325">
        <v>2042</v>
      </c>
      <c r="I35" s="325">
        <v>40</v>
      </c>
      <c r="J35" s="325">
        <v>5</v>
      </c>
      <c r="K35" s="325"/>
      <c r="L35" s="325">
        <v>2087</v>
      </c>
      <c r="M35" s="325"/>
      <c r="N35" s="325"/>
      <c r="O35" s="325"/>
      <c r="P35" s="325"/>
      <c r="Q35" s="325"/>
      <c r="R35" s="325"/>
      <c r="S35" s="325"/>
      <c r="T35" s="325"/>
      <c r="U35" s="325"/>
      <c r="V35" s="325"/>
      <c r="W35" s="325">
        <v>1</v>
      </c>
      <c r="X35" s="325">
        <v>1</v>
      </c>
      <c r="Y35" s="325"/>
      <c r="Z35" s="325"/>
      <c r="AA35" s="325">
        <v>5</v>
      </c>
      <c r="AB35" s="325"/>
      <c r="AC35" s="325">
        <v>5</v>
      </c>
      <c r="AD35" s="325">
        <v>2</v>
      </c>
      <c r="AE35" s="325">
        <v>1</v>
      </c>
      <c r="AF35" s="325"/>
      <c r="AG35" s="294">
        <v>3</v>
      </c>
      <c r="AH35" s="294"/>
      <c r="AI35" s="294"/>
      <c r="AJ35" s="294"/>
      <c r="AK35" s="294"/>
    </row>
    <row r="36" spans="1:37" ht="28.5">
      <c r="A36" s="125">
        <v>32</v>
      </c>
      <c r="B36" s="159" t="s">
        <v>1062</v>
      </c>
      <c r="C36" s="325"/>
      <c r="D36" s="325"/>
      <c r="E36" s="325"/>
      <c r="F36" s="325"/>
      <c r="G36" s="325"/>
      <c r="H36" s="325">
        <v>19</v>
      </c>
      <c r="I36" s="325"/>
      <c r="J36" s="325"/>
      <c r="K36" s="325">
        <v>1</v>
      </c>
      <c r="L36" s="325">
        <v>20</v>
      </c>
      <c r="M36" s="325"/>
      <c r="N36" s="325"/>
      <c r="O36" s="325"/>
      <c r="P36" s="325"/>
      <c r="Q36" s="325"/>
      <c r="R36" s="325"/>
      <c r="S36" s="325"/>
      <c r="T36" s="325"/>
      <c r="U36" s="325"/>
      <c r="V36" s="325"/>
      <c r="W36" s="325"/>
      <c r="X36" s="325"/>
      <c r="Y36" s="325"/>
      <c r="Z36" s="325"/>
      <c r="AA36" s="325"/>
      <c r="AB36" s="325"/>
      <c r="AC36" s="325"/>
      <c r="AD36" s="325"/>
      <c r="AE36" s="325">
        <v>1</v>
      </c>
      <c r="AF36" s="325"/>
      <c r="AG36" s="294">
        <v>1</v>
      </c>
      <c r="AH36" s="294"/>
      <c r="AI36" s="294"/>
      <c r="AJ36" s="294"/>
      <c r="AK36" s="294"/>
    </row>
    <row r="37" spans="1:37" ht="21" customHeight="1">
      <c r="A37" s="125">
        <v>33</v>
      </c>
      <c r="B37" s="159" t="s">
        <v>45</v>
      </c>
      <c r="C37" s="325">
        <v>52</v>
      </c>
      <c r="D37" s="325">
        <v>1</v>
      </c>
      <c r="E37" s="325">
        <v>1</v>
      </c>
      <c r="F37" s="325"/>
      <c r="G37" s="325">
        <v>54</v>
      </c>
      <c r="H37" s="325">
        <v>1</v>
      </c>
      <c r="I37" s="325"/>
      <c r="J37" s="325"/>
      <c r="K37" s="325"/>
      <c r="L37" s="325">
        <v>1</v>
      </c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  <c r="AA37" s="325"/>
      <c r="AB37" s="325"/>
      <c r="AC37" s="325"/>
      <c r="AD37" s="325"/>
      <c r="AE37" s="325"/>
      <c r="AF37" s="325"/>
      <c r="AG37" s="294"/>
      <c r="AH37" s="294"/>
      <c r="AI37" s="294"/>
      <c r="AJ37" s="294"/>
      <c r="AK37" s="294"/>
    </row>
    <row r="38" spans="1:37" ht="21" customHeight="1">
      <c r="A38" s="125">
        <v>34</v>
      </c>
      <c r="B38" s="159" t="s">
        <v>47</v>
      </c>
      <c r="C38" s="325">
        <v>5</v>
      </c>
      <c r="D38" s="325">
        <v>15</v>
      </c>
      <c r="E38" s="325">
        <v>4</v>
      </c>
      <c r="F38" s="325">
        <v>1</v>
      </c>
      <c r="G38" s="325">
        <v>25</v>
      </c>
      <c r="H38" s="325">
        <v>8332</v>
      </c>
      <c r="I38" s="325">
        <v>23</v>
      </c>
      <c r="J38" s="325"/>
      <c r="K38" s="325">
        <v>45</v>
      </c>
      <c r="L38" s="325">
        <v>8400</v>
      </c>
      <c r="M38" s="325"/>
      <c r="N38" s="325">
        <v>11</v>
      </c>
      <c r="O38" s="325">
        <v>2</v>
      </c>
      <c r="P38" s="325">
        <v>1</v>
      </c>
      <c r="Q38" s="325">
        <v>14</v>
      </c>
      <c r="R38" s="325">
        <v>1</v>
      </c>
      <c r="S38" s="325"/>
      <c r="T38" s="325"/>
      <c r="U38" s="325">
        <v>1</v>
      </c>
      <c r="V38" s="325">
        <v>18</v>
      </c>
      <c r="W38" s="325"/>
      <c r="X38" s="325">
        <v>18</v>
      </c>
      <c r="Y38" s="325"/>
      <c r="Z38" s="325"/>
      <c r="AA38" s="325">
        <v>3</v>
      </c>
      <c r="AB38" s="325"/>
      <c r="AC38" s="325">
        <v>3</v>
      </c>
      <c r="AD38" s="325">
        <v>1</v>
      </c>
      <c r="AE38" s="325">
        <v>2</v>
      </c>
      <c r="AF38" s="325"/>
      <c r="AG38" s="294">
        <v>3</v>
      </c>
      <c r="AH38" s="294"/>
      <c r="AI38" s="294"/>
      <c r="AJ38" s="294"/>
      <c r="AK38" s="294"/>
    </row>
    <row r="39" spans="1:37" ht="21" customHeight="1">
      <c r="A39" s="125">
        <v>35</v>
      </c>
      <c r="B39" s="159" t="s">
        <v>46</v>
      </c>
      <c r="C39" s="325">
        <v>83</v>
      </c>
      <c r="D39" s="325"/>
      <c r="E39" s="325">
        <v>1</v>
      </c>
      <c r="F39" s="325"/>
      <c r="G39" s="325">
        <v>84</v>
      </c>
      <c r="H39" s="325">
        <v>401</v>
      </c>
      <c r="I39" s="325">
        <v>16</v>
      </c>
      <c r="J39" s="325">
        <v>2</v>
      </c>
      <c r="K39" s="325">
        <v>3</v>
      </c>
      <c r="L39" s="325">
        <v>422</v>
      </c>
      <c r="M39" s="325"/>
      <c r="N39" s="325">
        <v>8</v>
      </c>
      <c r="O39" s="325"/>
      <c r="P39" s="325"/>
      <c r="Q39" s="325">
        <v>8</v>
      </c>
      <c r="R39" s="325"/>
      <c r="S39" s="325"/>
      <c r="T39" s="325"/>
      <c r="U39" s="325"/>
      <c r="V39" s="325"/>
      <c r="W39" s="325"/>
      <c r="X39" s="325"/>
      <c r="Y39" s="325"/>
      <c r="Z39" s="325"/>
      <c r="AA39" s="325"/>
      <c r="AB39" s="325"/>
      <c r="AC39" s="325"/>
      <c r="AD39" s="325"/>
      <c r="AE39" s="325"/>
      <c r="AF39" s="325"/>
      <c r="AG39" s="294"/>
      <c r="AH39" s="294"/>
      <c r="AI39" s="294"/>
      <c r="AJ39" s="294"/>
      <c r="AK39" s="294"/>
    </row>
    <row r="40" spans="1:37" ht="21" customHeight="1">
      <c r="A40" s="125">
        <v>36</v>
      </c>
      <c r="B40" s="159" t="s">
        <v>48</v>
      </c>
      <c r="C40" s="325">
        <v>1</v>
      </c>
      <c r="D40" s="325">
        <v>2</v>
      </c>
      <c r="E40" s="325">
        <v>1</v>
      </c>
      <c r="F40" s="325"/>
      <c r="G40" s="325">
        <v>4</v>
      </c>
      <c r="H40" s="325">
        <v>1467</v>
      </c>
      <c r="I40" s="325">
        <v>44</v>
      </c>
      <c r="J40" s="325">
        <v>1</v>
      </c>
      <c r="K40" s="325">
        <v>16</v>
      </c>
      <c r="L40" s="325">
        <v>1528</v>
      </c>
      <c r="M40" s="325"/>
      <c r="N40" s="325"/>
      <c r="O40" s="325"/>
      <c r="P40" s="325"/>
      <c r="Q40" s="325"/>
      <c r="R40" s="325">
        <v>2</v>
      </c>
      <c r="S40" s="325">
        <v>1</v>
      </c>
      <c r="T40" s="325">
        <v>1</v>
      </c>
      <c r="U40" s="325">
        <v>4</v>
      </c>
      <c r="V40" s="325"/>
      <c r="W40" s="325"/>
      <c r="X40" s="325"/>
      <c r="Y40" s="325">
        <v>2</v>
      </c>
      <c r="Z40" s="325">
        <v>1</v>
      </c>
      <c r="AA40" s="325">
        <v>2</v>
      </c>
      <c r="AB40" s="325"/>
      <c r="AC40" s="325">
        <v>5</v>
      </c>
      <c r="AD40" s="325">
        <v>1</v>
      </c>
      <c r="AE40" s="325">
        <v>1</v>
      </c>
      <c r="AF40" s="325"/>
      <c r="AG40" s="294">
        <v>2</v>
      </c>
      <c r="AH40" s="294"/>
      <c r="AI40" s="294"/>
      <c r="AJ40" s="294"/>
      <c r="AK40" s="294"/>
    </row>
    <row r="41" spans="1:37" s="431" customFormat="1" ht="21" customHeight="1">
      <c r="A41" s="1194" t="s">
        <v>49</v>
      </c>
      <c r="B41" s="1194"/>
      <c r="C41" s="326">
        <v>688</v>
      </c>
      <c r="D41" s="326">
        <v>125</v>
      </c>
      <c r="E41" s="326">
        <v>22</v>
      </c>
      <c r="F41" s="326">
        <v>8</v>
      </c>
      <c r="G41" s="326">
        <v>843</v>
      </c>
      <c r="H41" s="326">
        <v>43467</v>
      </c>
      <c r="I41" s="326">
        <v>1193</v>
      </c>
      <c r="J41" s="326">
        <v>118</v>
      </c>
      <c r="K41" s="326">
        <v>1398</v>
      </c>
      <c r="L41" s="326">
        <v>46176</v>
      </c>
      <c r="M41" s="326">
        <v>6</v>
      </c>
      <c r="N41" s="326">
        <v>437</v>
      </c>
      <c r="O41" s="326">
        <v>5</v>
      </c>
      <c r="P41" s="326">
        <v>9</v>
      </c>
      <c r="Q41" s="326">
        <v>457</v>
      </c>
      <c r="R41" s="326">
        <v>12</v>
      </c>
      <c r="S41" s="326">
        <v>4</v>
      </c>
      <c r="T41" s="326">
        <v>1</v>
      </c>
      <c r="U41" s="326">
        <v>17</v>
      </c>
      <c r="V41" s="326">
        <v>28</v>
      </c>
      <c r="W41" s="326">
        <v>5</v>
      </c>
      <c r="X41" s="326">
        <v>33</v>
      </c>
      <c r="Y41" s="326">
        <v>2</v>
      </c>
      <c r="Z41" s="326">
        <v>205</v>
      </c>
      <c r="AA41" s="326">
        <v>44</v>
      </c>
      <c r="AB41" s="326">
        <v>1</v>
      </c>
      <c r="AC41" s="326">
        <v>252</v>
      </c>
      <c r="AD41" s="326">
        <v>21</v>
      </c>
      <c r="AE41" s="326">
        <v>19</v>
      </c>
      <c r="AF41" s="326">
        <v>2</v>
      </c>
      <c r="AG41" s="125">
        <v>42</v>
      </c>
      <c r="AH41" s="125">
        <v>22</v>
      </c>
      <c r="AI41" s="125">
        <v>2</v>
      </c>
      <c r="AJ41" s="125">
        <v>1</v>
      </c>
      <c r="AK41" s="125">
        <v>25</v>
      </c>
    </row>
  </sheetData>
  <mergeCells count="24">
    <mergeCell ref="A41:B41"/>
    <mergeCell ref="B2:B3"/>
    <mergeCell ref="C2:F2"/>
    <mergeCell ref="AK2:AK3"/>
    <mergeCell ref="M2:P2"/>
    <mergeCell ref="Q2:Q3"/>
    <mergeCell ref="R2:T2"/>
    <mergeCell ref="U2:U3"/>
    <mergeCell ref="V2:W2"/>
    <mergeCell ref="X2:X3"/>
    <mergeCell ref="Y2:AB2"/>
    <mergeCell ref="AC2:AC3"/>
    <mergeCell ref="AD2:AF2"/>
    <mergeCell ref="A2:A3"/>
    <mergeCell ref="A1:B1"/>
    <mergeCell ref="C1:L1"/>
    <mergeCell ref="AG2:AG3"/>
    <mergeCell ref="AH2:AJ2"/>
    <mergeCell ref="G2:G3"/>
    <mergeCell ref="H2:K2"/>
    <mergeCell ref="L2:L3"/>
    <mergeCell ref="M1:U1"/>
    <mergeCell ref="V1:AC1"/>
    <mergeCell ref="AD1:AK1"/>
  </mergeCells>
  <pageMargins left="0.45" right="0.16" top="0.55118110236220474" bottom="0.59055118110236227" header="0.31496062992125984" footer="0.31496062992125984"/>
  <pageSetup paperSize="9" scale="72" firstPageNumber="126" orientation="portrait" useFirstPageNumber="1" r:id="rId1"/>
  <headerFooter>
    <oddFooter>&amp;L&amp;"Arial,Italic"&amp;9AISHE 2021-22&amp;CT-37</oddFooter>
  </headerFooter>
  <colBreaks count="3" manualBreakCount="3">
    <brk id="12" max="40" man="1"/>
    <brk id="21" max="40" man="1"/>
    <brk id="29" max="40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50"/>
  </sheetPr>
  <dimension ref="A1:K41"/>
  <sheetViews>
    <sheetView view="pageBreakPreview" zoomScaleSheetLayoutView="100" workbookViewId="0">
      <selection activeCell="I4" sqref="I4"/>
    </sheetView>
  </sheetViews>
  <sheetFormatPr defaultColWidth="8.7109375" defaultRowHeight="15"/>
  <cols>
    <col min="1" max="1" width="5.7109375" style="442" customWidth="1"/>
    <col min="2" max="2" width="26" style="444" bestFit="1" customWidth="1"/>
    <col min="3" max="4" width="10" style="328" bestFit="1" customWidth="1"/>
    <col min="5" max="5" width="11.140625" style="328" bestFit="1" customWidth="1"/>
    <col min="6" max="8" width="10" style="328" bestFit="1" customWidth="1"/>
    <col min="9" max="10" width="8.85546875" style="328" bestFit="1" customWidth="1"/>
    <col min="11" max="11" width="10" style="328" customWidth="1"/>
    <col min="12" max="16384" width="8.7109375" style="328"/>
  </cols>
  <sheetData>
    <row r="1" spans="1:11" ht="24" customHeight="1">
      <c r="A1" s="1078" t="s">
        <v>1063</v>
      </c>
      <c r="B1" s="1079"/>
      <c r="C1" s="1079"/>
      <c r="D1" s="1079"/>
      <c r="E1" s="1079"/>
      <c r="F1" s="1079"/>
      <c r="G1" s="1079"/>
      <c r="H1" s="1079"/>
      <c r="I1" s="1079"/>
      <c r="J1" s="1079"/>
      <c r="K1" s="1079"/>
    </row>
    <row r="2" spans="1:11">
      <c r="A2" s="1196" t="s">
        <v>988</v>
      </c>
      <c r="B2" s="1196" t="s">
        <v>168</v>
      </c>
      <c r="C2" s="1080" t="s">
        <v>136</v>
      </c>
      <c r="D2" s="1080"/>
      <c r="E2" s="1080"/>
      <c r="F2" s="1080" t="s">
        <v>460</v>
      </c>
      <c r="G2" s="1080"/>
      <c r="H2" s="1080"/>
      <c r="I2" s="1080" t="s">
        <v>242</v>
      </c>
      <c r="J2" s="1080"/>
      <c r="K2" s="1198"/>
    </row>
    <row r="3" spans="1:11">
      <c r="A3" s="1197"/>
      <c r="B3" s="1197"/>
      <c r="C3" s="292" t="s">
        <v>87</v>
      </c>
      <c r="D3" s="292" t="s">
        <v>88</v>
      </c>
      <c r="E3" s="292" t="s">
        <v>12</v>
      </c>
      <c r="F3" s="292" t="s">
        <v>87</v>
      </c>
      <c r="G3" s="292" t="s">
        <v>88</v>
      </c>
      <c r="H3" s="292" t="s">
        <v>12</v>
      </c>
      <c r="I3" s="292" t="s">
        <v>87</v>
      </c>
      <c r="J3" s="292" t="s">
        <v>88</v>
      </c>
      <c r="K3" s="329" t="s">
        <v>12</v>
      </c>
    </row>
    <row r="4" spans="1:11" s="518" customFormat="1" ht="13.5">
      <c r="A4" s="516">
        <v>1</v>
      </c>
      <c r="B4" s="516">
        <v>2</v>
      </c>
      <c r="C4" s="516">
        <v>3</v>
      </c>
      <c r="D4" s="516">
        <v>4</v>
      </c>
      <c r="E4" s="516">
        <v>5</v>
      </c>
      <c r="F4" s="516">
        <v>6</v>
      </c>
      <c r="G4" s="516">
        <v>7</v>
      </c>
      <c r="H4" s="516">
        <v>8</v>
      </c>
      <c r="I4" s="516">
        <v>9</v>
      </c>
      <c r="J4" s="516">
        <v>10</v>
      </c>
      <c r="K4" s="517">
        <v>11</v>
      </c>
    </row>
    <row r="5" spans="1:11" ht="25.5" customHeight="1">
      <c r="A5" s="441">
        <v>1</v>
      </c>
      <c r="B5" s="443" t="s">
        <v>1061</v>
      </c>
      <c r="C5" s="885">
        <v>26322.696394698753</v>
      </c>
      <c r="D5" s="885">
        <v>24199.945382439044</v>
      </c>
      <c r="E5" s="885">
        <v>50522.641777137789</v>
      </c>
      <c r="F5" s="885">
        <v>0</v>
      </c>
      <c r="G5" s="885">
        <v>0</v>
      </c>
      <c r="H5" s="885">
        <v>0</v>
      </c>
      <c r="I5" s="885">
        <v>1847.3717010789071</v>
      </c>
      <c r="J5" s="885">
        <v>1762.4978763081688</v>
      </c>
      <c r="K5" s="885">
        <v>3609.8695773870759</v>
      </c>
    </row>
    <row r="6" spans="1:11" ht="25.5" customHeight="1">
      <c r="A6" s="441">
        <v>2</v>
      </c>
      <c r="B6" s="443" t="s">
        <v>15</v>
      </c>
      <c r="C6" s="885">
        <v>2729000</v>
      </c>
      <c r="D6" s="885">
        <v>2556000</v>
      </c>
      <c r="E6" s="885">
        <v>5285000</v>
      </c>
      <c r="F6" s="885">
        <v>500252.45748102549</v>
      </c>
      <c r="G6" s="885">
        <v>477357.72327670216</v>
      </c>
      <c r="H6" s="885">
        <v>977610.18075772771</v>
      </c>
      <c r="I6" s="885">
        <v>140516.29112403997</v>
      </c>
      <c r="J6" s="885">
        <v>148221.77579414775</v>
      </c>
      <c r="K6" s="885">
        <v>288738.06691818777</v>
      </c>
    </row>
    <row r="7" spans="1:11" ht="25.5" customHeight="1">
      <c r="A7" s="441">
        <v>3</v>
      </c>
      <c r="B7" s="443" t="s">
        <v>16</v>
      </c>
      <c r="C7" s="885">
        <v>91153.2</v>
      </c>
      <c r="D7" s="885">
        <v>86526.799999999988</v>
      </c>
      <c r="E7" s="885">
        <v>177680</v>
      </c>
      <c r="F7" s="885">
        <v>0</v>
      </c>
      <c r="G7" s="885">
        <v>0</v>
      </c>
      <c r="H7" s="885">
        <v>0</v>
      </c>
      <c r="I7" s="885">
        <v>58776.799144765289</v>
      </c>
      <c r="J7" s="885">
        <v>62269.289720617846</v>
      </c>
      <c r="K7" s="885">
        <v>121046.08886538314</v>
      </c>
    </row>
    <row r="8" spans="1:11" ht="25.5" customHeight="1">
      <c r="A8" s="441">
        <v>4</v>
      </c>
      <c r="B8" s="443" t="s">
        <v>17</v>
      </c>
      <c r="C8" s="885">
        <v>2063000</v>
      </c>
      <c r="D8" s="885">
        <v>1955000</v>
      </c>
      <c r="E8" s="885">
        <v>4019000</v>
      </c>
      <c r="F8" s="885">
        <v>161238.24590061928</v>
      </c>
      <c r="G8" s="885">
        <v>142630.93453503499</v>
      </c>
      <c r="H8" s="885">
        <v>303869.18043565424</v>
      </c>
      <c r="I8" s="885">
        <v>251976.5369279212</v>
      </c>
      <c r="J8" s="885">
        <v>251779.09143164556</v>
      </c>
      <c r="K8" s="885">
        <v>503755.62835956679</v>
      </c>
    </row>
    <row r="9" spans="1:11" ht="25.5" customHeight="1">
      <c r="A9" s="441">
        <v>5</v>
      </c>
      <c r="B9" s="443" t="s">
        <v>18</v>
      </c>
      <c r="C9" s="885">
        <v>8143000</v>
      </c>
      <c r="D9" s="885">
        <v>7232000</v>
      </c>
      <c r="E9" s="885">
        <v>15374000</v>
      </c>
      <c r="F9" s="885">
        <v>1177885.6875026692</v>
      </c>
      <c r="G9" s="885">
        <v>1132216.332354801</v>
      </c>
      <c r="H9" s="885">
        <v>2310102.0198574699</v>
      </c>
      <c r="I9" s="885">
        <v>96465.3782299741</v>
      </c>
      <c r="J9" s="885">
        <v>92241.183013887436</v>
      </c>
      <c r="K9" s="885">
        <v>188706.56124386154</v>
      </c>
    </row>
    <row r="10" spans="1:11" ht="25.5" customHeight="1">
      <c r="A10" s="441">
        <v>6</v>
      </c>
      <c r="B10" s="443" t="s">
        <v>19</v>
      </c>
      <c r="C10" s="885">
        <v>97387.544025950119</v>
      </c>
      <c r="D10" s="885">
        <v>73841.817871036197</v>
      </c>
      <c r="E10" s="885">
        <v>171229.36189698629</v>
      </c>
      <c r="F10" s="885">
        <v>17927.467689383237</v>
      </c>
      <c r="G10" s="885">
        <v>15269.994669136702</v>
      </c>
      <c r="H10" s="885">
        <v>33197.462358519937</v>
      </c>
      <c r="I10" s="885">
        <v>0</v>
      </c>
      <c r="J10" s="885">
        <v>0</v>
      </c>
      <c r="K10" s="885">
        <v>0</v>
      </c>
    </row>
    <row r="11" spans="1:11" ht="25.5" customHeight="1">
      <c r="A11" s="441">
        <v>7</v>
      </c>
      <c r="B11" s="443" t="s">
        <v>20</v>
      </c>
      <c r="C11" s="885">
        <v>1695000</v>
      </c>
      <c r="D11" s="885">
        <v>1657000</v>
      </c>
      <c r="E11" s="885">
        <v>3352000</v>
      </c>
      <c r="F11" s="885">
        <v>227764.75175098516</v>
      </c>
      <c r="G11" s="885">
        <v>219235.07230221562</v>
      </c>
      <c r="H11" s="885">
        <v>446999.82405320078</v>
      </c>
      <c r="I11" s="885">
        <v>486994.63735860499</v>
      </c>
      <c r="J11" s="885">
        <v>506331.3944218838</v>
      </c>
      <c r="K11" s="885">
        <v>993326.03178048879</v>
      </c>
    </row>
    <row r="12" spans="1:11" ht="25.5" customHeight="1">
      <c r="A12" s="441">
        <v>8</v>
      </c>
      <c r="B12" s="443" t="s">
        <v>23</v>
      </c>
      <c r="C12" s="885">
        <v>1214000</v>
      </c>
      <c r="D12" s="885">
        <v>1127000</v>
      </c>
      <c r="E12" s="885">
        <v>2339000</v>
      </c>
      <c r="F12" s="885">
        <v>222382.57490062425</v>
      </c>
      <c r="G12" s="885">
        <v>216351.35635289224</v>
      </c>
      <c r="H12" s="885">
        <v>438733.93125351652</v>
      </c>
      <c r="I12" s="885">
        <v>0</v>
      </c>
      <c r="J12" s="885">
        <v>0</v>
      </c>
      <c r="K12" s="885">
        <v>0</v>
      </c>
    </row>
    <row r="13" spans="1:11" ht="25.5" customHeight="1">
      <c r="A13" s="441">
        <v>9</v>
      </c>
      <c r="B13" s="443" t="s">
        <v>24</v>
      </c>
      <c r="C13" s="885">
        <v>98214.374206418332</v>
      </c>
      <c r="D13" s="885">
        <v>84515.914142334717</v>
      </c>
      <c r="E13" s="885">
        <v>182730.28834875306</v>
      </c>
      <c r="F13" s="885">
        <v>1809.1135503471351</v>
      </c>
      <c r="G13" s="885">
        <v>1766.5500573089155</v>
      </c>
      <c r="H13" s="885">
        <v>3575.6636076560503</v>
      </c>
      <c r="I13" s="885">
        <v>8869.9256594689632</v>
      </c>
      <c r="J13" s="885">
        <v>8813.626605274656</v>
      </c>
      <c r="K13" s="885">
        <v>17683.552264743619</v>
      </c>
    </row>
    <row r="14" spans="1:11" ht="25.5" customHeight="1">
      <c r="A14" s="441">
        <v>10</v>
      </c>
      <c r="B14" s="443" t="s">
        <v>25</v>
      </c>
      <c r="C14" s="885">
        <v>3997000</v>
      </c>
      <c r="D14" s="885">
        <v>3478000</v>
      </c>
      <c r="E14" s="885">
        <v>7477000</v>
      </c>
      <c r="F14" s="885">
        <v>282907.42987778998</v>
      </c>
      <c r="G14" s="885">
        <v>247584.32897593747</v>
      </c>
      <c r="H14" s="885">
        <v>530491.75885372749</v>
      </c>
      <c r="I14" s="885">
        <v>509840.01541010907</v>
      </c>
      <c r="J14" s="885">
        <v>490702.60270672379</v>
      </c>
      <c r="K14" s="885">
        <v>1000542.6181168328</v>
      </c>
    </row>
    <row r="15" spans="1:11" ht="25.5" customHeight="1">
      <c r="A15" s="441">
        <v>11</v>
      </c>
      <c r="B15" s="443" t="s">
        <v>26</v>
      </c>
      <c r="C15" s="885">
        <v>1790000</v>
      </c>
      <c r="D15" s="885">
        <v>1521000</v>
      </c>
      <c r="E15" s="885">
        <v>3312000</v>
      </c>
      <c r="F15" s="885">
        <v>380957.71347720723</v>
      </c>
      <c r="G15" s="885">
        <v>320469.9331205131</v>
      </c>
      <c r="H15" s="885">
        <v>701427.64659772022</v>
      </c>
      <c r="I15" s="885">
        <v>0</v>
      </c>
      <c r="J15" s="885">
        <v>0</v>
      </c>
      <c r="K15" s="885">
        <v>0</v>
      </c>
    </row>
    <row r="16" spans="1:11" ht="25.5" customHeight="1">
      <c r="A16" s="441">
        <v>12</v>
      </c>
      <c r="B16" s="443" t="s">
        <v>27</v>
      </c>
      <c r="C16" s="885">
        <v>396000</v>
      </c>
      <c r="D16" s="885">
        <v>347000</v>
      </c>
      <c r="E16" s="885">
        <v>742000</v>
      </c>
      <c r="F16" s="885">
        <v>102027.88628010052</v>
      </c>
      <c r="G16" s="885">
        <v>91607.818407797473</v>
      </c>
      <c r="H16" s="885">
        <v>193635.70468789799</v>
      </c>
      <c r="I16" s="885">
        <v>22424.267327452075</v>
      </c>
      <c r="J16" s="885">
        <v>20953.016288349576</v>
      </c>
      <c r="K16" s="885">
        <v>43377.283615801651</v>
      </c>
    </row>
    <row r="17" spans="1:11" ht="25.5" customHeight="1">
      <c r="A17" s="441">
        <v>13</v>
      </c>
      <c r="B17" s="443" t="s">
        <v>57</v>
      </c>
      <c r="C17" s="885">
        <v>852000</v>
      </c>
      <c r="D17" s="885">
        <v>762000</v>
      </c>
      <c r="E17" s="885">
        <v>1615000</v>
      </c>
      <c r="F17" s="885">
        <v>69704.22244022107</v>
      </c>
      <c r="G17" s="885">
        <v>61819.678316153295</v>
      </c>
      <c r="H17" s="885">
        <v>131523.90075637435</v>
      </c>
      <c r="I17" s="885">
        <v>80576.813834385335</v>
      </c>
      <c r="J17" s="885">
        <v>71577.475916618467</v>
      </c>
      <c r="K17" s="885">
        <v>152154.28975100379</v>
      </c>
    </row>
    <row r="18" spans="1:11" ht="25.5" customHeight="1">
      <c r="A18" s="441">
        <v>14</v>
      </c>
      <c r="B18" s="443" t="s">
        <v>29</v>
      </c>
      <c r="C18" s="885">
        <v>2424000</v>
      </c>
      <c r="D18" s="885">
        <v>2300000</v>
      </c>
      <c r="E18" s="885">
        <v>4724000</v>
      </c>
      <c r="F18" s="885">
        <v>289453.94111187942</v>
      </c>
      <c r="G18" s="885">
        <v>271524.05367858725</v>
      </c>
      <c r="H18" s="885">
        <v>560977.99479046674</v>
      </c>
      <c r="I18" s="885">
        <v>587241.4990352192</v>
      </c>
      <c r="J18" s="885">
        <v>624383.31208913971</v>
      </c>
      <c r="K18" s="885">
        <v>1211624.811124359</v>
      </c>
    </row>
    <row r="19" spans="1:11" ht="25.5" customHeight="1">
      <c r="A19" s="441">
        <v>15</v>
      </c>
      <c r="B19" s="443" t="s">
        <v>30</v>
      </c>
      <c r="C19" s="885">
        <v>3481000</v>
      </c>
      <c r="D19" s="885">
        <v>3248000</v>
      </c>
      <c r="E19" s="885">
        <v>6728000</v>
      </c>
      <c r="F19" s="885">
        <v>617053.98265010084</v>
      </c>
      <c r="G19" s="885">
        <v>591075.29337461002</v>
      </c>
      <c r="H19" s="885">
        <v>1208129.2760247109</v>
      </c>
      <c r="I19" s="885">
        <v>250981.97519307892</v>
      </c>
      <c r="J19" s="885">
        <v>236529.33662484089</v>
      </c>
      <c r="K19" s="885">
        <v>487511.31181791984</v>
      </c>
    </row>
    <row r="20" spans="1:11" ht="25.5" customHeight="1">
      <c r="A20" s="441">
        <v>16</v>
      </c>
      <c r="B20" s="443" t="s">
        <v>31</v>
      </c>
      <c r="C20" s="885">
        <v>1624000</v>
      </c>
      <c r="D20" s="885">
        <v>1531000</v>
      </c>
      <c r="E20" s="885">
        <v>3155000</v>
      </c>
      <c r="F20" s="885">
        <v>147211.59379107022</v>
      </c>
      <c r="G20" s="885">
        <v>138492.81875093805</v>
      </c>
      <c r="H20" s="885">
        <v>285704.41254200827</v>
      </c>
      <c r="I20" s="885">
        <v>24676.730721415122</v>
      </c>
      <c r="J20" s="885">
        <v>24690.617560416249</v>
      </c>
      <c r="K20" s="885">
        <v>49367.348281831371</v>
      </c>
    </row>
    <row r="21" spans="1:11" ht="25.5" customHeight="1">
      <c r="A21" s="441">
        <v>17</v>
      </c>
      <c r="B21" s="443" t="s">
        <v>154</v>
      </c>
      <c r="C21" s="885">
        <v>21041.07681207003</v>
      </c>
      <c r="D21" s="885">
        <v>17455.66677641826</v>
      </c>
      <c r="E21" s="885">
        <v>38496.743588488294</v>
      </c>
      <c r="F21" s="885">
        <v>88.611418996308174</v>
      </c>
      <c r="G21" s="885">
        <v>5.9632641351524533</v>
      </c>
      <c r="H21" s="885">
        <v>94.574683131460631</v>
      </c>
      <c r="I21" s="885">
        <v>15124.19699428988</v>
      </c>
      <c r="J21" s="885">
        <v>16010.171550057308</v>
      </c>
      <c r="K21" s="885">
        <v>31134.368544347191</v>
      </c>
    </row>
    <row r="22" spans="1:11" ht="25.5" customHeight="1">
      <c r="A22" s="441">
        <v>18</v>
      </c>
      <c r="B22" s="443" t="s">
        <v>32</v>
      </c>
      <c r="C22" s="885">
        <v>4175.0226140884361</v>
      </c>
      <c r="D22" s="885">
        <v>3822.6664925066684</v>
      </c>
      <c r="E22" s="885">
        <v>7997.6891065951049</v>
      </c>
      <c r="F22" s="885">
        <v>0</v>
      </c>
      <c r="G22" s="885">
        <v>0</v>
      </c>
      <c r="H22" s="885">
        <v>0</v>
      </c>
      <c r="I22" s="885">
        <v>3793.3398153321095</v>
      </c>
      <c r="J22" s="885">
        <v>3749.6142819669103</v>
      </c>
      <c r="K22" s="885">
        <v>7542.9540972990208</v>
      </c>
    </row>
    <row r="23" spans="1:11" ht="25.5" customHeight="1">
      <c r="A23" s="441">
        <v>19</v>
      </c>
      <c r="B23" s="443" t="s">
        <v>915</v>
      </c>
      <c r="C23" s="885">
        <v>5066000</v>
      </c>
      <c r="D23" s="885">
        <v>4623000</v>
      </c>
      <c r="E23" s="885">
        <v>9690000</v>
      </c>
      <c r="F23" s="885">
        <v>830492.56846091361</v>
      </c>
      <c r="G23" s="885">
        <v>725307.22806556709</v>
      </c>
      <c r="H23" s="885">
        <v>1555799.7965264807</v>
      </c>
      <c r="I23" s="885">
        <v>927212.1482679412</v>
      </c>
      <c r="J23" s="885">
        <v>964745.27656581602</v>
      </c>
      <c r="K23" s="885">
        <v>1891957.4248337571</v>
      </c>
    </row>
    <row r="24" spans="1:11" ht="25.5" customHeight="1">
      <c r="A24" s="441">
        <v>20</v>
      </c>
      <c r="B24" s="443" t="s">
        <v>34</v>
      </c>
      <c r="C24" s="885">
        <v>6845000</v>
      </c>
      <c r="D24" s="885">
        <v>6118000</v>
      </c>
      <c r="E24" s="885">
        <v>12965000</v>
      </c>
      <c r="F24" s="885">
        <v>833975.92096343508</v>
      </c>
      <c r="G24" s="885">
        <v>770238.87970219587</v>
      </c>
      <c r="H24" s="885">
        <v>1604214.800665631</v>
      </c>
      <c r="I24" s="885">
        <v>596734.27429667162</v>
      </c>
      <c r="J24" s="885">
        <v>598544.05546448124</v>
      </c>
      <c r="K24" s="885">
        <v>1195278.3297611529</v>
      </c>
    </row>
    <row r="25" spans="1:11" ht="25.5" customHeight="1">
      <c r="A25" s="441">
        <v>21</v>
      </c>
      <c r="B25" s="443" t="s">
        <v>35</v>
      </c>
      <c r="C25" s="885">
        <v>187566.1</v>
      </c>
      <c r="D25" s="885">
        <v>180754.8</v>
      </c>
      <c r="E25" s="885">
        <v>368320.9</v>
      </c>
      <c r="F25" s="885">
        <v>6489.5263029848702</v>
      </c>
      <c r="G25" s="885">
        <v>6151.2163648611149</v>
      </c>
      <c r="H25" s="885">
        <v>12640.742667845985</v>
      </c>
      <c r="I25" s="885">
        <v>101851.17882104403</v>
      </c>
      <c r="J25" s="885">
        <v>94785.79162341007</v>
      </c>
      <c r="K25" s="885">
        <v>196636.97044445411</v>
      </c>
    </row>
    <row r="26" spans="1:11" ht="25.5" customHeight="1">
      <c r="A26" s="441">
        <v>22</v>
      </c>
      <c r="B26" s="443" t="s">
        <v>36</v>
      </c>
      <c r="C26" s="885">
        <v>191818.99999999997</v>
      </c>
      <c r="D26" s="885">
        <v>188450.19999999998</v>
      </c>
      <c r="E26" s="885">
        <v>380269.2</v>
      </c>
      <c r="F26" s="885">
        <v>1291.6659082551937</v>
      </c>
      <c r="G26" s="885">
        <v>1097.5311362633804</v>
      </c>
      <c r="H26" s="885">
        <v>2389.1970445185739</v>
      </c>
      <c r="I26" s="885">
        <v>162381.80169838201</v>
      </c>
      <c r="J26" s="885">
        <v>164114.05178488666</v>
      </c>
      <c r="K26" s="885">
        <v>326495.85348326864</v>
      </c>
    </row>
    <row r="27" spans="1:11" ht="25.5" customHeight="1">
      <c r="A27" s="441">
        <v>23</v>
      </c>
      <c r="B27" s="443" t="s">
        <v>37</v>
      </c>
      <c r="C27" s="885">
        <v>73793.600000000006</v>
      </c>
      <c r="D27" s="885">
        <v>71128.2</v>
      </c>
      <c r="E27" s="885">
        <v>144921.80000000002</v>
      </c>
      <c r="F27" s="885">
        <v>122.98194703020842</v>
      </c>
      <c r="G27" s="885">
        <v>66.596468857282971</v>
      </c>
      <c r="H27" s="885">
        <v>189.57841588749139</v>
      </c>
      <c r="I27" s="885">
        <v>68629.466170200001</v>
      </c>
      <c r="J27" s="885">
        <v>68024.593133889153</v>
      </c>
      <c r="K27" s="885">
        <v>136654.05930408917</v>
      </c>
    </row>
    <row r="28" spans="1:11" ht="25.5" customHeight="1">
      <c r="A28" s="441">
        <v>24</v>
      </c>
      <c r="B28" s="443" t="s">
        <v>38</v>
      </c>
      <c r="C28" s="885">
        <v>142383.09999999998</v>
      </c>
      <c r="D28" s="885">
        <v>130694.10000000002</v>
      </c>
      <c r="E28" s="885">
        <v>273077.2</v>
      </c>
      <c r="F28" s="885">
        <v>0</v>
      </c>
      <c r="G28" s="885">
        <v>0</v>
      </c>
      <c r="H28" s="885">
        <v>0</v>
      </c>
      <c r="I28" s="885">
        <v>121505.98368765267</v>
      </c>
      <c r="J28" s="885">
        <v>116310.58190080854</v>
      </c>
      <c r="K28" s="885">
        <v>237816.56558846124</v>
      </c>
    </row>
    <row r="29" spans="1:11" ht="25.5" customHeight="1">
      <c r="A29" s="441">
        <v>25</v>
      </c>
      <c r="B29" s="443" t="s">
        <v>39</v>
      </c>
      <c r="C29" s="885">
        <v>2475000</v>
      </c>
      <c r="D29" s="885">
        <v>2391000</v>
      </c>
      <c r="E29" s="885">
        <v>4867000</v>
      </c>
      <c r="F29" s="885">
        <v>435525.43645098771</v>
      </c>
      <c r="G29" s="885">
        <v>421560.74274967099</v>
      </c>
      <c r="H29" s="885">
        <v>857086.17920065869</v>
      </c>
      <c r="I29" s="885">
        <v>513874.1622294772</v>
      </c>
      <c r="J29" s="885">
        <v>541300.98038264166</v>
      </c>
      <c r="K29" s="885">
        <v>1055175.142612119</v>
      </c>
    </row>
    <row r="30" spans="1:11" ht="25.5" customHeight="1">
      <c r="A30" s="441">
        <v>26</v>
      </c>
      <c r="B30" s="443" t="s">
        <v>40</v>
      </c>
      <c r="C30" s="885">
        <v>73521.583201194953</v>
      </c>
      <c r="D30" s="885">
        <v>80259.807204735989</v>
      </c>
      <c r="E30" s="885">
        <v>153781.39040593096</v>
      </c>
      <c r="F30" s="885">
        <v>12814.604324713991</v>
      </c>
      <c r="G30" s="885">
        <v>14142.886933206462</v>
      </c>
      <c r="H30" s="885">
        <v>26957.491257920454</v>
      </c>
      <c r="I30" s="885">
        <v>0</v>
      </c>
      <c r="J30" s="885">
        <v>0</v>
      </c>
      <c r="K30" s="885">
        <v>0</v>
      </c>
    </row>
    <row r="31" spans="1:11" ht="25.5" customHeight="1">
      <c r="A31" s="441">
        <v>27</v>
      </c>
      <c r="B31" s="443" t="s">
        <v>41</v>
      </c>
      <c r="C31" s="885">
        <v>1727000</v>
      </c>
      <c r="D31" s="885">
        <v>1408000</v>
      </c>
      <c r="E31" s="885">
        <v>3135000</v>
      </c>
      <c r="F31" s="885">
        <v>573878.1543514065</v>
      </c>
      <c r="G31" s="885">
        <v>477529.47927309183</v>
      </c>
      <c r="H31" s="885">
        <v>1051407.6336244985</v>
      </c>
      <c r="I31" s="885">
        <v>0</v>
      </c>
      <c r="J31" s="885">
        <v>0</v>
      </c>
      <c r="K31" s="885">
        <v>0</v>
      </c>
    </row>
    <row r="32" spans="1:11" ht="25.5" customHeight="1">
      <c r="A32" s="441">
        <v>28</v>
      </c>
      <c r="B32" s="443" t="s">
        <v>42</v>
      </c>
      <c r="C32" s="885">
        <v>4937000</v>
      </c>
      <c r="D32" s="886">
        <v>4478000</v>
      </c>
      <c r="E32" s="885">
        <v>9415000</v>
      </c>
      <c r="F32" s="885">
        <v>920333.89229072293</v>
      </c>
      <c r="G32" s="885">
        <v>807797.53895209054</v>
      </c>
      <c r="H32" s="885">
        <v>1728131.4312428136</v>
      </c>
      <c r="I32" s="885">
        <v>611572.02534093079</v>
      </c>
      <c r="J32" s="885">
        <v>592094.78450796311</v>
      </c>
      <c r="K32" s="885">
        <v>1203666.8098488939</v>
      </c>
    </row>
    <row r="33" spans="1:11" ht="25.5" customHeight="1">
      <c r="A33" s="441">
        <v>29</v>
      </c>
      <c r="B33" s="443" t="s">
        <v>43</v>
      </c>
      <c r="C33" s="885">
        <v>46305.599999999999</v>
      </c>
      <c r="D33" s="885">
        <v>41176.299999999996</v>
      </c>
      <c r="E33" s="885">
        <v>87481.900000000009</v>
      </c>
      <c r="F33" s="885">
        <v>2096.4762457157922</v>
      </c>
      <c r="G33" s="885">
        <v>2122.0972729373698</v>
      </c>
      <c r="H33" s="885">
        <v>4218.573518653162</v>
      </c>
      <c r="I33" s="885">
        <v>14711.958238861058</v>
      </c>
      <c r="J33" s="885">
        <v>14217.100115553501</v>
      </c>
      <c r="K33" s="885">
        <v>28929.058354414559</v>
      </c>
    </row>
    <row r="34" spans="1:11" ht="25.5" customHeight="1">
      <c r="A34" s="441">
        <v>30</v>
      </c>
      <c r="B34" s="443" t="s">
        <v>916</v>
      </c>
      <c r="C34" s="885">
        <v>3627000</v>
      </c>
      <c r="D34" s="885">
        <v>3406000</v>
      </c>
      <c r="E34" s="885">
        <v>7034000</v>
      </c>
      <c r="F34" s="885">
        <v>786044.85981308413</v>
      </c>
      <c r="G34" s="885">
        <v>756418.12469258485</v>
      </c>
      <c r="H34" s="885">
        <v>1542462.984505669</v>
      </c>
      <c r="I34" s="885">
        <v>40285.04672897196</v>
      </c>
      <c r="J34" s="885">
        <v>39841.378825749583</v>
      </c>
      <c r="K34" s="885">
        <v>80126.425554721543</v>
      </c>
    </row>
    <row r="35" spans="1:11" ht="25.5" customHeight="1">
      <c r="A35" s="441">
        <v>31</v>
      </c>
      <c r="B35" s="443" t="s">
        <v>131</v>
      </c>
      <c r="C35" s="885">
        <v>2058000</v>
      </c>
      <c r="D35" s="885">
        <v>1932000</v>
      </c>
      <c r="E35" s="885">
        <v>3993000</v>
      </c>
      <c r="F35" s="885">
        <v>334591.85467081994</v>
      </c>
      <c r="G35" s="885">
        <v>313624.58212161547</v>
      </c>
      <c r="H35" s="885">
        <v>648216.43679243536</v>
      </c>
      <c r="I35" s="885">
        <v>184479.20361058551</v>
      </c>
      <c r="J35" s="885">
        <v>177101.19264103918</v>
      </c>
      <c r="K35" s="885">
        <v>361580.39625162468</v>
      </c>
    </row>
    <row r="36" spans="1:11" ht="30.75" customHeight="1">
      <c r="A36" s="441">
        <v>32</v>
      </c>
      <c r="B36" s="443" t="s">
        <v>1062</v>
      </c>
      <c r="C36" s="885">
        <v>77337.702745579372</v>
      </c>
      <c r="D36" s="885">
        <v>36904.182130529138</v>
      </c>
      <c r="E36" s="885">
        <v>114241.88487610851</v>
      </c>
      <c r="F36" s="885">
        <v>1050.0345803100001</v>
      </c>
      <c r="G36" s="885">
        <v>842.55087752539839</v>
      </c>
      <c r="H36" s="885">
        <v>1892.5854578353985</v>
      </c>
      <c r="I36" s="885">
        <v>13372.202810767843</v>
      </c>
      <c r="J36" s="885">
        <v>14349.721993107807</v>
      </c>
      <c r="K36" s="885">
        <v>27721.924803875652</v>
      </c>
    </row>
    <row r="37" spans="1:11" ht="25.5" customHeight="1">
      <c r="A37" s="441">
        <v>33</v>
      </c>
      <c r="B37" s="443" t="s">
        <v>45</v>
      </c>
      <c r="C37" s="885">
        <v>243995.59999999998</v>
      </c>
      <c r="D37" s="885">
        <v>241269.8</v>
      </c>
      <c r="E37" s="885">
        <v>485265.4</v>
      </c>
      <c r="F37" s="885">
        <v>47428.161798445668</v>
      </c>
      <c r="G37" s="885">
        <v>44740.450905743353</v>
      </c>
      <c r="H37" s="885">
        <v>92168.612704189014</v>
      </c>
      <c r="I37" s="885">
        <v>76214.74379041107</v>
      </c>
      <c r="J37" s="885">
        <v>81716.613034676528</v>
      </c>
      <c r="K37" s="885">
        <v>157931.3568250876</v>
      </c>
    </row>
    <row r="38" spans="1:11" ht="25.5" customHeight="1">
      <c r="A38" s="441">
        <v>34</v>
      </c>
      <c r="B38" s="443" t="s">
        <v>47</v>
      </c>
      <c r="C38" s="885">
        <v>15347000</v>
      </c>
      <c r="D38" s="885">
        <v>13552000</v>
      </c>
      <c r="E38" s="885">
        <v>28901000</v>
      </c>
      <c r="F38" s="885">
        <v>3129798.1105207815</v>
      </c>
      <c r="G38" s="885">
        <v>2676186.8101055468</v>
      </c>
      <c r="H38" s="885">
        <v>5805984.9206263283</v>
      </c>
      <c r="I38" s="885">
        <v>74211.217112452796</v>
      </c>
      <c r="J38" s="885">
        <v>73455.91492448622</v>
      </c>
      <c r="K38" s="885">
        <v>147667.13203693903</v>
      </c>
    </row>
    <row r="39" spans="1:11" ht="25.5" customHeight="1">
      <c r="A39" s="441">
        <v>35</v>
      </c>
      <c r="B39" s="443" t="s">
        <v>46</v>
      </c>
      <c r="C39" s="885">
        <v>715000</v>
      </c>
      <c r="D39" s="885">
        <v>644000</v>
      </c>
      <c r="E39" s="885">
        <v>1357000</v>
      </c>
      <c r="F39" s="885">
        <v>135398.03069322294</v>
      </c>
      <c r="G39" s="885">
        <v>121619.27299861422</v>
      </c>
      <c r="H39" s="885">
        <v>257017.30369183718</v>
      </c>
      <c r="I39" s="885">
        <v>21993.844740756533</v>
      </c>
      <c r="J39" s="885">
        <v>21031.007027297401</v>
      </c>
      <c r="K39" s="885">
        <v>43024.851768053937</v>
      </c>
    </row>
    <row r="40" spans="1:11" ht="25.5" customHeight="1">
      <c r="A40" s="441">
        <v>36</v>
      </c>
      <c r="B40" s="443" t="s">
        <v>48</v>
      </c>
      <c r="C40" s="885">
        <v>5305000</v>
      </c>
      <c r="D40" s="885">
        <v>5032000</v>
      </c>
      <c r="E40" s="885">
        <v>10337000</v>
      </c>
      <c r="F40" s="885">
        <v>1149701.6766772573</v>
      </c>
      <c r="G40" s="885">
        <v>1117526.7185710769</v>
      </c>
      <c r="H40" s="885">
        <v>2267228.3952483339</v>
      </c>
      <c r="I40" s="885">
        <v>310717.33825644641</v>
      </c>
      <c r="J40" s="885">
        <v>313849.24212233734</v>
      </c>
      <c r="K40" s="885">
        <v>624566.58037878375</v>
      </c>
    </row>
    <row r="41" spans="1:11" s="430" customFormat="1" ht="23.25" customHeight="1">
      <c r="A41" s="1195" t="s">
        <v>49</v>
      </c>
      <c r="B41" s="1195"/>
      <c r="C41" s="887">
        <v>79885016.200000003</v>
      </c>
      <c r="D41" s="887">
        <v>72559000.200000003</v>
      </c>
      <c r="E41" s="887">
        <v>152452016.40000004</v>
      </c>
      <c r="F41" s="887">
        <v>13399699.63582311</v>
      </c>
      <c r="G41" s="887">
        <v>12184380.558628209</v>
      </c>
      <c r="H41" s="887">
        <v>25584080.194451317</v>
      </c>
      <c r="I41" s="887">
        <v>6379852.3742786888</v>
      </c>
      <c r="J41" s="887">
        <v>6435497.2919300217</v>
      </c>
      <c r="K41" s="887">
        <v>12815349.666208707</v>
      </c>
    </row>
  </sheetData>
  <mergeCells count="7">
    <mergeCell ref="A41:B41"/>
    <mergeCell ref="A1:K1"/>
    <mergeCell ref="A2:A3"/>
    <mergeCell ref="B2:B3"/>
    <mergeCell ref="C2:E2"/>
    <mergeCell ref="F2:H2"/>
    <mergeCell ref="I2:K2"/>
  </mergeCells>
  <pageMargins left="0.70866141732283472" right="0.70866141732283472" top="0.36" bottom="0.55118110236220474" header="0.2" footer="0.31496062992125984"/>
  <pageSetup scale="72" orientation="portrait" r:id="rId1"/>
  <headerFooter>
    <oddFooter>&amp;LAISHE 2021-22&amp;CT-38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50"/>
  </sheetPr>
  <dimension ref="A1:AO42"/>
  <sheetViews>
    <sheetView view="pageBreakPreview" topLeftCell="A31" zoomScaleSheetLayoutView="100" workbookViewId="0">
      <selection activeCell="F15" sqref="F15"/>
    </sheetView>
  </sheetViews>
  <sheetFormatPr defaultColWidth="9.28515625" defaultRowHeight="15.75"/>
  <cols>
    <col min="1" max="1" width="3.85546875" style="436" bestFit="1" customWidth="1"/>
    <col min="2" max="2" width="29.42578125" style="129" bestFit="1" customWidth="1"/>
    <col min="3" max="38" width="8.5703125" style="129" customWidth="1"/>
    <col min="39" max="16384" width="9.28515625" style="129"/>
  </cols>
  <sheetData>
    <row r="1" spans="1:38" s="79" customFormat="1" ht="36" customHeight="1">
      <c r="A1" s="130"/>
      <c r="B1" s="80" t="s">
        <v>139</v>
      </c>
      <c r="C1" s="991" t="s">
        <v>1060</v>
      </c>
      <c r="D1" s="991"/>
      <c r="E1" s="991"/>
      <c r="F1" s="991"/>
      <c r="G1" s="991"/>
      <c r="H1" s="991"/>
      <c r="I1" s="991"/>
      <c r="J1" s="991"/>
      <c r="K1" s="991"/>
      <c r="L1" s="991"/>
      <c r="M1" s="991"/>
      <c r="N1" s="991"/>
      <c r="O1" s="991" t="str">
        <f>C1</f>
        <v>Enrolment by Type in  University teaching departments and it's Constituent Units/Off-campus Centres (Based on Actual Response)</v>
      </c>
      <c r="P1" s="991"/>
      <c r="Q1" s="991"/>
      <c r="R1" s="991"/>
      <c r="S1" s="991"/>
      <c r="T1" s="991"/>
      <c r="U1" s="991"/>
      <c r="V1" s="991"/>
      <c r="W1" s="991"/>
      <c r="X1" s="991"/>
      <c r="Y1" s="991"/>
      <c r="Z1" s="991"/>
      <c r="AA1" s="991" t="str">
        <f>O1</f>
        <v>Enrolment by Type in  University teaching departments and it's Constituent Units/Off-campus Centres (Based on Actual Response)</v>
      </c>
      <c r="AB1" s="991"/>
      <c r="AC1" s="991"/>
      <c r="AD1" s="991"/>
      <c r="AE1" s="991"/>
      <c r="AF1" s="991"/>
      <c r="AG1" s="991"/>
      <c r="AH1" s="991"/>
      <c r="AI1" s="991"/>
      <c r="AJ1" s="991"/>
      <c r="AK1" s="991"/>
      <c r="AL1" s="991"/>
    </row>
    <row r="2" spans="1:38" s="330" customFormat="1" ht="33" customHeight="1">
      <c r="A2" s="1196" t="s">
        <v>988</v>
      </c>
      <c r="B2" s="1196" t="s">
        <v>168</v>
      </c>
      <c r="C2" s="1199" t="s">
        <v>873</v>
      </c>
      <c r="D2" s="1199"/>
      <c r="E2" s="1199"/>
      <c r="F2" s="1199" t="s">
        <v>156</v>
      </c>
      <c r="G2" s="1199"/>
      <c r="H2" s="1199"/>
      <c r="I2" s="1187" t="s">
        <v>157</v>
      </c>
      <c r="J2" s="1187"/>
      <c r="K2" s="1187"/>
      <c r="L2" s="1199" t="s">
        <v>158</v>
      </c>
      <c r="M2" s="1199"/>
      <c r="N2" s="1199"/>
      <c r="O2" s="1199" t="s">
        <v>159</v>
      </c>
      <c r="P2" s="1199"/>
      <c r="Q2" s="1199"/>
      <c r="R2" s="1187" t="s">
        <v>160</v>
      </c>
      <c r="S2" s="1187"/>
      <c r="T2" s="1187"/>
      <c r="U2" s="1187" t="s">
        <v>161</v>
      </c>
      <c r="V2" s="1187"/>
      <c r="W2" s="1187"/>
      <c r="X2" s="1199" t="s">
        <v>874</v>
      </c>
      <c r="Y2" s="1199"/>
      <c r="Z2" s="1199"/>
      <c r="AA2" s="1187" t="s">
        <v>162</v>
      </c>
      <c r="AB2" s="1187"/>
      <c r="AC2" s="1187"/>
      <c r="AD2" s="1187" t="s">
        <v>163</v>
      </c>
      <c r="AE2" s="1187"/>
      <c r="AF2" s="1187"/>
      <c r="AG2" s="1187" t="s">
        <v>164</v>
      </c>
      <c r="AH2" s="1187"/>
      <c r="AI2" s="1187"/>
      <c r="AJ2" s="1199" t="s">
        <v>60</v>
      </c>
      <c r="AK2" s="1199"/>
      <c r="AL2" s="1199"/>
    </row>
    <row r="3" spans="1:38" s="331" customFormat="1" ht="24.75" customHeight="1">
      <c r="A3" s="1197"/>
      <c r="B3" s="1197"/>
      <c r="C3" s="519" t="s">
        <v>87</v>
      </c>
      <c r="D3" s="519" t="s">
        <v>88</v>
      </c>
      <c r="E3" s="519" t="s">
        <v>12</v>
      </c>
      <c r="F3" s="519" t="s">
        <v>87</v>
      </c>
      <c r="G3" s="519" t="s">
        <v>88</v>
      </c>
      <c r="H3" s="519" t="s">
        <v>12</v>
      </c>
      <c r="I3" s="519" t="s">
        <v>87</v>
      </c>
      <c r="J3" s="519" t="s">
        <v>88</v>
      </c>
      <c r="K3" s="519" t="s">
        <v>12</v>
      </c>
      <c r="L3" s="519" t="s">
        <v>87</v>
      </c>
      <c r="M3" s="519" t="s">
        <v>88</v>
      </c>
      <c r="N3" s="519" t="s">
        <v>12</v>
      </c>
      <c r="O3" s="519" t="s">
        <v>87</v>
      </c>
      <c r="P3" s="519" t="s">
        <v>88</v>
      </c>
      <c r="Q3" s="519" t="s">
        <v>12</v>
      </c>
      <c r="R3" s="519" t="s">
        <v>87</v>
      </c>
      <c r="S3" s="519" t="s">
        <v>88</v>
      </c>
      <c r="T3" s="519" t="s">
        <v>12</v>
      </c>
      <c r="U3" s="519" t="s">
        <v>87</v>
      </c>
      <c r="V3" s="519" t="s">
        <v>88</v>
      </c>
      <c r="W3" s="519" t="s">
        <v>12</v>
      </c>
      <c r="X3" s="519" t="s">
        <v>87</v>
      </c>
      <c r="Y3" s="519" t="s">
        <v>88</v>
      </c>
      <c r="Z3" s="519" t="s">
        <v>12</v>
      </c>
      <c r="AA3" s="519" t="s">
        <v>87</v>
      </c>
      <c r="AB3" s="519" t="s">
        <v>88</v>
      </c>
      <c r="AC3" s="519" t="s">
        <v>12</v>
      </c>
      <c r="AD3" s="519" t="s">
        <v>87</v>
      </c>
      <c r="AE3" s="519" t="s">
        <v>88</v>
      </c>
      <c r="AF3" s="519" t="s">
        <v>12</v>
      </c>
      <c r="AG3" s="519" t="s">
        <v>87</v>
      </c>
      <c r="AH3" s="519" t="s">
        <v>88</v>
      </c>
      <c r="AI3" s="519" t="s">
        <v>12</v>
      </c>
      <c r="AJ3" s="519" t="s">
        <v>87</v>
      </c>
      <c r="AK3" s="519" t="s">
        <v>88</v>
      </c>
      <c r="AL3" s="519" t="s">
        <v>12</v>
      </c>
    </row>
    <row r="4" spans="1:38" s="333" customFormat="1" ht="15" customHeight="1">
      <c r="A4" s="445">
        <v>1</v>
      </c>
      <c r="B4" s="332">
        <v>2</v>
      </c>
      <c r="C4" s="332">
        <v>3</v>
      </c>
      <c r="D4" s="332">
        <v>4</v>
      </c>
      <c r="E4" s="332">
        <v>5</v>
      </c>
      <c r="F4" s="332">
        <v>6</v>
      </c>
      <c r="G4" s="332">
        <v>7</v>
      </c>
      <c r="H4" s="332">
        <v>8</v>
      </c>
      <c r="I4" s="332">
        <v>9</v>
      </c>
      <c r="J4" s="332">
        <v>10</v>
      </c>
      <c r="K4" s="332">
        <v>11</v>
      </c>
      <c r="L4" s="332">
        <v>12</v>
      </c>
      <c r="M4" s="332">
        <v>13</v>
      </c>
      <c r="N4" s="332">
        <v>14</v>
      </c>
      <c r="O4" s="332">
        <v>15</v>
      </c>
      <c r="P4" s="332">
        <v>16</v>
      </c>
      <c r="Q4" s="332">
        <v>17</v>
      </c>
      <c r="R4" s="332">
        <v>18</v>
      </c>
      <c r="S4" s="332">
        <v>19</v>
      </c>
      <c r="T4" s="332">
        <v>20</v>
      </c>
      <c r="U4" s="332">
        <v>21</v>
      </c>
      <c r="V4" s="332">
        <v>22</v>
      </c>
      <c r="W4" s="332">
        <v>23</v>
      </c>
      <c r="X4" s="332">
        <v>24</v>
      </c>
      <c r="Y4" s="332">
        <v>25</v>
      </c>
      <c r="Z4" s="332">
        <v>26</v>
      </c>
      <c r="AA4" s="332">
        <v>27</v>
      </c>
      <c r="AB4" s="332">
        <v>28</v>
      </c>
      <c r="AC4" s="332">
        <v>29</v>
      </c>
      <c r="AD4" s="332">
        <v>30</v>
      </c>
      <c r="AE4" s="332">
        <v>31</v>
      </c>
      <c r="AF4" s="332">
        <v>32</v>
      </c>
      <c r="AG4" s="332">
        <v>33</v>
      </c>
      <c r="AH4" s="332">
        <v>34</v>
      </c>
      <c r="AI4" s="332">
        <v>35</v>
      </c>
      <c r="AJ4" s="332">
        <v>39</v>
      </c>
      <c r="AK4" s="332">
        <v>40</v>
      </c>
      <c r="AL4" s="332">
        <v>41</v>
      </c>
    </row>
    <row r="5" spans="1:38" s="333" customFormat="1" ht="31.5" customHeight="1">
      <c r="A5" s="446">
        <v>1</v>
      </c>
      <c r="B5" s="231" t="s">
        <v>1061</v>
      </c>
      <c r="C5" s="113"/>
      <c r="D5" s="113"/>
      <c r="E5" s="113"/>
      <c r="F5" s="113">
        <v>2091</v>
      </c>
      <c r="G5" s="113">
        <v>1939</v>
      </c>
      <c r="H5" s="113">
        <v>4030</v>
      </c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>
        <v>0</v>
      </c>
      <c r="V5" s="113"/>
      <c r="W5" s="113"/>
      <c r="X5" s="113">
        <v>0</v>
      </c>
      <c r="Y5" s="113"/>
      <c r="Z5" s="113"/>
      <c r="AA5" s="113">
        <v>0</v>
      </c>
      <c r="AB5" s="113"/>
      <c r="AC5" s="113"/>
      <c r="AD5" s="113">
        <v>0</v>
      </c>
      <c r="AE5" s="113"/>
      <c r="AF5" s="113"/>
      <c r="AG5" s="113">
        <v>0</v>
      </c>
      <c r="AH5" s="113"/>
      <c r="AI5" s="113"/>
      <c r="AJ5" s="113">
        <v>2091</v>
      </c>
      <c r="AK5" s="113">
        <v>1939</v>
      </c>
      <c r="AL5" s="113">
        <v>4030</v>
      </c>
    </row>
    <row r="6" spans="1:38" s="333" customFormat="1" ht="27" customHeight="1">
      <c r="A6" s="446">
        <v>2</v>
      </c>
      <c r="B6" s="334" t="s">
        <v>15</v>
      </c>
      <c r="C6" s="113">
        <v>2704</v>
      </c>
      <c r="D6" s="113">
        <v>1591</v>
      </c>
      <c r="E6" s="113">
        <v>4295</v>
      </c>
      <c r="F6" s="113">
        <v>6839</v>
      </c>
      <c r="G6" s="113">
        <v>2249</v>
      </c>
      <c r="H6" s="113">
        <v>9088</v>
      </c>
      <c r="I6" s="113">
        <v>5862</v>
      </c>
      <c r="J6" s="113">
        <v>2313</v>
      </c>
      <c r="K6" s="113">
        <v>8175</v>
      </c>
      <c r="L6" s="113">
        <v>21263</v>
      </c>
      <c r="M6" s="113">
        <v>20702</v>
      </c>
      <c r="N6" s="113">
        <v>41965</v>
      </c>
      <c r="O6" s="113">
        <v>9161</v>
      </c>
      <c r="P6" s="113">
        <v>4750</v>
      </c>
      <c r="Q6" s="113">
        <v>13911</v>
      </c>
      <c r="R6" s="113">
        <v>0</v>
      </c>
      <c r="S6" s="113"/>
      <c r="T6" s="113"/>
      <c r="U6" s="113">
        <v>292</v>
      </c>
      <c r="V6" s="113">
        <v>1761</v>
      </c>
      <c r="W6" s="113">
        <v>2053</v>
      </c>
      <c r="X6" s="113">
        <v>132668</v>
      </c>
      <c r="Y6" s="113">
        <v>113804</v>
      </c>
      <c r="Z6" s="113">
        <v>246472</v>
      </c>
      <c r="AA6" s="113">
        <v>0</v>
      </c>
      <c r="AB6" s="113"/>
      <c r="AC6" s="113"/>
      <c r="AD6" s="113">
        <v>0</v>
      </c>
      <c r="AE6" s="113"/>
      <c r="AF6" s="113"/>
      <c r="AG6" s="113">
        <v>23376</v>
      </c>
      <c r="AH6" s="113">
        <v>14626</v>
      </c>
      <c r="AI6" s="113">
        <v>38002</v>
      </c>
      <c r="AJ6" s="113">
        <v>202165</v>
      </c>
      <c r="AK6" s="113">
        <v>161796</v>
      </c>
      <c r="AL6" s="113">
        <v>363961</v>
      </c>
    </row>
    <row r="7" spans="1:38" s="333" customFormat="1" ht="27" customHeight="1">
      <c r="A7" s="446">
        <v>3</v>
      </c>
      <c r="B7" s="334" t="s">
        <v>16</v>
      </c>
      <c r="C7" s="113">
        <v>2311</v>
      </c>
      <c r="D7" s="113">
        <v>2294</v>
      </c>
      <c r="E7" s="113">
        <v>4605</v>
      </c>
      <c r="F7" s="113">
        <v>4227</v>
      </c>
      <c r="G7" s="113">
        <v>5597</v>
      </c>
      <c r="H7" s="113">
        <v>9824</v>
      </c>
      <c r="I7" s="113">
        <v>894</v>
      </c>
      <c r="J7" s="113">
        <v>227</v>
      </c>
      <c r="K7" s="113">
        <v>1121</v>
      </c>
      <c r="L7" s="113">
        <v>0</v>
      </c>
      <c r="M7" s="113"/>
      <c r="N7" s="113"/>
      <c r="O7" s="113">
        <v>8778</v>
      </c>
      <c r="P7" s="113">
        <v>5069</v>
      </c>
      <c r="Q7" s="113">
        <v>13847</v>
      </c>
      <c r="R7" s="113">
        <v>2096</v>
      </c>
      <c r="S7" s="113">
        <v>1137</v>
      </c>
      <c r="T7" s="113">
        <v>3233</v>
      </c>
      <c r="U7" s="113">
        <v>0</v>
      </c>
      <c r="V7" s="113"/>
      <c r="W7" s="113"/>
      <c r="X7" s="113">
        <v>0</v>
      </c>
      <c r="Y7" s="113"/>
      <c r="Z7" s="113"/>
      <c r="AA7" s="113">
        <v>1639</v>
      </c>
      <c r="AB7" s="113">
        <v>730</v>
      </c>
      <c r="AC7" s="113">
        <v>2369</v>
      </c>
      <c r="AD7" s="113">
        <v>0</v>
      </c>
      <c r="AE7" s="113"/>
      <c r="AF7" s="113"/>
      <c r="AG7" s="113">
        <v>0</v>
      </c>
      <c r="AH7" s="113"/>
      <c r="AI7" s="113"/>
      <c r="AJ7" s="113">
        <v>19945</v>
      </c>
      <c r="AK7" s="113">
        <v>15054</v>
      </c>
      <c r="AL7" s="113">
        <v>34999</v>
      </c>
    </row>
    <row r="8" spans="1:38" s="333" customFormat="1" ht="27" customHeight="1">
      <c r="A8" s="446">
        <v>4</v>
      </c>
      <c r="B8" s="334" t="s">
        <v>17</v>
      </c>
      <c r="C8" s="113">
        <v>4970</v>
      </c>
      <c r="D8" s="113">
        <v>4854</v>
      </c>
      <c r="E8" s="113">
        <v>9824</v>
      </c>
      <c r="F8" s="113">
        <v>11256</v>
      </c>
      <c r="G8" s="113">
        <v>10073</v>
      </c>
      <c r="H8" s="113">
        <v>21329</v>
      </c>
      <c r="I8" s="113">
        <v>8616</v>
      </c>
      <c r="J8" s="113">
        <v>2743</v>
      </c>
      <c r="K8" s="113">
        <v>11359</v>
      </c>
      <c r="L8" s="113">
        <v>14117</v>
      </c>
      <c r="M8" s="113">
        <v>11489</v>
      </c>
      <c r="N8" s="113">
        <v>25606</v>
      </c>
      <c r="O8" s="113">
        <v>9050</v>
      </c>
      <c r="P8" s="113">
        <v>7591</v>
      </c>
      <c r="Q8" s="113">
        <v>16641</v>
      </c>
      <c r="R8" s="113">
        <v>0</v>
      </c>
      <c r="S8" s="113"/>
      <c r="T8" s="113"/>
      <c r="U8" s="113">
        <v>0</v>
      </c>
      <c r="V8" s="113"/>
      <c r="W8" s="113"/>
      <c r="X8" s="113">
        <v>15538</v>
      </c>
      <c r="Y8" s="113">
        <v>20348</v>
      </c>
      <c r="Z8" s="113">
        <v>35886</v>
      </c>
      <c r="AA8" s="113">
        <v>1323</v>
      </c>
      <c r="AB8" s="113">
        <v>466</v>
      </c>
      <c r="AC8" s="113">
        <v>1789</v>
      </c>
      <c r="AD8" s="113">
        <v>161</v>
      </c>
      <c r="AE8" s="113">
        <v>180</v>
      </c>
      <c r="AF8" s="113">
        <v>341</v>
      </c>
      <c r="AG8" s="113">
        <v>0</v>
      </c>
      <c r="AH8" s="113"/>
      <c r="AI8" s="113"/>
      <c r="AJ8" s="113">
        <v>65031</v>
      </c>
      <c r="AK8" s="113">
        <v>57744</v>
      </c>
      <c r="AL8" s="113">
        <v>122775</v>
      </c>
    </row>
    <row r="9" spans="1:38" s="333" customFormat="1" ht="27" customHeight="1">
      <c r="A9" s="446">
        <v>5</v>
      </c>
      <c r="B9" s="334" t="s">
        <v>18</v>
      </c>
      <c r="C9" s="113">
        <v>4259</v>
      </c>
      <c r="D9" s="113">
        <v>2847</v>
      </c>
      <c r="E9" s="113">
        <v>7106</v>
      </c>
      <c r="F9" s="113">
        <v>70869</v>
      </c>
      <c r="G9" s="113">
        <v>47812</v>
      </c>
      <c r="H9" s="113">
        <v>118681</v>
      </c>
      <c r="I9" s="113">
        <v>6831</v>
      </c>
      <c r="J9" s="113">
        <v>2490</v>
      </c>
      <c r="K9" s="113">
        <v>9321</v>
      </c>
      <c r="L9" s="113">
        <v>17903</v>
      </c>
      <c r="M9" s="113">
        <v>14246</v>
      </c>
      <c r="N9" s="113">
        <v>32149</v>
      </c>
      <c r="O9" s="113">
        <v>10508</v>
      </c>
      <c r="P9" s="113">
        <v>5618</v>
      </c>
      <c r="Q9" s="113">
        <v>16126</v>
      </c>
      <c r="R9" s="113">
        <v>0</v>
      </c>
      <c r="S9" s="113"/>
      <c r="T9" s="113"/>
      <c r="U9" s="113">
        <v>391</v>
      </c>
      <c r="V9" s="113">
        <v>215</v>
      </c>
      <c r="W9" s="113">
        <v>606</v>
      </c>
      <c r="X9" s="113">
        <v>79519</v>
      </c>
      <c r="Y9" s="113">
        <v>43640</v>
      </c>
      <c r="Z9" s="113">
        <v>123159</v>
      </c>
      <c r="AA9" s="113">
        <v>372</v>
      </c>
      <c r="AB9" s="113">
        <v>169</v>
      </c>
      <c r="AC9" s="113">
        <v>541</v>
      </c>
      <c r="AD9" s="113">
        <v>0</v>
      </c>
      <c r="AE9" s="113"/>
      <c r="AF9" s="113"/>
      <c r="AG9" s="113">
        <v>777</v>
      </c>
      <c r="AH9" s="113">
        <v>300</v>
      </c>
      <c r="AI9" s="113">
        <v>1077</v>
      </c>
      <c r="AJ9" s="113">
        <v>191429</v>
      </c>
      <c r="AK9" s="113">
        <v>117337</v>
      </c>
      <c r="AL9" s="113">
        <v>308766</v>
      </c>
    </row>
    <row r="10" spans="1:38" s="333" customFormat="1" ht="27" customHeight="1">
      <c r="A10" s="446">
        <v>6</v>
      </c>
      <c r="B10" s="334" t="s">
        <v>19</v>
      </c>
      <c r="C10" s="113">
        <v>0</v>
      </c>
      <c r="D10" s="113"/>
      <c r="E10" s="113"/>
      <c r="F10" s="113">
        <v>12661</v>
      </c>
      <c r="G10" s="113">
        <v>9083</v>
      </c>
      <c r="H10" s="113">
        <v>21744</v>
      </c>
      <c r="I10" s="113">
        <v>558</v>
      </c>
      <c r="J10" s="113">
        <v>816</v>
      </c>
      <c r="K10" s="113">
        <v>1374</v>
      </c>
      <c r="L10" s="113">
        <v>0</v>
      </c>
      <c r="M10" s="113"/>
      <c r="N10" s="113"/>
      <c r="O10" s="113">
        <v>0</v>
      </c>
      <c r="P10" s="113"/>
      <c r="Q10" s="113"/>
      <c r="R10" s="113">
        <v>0</v>
      </c>
      <c r="S10" s="113"/>
      <c r="T10" s="113"/>
      <c r="U10" s="113">
        <v>0</v>
      </c>
      <c r="V10" s="113"/>
      <c r="W10" s="113"/>
      <c r="X10" s="113">
        <v>17312</v>
      </c>
      <c r="Y10" s="113">
        <v>14615</v>
      </c>
      <c r="Z10" s="113">
        <v>31927</v>
      </c>
      <c r="AA10" s="113">
        <v>2453</v>
      </c>
      <c r="AB10" s="113">
        <v>492</v>
      </c>
      <c r="AC10" s="113">
        <v>2945</v>
      </c>
      <c r="AD10" s="113">
        <v>0</v>
      </c>
      <c r="AE10" s="113"/>
      <c r="AF10" s="113"/>
      <c r="AG10" s="113">
        <v>0</v>
      </c>
      <c r="AH10" s="113"/>
      <c r="AI10" s="113"/>
      <c r="AJ10" s="113">
        <v>32984</v>
      </c>
      <c r="AK10" s="113">
        <v>25006</v>
      </c>
      <c r="AL10" s="113">
        <v>57990</v>
      </c>
    </row>
    <row r="11" spans="1:38" s="333" customFormat="1" ht="27" customHeight="1">
      <c r="A11" s="446">
        <v>7</v>
      </c>
      <c r="B11" s="334" t="s">
        <v>20</v>
      </c>
      <c r="C11" s="113">
        <v>5473</v>
      </c>
      <c r="D11" s="113">
        <v>4155</v>
      </c>
      <c r="E11" s="113">
        <v>9628</v>
      </c>
      <c r="F11" s="113">
        <v>4504</v>
      </c>
      <c r="G11" s="113">
        <v>2833</v>
      </c>
      <c r="H11" s="113">
        <v>7337</v>
      </c>
      <c r="I11" s="113">
        <v>4949</v>
      </c>
      <c r="J11" s="113">
        <v>2074</v>
      </c>
      <c r="K11" s="113">
        <v>7023</v>
      </c>
      <c r="L11" s="113">
        <v>18555</v>
      </c>
      <c r="M11" s="113">
        <v>16091</v>
      </c>
      <c r="N11" s="113">
        <v>34646</v>
      </c>
      <c r="O11" s="113">
        <v>18656</v>
      </c>
      <c r="P11" s="113">
        <v>11321</v>
      </c>
      <c r="Q11" s="113">
        <v>29977</v>
      </c>
      <c r="R11" s="113">
        <v>0</v>
      </c>
      <c r="S11" s="113"/>
      <c r="T11" s="113"/>
      <c r="U11" s="113">
        <v>0</v>
      </c>
      <c r="V11" s="113"/>
      <c r="W11" s="113"/>
      <c r="X11" s="113">
        <v>5705</v>
      </c>
      <c r="Y11" s="113">
        <v>5031</v>
      </c>
      <c r="Z11" s="113">
        <v>10736</v>
      </c>
      <c r="AA11" s="113">
        <v>0</v>
      </c>
      <c r="AB11" s="113"/>
      <c r="AC11" s="113"/>
      <c r="AD11" s="113">
        <v>0</v>
      </c>
      <c r="AE11" s="113"/>
      <c r="AF11" s="113"/>
      <c r="AG11" s="113">
        <v>0</v>
      </c>
      <c r="AH11" s="113"/>
      <c r="AI11" s="113"/>
      <c r="AJ11" s="113">
        <v>57842</v>
      </c>
      <c r="AK11" s="113">
        <v>41505</v>
      </c>
      <c r="AL11" s="113">
        <v>99347</v>
      </c>
    </row>
    <row r="12" spans="1:38" s="333" customFormat="1" ht="27" customHeight="1">
      <c r="A12" s="446">
        <v>8</v>
      </c>
      <c r="B12" s="334" t="s">
        <v>23</v>
      </c>
      <c r="C12" s="113">
        <v>217127</v>
      </c>
      <c r="D12" s="113">
        <v>214001</v>
      </c>
      <c r="E12" s="113">
        <v>431128</v>
      </c>
      <c r="F12" s="113">
        <v>162929</v>
      </c>
      <c r="G12" s="113">
        <v>152277</v>
      </c>
      <c r="H12" s="113">
        <v>315206</v>
      </c>
      <c r="I12" s="113">
        <v>10391</v>
      </c>
      <c r="J12" s="113">
        <v>5503</v>
      </c>
      <c r="K12" s="113">
        <v>15894</v>
      </c>
      <c r="L12" s="113">
        <v>0</v>
      </c>
      <c r="M12" s="113"/>
      <c r="N12" s="113"/>
      <c r="O12" s="113">
        <v>0</v>
      </c>
      <c r="P12" s="113"/>
      <c r="Q12" s="113"/>
      <c r="R12" s="113">
        <v>0</v>
      </c>
      <c r="S12" s="113"/>
      <c r="T12" s="113"/>
      <c r="U12" s="113">
        <v>0</v>
      </c>
      <c r="V12" s="113"/>
      <c r="W12" s="113"/>
      <c r="X12" s="113">
        <v>24446</v>
      </c>
      <c r="Y12" s="113">
        <v>11936</v>
      </c>
      <c r="Z12" s="113">
        <v>36382</v>
      </c>
      <c r="AA12" s="113">
        <v>2160</v>
      </c>
      <c r="AB12" s="113">
        <v>1332</v>
      </c>
      <c r="AC12" s="113">
        <v>3492</v>
      </c>
      <c r="AD12" s="113">
        <v>5263</v>
      </c>
      <c r="AE12" s="113">
        <v>4605</v>
      </c>
      <c r="AF12" s="113">
        <v>9868</v>
      </c>
      <c r="AG12" s="113">
        <v>1674</v>
      </c>
      <c r="AH12" s="113">
        <v>1069</v>
      </c>
      <c r="AI12" s="113">
        <v>2743</v>
      </c>
      <c r="AJ12" s="113">
        <v>423990</v>
      </c>
      <c r="AK12" s="113">
        <v>390723</v>
      </c>
      <c r="AL12" s="113">
        <v>814713</v>
      </c>
    </row>
    <row r="13" spans="1:38" s="333" customFormat="1" ht="27" customHeight="1">
      <c r="A13" s="446">
        <v>9</v>
      </c>
      <c r="B13" s="334" t="s">
        <v>24</v>
      </c>
      <c r="C13" s="113">
        <v>0</v>
      </c>
      <c r="D13" s="113"/>
      <c r="E13" s="113"/>
      <c r="F13" s="113">
        <v>3222</v>
      </c>
      <c r="G13" s="113">
        <v>2353</v>
      </c>
      <c r="H13" s="113">
        <v>5575</v>
      </c>
      <c r="I13" s="113">
        <v>1184</v>
      </c>
      <c r="J13" s="113">
        <v>322</v>
      </c>
      <c r="K13" s="113">
        <v>1506</v>
      </c>
      <c r="L13" s="113">
        <v>0</v>
      </c>
      <c r="M13" s="113"/>
      <c r="N13" s="113"/>
      <c r="O13" s="113">
        <v>0</v>
      </c>
      <c r="P13" s="113"/>
      <c r="Q13" s="113"/>
      <c r="R13" s="113">
        <v>0</v>
      </c>
      <c r="S13" s="113"/>
      <c r="T13" s="113"/>
      <c r="U13" s="113">
        <v>0</v>
      </c>
      <c r="V13" s="113"/>
      <c r="W13" s="113"/>
      <c r="X13" s="113">
        <v>913</v>
      </c>
      <c r="Y13" s="113">
        <v>1602</v>
      </c>
      <c r="Z13" s="113">
        <v>2515</v>
      </c>
      <c r="AA13" s="113">
        <v>0</v>
      </c>
      <c r="AB13" s="113"/>
      <c r="AC13" s="113"/>
      <c r="AD13" s="113">
        <v>0</v>
      </c>
      <c r="AE13" s="113"/>
      <c r="AF13" s="113"/>
      <c r="AG13" s="113">
        <v>3782</v>
      </c>
      <c r="AH13" s="113">
        <v>627</v>
      </c>
      <c r="AI13" s="113">
        <v>4409</v>
      </c>
      <c r="AJ13" s="113">
        <v>9101</v>
      </c>
      <c r="AK13" s="113">
        <v>4904</v>
      </c>
      <c r="AL13" s="113">
        <v>14005</v>
      </c>
    </row>
    <row r="14" spans="1:38" s="333" customFormat="1" ht="27" customHeight="1">
      <c r="A14" s="446">
        <v>10</v>
      </c>
      <c r="B14" s="334" t="s">
        <v>25</v>
      </c>
      <c r="C14" s="113">
        <v>493</v>
      </c>
      <c r="D14" s="113">
        <v>437</v>
      </c>
      <c r="E14" s="113">
        <v>930</v>
      </c>
      <c r="F14" s="113">
        <v>7048</v>
      </c>
      <c r="G14" s="113">
        <v>4900</v>
      </c>
      <c r="H14" s="113">
        <v>11948</v>
      </c>
      <c r="I14" s="113">
        <v>10356</v>
      </c>
      <c r="J14" s="113">
        <v>4455</v>
      </c>
      <c r="K14" s="113">
        <v>14811</v>
      </c>
      <c r="L14" s="113">
        <v>40382</v>
      </c>
      <c r="M14" s="113">
        <v>31621</v>
      </c>
      <c r="N14" s="113">
        <v>72003</v>
      </c>
      <c r="O14" s="113">
        <v>162798</v>
      </c>
      <c r="P14" s="113">
        <v>85753</v>
      </c>
      <c r="Q14" s="113">
        <v>248551</v>
      </c>
      <c r="R14" s="113">
        <v>0</v>
      </c>
      <c r="S14" s="113"/>
      <c r="T14" s="113"/>
      <c r="U14" s="113">
        <v>0</v>
      </c>
      <c r="V14" s="113"/>
      <c r="W14" s="113"/>
      <c r="X14" s="113">
        <v>66137</v>
      </c>
      <c r="Y14" s="113">
        <v>68661</v>
      </c>
      <c r="Z14" s="113">
        <v>134798</v>
      </c>
      <c r="AA14" s="113">
        <v>611</v>
      </c>
      <c r="AB14" s="113">
        <v>139</v>
      </c>
      <c r="AC14" s="113">
        <v>750</v>
      </c>
      <c r="AD14" s="113">
        <v>1457</v>
      </c>
      <c r="AE14" s="113">
        <v>1231</v>
      </c>
      <c r="AF14" s="113">
        <v>2688</v>
      </c>
      <c r="AG14" s="113">
        <v>1403</v>
      </c>
      <c r="AH14" s="113">
        <v>2128</v>
      </c>
      <c r="AI14" s="113">
        <v>3531</v>
      </c>
      <c r="AJ14" s="113">
        <v>290685</v>
      </c>
      <c r="AK14" s="113">
        <v>199325</v>
      </c>
      <c r="AL14" s="113">
        <v>490010</v>
      </c>
    </row>
    <row r="15" spans="1:38" s="333" customFormat="1" ht="27" customHeight="1">
      <c r="A15" s="446">
        <v>11</v>
      </c>
      <c r="B15" s="334" t="s">
        <v>26</v>
      </c>
      <c r="C15" s="113">
        <v>1889</v>
      </c>
      <c r="D15" s="113">
        <v>1169</v>
      </c>
      <c r="E15" s="113">
        <v>3058</v>
      </c>
      <c r="F15" s="113">
        <v>64411</v>
      </c>
      <c r="G15" s="113">
        <v>36553</v>
      </c>
      <c r="H15" s="113">
        <v>100964</v>
      </c>
      <c r="I15" s="113">
        <v>4112</v>
      </c>
      <c r="J15" s="113">
        <v>1904</v>
      </c>
      <c r="K15" s="113">
        <v>6016</v>
      </c>
      <c r="L15" s="113">
        <v>0</v>
      </c>
      <c r="M15" s="113"/>
      <c r="N15" s="113"/>
      <c r="O15" s="113">
        <v>38866</v>
      </c>
      <c r="P15" s="113">
        <v>24739</v>
      </c>
      <c r="Q15" s="113">
        <v>63605</v>
      </c>
      <c r="R15" s="113">
        <v>0</v>
      </c>
      <c r="S15" s="113"/>
      <c r="T15" s="113"/>
      <c r="U15" s="113">
        <v>0</v>
      </c>
      <c r="V15" s="113"/>
      <c r="W15" s="113"/>
      <c r="X15" s="113">
        <v>75679</v>
      </c>
      <c r="Y15" s="113">
        <v>100614</v>
      </c>
      <c r="Z15" s="113">
        <v>176293</v>
      </c>
      <c r="AA15" s="113">
        <v>803</v>
      </c>
      <c r="AB15" s="113">
        <v>427</v>
      </c>
      <c r="AC15" s="113">
        <v>1230</v>
      </c>
      <c r="AD15" s="113">
        <v>0</v>
      </c>
      <c r="AE15" s="113"/>
      <c r="AF15" s="113"/>
      <c r="AG15" s="113">
        <v>11147</v>
      </c>
      <c r="AH15" s="113">
        <v>7217</v>
      </c>
      <c r="AI15" s="113">
        <v>18364</v>
      </c>
      <c r="AJ15" s="113">
        <v>196907</v>
      </c>
      <c r="AK15" s="113">
        <v>172623</v>
      </c>
      <c r="AL15" s="113">
        <v>369530</v>
      </c>
    </row>
    <row r="16" spans="1:38" s="333" customFormat="1" ht="27" customHeight="1">
      <c r="A16" s="446">
        <v>12</v>
      </c>
      <c r="B16" s="334" t="s">
        <v>27</v>
      </c>
      <c r="C16" s="113">
        <v>907</v>
      </c>
      <c r="D16" s="113">
        <v>931</v>
      </c>
      <c r="E16" s="113">
        <v>1838</v>
      </c>
      <c r="F16" s="113">
        <v>25987</v>
      </c>
      <c r="G16" s="113">
        <v>23530</v>
      </c>
      <c r="H16" s="113">
        <v>49517</v>
      </c>
      <c r="I16" s="113">
        <v>5986</v>
      </c>
      <c r="J16" s="113">
        <v>2146</v>
      </c>
      <c r="K16" s="113">
        <v>8132</v>
      </c>
      <c r="L16" s="113">
        <v>0</v>
      </c>
      <c r="M16" s="113"/>
      <c r="N16" s="113"/>
      <c r="O16" s="113">
        <v>15479</v>
      </c>
      <c r="P16" s="113">
        <v>10054</v>
      </c>
      <c r="Q16" s="113">
        <v>25533</v>
      </c>
      <c r="R16" s="113">
        <v>0</v>
      </c>
      <c r="S16" s="113"/>
      <c r="T16" s="113"/>
      <c r="U16" s="113">
        <v>0</v>
      </c>
      <c r="V16" s="113"/>
      <c r="W16" s="113"/>
      <c r="X16" s="113">
        <v>10162</v>
      </c>
      <c r="Y16" s="113">
        <v>10594</v>
      </c>
      <c r="Z16" s="113">
        <v>20756</v>
      </c>
      <c r="AA16" s="113">
        <v>0</v>
      </c>
      <c r="AB16" s="113"/>
      <c r="AC16" s="113"/>
      <c r="AD16" s="113">
        <v>0</v>
      </c>
      <c r="AE16" s="113"/>
      <c r="AF16" s="113"/>
      <c r="AG16" s="113">
        <v>0</v>
      </c>
      <c r="AH16" s="113"/>
      <c r="AI16" s="113"/>
      <c r="AJ16" s="113">
        <v>58521</v>
      </c>
      <c r="AK16" s="113">
        <v>47255</v>
      </c>
      <c r="AL16" s="113">
        <v>105776</v>
      </c>
    </row>
    <row r="17" spans="1:38" s="333" customFormat="1" ht="27" customHeight="1">
      <c r="A17" s="446">
        <v>13</v>
      </c>
      <c r="B17" s="334" t="s">
        <v>57</v>
      </c>
      <c r="C17" s="113">
        <v>3695</v>
      </c>
      <c r="D17" s="113">
        <v>3212</v>
      </c>
      <c r="E17" s="113">
        <v>6907</v>
      </c>
      <c r="F17" s="113">
        <v>55252</v>
      </c>
      <c r="G17" s="113">
        <v>47822</v>
      </c>
      <c r="H17" s="113">
        <v>103074</v>
      </c>
      <c r="I17" s="113">
        <v>4076</v>
      </c>
      <c r="J17" s="113">
        <v>1067</v>
      </c>
      <c r="K17" s="113">
        <v>5143</v>
      </c>
      <c r="L17" s="113">
        <v>0</v>
      </c>
      <c r="M17" s="113"/>
      <c r="N17" s="113"/>
      <c r="O17" s="113">
        <v>0</v>
      </c>
      <c r="P17" s="113"/>
      <c r="Q17" s="113"/>
      <c r="R17" s="113">
        <v>0</v>
      </c>
      <c r="S17" s="113"/>
      <c r="T17" s="113"/>
      <c r="U17" s="113">
        <v>787</v>
      </c>
      <c r="V17" s="113">
        <v>538</v>
      </c>
      <c r="W17" s="113">
        <v>1325</v>
      </c>
      <c r="X17" s="113">
        <v>20168</v>
      </c>
      <c r="Y17" s="113">
        <v>28366</v>
      </c>
      <c r="Z17" s="113">
        <v>48534</v>
      </c>
      <c r="AA17" s="113">
        <v>0</v>
      </c>
      <c r="AB17" s="113"/>
      <c r="AC17" s="113"/>
      <c r="AD17" s="113">
        <v>0</v>
      </c>
      <c r="AE17" s="113"/>
      <c r="AF17" s="113"/>
      <c r="AG17" s="113">
        <v>0</v>
      </c>
      <c r="AH17" s="113"/>
      <c r="AI17" s="113"/>
      <c r="AJ17" s="113">
        <v>83978</v>
      </c>
      <c r="AK17" s="113">
        <v>81005</v>
      </c>
      <c r="AL17" s="113">
        <v>164983</v>
      </c>
    </row>
    <row r="18" spans="1:38" s="333" customFormat="1" ht="27" customHeight="1">
      <c r="A18" s="446">
        <v>14</v>
      </c>
      <c r="B18" s="334" t="s">
        <v>29</v>
      </c>
      <c r="C18" s="113">
        <v>1131</v>
      </c>
      <c r="D18" s="113">
        <v>869</v>
      </c>
      <c r="E18" s="113">
        <v>2000</v>
      </c>
      <c r="F18" s="113">
        <v>34032</v>
      </c>
      <c r="G18" s="113">
        <v>23686</v>
      </c>
      <c r="H18" s="113">
        <v>57718</v>
      </c>
      <c r="I18" s="113">
        <v>10049</v>
      </c>
      <c r="J18" s="113">
        <v>2655</v>
      </c>
      <c r="K18" s="113">
        <v>12704</v>
      </c>
      <c r="L18" s="113">
        <v>0</v>
      </c>
      <c r="M18" s="113"/>
      <c r="N18" s="113"/>
      <c r="O18" s="113">
        <v>37133</v>
      </c>
      <c r="P18" s="113">
        <v>23648</v>
      </c>
      <c r="Q18" s="113">
        <v>60781</v>
      </c>
      <c r="R18" s="113">
        <v>0</v>
      </c>
      <c r="S18" s="113"/>
      <c r="T18" s="113"/>
      <c r="U18" s="113">
        <v>0</v>
      </c>
      <c r="V18" s="113"/>
      <c r="W18" s="113"/>
      <c r="X18" s="113">
        <v>16443</v>
      </c>
      <c r="Y18" s="113">
        <v>20691</v>
      </c>
      <c r="Z18" s="113">
        <v>37134</v>
      </c>
      <c r="AA18" s="113">
        <v>0</v>
      </c>
      <c r="AB18" s="113"/>
      <c r="AC18" s="113"/>
      <c r="AD18" s="113">
        <v>0</v>
      </c>
      <c r="AE18" s="113"/>
      <c r="AF18" s="113"/>
      <c r="AG18" s="113">
        <v>4795</v>
      </c>
      <c r="AH18" s="113">
        <v>2132</v>
      </c>
      <c r="AI18" s="113">
        <v>6927</v>
      </c>
      <c r="AJ18" s="113">
        <v>103583</v>
      </c>
      <c r="AK18" s="113">
        <v>73681</v>
      </c>
      <c r="AL18" s="113">
        <v>177264</v>
      </c>
    </row>
    <row r="19" spans="1:38" s="333" customFormat="1" ht="27" customHeight="1">
      <c r="A19" s="446">
        <v>15</v>
      </c>
      <c r="B19" s="334" t="s">
        <v>30</v>
      </c>
      <c r="C19" s="113">
        <v>1616</v>
      </c>
      <c r="D19" s="113">
        <v>1213</v>
      </c>
      <c r="E19" s="113">
        <v>2829</v>
      </c>
      <c r="F19" s="113">
        <v>9849</v>
      </c>
      <c r="G19" s="113">
        <v>8178</v>
      </c>
      <c r="H19" s="113">
        <v>18027</v>
      </c>
      <c r="I19" s="113">
        <v>7937</v>
      </c>
      <c r="J19" s="113">
        <v>3765</v>
      </c>
      <c r="K19" s="113">
        <v>11702</v>
      </c>
      <c r="L19" s="113">
        <v>31059</v>
      </c>
      <c r="M19" s="113">
        <v>17277</v>
      </c>
      <c r="N19" s="113">
        <v>48336</v>
      </c>
      <c r="O19" s="113">
        <v>63656</v>
      </c>
      <c r="P19" s="113">
        <v>38236</v>
      </c>
      <c r="Q19" s="113">
        <v>101892</v>
      </c>
      <c r="R19" s="113">
        <v>0</v>
      </c>
      <c r="S19" s="113"/>
      <c r="T19" s="113"/>
      <c r="U19" s="113">
        <v>0</v>
      </c>
      <c r="V19" s="113"/>
      <c r="W19" s="113"/>
      <c r="X19" s="113">
        <v>31759</v>
      </c>
      <c r="Y19" s="113">
        <v>44539</v>
      </c>
      <c r="Z19" s="113">
        <v>76298</v>
      </c>
      <c r="AA19" s="113">
        <v>1071</v>
      </c>
      <c r="AB19" s="113">
        <v>337</v>
      </c>
      <c r="AC19" s="113">
        <v>1408</v>
      </c>
      <c r="AD19" s="113">
        <v>0</v>
      </c>
      <c r="AE19" s="113"/>
      <c r="AF19" s="113"/>
      <c r="AG19" s="113">
        <v>71276</v>
      </c>
      <c r="AH19" s="113">
        <v>62746</v>
      </c>
      <c r="AI19" s="113">
        <v>134022</v>
      </c>
      <c r="AJ19" s="113">
        <v>218223</v>
      </c>
      <c r="AK19" s="113">
        <v>176291</v>
      </c>
      <c r="AL19" s="113">
        <v>394514</v>
      </c>
    </row>
    <row r="20" spans="1:38" s="333" customFormat="1" ht="27" customHeight="1">
      <c r="A20" s="446">
        <v>16</v>
      </c>
      <c r="B20" s="334" t="s">
        <v>31</v>
      </c>
      <c r="C20" s="113">
        <v>777</v>
      </c>
      <c r="D20" s="113">
        <v>1561</v>
      </c>
      <c r="E20" s="113">
        <v>2338</v>
      </c>
      <c r="F20" s="113">
        <v>35747</v>
      </c>
      <c r="G20" s="113">
        <v>43024</v>
      </c>
      <c r="H20" s="113">
        <v>78771</v>
      </c>
      <c r="I20" s="113">
        <v>9896</v>
      </c>
      <c r="J20" s="113">
        <v>4549</v>
      </c>
      <c r="K20" s="113">
        <v>14445</v>
      </c>
      <c r="L20" s="113">
        <v>0</v>
      </c>
      <c r="M20" s="113"/>
      <c r="N20" s="113"/>
      <c r="O20" s="113">
        <v>0</v>
      </c>
      <c r="P20" s="113"/>
      <c r="Q20" s="113"/>
      <c r="R20" s="113">
        <v>0</v>
      </c>
      <c r="S20" s="113"/>
      <c r="T20" s="113"/>
      <c r="U20" s="113">
        <v>0</v>
      </c>
      <c r="V20" s="113"/>
      <c r="W20" s="113"/>
      <c r="X20" s="113">
        <v>115267</v>
      </c>
      <c r="Y20" s="113">
        <v>140746</v>
      </c>
      <c r="Z20" s="113">
        <v>256013</v>
      </c>
      <c r="AA20" s="113">
        <v>951</v>
      </c>
      <c r="AB20" s="113">
        <v>291</v>
      </c>
      <c r="AC20" s="113">
        <v>1242</v>
      </c>
      <c r="AD20" s="113">
        <v>0</v>
      </c>
      <c r="AE20" s="113"/>
      <c r="AF20" s="113"/>
      <c r="AG20" s="113">
        <v>194</v>
      </c>
      <c r="AH20" s="113">
        <v>243</v>
      </c>
      <c r="AI20" s="113">
        <v>437</v>
      </c>
      <c r="AJ20" s="113">
        <v>162832</v>
      </c>
      <c r="AK20" s="113">
        <v>190414</v>
      </c>
      <c r="AL20" s="113">
        <v>353246</v>
      </c>
    </row>
    <row r="21" spans="1:38" s="333" customFormat="1" ht="27" customHeight="1">
      <c r="A21" s="446">
        <v>17</v>
      </c>
      <c r="B21" s="334" t="s">
        <v>154</v>
      </c>
      <c r="C21" s="113">
        <v>0</v>
      </c>
      <c r="D21" s="113"/>
      <c r="E21" s="113"/>
      <c r="F21" s="113">
        <v>0</v>
      </c>
      <c r="G21" s="113"/>
      <c r="H21" s="113"/>
      <c r="I21" s="113">
        <v>0</v>
      </c>
      <c r="J21" s="113"/>
      <c r="K21" s="113"/>
      <c r="L21" s="113">
        <v>0</v>
      </c>
      <c r="M21" s="113"/>
      <c r="N21" s="113"/>
      <c r="O21" s="113">
        <v>0</v>
      </c>
      <c r="P21" s="113"/>
      <c r="Q21" s="113"/>
      <c r="R21" s="113">
        <v>0</v>
      </c>
      <c r="S21" s="113"/>
      <c r="T21" s="113"/>
      <c r="U21" s="113">
        <v>0</v>
      </c>
      <c r="V21" s="113"/>
      <c r="W21" s="113"/>
      <c r="X21" s="113">
        <v>160</v>
      </c>
      <c r="Y21" s="113">
        <v>353</v>
      </c>
      <c r="Z21" s="113">
        <v>513</v>
      </c>
      <c r="AA21" s="113">
        <v>95</v>
      </c>
      <c r="AB21" s="113">
        <v>92</v>
      </c>
      <c r="AC21" s="113">
        <v>187</v>
      </c>
      <c r="AD21" s="113">
        <v>0</v>
      </c>
      <c r="AE21" s="113"/>
      <c r="AF21" s="113"/>
      <c r="AG21" s="113">
        <v>0</v>
      </c>
      <c r="AH21" s="113"/>
      <c r="AI21" s="113"/>
      <c r="AJ21" s="113">
        <v>255</v>
      </c>
      <c r="AK21" s="113">
        <v>445</v>
      </c>
      <c r="AL21" s="113">
        <v>700</v>
      </c>
    </row>
    <row r="22" spans="1:38" s="333" customFormat="1" ht="27" customHeight="1">
      <c r="A22" s="446">
        <v>18</v>
      </c>
      <c r="B22" s="334" t="s">
        <v>32</v>
      </c>
      <c r="C22" s="113">
        <v>0</v>
      </c>
      <c r="D22" s="113"/>
      <c r="E22" s="113"/>
      <c r="F22" s="113">
        <v>0</v>
      </c>
      <c r="G22" s="113"/>
      <c r="H22" s="113"/>
      <c r="I22" s="113">
        <v>0</v>
      </c>
      <c r="J22" s="113"/>
      <c r="K22" s="113"/>
      <c r="L22" s="113">
        <v>0</v>
      </c>
      <c r="M22" s="113"/>
      <c r="N22" s="113"/>
      <c r="O22" s="113">
        <v>0</v>
      </c>
      <c r="P22" s="113"/>
      <c r="Q22" s="113"/>
      <c r="R22" s="113">
        <v>0</v>
      </c>
      <c r="S22" s="113"/>
      <c r="T22" s="113"/>
      <c r="U22" s="113">
        <v>0</v>
      </c>
      <c r="V22" s="113"/>
      <c r="W22" s="113"/>
      <c r="X22" s="113">
        <v>14</v>
      </c>
      <c r="Y22" s="113">
        <v>74</v>
      </c>
      <c r="Z22" s="113">
        <v>88</v>
      </c>
      <c r="AA22" s="113">
        <v>0</v>
      </c>
      <c r="AB22" s="113"/>
      <c r="AC22" s="113"/>
      <c r="AD22" s="113">
        <v>0</v>
      </c>
      <c r="AE22" s="113"/>
      <c r="AF22" s="113"/>
      <c r="AG22" s="113">
        <v>0</v>
      </c>
      <c r="AH22" s="113"/>
      <c r="AI22" s="113"/>
      <c r="AJ22" s="113">
        <v>14</v>
      </c>
      <c r="AK22" s="113">
        <v>74</v>
      </c>
      <c r="AL22" s="113">
        <v>88</v>
      </c>
    </row>
    <row r="23" spans="1:38" s="333" customFormat="1" ht="27" customHeight="1">
      <c r="A23" s="446">
        <v>19</v>
      </c>
      <c r="B23" s="334" t="s">
        <v>33</v>
      </c>
      <c r="C23" s="113">
        <v>7273</v>
      </c>
      <c r="D23" s="113">
        <v>5105</v>
      </c>
      <c r="E23" s="113">
        <v>12378</v>
      </c>
      <c r="F23" s="113">
        <v>6938</v>
      </c>
      <c r="G23" s="113">
        <v>4912</v>
      </c>
      <c r="H23" s="113">
        <v>11850</v>
      </c>
      <c r="I23" s="113">
        <v>13284</v>
      </c>
      <c r="J23" s="113">
        <v>5081</v>
      </c>
      <c r="K23" s="113">
        <v>18365</v>
      </c>
      <c r="L23" s="113">
        <v>45827</v>
      </c>
      <c r="M23" s="113">
        <v>29777</v>
      </c>
      <c r="N23" s="113">
        <v>75604</v>
      </c>
      <c r="O23" s="113">
        <v>158791</v>
      </c>
      <c r="P23" s="113">
        <v>57548</v>
      </c>
      <c r="Q23" s="113">
        <v>216339</v>
      </c>
      <c r="R23" s="113">
        <v>0</v>
      </c>
      <c r="S23" s="113"/>
      <c r="T23" s="113"/>
      <c r="U23" s="113">
        <v>0</v>
      </c>
      <c r="V23" s="113"/>
      <c r="W23" s="113"/>
      <c r="X23" s="113">
        <v>176829</v>
      </c>
      <c r="Y23" s="113">
        <v>128743</v>
      </c>
      <c r="Z23" s="113">
        <v>305572</v>
      </c>
      <c r="AA23" s="113">
        <v>825</v>
      </c>
      <c r="AB23" s="113">
        <v>281</v>
      </c>
      <c r="AC23" s="113">
        <v>1106</v>
      </c>
      <c r="AD23" s="113">
        <v>0</v>
      </c>
      <c r="AE23" s="113"/>
      <c r="AF23" s="113"/>
      <c r="AG23" s="113">
        <v>0</v>
      </c>
      <c r="AH23" s="113"/>
      <c r="AI23" s="113"/>
      <c r="AJ23" s="113">
        <v>409767</v>
      </c>
      <c r="AK23" s="113">
        <v>231447</v>
      </c>
      <c r="AL23" s="113">
        <v>641214</v>
      </c>
    </row>
    <row r="24" spans="1:38" s="333" customFormat="1" ht="27" customHeight="1">
      <c r="A24" s="446">
        <v>20</v>
      </c>
      <c r="B24" s="334" t="s">
        <v>34</v>
      </c>
      <c r="C24" s="113">
        <v>3041</v>
      </c>
      <c r="D24" s="113">
        <v>1801</v>
      </c>
      <c r="E24" s="113">
        <v>4842</v>
      </c>
      <c r="F24" s="113">
        <v>19967</v>
      </c>
      <c r="G24" s="113">
        <v>13206</v>
      </c>
      <c r="H24" s="113">
        <v>33173</v>
      </c>
      <c r="I24" s="113">
        <v>17080</v>
      </c>
      <c r="J24" s="113">
        <v>5613</v>
      </c>
      <c r="K24" s="113">
        <v>22693</v>
      </c>
      <c r="L24" s="113">
        <v>351943</v>
      </c>
      <c r="M24" s="113">
        <v>193410</v>
      </c>
      <c r="N24" s="113">
        <v>545353</v>
      </c>
      <c r="O24" s="113">
        <v>45153</v>
      </c>
      <c r="P24" s="113">
        <v>31653</v>
      </c>
      <c r="Q24" s="113">
        <v>76806</v>
      </c>
      <c r="R24" s="113">
        <v>0</v>
      </c>
      <c r="S24" s="113"/>
      <c r="T24" s="113"/>
      <c r="U24" s="113">
        <v>0</v>
      </c>
      <c r="V24" s="113"/>
      <c r="W24" s="113"/>
      <c r="X24" s="113">
        <v>85287</v>
      </c>
      <c r="Y24" s="113">
        <v>84368</v>
      </c>
      <c r="Z24" s="113">
        <v>169655</v>
      </c>
      <c r="AA24" s="113">
        <v>3352</v>
      </c>
      <c r="AB24" s="113">
        <v>1770</v>
      </c>
      <c r="AC24" s="113">
        <v>5122</v>
      </c>
      <c r="AD24" s="113">
        <v>1309</v>
      </c>
      <c r="AE24" s="113">
        <v>1699</v>
      </c>
      <c r="AF24" s="113">
        <v>3008</v>
      </c>
      <c r="AG24" s="113">
        <v>83330</v>
      </c>
      <c r="AH24" s="113">
        <v>76312</v>
      </c>
      <c r="AI24" s="113">
        <v>159642</v>
      </c>
      <c r="AJ24" s="113">
        <v>610462</v>
      </c>
      <c r="AK24" s="113">
        <v>409832</v>
      </c>
      <c r="AL24" s="113">
        <v>1020294</v>
      </c>
    </row>
    <row r="25" spans="1:38" s="333" customFormat="1" ht="27" customHeight="1">
      <c r="A25" s="446">
        <v>21</v>
      </c>
      <c r="B25" s="334" t="s">
        <v>35</v>
      </c>
      <c r="C25" s="113">
        <v>4402</v>
      </c>
      <c r="D25" s="113">
        <v>4935</v>
      </c>
      <c r="E25" s="113">
        <v>9337</v>
      </c>
      <c r="F25" s="113">
        <v>2941</v>
      </c>
      <c r="G25" s="113">
        <v>2330</v>
      </c>
      <c r="H25" s="113">
        <v>5271</v>
      </c>
      <c r="I25" s="113">
        <v>1149</v>
      </c>
      <c r="J25" s="113">
        <v>230</v>
      </c>
      <c r="K25" s="113">
        <v>1379</v>
      </c>
      <c r="L25" s="113">
        <v>0</v>
      </c>
      <c r="M25" s="113"/>
      <c r="N25" s="113"/>
      <c r="O25" s="113">
        <v>110</v>
      </c>
      <c r="P25" s="113">
        <v>181</v>
      </c>
      <c r="Q25" s="113">
        <v>291</v>
      </c>
      <c r="R25" s="113">
        <v>0</v>
      </c>
      <c r="S25" s="113"/>
      <c r="T25" s="113"/>
      <c r="U25" s="113">
        <v>0</v>
      </c>
      <c r="V25" s="113"/>
      <c r="W25" s="113"/>
      <c r="X25" s="113">
        <v>880</v>
      </c>
      <c r="Y25" s="113">
        <v>535</v>
      </c>
      <c r="Z25" s="113">
        <v>1415</v>
      </c>
      <c r="AA25" s="113">
        <v>0</v>
      </c>
      <c r="AB25" s="113"/>
      <c r="AC25" s="113"/>
      <c r="AD25" s="113">
        <v>0</v>
      </c>
      <c r="AE25" s="113"/>
      <c r="AF25" s="113"/>
      <c r="AG25" s="113">
        <v>0</v>
      </c>
      <c r="AH25" s="113"/>
      <c r="AI25" s="113"/>
      <c r="AJ25" s="113">
        <v>9482</v>
      </c>
      <c r="AK25" s="113">
        <v>8211</v>
      </c>
      <c r="AL25" s="113">
        <v>17693</v>
      </c>
    </row>
    <row r="26" spans="1:38" s="333" customFormat="1" ht="27" customHeight="1">
      <c r="A26" s="446">
        <v>22</v>
      </c>
      <c r="B26" s="334" t="s">
        <v>36</v>
      </c>
      <c r="C26" s="113">
        <v>1736</v>
      </c>
      <c r="D26" s="113">
        <v>2761</v>
      </c>
      <c r="E26" s="113">
        <v>4497</v>
      </c>
      <c r="F26" s="113">
        <v>3045</v>
      </c>
      <c r="G26" s="113">
        <v>3952</v>
      </c>
      <c r="H26" s="113">
        <v>6997</v>
      </c>
      <c r="I26" s="113">
        <v>1203</v>
      </c>
      <c r="J26" s="113">
        <v>686</v>
      </c>
      <c r="K26" s="113">
        <v>1889</v>
      </c>
      <c r="L26" s="113">
        <v>0</v>
      </c>
      <c r="M26" s="113"/>
      <c r="N26" s="113"/>
      <c r="O26" s="113">
        <v>5434</v>
      </c>
      <c r="P26" s="113">
        <v>5567</v>
      </c>
      <c r="Q26" s="113">
        <v>11001</v>
      </c>
      <c r="R26" s="113">
        <v>0</v>
      </c>
      <c r="S26" s="113"/>
      <c r="T26" s="113"/>
      <c r="U26" s="113">
        <v>0</v>
      </c>
      <c r="V26" s="113"/>
      <c r="W26" s="113"/>
      <c r="X26" s="113">
        <v>290</v>
      </c>
      <c r="Y26" s="113">
        <v>310</v>
      </c>
      <c r="Z26" s="113">
        <v>600</v>
      </c>
      <c r="AA26" s="113">
        <v>0</v>
      </c>
      <c r="AB26" s="113"/>
      <c r="AC26" s="113"/>
      <c r="AD26" s="113">
        <v>0</v>
      </c>
      <c r="AE26" s="113"/>
      <c r="AF26" s="113"/>
      <c r="AG26" s="113">
        <v>0</v>
      </c>
      <c r="AH26" s="113"/>
      <c r="AI26" s="113"/>
      <c r="AJ26" s="113">
        <v>11708</v>
      </c>
      <c r="AK26" s="113">
        <v>13276</v>
      </c>
      <c r="AL26" s="113">
        <v>24984</v>
      </c>
    </row>
    <row r="27" spans="1:38" s="333" customFormat="1" ht="27" customHeight="1">
      <c r="A27" s="446">
        <v>23</v>
      </c>
      <c r="B27" s="334" t="s">
        <v>37</v>
      </c>
      <c r="C27" s="113">
        <v>1858</v>
      </c>
      <c r="D27" s="113">
        <v>1975</v>
      </c>
      <c r="E27" s="113">
        <v>3833</v>
      </c>
      <c r="F27" s="113">
        <v>3808</v>
      </c>
      <c r="G27" s="113">
        <v>4485</v>
      </c>
      <c r="H27" s="113">
        <v>8293</v>
      </c>
      <c r="I27" s="113">
        <v>522</v>
      </c>
      <c r="J27" s="113">
        <v>129</v>
      </c>
      <c r="K27" s="113">
        <v>651</v>
      </c>
      <c r="L27" s="113">
        <v>0</v>
      </c>
      <c r="M27" s="113"/>
      <c r="N27" s="113"/>
      <c r="O27" s="113">
        <v>211</v>
      </c>
      <c r="P27" s="113">
        <v>174</v>
      </c>
      <c r="Q27" s="113">
        <v>385</v>
      </c>
      <c r="R27" s="113">
        <v>0</v>
      </c>
      <c r="S27" s="113"/>
      <c r="T27" s="113"/>
      <c r="U27" s="113">
        <v>0</v>
      </c>
      <c r="V27" s="113"/>
      <c r="W27" s="113"/>
      <c r="X27" s="113">
        <v>0</v>
      </c>
      <c r="Y27" s="113"/>
      <c r="Z27" s="113"/>
      <c r="AA27" s="113">
        <v>0</v>
      </c>
      <c r="AB27" s="113"/>
      <c r="AC27" s="113"/>
      <c r="AD27" s="113">
        <v>0</v>
      </c>
      <c r="AE27" s="113"/>
      <c r="AF27" s="113"/>
      <c r="AG27" s="113">
        <v>0</v>
      </c>
      <c r="AH27" s="113"/>
      <c r="AI27" s="113"/>
      <c r="AJ27" s="113">
        <v>6399</v>
      </c>
      <c r="AK27" s="113">
        <v>6763</v>
      </c>
      <c r="AL27" s="113">
        <v>13162</v>
      </c>
    </row>
    <row r="28" spans="1:38" s="333" customFormat="1" ht="27" customHeight="1">
      <c r="A28" s="446">
        <v>24</v>
      </c>
      <c r="B28" s="334" t="s">
        <v>38</v>
      </c>
      <c r="C28" s="113">
        <v>1053</v>
      </c>
      <c r="D28" s="113">
        <v>1657</v>
      </c>
      <c r="E28" s="113">
        <v>2710</v>
      </c>
      <c r="F28" s="113">
        <v>1720</v>
      </c>
      <c r="G28" s="113">
        <v>2761</v>
      </c>
      <c r="H28" s="113">
        <v>4481</v>
      </c>
      <c r="I28" s="113">
        <v>674</v>
      </c>
      <c r="J28" s="113">
        <v>206</v>
      </c>
      <c r="K28" s="113">
        <v>880</v>
      </c>
      <c r="L28" s="113">
        <v>0</v>
      </c>
      <c r="M28" s="113"/>
      <c r="N28" s="113"/>
      <c r="O28" s="113">
        <v>2708</v>
      </c>
      <c r="P28" s="113">
        <v>2299</v>
      </c>
      <c r="Q28" s="113">
        <v>5007</v>
      </c>
      <c r="R28" s="113">
        <v>0</v>
      </c>
      <c r="S28" s="113"/>
      <c r="T28" s="113"/>
      <c r="U28" s="113">
        <v>0</v>
      </c>
      <c r="V28" s="113"/>
      <c r="W28" s="113"/>
      <c r="X28" s="113">
        <v>0</v>
      </c>
      <c r="Y28" s="113"/>
      <c r="Z28" s="113"/>
      <c r="AA28" s="113">
        <v>0</v>
      </c>
      <c r="AB28" s="113"/>
      <c r="AC28" s="113"/>
      <c r="AD28" s="113">
        <v>0</v>
      </c>
      <c r="AE28" s="113"/>
      <c r="AF28" s="113"/>
      <c r="AG28" s="113">
        <v>0</v>
      </c>
      <c r="AH28" s="113"/>
      <c r="AI28" s="113"/>
      <c r="AJ28" s="113">
        <v>6155</v>
      </c>
      <c r="AK28" s="113">
        <v>6923</v>
      </c>
      <c r="AL28" s="113">
        <v>13078</v>
      </c>
    </row>
    <row r="29" spans="1:38" s="333" customFormat="1" ht="27" customHeight="1">
      <c r="A29" s="446">
        <v>25</v>
      </c>
      <c r="B29" s="334" t="s">
        <v>39</v>
      </c>
      <c r="C29" s="113">
        <v>825</v>
      </c>
      <c r="D29" s="113">
        <v>1455</v>
      </c>
      <c r="E29" s="113">
        <v>2280</v>
      </c>
      <c r="F29" s="113">
        <v>19467</v>
      </c>
      <c r="G29" s="113">
        <v>20108</v>
      </c>
      <c r="H29" s="113">
        <v>39575</v>
      </c>
      <c r="I29" s="113">
        <v>8861</v>
      </c>
      <c r="J29" s="113">
        <v>3679</v>
      </c>
      <c r="K29" s="113">
        <v>12540</v>
      </c>
      <c r="L29" s="113">
        <v>19875</v>
      </c>
      <c r="M29" s="113">
        <v>11991</v>
      </c>
      <c r="N29" s="113">
        <v>31866</v>
      </c>
      <c r="O29" s="113">
        <v>10617</v>
      </c>
      <c r="P29" s="113">
        <v>6252</v>
      </c>
      <c r="Q29" s="113">
        <v>16869</v>
      </c>
      <c r="R29" s="113">
        <v>0</v>
      </c>
      <c r="S29" s="113"/>
      <c r="T29" s="113"/>
      <c r="U29" s="113">
        <v>0</v>
      </c>
      <c r="V29" s="113"/>
      <c r="W29" s="113"/>
      <c r="X29" s="113">
        <v>21006</v>
      </c>
      <c r="Y29" s="113">
        <v>24370</v>
      </c>
      <c r="Z29" s="113">
        <v>45376</v>
      </c>
      <c r="AA29" s="113">
        <v>1012</v>
      </c>
      <c r="AB29" s="113">
        <v>426</v>
      </c>
      <c r="AC29" s="113">
        <v>1438</v>
      </c>
      <c r="AD29" s="113">
        <v>0</v>
      </c>
      <c r="AE29" s="113"/>
      <c r="AF29" s="113"/>
      <c r="AG29" s="113">
        <v>20800</v>
      </c>
      <c r="AH29" s="113">
        <v>18610</v>
      </c>
      <c r="AI29" s="113">
        <v>39410</v>
      </c>
      <c r="AJ29" s="113">
        <v>102463</v>
      </c>
      <c r="AK29" s="113">
        <v>86891</v>
      </c>
      <c r="AL29" s="113">
        <v>189354</v>
      </c>
    </row>
    <row r="30" spans="1:38" s="333" customFormat="1" ht="27" customHeight="1">
      <c r="A30" s="446">
        <v>26</v>
      </c>
      <c r="B30" s="334" t="s">
        <v>40</v>
      </c>
      <c r="C30" s="113">
        <v>10811</v>
      </c>
      <c r="D30" s="113">
        <v>9538</v>
      </c>
      <c r="E30" s="113">
        <v>20349</v>
      </c>
      <c r="F30" s="113">
        <v>0</v>
      </c>
      <c r="G30" s="113"/>
      <c r="H30" s="113"/>
      <c r="I30" s="113">
        <v>1563</v>
      </c>
      <c r="J30" s="113">
        <v>1141</v>
      </c>
      <c r="K30" s="113">
        <v>2704</v>
      </c>
      <c r="L30" s="113">
        <v>0</v>
      </c>
      <c r="M30" s="113"/>
      <c r="N30" s="113"/>
      <c r="O30" s="113">
        <v>0</v>
      </c>
      <c r="P30" s="113"/>
      <c r="Q30" s="113"/>
      <c r="R30" s="113">
        <v>0</v>
      </c>
      <c r="S30" s="113"/>
      <c r="T30" s="113"/>
      <c r="U30" s="113">
        <v>0</v>
      </c>
      <c r="V30" s="113"/>
      <c r="W30" s="113"/>
      <c r="X30" s="113">
        <v>0</v>
      </c>
      <c r="Y30" s="113"/>
      <c r="Z30" s="113"/>
      <c r="AA30" s="113">
        <v>0</v>
      </c>
      <c r="AB30" s="113"/>
      <c r="AC30" s="113"/>
      <c r="AD30" s="113">
        <v>0</v>
      </c>
      <c r="AE30" s="113"/>
      <c r="AF30" s="113"/>
      <c r="AG30" s="113">
        <v>3873</v>
      </c>
      <c r="AH30" s="113">
        <v>5459</v>
      </c>
      <c r="AI30" s="113">
        <v>9332</v>
      </c>
      <c r="AJ30" s="113">
        <v>16247</v>
      </c>
      <c r="AK30" s="113">
        <v>16138</v>
      </c>
      <c r="AL30" s="113">
        <v>32385</v>
      </c>
    </row>
    <row r="31" spans="1:38" s="333" customFormat="1" ht="27" customHeight="1">
      <c r="A31" s="446">
        <v>27</v>
      </c>
      <c r="B31" s="334" t="s">
        <v>41</v>
      </c>
      <c r="C31" s="113">
        <v>1154</v>
      </c>
      <c r="D31" s="113">
        <v>991</v>
      </c>
      <c r="E31" s="113">
        <v>2145</v>
      </c>
      <c r="F31" s="113">
        <v>7403</v>
      </c>
      <c r="G31" s="113">
        <v>11800</v>
      </c>
      <c r="H31" s="113">
        <v>19203</v>
      </c>
      <c r="I31" s="113">
        <v>8114</v>
      </c>
      <c r="J31" s="113">
        <v>3458</v>
      </c>
      <c r="K31" s="113">
        <v>11572</v>
      </c>
      <c r="L31" s="113">
        <v>39</v>
      </c>
      <c r="M31" s="113">
        <v>12</v>
      </c>
      <c r="N31" s="113">
        <v>51</v>
      </c>
      <c r="O31" s="113">
        <v>108196</v>
      </c>
      <c r="P31" s="113">
        <v>63724</v>
      </c>
      <c r="Q31" s="113">
        <v>171920</v>
      </c>
      <c r="R31" s="113">
        <v>0</v>
      </c>
      <c r="S31" s="113"/>
      <c r="T31" s="113"/>
      <c r="U31" s="113">
        <v>0</v>
      </c>
      <c r="V31" s="113"/>
      <c r="W31" s="113"/>
      <c r="X31" s="113">
        <v>29096</v>
      </c>
      <c r="Y31" s="113">
        <v>34599</v>
      </c>
      <c r="Z31" s="113">
        <v>63695</v>
      </c>
      <c r="AA31" s="113">
        <v>2805</v>
      </c>
      <c r="AB31" s="113">
        <v>857</v>
      </c>
      <c r="AC31" s="113">
        <v>3662</v>
      </c>
      <c r="AD31" s="113">
        <v>0</v>
      </c>
      <c r="AE31" s="113"/>
      <c r="AF31" s="113"/>
      <c r="AG31" s="113">
        <v>6925</v>
      </c>
      <c r="AH31" s="113">
        <v>3098</v>
      </c>
      <c r="AI31" s="113">
        <v>10023</v>
      </c>
      <c r="AJ31" s="113">
        <v>163732</v>
      </c>
      <c r="AK31" s="113">
        <v>118539</v>
      </c>
      <c r="AL31" s="113">
        <v>282271</v>
      </c>
    </row>
    <row r="32" spans="1:38" s="333" customFormat="1" ht="27" customHeight="1">
      <c r="A32" s="446">
        <v>28</v>
      </c>
      <c r="B32" s="334" t="s">
        <v>42</v>
      </c>
      <c r="C32" s="113">
        <v>2365</v>
      </c>
      <c r="D32" s="113">
        <v>1468</v>
      </c>
      <c r="E32" s="113">
        <v>3833</v>
      </c>
      <c r="F32" s="113">
        <v>16096</v>
      </c>
      <c r="G32" s="113">
        <v>8111</v>
      </c>
      <c r="H32" s="113">
        <v>24207</v>
      </c>
      <c r="I32" s="113">
        <v>8261</v>
      </c>
      <c r="J32" s="113">
        <v>3743</v>
      </c>
      <c r="K32" s="113">
        <v>12004</v>
      </c>
      <c r="L32" s="113">
        <v>96271</v>
      </c>
      <c r="M32" s="113">
        <v>59409</v>
      </c>
      <c r="N32" s="113">
        <v>155680</v>
      </c>
      <c r="O32" s="113">
        <v>109987</v>
      </c>
      <c r="P32" s="113">
        <v>47581</v>
      </c>
      <c r="Q32" s="113">
        <v>157568</v>
      </c>
      <c r="R32" s="113">
        <v>0</v>
      </c>
      <c r="S32" s="113"/>
      <c r="T32" s="113"/>
      <c r="U32" s="113">
        <v>780</v>
      </c>
      <c r="V32" s="113">
        <v>656</v>
      </c>
      <c r="W32" s="113">
        <v>1436</v>
      </c>
      <c r="X32" s="113">
        <v>169484</v>
      </c>
      <c r="Y32" s="113">
        <v>114353</v>
      </c>
      <c r="Z32" s="113">
        <v>283837</v>
      </c>
      <c r="AA32" s="113">
        <v>0</v>
      </c>
      <c r="AB32" s="113"/>
      <c r="AC32" s="113"/>
      <c r="AD32" s="113">
        <v>0</v>
      </c>
      <c r="AE32" s="113"/>
      <c r="AF32" s="113"/>
      <c r="AG32" s="113">
        <v>21160</v>
      </c>
      <c r="AH32" s="113">
        <v>25531</v>
      </c>
      <c r="AI32" s="113">
        <v>46691</v>
      </c>
      <c r="AJ32" s="113">
        <v>424404</v>
      </c>
      <c r="AK32" s="113">
        <v>260852</v>
      </c>
      <c r="AL32" s="113">
        <v>685256</v>
      </c>
    </row>
    <row r="33" spans="1:41" s="333" customFormat="1" ht="27" customHeight="1">
      <c r="A33" s="446">
        <v>29</v>
      </c>
      <c r="B33" s="334" t="s">
        <v>43</v>
      </c>
      <c r="C33" s="113">
        <v>807</v>
      </c>
      <c r="D33" s="113">
        <v>1226</v>
      </c>
      <c r="E33" s="113">
        <v>2033</v>
      </c>
      <c r="F33" s="113">
        <v>2139</v>
      </c>
      <c r="G33" s="113">
        <v>3812</v>
      </c>
      <c r="H33" s="113">
        <v>5951</v>
      </c>
      <c r="I33" s="113">
        <v>603</v>
      </c>
      <c r="J33" s="113">
        <v>181</v>
      </c>
      <c r="K33" s="113">
        <v>784</v>
      </c>
      <c r="L33" s="113">
        <v>0</v>
      </c>
      <c r="M33" s="113"/>
      <c r="N33" s="113"/>
      <c r="O33" s="113">
        <v>4874</v>
      </c>
      <c r="P33" s="113">
        <v>3030</v>
      </c>
      <c r="Q33" s="113">
        <v>7904</v>
      </c>
      <c r="R33" s="113">
        <v>0</v>
      </c>
      <c r="S33" s="113"/>
      <c r="T33" s="113"/>
      <c r="U33" s="113">
        <v>0</v>
      </c>
      <c r="V33" s="113"/>
      <c r="W33" s="113"/>
      <c r="X33" s="113">
        <v>27</v>
      </c>
      <c r="Y33" s="113">
        <v>48</v>
      </c>
      <c r="Z33" s="113">
        <v>75</v>
      </c>
      <c r="AA33" s="113">
        <v>0</v>
      </c>
      <c r="AB33" s="113"/>
      <c r="AC33" s="113"/>
      <c r="AD33" s="113">
        <v>0</v>
      </c>
      <c r="AE33" s="113"/>
      <c r="AF33" s="113"/>
      <c r="AG33" s="113">
        <v>0</v>
      </c>
      <c r="AH33" s="113"/>
      <c r="AI33" s="113"/>
      <c r="AJ33" s="113">
        <v>8450</v>
      </c>
      <c r="AK33" s="113">
        <v>8297</v>
      </c>
      <c r="AL33" s="113">
        <v>16747</v>
      </c>
    </row>
    <row r="34" spans="1:41" s="333" customFormat="1" ht="27" customHeight="1">
      <c r="A34" s="446">
        <v>30</v>
      </c>
      <c r="B34" s="334" t="s">
        <v>44</v>
      </c>
      <c r="C34" s="113">
        <v>1980</v>
      </c>
      <c r="D34" s="113">
        <v>1358</v>
      </c>
      <c r="E34" s="113">
        <v>3338</v>
      </c>
      <c r="F34" s="113">
        <v>4996</v>
      </c>
      <c r="G34" s="113">
        <v>3868</v>
      </c>
      <c r="H34" s="113">
        <v>8864</v>
      </c>
      <c r="I34" s="113">
        <v>15639</v>
      </c>
      <c r="J34" s="113">
        <v>6384</v>
      </c>
      <c r="K34" s="113">
        <v>22023</v>
      </c>
      <c r="L34" s="113">
        <v>14720</v>
      </c>
      <c r="M34" s="113">
        <v>14802</v>
      </c>
      <c r="N34" s="113">
        <v>29522</v>
      </c>
      <c r="O34" s="113">
        <v>660</v>
      </c>
      <c r="P34" s="113">
        <v>541</v>
      </c>
      <c r="Q34" s="113">
        <v>1201</v>
      </c>
      <c r="R34" s="113">
        <v>0</v>
      </c>
      <c r="S34" s="113"/>
      <c r="T34" s="113"/>
      <c r="U34" s="113">
        <v>0</v>
      </c>
      <c r="V34" s="113"/>
      <c r="W34" s="113"/>
      <c r="X34" s="113">
        <v>183812</v>
      </c>
      <c r="Y34" s="113">
        <v>192896</v>
      </c>
      <c r="Z34" s="113">
        <v>376708</v>
      </c>
      <c r="AA34" s="113">
        <v>97</v>
      </c>
      <c r="AB34" s="113">
        <v>31</v>
      </c>
      <c r="AC34" s="113">
        <v>128</v>
      </c>
      <c r="AD34" s="113">
        <v>1907</v>
      </c>
      <c r="AE34" s="113">
        <v>9740</v>
      </c>
      <c r="AF34" s="113">
        <v>11647</v>
      </c>
      <c r="AG34" s="113">
        <v>220811</v>
      </c>
      <c r="AH34" s="113">
        <v>111700</v>
      </c>
      <c r="AI34" s="113">
        <v>332511</v>
      </c>
      <c r="AJ34" s="113">
        <v>444622</v>
      </c>
      <c r="AK34" s="113">
        <v>341320</v>
      </c>
      <c r="AL34" s="113">
        <v>785942</v>
      </c>
    </row>
    <row r="35" spans="1:41" s="333" customFormat="1" ht="27" customHeight="1">
      <c r="A35" s="446">
        <v>31</v>
      </c>
      <c r="B35" s="334" t="s">
        <v>131</v>
      </c>
      <c r="C35" s="113">
        <v>12765</v>
      </c>
      <c r="D35" s="113">
        <v>9989</v>
      </c>
      <c r="E35" s="113">
        <v>22754</v>
      </c>
      <c r="F35" s="113">
        <v>5654</v>
      </c>
      <c r="G35" s="113">
        <v>4000</v>
      </c>
      <c r="H35" s="113">
        <v>9654</v>
      </c>
      <c r="I35" s="113">
        <v>8955</v>
      </c>
      <c r="J35" s="113">
        <v>2880</v>
      </c>
      <c r="K35" s="113">
        <v>11835</v>
      </c>
      <c r="L35" s="113">
        <v>46526</v>
      </c>
      <c r="M35" s="113">
        <v>36420</v>
      </c>
      <c r="N35" s="113">
        <v>82946</v>
      </c>
      <c r="O35" s="113">
        <v>7978</v>
      </c>
      <c r="P35" s="113">
        <v>4830</v>
      </c>
      <c r="Q35" s="113">
        <v>12808</v>
      </c>
      <c r="R35" s="113">
        <v>0</v>
      </c>
      <c r="S35" s="113"/>
      <c r="T35" s="113"/>
      <c r="U35" s="113">
        <v>0</v>
      </c>
      <c r="V35" s="113">
        <v>960</v>
      </c>
      <c r="W35" s="113">
        <v>960</v>
      </c>
      <c r="X35" s="113">
        <v>38935</v>
      </c>
      <c r="Y35" s="113">
        <v>50869</v>
      </c>
      <c r="Z35" s="113">
        <v>89804</v>
      </c>
      <c r="AA35" s="113">
        <v>476</v>
      </c>
      <c r="AB35" s="113">
        <v>416</v>
      </c>
      <c r="AC35" s="113">
        <v>892</v>
      </c>
      <c r="AD35" s="113">
        <v>80</v>
      </c>
      <c r="AE35" s="113">
        <v>204</v>
      </c>
      <c r="AF35" s="113">
        <v>284</v>
      </c>
      <c r="AG35" s="113">
        <v>10716</v>
      </c>
      <c r="AH35" s="113">
        <v>6836</v>
      </c>
      <c r="AI35" s="113">
        <v>17552</v>
      </c>
      <c r="AJ35" s="113">
        <v>132085</v>
      </c>
      <c r="AK35" s="113">
        <v>117404</v>
      </c>
      <c r="AL35" s="113">
        <v>249489</v>
      </c>
    </row>
    <row r="36" spans="1:41" s="333" customFormat="1" ht="30" customHeight="1">
      <c r="A36" s="446">
        <v>32</v>
      </c>
      <c r="B36" s="231" t="s">
        <v>1062</v>
      </c>
      <c r="C36" s="113">
        <v>0</v>
      </c>
      <c r="D36" s="113"/>
      <c r="E36" s="113"/>
      <c r="F36" s="113">
        <v>0</v>
      </c>
      <c r="G36" s="113"/>
      <c r="H36" s="113"/>
      <c r="I36" s="113">
        <v>157</v>
      </c>
      <c r="J36" s="113">
        <v>15</v>
      </c>
      <c r="K36" s="113">
        <v>172</v>
      </c>
      <c r="L36" s="113">
        <v>0</v>
      </c>
      <c r="M36" s="113"/>
      <c r="N36" s="113"/>
      <c r="O36" s="113">
        <v>0</v>
      </c>
      <c r="P36" s="113"/>
      <c r="Q36" s="113"/>
      <c r="R36" s="113">
        <v>0</v>
      </c>
      <c r="S36" s="113"/>
      <c r="T36" s="113"/>
      <c r="U36" s="113">
        <v>0</v>
      </c>
      <c r="V36" s="113"/>
      <c r="W36" s="113"/>
      <c r="X36" s="113">
        <v>51</v>
      </c>
      <c r="Y36" s="113">
        <v>43</v>
      </c>
      <c r="Z36" s="113">
        <v>94</v>
      </c>
      <c r="AA36" s="113">
        <v>0</v>
      </c>
      <c r="AB36" s="113"/>
      <c r="AC36" s="113"/>
      <c r="AD36" s="113">
        <v>0</v>
      </c>
      <c r="AE36" s="113"/>
      <c r="AF36" s="113"/>
      <c r="AG36" s="113">
        <v>0</v>
      </c>
      <c r="AH36" s="113"/>
      <c r="AI36" s="113"/>
      <c r="AJ36" s="113">
        <v>208</v>
      </c>
      <c r="AK36" s="113">
        <v>58</v>
      </c>
      <c r="AL36" s="113">
        <v>266</v>
      </c>
    </row>
    <row r="37" spans="1:41" s="333" customFormat="1" ht="27" customHeight="1">
      <c r="A37" s="446">
        <v>33</v>
      </c>
      <c r="B37" s="334" t="s">
        <v>45</v>
      </c>
      <c r="C37" s="113">
        <v>3826</v>
      </c>
      <c r="D37" s="113">
        <v>3872</v>
      </c>
      <c r="E37" s="113">
        <v>7698</v>
      </c>
      <c r="F37" s="113">
        <v>3172</v>
      </c>
      <c r="G37" s="113">
        <v>3059</v>
      </c>
      <c r="H37" s="113">
        <v>6231</v>
      </c>
      <c r="I37" s="113">
        <v>3399</v>
      </c>
      <c r="J37" s="113">
        <v>1109</v>
      </c>
      <c r="K37" s="113">
        <v>4508</v>
      </c>
      <c r="L37" s="113">
        <v>0</v>
      </c>
      <c r="M37" s="113"/>
      <c r="N37" s="113"/>
      <c r="O37" s="113">
        <v>2946</v>
      </c>
      <c r="P37" s="113">
        <v>2201</v>
      </c>
      <c r="Q37" s="113">
        <v>5147</v>
      </c>
      <c r="R37" s="113">
        <v>0</v>
      </c>
      <c r="S37" s="113"/>
      <c r="T37" s="113"/>
      <c r="U37" s="113">
        <v>0</v>
      </c>
      <c r="V37" s="113"/>
      <c r="W37" s="113"/>
      <c r="X37" s="113">
        <v>215</v>
      </c>
      <c r="Y37" s="113">
        <v>170</v>
      </c>
      <c r="Z37" s="113">
        <v>385</v>
      </c>
      <c r="AA37" s="113">
        <v>0</v>
      </c>
      <c r="AB37" s="113"/>
      <c r="AC37" s="113"/>
      <c r="AD37" s="113">
        <v>0</v>
      </c>
      <c r="AE37" s="113"/>
      <c r="AF37" s="113"/>
      <c r="AG37" s="113">
        <v>0</v>
      </c>
      <c r="AH37" s="113"/>
      <c r="AI37" s="113"/>
      <c r="AJ37" s="113">
        <v>13558</v>
      </c>
      <c r="AK37" s="113">
        <v>10411</v>
      </c>
      <c r="AL37" s="113">
        <v>23969</v>
      </c>
    </row>
    <row r="38" spans="1:41" s="333" customFormat="1" ht="27" customHeight="1">
      <c r="A38" s="446">
        <v>34</v>
      </c>
      <c r="B38" s="334" t="s">
        <v>47</v>
      </c>
      <c r="C38" s="113">
        <v>57949</v>
      </c>
      <c r="D38" s="113">
        <v>32005</v>
      </c>
      <c r="E38" s="113">
        <v>89954</v>
      </c>
      <c r="F38" s="113">
        <v>37346</v>
      </c>
      <c r="G38" s="113">
        <v>25368</v>
      </c>
      <c r="H38" s="113">
        <v>62714</v>
      </c>
      <c r="I38" s="113">
        <v>23191</v>
      </c>
      <c r="J38" s="113">
        <v>6833</v>
      </c>
      <c r="K38" s="113">
        <v>30024</v>
      </c>
      <c r="L38" s="113">
        <v>34751</v>
      </c>
      <c r="M38" s="113">
        <v>18965</v>
      </c>
      <c r="N38" s="113">
        <v>53716</v>
      </c>
      <c r="O38" s="113">
        <v>145956</v>
      </c>
      <c r="P38" s="113">
        <v>79924</v>
      </c>
      <c r="Q38" s="113">
        <v>225880</v>
      </c>
      <c r="R38" s="113">
        <v>0</v>
      </c>
      <c r="S38" s="113"/>
      <c r="T38" s="113"/>
      <c r="U38" s="113">
        <v>415</v>
      </c>
      <c r="V38" s="113">
        <v>297</v>
      </c>
      <c r="W38" s="113">
        <v>712</v>
      </c>
      <c r="X38" s="113">
        <v>152097</v>
      </c>
      <c r="Y38" s="113">
        <v>86813</v>
      </c>
      <c r="Z38" s="113">
        <v>238910</v>
      </c>
      <c r="AA38" s="113">
        <v>487</v>
      </c>
      <c r="AB38" s="113">
        <v>292</v>
      </c>
      <c r="AC38" s="113">
        <v>779</v>
      </c>
      <c r="AD38" s="113">
        <v>15220</v>
      </c>
      <c r="AE38" s="113">
        <v>10953</v>
      </c>
      <c r="AF38" s="113">
        <v>26173</v>
      </c>
      <c r="AG38" s="113">
        <v>10423</v>
      </c>
      <c r="AH38" s="113">
        <v>6502</v>
      </c>
      <c r="AI38" s="113">
        <v>16925</v>
      </c>
      <c r="AJ38" s="113">
        <v>477835</v>
      </c>
      <c r="AK38" s="113">
        <v>267952</v>
      </c>
      <c r="AL38" s="113">
        <v>745787</v>
      </c>
    </row>
    <row r="39" spans="1:41" s="333" customFormat="1" ht="27" customHeight="1">
      <c r="A39" s="446">
        <v>35</v>
      </c>
      <c r="B39" s="334" t="s">
        <v>46</v>
      </c>
      <c r="C39" s="113">
        <v>7469</v>
      </c>
      <c r="D39" s="113">
        <v>6164</v>
      </c>
      <c r="E39" s="113">
        <v>13633</v>
      </c>
      <c r="F39" s="113">
        <v>10479</v>
      </c>
      <c r="G39" s="113">
        <v>7549</v>
      </c>
      <c r="H39" s="113">
        <v>18028</v>
      </c>
      <c r="I39" s="113">
        <v>8713</v>
      </c>
      <c r="J39" s="113">
        <v>2734</v>
      </c>
      <c r="K39" s="113">
        <v>11447</v>
      </c>
      <c r="L39" s="113">
        <v>37632</v>
      </c>
      <c r="M39" s="113">
        <v>41993</v>
      </c>
      <c r="N39" s="113">
        <v>79625</v>
      </c>
      <c r="O39" s="113">
        <v>46924</v>
      </c>
      <c r="P39" s="113">
        <v>29302</v>
      </c>
      <c r="Q39" s="113">
        <v>76226</v>
      </c>
      <c r="R39" s="113">
        <v>0</v>
      </c>
      <c r="S39" s="113"/>
      <c r="T39" s="113"/>
      <c r="U39" s="113">
        <v>0</v>
      </c>
      <c r="V39" s="113"/>
      <c r="W39" s="113"/>
      <c r="X39" s="113">
        <v>16070</v>
      </c>
      <c r="Y39" s="113">
        <v>17418</v>
      </c>
      <c r="Z39" s="113">
        <v>33488</v>
      </c>
      <c r="AA39" s="113">
        <v>196</v>
      </c>
      <c r="AB39" s="113">
        <v>189</v>
      </c>
      <c r="AC39" s="113">
        <v>385</v>
      </c>
      <c r="AD39" s="113">
        <v>4764</v>
      </c>
      <c r="AE39" s="113">
        <v>1163</v>
      </c>
      <c r="AF39" s="113">
        <v>5927</v>
      </c>
      <c r="AG39" s="113">
        <v>4270</v>
      </c>
      <c r="AH39" s="113">
        <v>3777</v>
      </c>
      <c r="AI39" s="113">
        <v>8047</v>
      </c>
      <c r="AJ39" s="113">
        <v>136517</v>
      </c>
      <c r="AK39" s="113">
        <v>110289</v>
      </c>
      <c r="AL39" s="113">
        <v>246806</v>
      </c>
    </row>
    <row r="40" spans="1:41" s="333" customFormat="1" ht="27" customHeight="1">
      <c r="A40" s="446">
        <v>36</v>
      </c>
      <c r="B40" s="334" t="s">
        <v>48</v>
      </c>
      <c r="C40" s="113">
        <v>4258</v>
      </c>
      <c r="D40" s="113">
        <v>4907</v>
      </c>
      <c r="E40" s="113">
        <v>9165</v>
      </c>
      <c r="F40" s="113">
        <v>31548</v>
      </c>
      <c r="G40" s="113">
        <v>31968</v>
      </c>
      <c r="H40" s="113">
        <v>63516</v>
      </c>
      <c r="I40" s="113">
        <v>24145</v>
      </c>
      <c r="J40" s="113">
        <v>7391</v>
      </c>
      <c r="K40" s="113">
        <v>31536</v>
      </c>
      <c r="L40" s="113">
        <v>282599</v>
      </c>
      <c r="M40" s="113">
        <v>208336</v>
      </c>
      <c r="N40" s="113">
        <v>490935</v>
      </c>
      <c r="O40" s="113">
        <v>24179</v>
      </c>
      <c r="P40" s="113">
        <v>15870</v>
      </c>
      <c r="Q40" s="113">
        <v>40049</v>
      </c>
      <c r="R40" s="113">
        <v>0</v>
      </c>
      <c r="S40" s="113"/>
      <c r="T40" s="113"/>
      <c r="U40" s="113">
        <v>0</v>
      </c>
      <c r="V40" s="113"/>
      <c r="W40" s="113"/>
      <c r="X40" s="113">
        <v>57688</v>
      </c>
      <c r="Y40" s="113">
        <v>75702</v>
      </c>
      <c r="Z40" s="113">
        <v>133390</v>
      </c>
      <c r="AA40" s="113">
        <v>945</v>
      </c>
      <c r="AB40" s="113">
        <v>409</v>
      </c>
      <c r="AC40" s="113">
        <v>1354</v>
      </c>
      <c r="AD40" s="113">
        <v>0</v>
      </c>
      <c r="AE40" s="113"/>
      <c r="AF40" s="113"/>
      <c r="AG40" s="113">
        <v>1923</v>
      </c>
      <c r="AH40" s="113">
        <v>1083</v>
      </c>
      <c r="AI40" s="113">
        <v>3006</v>
      </c>
      <c r="AJ40" s="113">
        <v>427285</v>
      </c>
      <c r="AK40" s="113">
        <v>345666</v>
      </c>
      <c r="AL40" s="113">
        <v>772951</v>
      </c>
    </row>
    <row r="41" spans="1:41" s="335" customFormat="1" ht="27" customHeight="1">
      <c r="A41" s="1200" t="s">
        <v>49</v>
      </c>
      <c r="B41" s="1200"/>
      <c r="C41" s="115">
        <v>370924</v>
      </c>
      <c r="D41" s="115">
        <v>330341</v>
      </c>
      <c r="E41" s="115">
        <v>701265</v>
      </c>
      <c r="F41" s="115">
        <v>687643</v>
      </c>
      <c r="G41" s="115">
        <v>573198</v>
      </c>
      <c r="H41" s="115">
        <v>1260841</v>
      </c>
      <c r="I41" s="115">
        <v>237210</v>
      </c>
      <c r="J41" s="115">
        <v>88522</v>
      </c>
      <c r="K41" s="115">
        <v>325732</v>
      </c>
      <c r="L41" s="115">
        <v>1073462</v>
      </c>
      <c r="M41" s="115">
        <v>726541</v>
      </c>
      <c r="N41" s="115">
        <v>1800003</v>
      </c>
      <c r="O41" s="115">
        <v>1048809</v>
      </c>
      <c r="P41" s="115">
        <v>567456</v>
      </c>
      <c r="Q41" s="115">
        <v>1616265</v>
      </c>
      <c r="R41" s="115">
        <v>2096</v>
      </c>
      <c r="S41" s="115">
        <v>1137</v>
      </c>
      <c r="T41" s="115">
        <v>3233</v>
      </c>
      <c r="U41" s="115">
        <v>2665</v>
      </c>
      <c r="V41" s="115">
        <v>4427</v>
      </c>
      <c r="W41" s="115">
        <v>7092</v>
      </c>
      <c r="X41" s="115">
        <v>1543657</v>
      </c>
      <c r="Y41" s="115">
        <v>1436851</v>
      </c>
      <c r="Z41" s="115">
        <v>2980508</v>
      </c>
      <c r="AA41" s="115">
        <v>21673</v>
      </c>
      <c r="AB41" s="115">
        <v>9146</v>
      </c>
      <c r="AC41" s="115">
        <v>30819</v>
      </c>
      <c r="AD41" s="115">
        <v>30161</v>
      </c>
      <c r="AE41" s="115">
        <v>29775</v>
      </c>
      <c r="AF41" s="115">
        <v>59936</v>
      </c>
      <c r="AG41" s="115">
        <v>502655</v>
      </c>
      <c r="AH41" s="115">
        <v>349996</v>
      </c>
      <c r="AI41" s="115">
        <v>852651</v>
      </c>
      <c r="AJ41" s="115">
        <v>5520955</v>
      </c>
      <c r="AK41" s="115">
        <v>4117390</v>
      </c>
      <c r="AL41" s="115">
        <v>9638345</v>
      </c>
      <c r="AM41" s="333"/>
      <c r="AN41" s="333"/>
      <c r="AO41" s="333"/>
    </row>
    <row r="42" spans="1:41">
      <c r="N42" s="337" t="s">
        <v>96</v>
      </c>
      <c r="O42" s="336"/>
      <c r="Z42" s="338" t="str">
        <f>N42</f>
        <v>Note - Constituent Colleges of State/Central University not included.</v>
      </c>
      <c r="AD42" s="336"/>
      <c r="AL42" s="338" t="str">
        <f>Z42</f>
        <v>Note - Constituent Colleges of State/Central University not included.</v>
      </c>
    </row>
  </sheetData>
  <mergeCells count="18">
    <mergeCell ref="A41:B41"/>
    <mergeCell ref="O2:Q2"/>
    <mergeCell ref="R2:T2"/>
    <mergeCell ref="U2:W2"/>
    <mergeCell ref="X2:Z2"/>
    <mergeCell ref="A2:A3"/>
    <mergeCell ref="B2:B3"/>
    <mergeCell ref="C2:E2"/>
    <mergeCell ref="F2:H2"/>
    <mergeCell ref="I2:K2"/>
    <mergeCell ref="L2:N2"/>
    <mergeCell ref="C1:N1"/>
    <mergeCell ref="AG2:AI2"/>
    <mergeCell ref="AJ2:AL2"/>
    <mergeCell ref="AA2:AC2"/>
    <mergeCell ref="AD2:AF2"/>
    <mergeCell ref="O1:Z1"/>
    <mergeCell ref="AA1:AL1"/>
  </mergeCells>
  <printOptions horizontalCentered="1"/>
  <pageMargins left="0.23622047244094491" right="0.19685039370078741" top="0.38" bottom="0.39370078740157483" header="0.19685039370078741" footer="0.15748031496062992"/>
  <pageSetup paperSize="9" scale="70" firstPageNumber="123" orientation="portrait" useFirstPageNumber="1" r:id="rId1"/>
  <headerFooter>
    <oddFooter>&amp;L&amp;"Arial,Italic"&amp;9AISHE 2021-22&amp;CT-39</oddFooter>
  </headerFooter>
  <colBreaks count="2" manualBreakCount="2">
    <brk id="14" max="40" man="1"/>
    <brk id="26" max="41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E29A-0F93-4C8B-AA81-C5718E983D94}">
  <sheetPr>
    <tabColor rgb="FF00B050"/>
  </sheetPr>
  <dimension ref="A1:G38"/>
  <sheetViews>
    <sheetView view="pageBreakPreview" zoomScaleNormal="100" zoomScaleSheetLayoutView="100" workbookViewId="0">
      <selection activeCell="F15" sqref="F15"/>
    </sheetView>
  </sheetViews>
  <sheetFormatPr defaultColWidth="9.28515625" defaultRowHeight="15"/>
  <cols>
    <col min="1" max="1" width="8.28515625" style="529" bestFit="1" customWidth="1"/>
    <col min="2" max="2" width="35.28515625" style="530" customWidth="1"/>
    <col min="3" max="6" width="14.28515625" style="541" customWidth="1"/>
    <col min="7" max="7" width="14.140625" style="541" customWidth="1"/>
    <col min="8" max="16384" width="9.28515625" style="530"/>
  </cols>
  <sheetData>
    <row r="1" spans="1:7" ht="27.75" customHeight="1">
      <c r="B1" s="1201" t="s">
        <v>226</v>
      </c>
      <c r="C1" s="1201"/>
      <c r="D1" s="1201"/>
      <c r="E1" s="1201"/>
      <c r="F1" s="1201"/>
      <c r="G1" s="1201"/>
    </row>
    <row r="2" spans="1:7" s="532" customFormat="1" ht="33.75" customHeight="1">
      <c r="A2" s="531" t="s">
        <v>988</v>
      </c>
      <c r="B2" s="531" t="s">
        <v>168</v>
      </c>
      <c r="C2" s="531" t="s">
        <v>227</v>
      </c>
      <c r="D2" s="531" t="s">
        <v>228</v>
      </c>
      <c r="E2" s="531" t="s">
        <v>229</v>
      </c>
      <c r="F2" s="531" t="s">
        <v>876</v>
      </c>
      <c r="G2" s="531" t="s">
        <v>919</v>
      </c>
    </row>
    <row r="3" spans="1:7" s="534" customFormat="1" ht="11.25">
      <c r="A3" s="533">
        <v>1</v>
      </c>
      <c r="B3" s="533">
        <v>2</v>
      </c>
      <c r="C3" s="533">
        <v>3</v>
      </c>
      <c r="D3" s="533">
        <v>4</v>
      </c>
      <c r="E3" s="533">
        <v>5</v>
      </c>
      <c r="F3" s="533">
        <v>6</v>
      </c>
      <c r="G3" s="533">
        <v>7</v>
      </c>
    </row>
    <row r="4" spans="1:7" s="538" customFormat="1" ht="27" customHeight="1">
      <c r="A4" s="535"/>
      <c r="B4" s="536" t="s">
        <v>230</v>
      </c>
      <c r="C4" s="537">
        <v>903</v>
      </c>
      <c r="D4" s="537">
        <v>993</v>
      </c>
      <c r="E4" s="537">
        <v>1043</v>
      </c>
      <c r="F4" s="537">
        <v>1113</v>
      </c>
      <c r="G4" s="537">
        <v>1168</v>
      </c>
    </row>
    <row r="5" spans="1:7" s="538" customFormat="1" ht="27" customHeight="1">
      <c r="A5" s="537">
        <v>1</v>
      </c>
      <c r="B5" s="536" t="s">
        <v>15</v>
      </c>
      <c r="C5" s="539">
        <v>34</v>
      </c>
      <c r="D5" s="210">
        <v>41</v>
      </c>
      <c r="E5" s="539">
        <v>41</v>
      </c>
      <c r="F5" s="539">
        <v>45</v>
      </c>
      <c r="G5" s="539">
        <v>47</v>
      </c>
    </row>
    <row r="6" spans="1:7" s="538" customFormat="1" ht="27" customHeight="1">
      <c r="A6" s="537">
        <v>2</v>
      </c>
      <c r="B6" s="536" t="s">
        <v>16</v>
      </c>
      <c r="C6" s="539">
        <v>9</v>
      </c>
      <c r="D6" s="210">
        <v>10</v>
      </c>
      <c r="E6" s="539">
        <v>10</v>
      </c>
      <c r="F6" s="539">
        <v>10</v>
      </c>
      <c r="G6" s="539">
        <v>10</v>
      </c>
    </row>
    <row r="7" spans="1:7" s="538" customFormat="1" ht="27" customHeight="1">
      <c r="A7" s="537">
        <v>3</v>
      </c>
      <c r="B7" s="536" t="s">
        <v>17</v>
      </c>
      <c r="C7" s="539">
        <v>21</v>
      </c>
      <c r="D7" s="210">
        <v>22</v>
      </c>
      <c r="E7" s="539">
        <v>26</v>
      </c>
      <c r="F7" s="539">
        <v>28</v>
      </c>
      <c r="G7" s="539">
        <v>30</v>
      </c>
    </row>
    <row r="8" spans="1:7" s="538" customFormat="1" ht="27" customHeight="1">
      <c r="A8" s="537">
        <v>4</v>
      </c>
      <c r="B8" s="536" t="s">
        <v>18</v>
      </c>
      <c r="C8" s="539">
        <v>24</v>
      </c>
      <c r="D8" s="210">
        <v>33</v>
      </c>
      <c r="E8" s="539">
        <v>35</v>
      </c>
      <c r="F8" s="539">
        <v>37</v>
      </c>
      <c r="G8" s="539">
        <v>37</v>
      </c>
    </row>
    <row r="9" spans="1:7" s="538" customFormat="1" ht="27" customHeight="1">
      <c r="A9" s="537">
        <v>5</v>
      </c>
      <c r="B9" s="536" t="s">
        <v>19</v>
      </c>
      <c r="C9" s="539">
        <v>3</v>
      </c>
      <c r="D9" s="210">
        <v>3</v>
      </c>
      <c r="E9" s="539">
        <v>3</v>
      </c>
      <c r="F9" s="539">
        <v>3</v>
      </c>
      <c r="G9" s="539">
        <v>3</v>
      </c>
    </row>
    <row r="10" spans="1:7" s="538" customFormat="1" ht="27" customHeight="1">
      <c r="A10" s="537">
        <v>6</v>
      </c>
      <c r="B10" s="536" t="s">
        <v>20</v>
      </c>
      <c r="C10" s="539">
        <v>24</v>
      </c>
      <c r="D10" s="210">
        <v>28</v>
      </c>
      <c r="E10" s="539">
        <v>28</v>
      </c>
      <c r="F10" s="539">
        <v>32</v>
      </c>
      <c r="G10" s="539">
        <v>34</v>
      </c>
    </row>
    <row r="11" spans="1:7" s="538" customFormat="1" ht="27" customHeight="1">
      <c r="A11" s="537">
        <v>7</v>
      </c>
      <c r="B11" s="536" t="s">
        <v>23</v>
      </c>
      <c r="C11" s="539">
        <v>27</v>
      </c>
      <c r="D11" s="210">
        <v>27</v>
      </c>
      <c r="E11" s="539">
        <v>28</v>
      </c>
      <c r="F11" s="539">
        <v>28</v>
      </c>
      <c r="G11" s="539">
        <v>30</v>
      </c>
    </row>
    <row r="12" spans="1:7" s="538" customFormat="1" ht="27" customHeight="1">
      <c r="A12" s="537">
        <v>8</v>
      </c>
      <c r="B12" s="536" t="s">
        <v>24</v>
      </c>
      <c r="C12" s="539">
        <v>3</v>
      </c>
      <c r="D12" s="210">
        <v>3</v>
      </c>
      <c r="E12" s="539">
        <v>3</v>
      </c>
      <c r="F12" s="539">
        <v>3</v>
      </c>
      <c r="G12" s="539">
        <v>3</v>
      </c>
    </row>
    <row r="13" spans="1:7" s="538" customFormat="1" ht="27" customHeight="1">
      <c r="A13" s="537">
        <v>9</v>
      </c>
      <c r="B13" s="536" t="s">
        <v>25</v>
      </c>
      <c r="C13" s="539">
        <v>65</v>
      </c>
      <c r="D13" s="210">
        <v>72</v>
      </c>
      <c r="E13" s="539">
        <v>76</v>
      </c>
      <c r="F13" s="539">
        <v>83</v>
      </c>
      <c r="G13" s="539">
        <v>91</v>
      </c>
    </row>
    <row r="14" spans="1:7" s="538" customFormat="1" ht="27" customHeight="1">
      <c r="A14" s="537">
        <v>10</v>
      </c>
      <c r="B14" s="536" t="s">
        <v>26</v>
      </c>
      <c r="C14" s="539">
        <v>40</v>
      </c>
      <c r="D14" s="210">
        <v>48</v>
      </c>
      <c r="E14" s="539">
        <v>53</v>
      </c>
      <c r="F14" s="539">
        <v>56</v>
      </c>
      <c r="G14" s="539">
        <v>56</v>
      </c>
    </row>
    <row r="15" spans="1:7" s="538" customFormat="1" ht="27" customHeight="1">
      <c r="A15" s="537">
        <v>11</v>
      </c>
      <c r="B15" s="536" t="s">
        <v>27</v>
      </c>
      <c r="C15" s="539">
        <v>25</v>
      </c>
      <c r="D15" s="210">
        <v>26</v>
      </c>
      <c r="E15" s="539">
        <v>27</v>
      </c>
      <c r="F15" s="539">
        <v>29</v>
      </c>
      <c r="G15" s="539">
        <v>30</v>
      </c>
    </row>
    <row r="16" spans="1:7" s="538" customFormat="1" ht="27" customHeight="1">
      <c r="A16" s="537">
        <v>12</v>
      </c>
      <c r="B16" s="536" t="s">
        <v>57</v>
      </c>
      <c r="C16" s="539">
        <v>14</v>
      </c>
      <c r="D16" s="210">
        <v>15</v>
      </c>
      <c r="E16" s="539">
        <v>15</v>
      </c>
      <c r="F16" s="539">
        <v>15</v>
      </c>
      <c r="G16" s="539">
        <v>16</v>
      </c>
    </row>
    <row r="17" spans="1:7" s="538" customFormat="1" ht="27" customHeight="1">
      <c r="A17" s="537">
        <v>13</v>
      </c>
      <c r="B17" s="536" t="s">
        <v>29</v>
      </c>
      <c r="C17" s="539">
        <v>21</v>
      </c>
      <c r="D17" s="210">
        <v>25</v>
      </c>
      <c r="E17" s="539">
        <v>32</v>
      </c>
      <c r="F17" s="539">
        <v>32</v>
      </c>
      <c r="G17" s="539">
        <v>33</v>
      </c>
    </row>
    <row r="18" spans="1:7" s="538" customFormat="1" ht="27" customHeight="1">
      <c r="A18" s="537">
        <v>14</v>
      </c>
      <c r="B18" s="536" t="s">
        <v>30</v>
      </c>
      <c r="C18" s="539">
        <v>60</v>
      </c>
      <c r="D18" s="210">
        <v>65</v>
      </c>
      <c r="E18" s="539">
        <v>69</v>
      </c>
      <c r="F18" s="539">
        <v>72</v>
      </c>
      <c r="G18" s="539">
        <v>75</v>
      </c>
    </row>
    <row r="19" spans="1:7" s="538" customFormat="1" ht="27" customHeight="1">
      <c r="A19" s="537">
        <v>15</v>
      </c>
      <c r="B19" s="536" t="s">
        <v>31</v>
      </c>
      <c r="C19" s="539">
        <v>22</v>
      </c>
      <c r="D19" s="210">
        <v>23</v>
      </c>
      <c r="E19" s="539">
        <v>23</v>
      </c>
      <c r="F19" s="539">
        <v>23</v>
      </c>
      <c r="G19" s="539">
        <v>25</v>
      </c>
    </row>
    <row r="20" spans="1:7" s="538" customFormat="1" ht="27" customHeight="1">
      <c r="A20" s="537">
        <v>16</v>
      </c>
      <c r="B20" s="536" t="s">
        <v>154</v>
      </c>
      <c r="C20" s="539"/>
      <c r="D20" s="210"/>
      <c r="E20" s="539">
        <v>1</v>
      </c>
      <c r="F20" s="539">
        <v>2</v>
      </c>
      <c r="G20" s="539">
        <v>2</v>
      </c>
    </row>
    <row r="21" spans="1:7" s="538" customFormat="1" ht="27" customHeight="1">
      <c r="A21" s="537">
        <v>17</v>
      </c>
      <c r="B21" s="536" t="s">
        <v>33</v>
      </c>
      <c r="C21" s="539">
        <v>52</v>
      </c>
      <c r="D21" s="210">
        <v>65</v>
      </c>
      <c r="E21" s="539">
        <v>66</v>
      </c>
      <c r="F21" s="539">
        <v>74</v>
      </c>
      <c r="G21" s="539">
        <v>77</v>
      </c>
    </row>
    <row r="22" spans="1:7" s="538" customFormat="1" ht="27" customHeight="1">
      <c r="A22" s="537">
        <v>18</v>
      </c>
      <c r="B22" s="536" t="s">
        <v>34</v>
      </c>
      <c r="C22" s="539">
        <v>54</v>
      </c>
      <c r="D22" s="210">
        <v>62</v>
      </c>
      <c r="E22" s="539">
        <v>65</v>
      </c>
      <c r="F22" s="539">
        <v>71</v>
      </c>
      <c r="G22" s="539">
        <v>74</v>
      </c>
    </row>
    <row r="23" spans="1:7" s="538" customFormat="1" ht="27" customHeight="1">
      <c r="A23" s="537">
        <v>19</v>
      </c>
      <c r="B23" s="536" t="s">
        <v>35</v>
      </c>
      <c r="C23" s="539">
        <v>5</v>
      </c>
      <c r="D23" s="210">
        <v>6</v>
      </c>
      <c r="E23" s="539">
        <v>8</v>
      </c>
      <c r="F23" s="539">
        <v>9</v>
      </c>
      <c r="G23" s="539">
        <v>10</v>
      </c>
    </row>
    <row r="24" spans="1:7" s="538" customFormat="1" ht="27" customHeight="1">
      <c r="A24" s="537">
        <v>20</v>
      </c>
      <c r="B24" s="536" t="s">
        <v>36</v>
      </c>
      <c r="C24" s="539">
        <v>8</v>
      </c>
      <c r="D24" s="210">
        <v>10</v>
      </c>
      <c r="E24" s="539">
        <v>10</v>
      </c>
      <c r="F24" s="539">
        <v>11</v>
      </c>
      <c r="G24" s="539">
        <v>11</v>
      </c>
    </row>
    <row r="25" spans="1:7" s="538" customFormat="1" ht="27" customHeight="1">
      <c r="A25" s="537">
        <v>21</v>
      </c>
      <c r="B25" s="536" t="s">
        <v>37</v>
      </c>
      <c r="C25" s="539">
        <v>3</v>
      </c>
      <c r="D25" s="210">
        <v>3</v>
      </c>
      <c r="E25" s="539">
        <v>3</v>
      </c>
      <c r="F25" s="539">
        <v>3</v>
      </c>
      <c r="G25" s="539">
        <v>3</v>
      </c>
    </row>
    <row r="26" spans="1:7" s="538" customFormat="1" ht="27" customHeight="1">
      <c r="A26" s="537">
        <v>22</v>
      </c>
      <c r="B26" s="536" t="s">
        <v>38</v>
      </c>
      <c r="C26" s="539">
        <v>5</v>
      </c>
      <c r="D26" s="210">
        <v>5</v>
      </c>
      <c r="E26" s="539">
        <v>5</v>
      </c>
      <c r="F26" s="539">
        <v>5</v>
      </c>
      <c r="G26" s="539">
        <v>6</v>
      </c>
    </row>
    <row r="27" spans="1:7" s="538" customFormat="1" ht="27" customHeight="1">
      <c r="A27" s="537">
        <v>23</v>
      </c>
      <c r="B27" s="536" t="s">
        <v>39</v>
      </c>
      <c r="C27" s="539">
        <v>25</v>
      </c>
      <c r="D27" s="210">
        <v>28</v>
      </c>
      <c r="E27" s="539">
        <v>32</v>
      </c>
      <c r="F27" s="539">
        <v>36</v>
      </c>
      <c r="G27" s="539">
        <v>37</v>
      </c>
    </row>
    <row r="28" spans="1:7" s="538" customFormat="1" ht="27" customHeight="1">
      <c r="A28" s="537">
        <v>24</v>
      </c>
      <c r="B28" s="536" t="s">
        <v>40</v>
      </c>
      <c r="C28" s="539">
        <v>4</v>
      </c>
      <c r="D28" s="210">
        <v>4</v>
      </c>
      <c r="E28" s="539">
        <v>4</v>
      </c>
      <c r="F28" s="539">
        <v>4</v>
      </c>
      <c r="G28" s="539">
        <v>4</v>
      </c>
    </row>
    <row r="29" spans="1:7" s="538" customFormat="1" ht="27" customHeight="1">
      <c r="A29" s="537">
        <v>25</v>
      </c>
      <c r="B29" s="536" t="s">
        <v>41</v>
      </c>
      <c r="C29" s="539">
        <v>31</v>
      </c>
      <c r="D29" s="210">
        <v>32</v>
      </c>
      <c r="E29" s="539">
        <v>32</v>
      </c>
      <c r="F29" s="539">
        <v>34</v>
      </c>
      <c r="G29" s="539">
        <v>40</v>
      </c>
    </row>
    <row r="30" spans="1:7" s="538" customFormat="1" ht="27" customHeight="1">
      <c r="A30" s="537">
        <v>26</v>
      </c>
      <c r="B30" s="536" t="s">
        <v>42</v>
      </c>
      <c r="C30" s="539">
        <v>79</v>
      </c>
      <c r="D30" s="210">
        <v>83</v>
      </c>
      <c r="E30" s="539">
        <v>89</v>
      </c>
      <c r="F30" s="539">
        <v>92</v>
      </c>
      <c r="G30" s="539">
        <v>90</v>
      </c>
    </row>
    <row r="31" spans="1:7" s="538" customFormat="1" ht="27" customHeight="1">
      <c r="A31" s="537">
        <v>27</v>
      </c>
      <c r="B31" s="536" t="s">
        <v>43</v>
      </c>
      <c r="C31" s="539">
        <v>7</v>
      </c>
      <c r="D31" s="210">
        <v>7</v>
      </c>
      <c r="E31" s="539">
        <v>8</v>
      </c>
      <c r="F31" s="539">
        <v>8</v>
      </c>
      <c r="G31" s="539">
        <v>9</v>
      </c>
    </row>
    <row r="32" spans="1:7" s="538" customFormat="1" ht="27" customHeight="1">
      <c r="A32" s="537">
        <v>28</v>
      </c>
      <c r="B32" s="536" t="s">
        <v>44</v>
      </c>
      <c r="C32" s="540">
        <v>58</v>
      </c>
      <c r="D32" s="210">
        <v>59</v>
      </c>
      <c r="E32" s="539">
        <v>59</v>
      </c>
      <c r="F32" s="539">
        <v>59</v>
      </c>
      <c r="G32" s="539">
        <v>62</v>
      </c>
    </row>
    <row r="33" spans="1:7" s="538" customFormat="1" ht="27" customHeight="1">
      <c r="A33" s="537">
        <v>29</v>
      </c>
      <c r="B33" s="536" t="s">
        <v>131</v>
      </c>
      <c r="C33" s="539">
        <v>24</v>
      </c>
      <c r="D33" s="210">
        <v>24</v>
      </c>
      <c r="E33" s="539">
        <v>24</v>
      </c>
      <c r="F33" s="539">
        <v>31</v>
      </c>
      <c r="G33" s="539">
        <v>31</v>
      </c>
    </row>
    <row r="34" spans="1:7" s="538" customFormat="1" ht="27" customHeight="1">
      <c r="A34" s="537">
        <v>30</v>
      </c>
      <c r="B34" s="536" t="s">
        <v>45</v>
      </c>
      <c r="C34" s="539">
        <v>4</v>
      </c>
      <c r="D34" s="210">
        <v>4</v>
      </c>
      <c r="E34" s="539">
        <v>4</v>
      </c>
      <c r="F34" s="539">
        <v>5</v>
      </c>
      <c r="G34" s="539">
        <v>5</v>
      </c>
    </row>
    <row r="35" spans="1:7" s="538" customFormat="1" ht="27" customHeight="1">
      <c r="A35" s="537">
        <v>31</v>
      </c>
      <c r="B35" s="536" t="s">
        <v>47</v>
      </c>
      <c r="C35" s="539">
        <v>76</v>
      </c>
      <c r="D35" s="210">
        <v>79</v>
      </c>
      <c r="E35" s="539">
        <v>81</v>
      </c>
      <c r="F35" s="539">
        <v>84</v>
      </c>
      <c r="G35" s="539">
        <v>91</v>
      </c>
    </row>
    <row r="36" spans="1:7" s="538" customFormat="1" ht="27" customHeight="1">
      <c r="A36" s="537">
        <v>32</v>
      </c>
      <c r="B36" s="536" t="s">
        <v>46</v>
      </c>
      <c r="C36" s="539">
        <v>33</v>
      </c>
      <c r="D36" s="210">
        <v>36</v>
      </c>
      <c r="E36" s="539">
        <v>36</v>
      </c>
      <c r="F36" s="539">
        <v>37</v>
      </c>
      <c r="G36" s="539">
        <v>38</v>
      </c>
    </row>
    <row r="37" spans="1:7" s="538" customFormat="1" ht="27" customHeight="1">
      <c r="A37" s="537">
        <v>33</v>
      </c>
      <c r="B37" s="536" t="s">
        <v>48</v>
      </c>
      <c r="C37" s="539">
        <v>43</v>
      </c>
      <c r="D37" s="210">
        <v>45</v>
      </c>
      <c r="E37" s="539">
        <v>47</v>
      </c>
      <c r="F37" s="539">
        <v>52</v>
      </c>
      <c r="G37" s="539">
        <v>58</v>
      </c>
    </row>
    <row r="38" spans="1:7" ht="14.25" customHeight="1"/>
  </sheetData>
  <mergeCells count="1">
    <mergeCell ref="B1:G1"/>
  </mergeCells>
  <printOptions horizontalCentered="1"/>
  <pageMargins left="0.51181102362204722" right="0.51181102362204722" top="0.39370078740157483" bottom="0.51181102362204722" header="0.27559055118110237" footer="0.23622047244094491"/>
  <pageSetup paperSize="9" scale="75" firstPageNumber="2" pageOrder="overThenDown" orientation="portrait" useFirstPageNumber="1" r:id="rId1"/>
  <headerFooter alignWithMargins="0">
    <oddFooter>&amp;LAISHE 2021-22&amp;CT-40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7DEA-A25F-47C5-A0E5-571484D1E6B6}">
  <sheetPr>
    <tabColor rgb="FF00B050"/>
  </sheetPr>
  <dimension ref="A1:I205"/>
  <sheetViews>
    <sheetView showZeros="0" view="pageBreakPreview" zoomScaleNormal="100" zoomScaleSheetLayoutView="100" workbookViewId="0">
      <pane ySplit="2" topLeftCell="A177" activePane="bottomLeft" state="frozen"/>
      <selection activeCell="F15" sqref="F15"/>
      <selection pane="bottomLeft" activeCell="F15" sqref="F15"/>
    </sheetView>
  </sheetViews>
  <sheetFormatPr defaultColWidth="9.28515625" defaultRowHeight="15"/>
  <cols>
    <col min="1" max="1" width="7.28515625" style="542" bestFit="1" customWidth="1"/>
    <col min="2" max="2" width="20.42578125" style="543" bestFit="1" customWidth="1"/>
    <col min="3" max="9" width="16.42578125" style="543" customWidth="1"/>
    <col min="10" max="16384" width="9.28515625" style="543"/>
  </cols>
  <sheetData>
    <row r="1" spans="1:9" ht="35.25" customHeight="1">
      <c r="B1" s="1203" t="s">
        <v>231</v>
      </c>
      <c r="C1" s="1203"/>
      <c r="D1" s="1203"/>
      <c r="E1" s="1203"/>
      <c r="F1" s="1203"/>
      <c r="G1" s="1203"/>
      <c r="H1" s="1203"/>
      <c r="I1" s="1203"/>
    </row>
    <row r="2" spans="1:9" s="546" customFormat="1" ht="106.5" customHeight="1">
      <c r="A2" s="531" t="s">
        <v>988</v>
      </c>
      <c r="B2" s="544" t="s">
        <v>168</v>
      </c>
      <c r="C2" s="545" t="s">
        <v>120</v>
      </c>
      <c r="D2" s="545" t="s">
        <v>127</v>
      </c>
      <c r="E2" s="545" t="s">
        <v>128</v>
      </c>
      <c r="F2" s="545" t="s">
        <v>129</v>
      </c>
      <c r="G2" s="545" t="s">
        <v>122</v>
      </c>
      <c r="H2" s="545" t="s">
        <v>125</v>
      </c>
      <c r="I2" s="545" t="s">
        <v>123</v>
      </c>
    </row>
    <row r="3" spans="1:9" s="549" customFormat="1" ht="11.25">
      <c r="A3" s="547">
        <v>1</v>
      </c>
      <c r="B3" s="548">
        <v>2</v>
      </c>
      <c r="C3" s="548">
        <v>3</v>
      </c>
      <c r="D3" s="548">
        <v>4</v>
      </c>
      <c r="E3" s="548">
        <v>5</v>
      </c>
      <c r="F3" s="548">
        <v>6</v>
      </c>
      <c r="G3" s="548">
        <v>7</v>
      </c>
      <c r="H3" s="547">
        <v>8</v>
      </c>
      <c r="I3" s="547">
        <v>9</v>
      </c>
    </row>
    <row r="4" spans="1:9" ht="17.25" customHeight="1">
      <c r="A4" s="1204"/>
      <c r="B4" s="550" t="s">
        <v>230</v>
      </c>
      <c r="C4" s="551"/>
      <c r="D4" s="551"/>
      <c r="E4" s="551"/>
      <c r="F4" s="551"/>
      <c r="G4" s="551"/>
      <c r="H4" s="551"/>
      <c r="I4" s="551"/>
    </row>
    <row r="5" spans="1:9" ht="17.25" customHeight="1">
      <c r="A5" s="1204"/>
      <c r="B5" s="552" t="s">
        <v>919</v>
      </c>
      <c r="C5" s="551">
        <v>53</v>
      </c>
      <c r="D5" s="551">
        <v>33</v>
      </c>
      <c r="E5" s="551">
        <v>10</v>
      </c>
      <c r="F5" s="551">
        <v>81</v>
      </c>
      <c r="G5" s="551">
        <v>153</v>
      </c>
      <c r="H5" s="551">
        <v>391</v>
      </c>
      <c r="I5" s="551">
        <v>423</v>
      </c>
    </row>
    <row r="6" spans="1:9" ht="17.25" customHeight="1">
      <c r="A6" s="1204"/>
      <c r="B6" s="552" t="s">
        <v>876</v>
      </c>
      <c r="C6" s="551">
        <v>51</v>
      </c>
      <c r="D6" s="551">
        <v>34</v>
      </c>
      <c r="E6" s="551">
        <v>10</v>
      </c>
      <c r="F6" s="551">
        <v>80</v>
      </c>
      <c r="G6" s="551">
        <v>149</v>
      </c>
      <c r="H6" s="551">
        <v>365</v>
      </c>
      <c r="I6" s="551">
        <v>403</v>
      </c>
    </row>
    <row r="7" spans="1:9" ht="17.25" customHeight="1">
      <c r="A7" s="1204"/>
      <c r="B7" s="552" t="s">
        <v>229</v>
      </c>
      <c r="C7" s="551">
        <v>48</v>
      </c>
      <c r="D7" s="551">
        <v>36</v>
      </c>
      <c r="E7" s="551">
        <v>10</v>
      </c>
      <c r="F7" s="551">
        <v>80</v>
      </c>
      <c r="G7" s="551">
        <v>135</v>
      </c>
      <c r="H7" s="551">
        <v>327</v>
      </c>
      <c r="I7" s="551">
        <v>386</v>
      </c>
    </row>
    <row r="8" spans="1:9" ht="17.25" customHeight="1">
      <c r="A8" s="1204"/>
      <c r="B8" s="552" t="s">
        <v>228</v>
      </c>
      <c r="C8" s="551">
        <v>46</v>
      </c>
      <c r="D8" s="551">
        <v>34</v>
      </c>
      <c r="E8" s="551">
        <v>10</v>
      </c>
      <c r="F8" s="551">
        <v>80</v>
      </c>
      <c r="G8" s="551">
        <v>127</v>
      </c>
      <c r="H8" s="551">
        <v>304</v>
      </c>
      <c r="I8" s="551">
        <v>371</v>
      </c>
    </row>
    <row r="9" spans="1:9" ht="17.25" customHeight="1">
      <c r="A9" s="1204"/>
      <c r="B9" s="552" t="s">
        <v>227</v>
      </c>
      <c r="C9" s="551">
        <v>45</v>
      </c>
      <c r="D9" s="551">
        <v>33</v>
      </c>
      <c r="E9" s="551">
        <v>10</v>
      </c>
      <c r="F9" s="551">
        <v>80</v>
      </c>
      <c r="G9" s="551">
        <v>101</v>
      </c>
      <c r="H9" s="551">
        <v>262</v>
      </c>
      <c r="I9" s="551">
        <v>351</v>
      </c>
    </row>
    <row r="10" spans="1:9" ht="17.25" customHeight="1">
      <c r="A10" s="1202">
        <v>1</v>
      </c>
      <c r="B10" s="550" t="s">
        <v>15</v>
      </c>
      <c r="C10" s="551"/>
      <c r="D10" s="551"/>
      <c r="E10" s="551"/>
      <c r="F10" s="551"/>
      <c r="G10" s="551"/>
      <c r="H10" s="551"/>
      <c r="I10" s="551"/>
    </row>
    <row r="11" spans="1:9" ht="17.25" customHeight="1">
      <c r="A11" s="1202"/>
      <c r="B11" s="552" t="s">
        <v>919</v>
      </c>
      <c r="C11" s="551">
        <v>3</v>
      </c>
      <c r="D11" s="551"/>
      <c r="E11" s="551"/>
      <c r="F11" s="551">
        <v>4</v>
      </c>
      <c r="G11" s="551">
        <v>10</v>
      </c>
      <c r="H11" s="551">
        <v>5</v>
      </c>
      <c r="I11" s="551">
        <v>24</v>
      </c>
    </row>
    <row r="12" spans="1:9" ht="17.25" customHeight="1">
      <c r="A12" s="1202"/>
      <c r="B12" s="552" t="s">
        <v>876</v>
      </c>
      <c r="C12" s="551">
        <v>2</v>
      </c>
      <c r="D12" s="551">
        <v>0</v>
      </c>
      <c r="E12" s="551">
        <v>0</v>
      </c>
      <c r="F12" s="551">
        <v>4</v>
      </c>
      <c r="G12" s="551">
        <v>10</v>
      </c>
      <c r="H12" s="551">
        <v>5</v>
      </c>
      <c r="I12" s="551">
        <v>23</v>
      </c>
    </row>
    <row r="13" spans="1:9" ht="17.25" customHeight="1">
      <c r="A13" s="1202"/>
      <c r="B13" s="552" t="s">
        <v>229</v>
      </c>
      <c r="C13" s="551">
        <v>1</v>
      </c>
      <c r="D13" s="551">
        <v>1</v>
      </c>
      <c r="E13" s="551"/>
      <c r="F13" s="551">
        <v>4</v>
      </c>
      <c r="G13" s="551">
        <v>9</v>
      </c>
      <c r="H13" s="551">
        <v>22</v>
      </c>
      <c r="I13" s="551">
        <v>3</v>
      </c>
    </row>
    <row r="14" spans="1:9" ht="17.25" customHeight="1">
      <c r="A14" s="1202"/>
      <c r="B14" s="552" t="s">
        <v>228</v>
      </c>
      <c r="C14" s="339">
        <v>1</v>
      </c>
      <c r="D14" s="339">
        <v>1</v>
      </c>
      <c r="E14" s="339">
        <v>0</v>
      </c>
      <c r="F14" s="339">
        <v>4</v>
      </c>
      <c r="G14" s="339">
        <v>9</v>
      </c>
      <c r="H14" s="339">
        <v>3</v>
      </c>
      <c r="I14" s="339">
        <v>22</v>
      </c>
    </row>
    <row r="15" spans="1:9" ht="17.25" customHeight="1">
      <c r="A15" s="1202"/>
      <c r="B15" s="552" t="s">
        <v>227</v>
      </c>
      <c r="C15" s="551"/>
      <c r="D15" s="551">
        <v>1</v>
      </c>
      <c r="E15" s="551"/>
      <c r="F15" s="551">
        <v>4</v>
      </c>
      <c r="G15" s="551">
        <v>6</v>
      </c>
      <c r="H15" s="551">
        <v>1</v>
      </c>
      <c r="I15" s="551">
        <v>21</v>
      </c>
    </row>
    <row r="16" spans="1:9" ht="17.25" customHeight="1">
      <c r="A16" s="1202">
        <v>2</v>
      </c>
      <c r="B16" s="550" t="s">
        <v>16</v>
      </c>
      <c r="C16" s="551"/>
      <c r="D16" s="551"/>
      <c r="E16" s="551"/>
      <c r="F16" s="551"/>
      <c r="G16" s="551"/>
      <c r="H16" s="551"/>
      <c r="I16" s="551"/>
    </row>
    <row r="17" spans="1:9" ht="17.25" customHeight="1">
      <c r="A17" s="1202"/>
      <c r="B17" s="552" t="s">
        <v>919</v>
      </c>
      <c r="C17" s="551">
        <v>1</v>
      </c>
      <c r="D17" s="551">
        <v>1</v>
      </c>
      <c r="E17" s="551"/>
      <c r="F17" s="551"/>
      <c r="G17" s="551">
        <v>1</v>
      </c>
      <c r="H17" s="551">
        <v>6</v>
      </c>
      <c r="I17" s="551">
        <v>0</v>
      </c>
    </row>
    <row r="18" spans="1:9" ht="17.25" customHeight="1">
      <c r="A18" s="1202"/>
      <c r="B18" s="552" t="s">
        <v>876</v>
      </c>
      <c r="C18" s="551">
        <v>1</v>
      </c>
      <c r="D18" s="551">
        <v>1</v>
      </c>
      <c r="E18" s="551">
        <v>0</v>
      </c>
      <c r="F18" s="551">
        <v>0</v>
      </c>
      <c r="G18" s="551">
        <v>1</v>
      </c>
      <c r="H18" s="551">
        <v>6</v>
      </c>
      <c r="I18" s="551">
        <v>0</v>
      </c>
    </row>
    <row r="19" spans="1:9" ht="17.25" customHeight="1">
      <c r="A19" s="1202"/>
      <c r="B19" s="552" t="s">
        <v>229</v>
      </c>
      <c r="C19" s="551">
        <v>1</v>
      </c>
      <c r="D19" s="551">
        <v>1</v>
      </c>
      <c r="E19" s="551"/>
      <c r="F19" s="551"/>
      <c r="G19" s="551">
        <v>1</v>
      </c>
      <c r="H19" s="551">
        <v>6</v>
      </c>
      <c r="I19" s="551">
        <v>0</v>
      </c>
    </row>
    <row r="20" spans="1:9" ht="17.25" customHeight="1">
      <c r="A20" s="1202"/>
      <c r="B20" s="552" t="s">
        <v>228</v>
      </c>
      <c r="C20" s="339">
        <v>1</v>
      </c>
      <c r="D20" s="339">
        <v>1</v>
      </c>
      <c r="E20" s="339">
        <v>0</v>
      </c>
      <c r="F20" s="339">
        <v>0</v>
      </c>
      <c r="G20" s="339">
        <v>1</v>
      </c>
      <c r="H20" s="339">
        <v>6</v>
      </c>
      <c r="I20" s="339">
        <v>0</v>
      </c>
    </row>
    <row r="21" spans="1:9" ht="17.25" customHeight="1">
      <c r="A21" s="1202"/>
      <c r="B21" s="552" t="s">
        <v>227</v>
      </c>
      <c r="C21" s="551">
        <v>1</v>
      </c>
      <c r="D21" s="551">
        <v>1</v>
      </c>
      <c r="E21" s="551"/>
      <c r="F21" s="551"/>
      <c r="G21" s="551">
        <v>1</v>
      </c>
      <c r="H21" s="551">
        <v>5</v>
      </c>
      <c r="I21" s="551">
        <v>0</v>
      </c>
    </row>
    <row r="22" spans="1:9" ht="17.25" customHeight="1">
      <c r="A22" s="1202">
        <v>3</v>
      </c>
      <c r="B22" s="550" t="s">
        <v>17</v>
      </c>
      <c r="C22" s="551"/>
      <c r="D22" s="551"/>
      <c r="E22" s="551"/>
      <c r="F22" s="551"/>
      <c r="G22" s="551"/>
      <c r="H22" s="551"/>
      <c r="I22" s="551"/>
    </row>
    <row r="23" spans="1:9" ht="17.25" customHeight="1">
      <c r="A23" s="1202"/>
      <c r="B23" s="552" t="s">
        <v>919</v>
      </c>
      <c r="C23" s="551">
        <v>2</v>
      </c>
      <c r="D23" s="551">
        <v>1</v>
      </c>
      <c r="E23" s="551"/>
      <c r="F23" s="551"/>
      <c r="G23" s="551">
        <v>5</v>
      </c>
      <c r="H23" s="551">
        <v>6</v>
      </c>
      <c r="I23" s="551">
        <v>15</v>
      </c>
    </row>
    <row r="24" spans="1:9" ht="17.25" customHeight="1">
      <c r="A24" s="1202"/>
      <c r="B24" s="552" t="s">
        <v>876</v>
      </c>
      <c r="C24" s="551">
        <v>2</v>
      </c>
      <c r="D24" s="551">
        <v>1</v>
      </c>
      <c r="E24" s="551">
        <v>0</v>
      </c>
      <c r="F24" s="551">
        <v>0</v>
      </c>
      <c r="G24" s="551">
        <v>5</v>
      </c>
      <c r="H24" s="551">
        <v>6</v>
      </c>
      <c r="I24" s="551">
        <v>13</v>
      </c>
    </row>
    <row r="25" spans="1:9" ht="17.25" customHeight="1">
      <c r="A25" s="1202"/>
      <c r="B25" s="552" t="s">
        <v>229</v>
      </c>
      <c r="C25" s="551">
        <v>2</v>
      </c>
      <c r="D25" s="551">
        <v>1</v>
      </c>
      <c r="E25" s="551"/>
      <c r="F25" s="551"/>
      <c r="G25" s="551">
        <v>4</v>
      </c>
      <c r="H25" s="551">
        <v>6</v>
      </c>
      <c r="I25" s="551">
        <v>12</v>
      </c>
    </row>
    <row r="26" spans="1:9" ht="17.25" customHeight="1">
      <c r="A26" s="1202"/>
      <c r="B26" s="552" t="s">
        <v>228</v>
      </c>
      <c r="C26" s="339">
        <v>2</v>
      </c>
      <c r="D26" s="339">
        <v>0</v>
      </c>
      <c r="E26" s="339">
        <v>0</v>
      </c>
      <c r="F26" s="339">
        <v>0</v>
      </c>
      <c r="G26" s="339">
        <v>3</v>
      </c>
      <c r="H26" s="339">
        <v>6</v>
      </c>
      <c r="I26" s="339">
        <v>10</v>
      </c>
    </row>
    <row r="27" spans="1:9" ht="17.25" customHeight="1">
      <c r="A27" s="1202"/>
      <c r="B27" s="552" t="s">
        <v>227</v>
      </c>
      <c r="C27" s="551">
        <v>2</v>
      </c>
      <c r="D27" s="551"/>
      <c r="E27" s="551"/>
      <c r="F27" s="551"/>
      <c r="G27" s="551">
        <v>3</v>
      </c>
      <c r="H27" s="551">
        <v>5</v>
      </c>
      <c r="I27" s="551">
        <v>10</v>
      </c>
    </row>
    <row r="28" spans="1:9" ht="17.25" customHeight="1">
      <c r="A28" s="1202">
        <v>4</v>
      </c>
      <c r="B28" s="550" t="s">
        <v>18</v>
      </c>
      <c r="C28" s="551"/>
      <c r="D28" s="551"/>
      <c r="E28" s="551"/>
      <c r="F28" s="551"/>
      <c r="G28" s="551"/>
      <c r="H28" s="551"/>
      <c r="I28" s="551"/>
    </row>
    <row r="29" spans="1:9" ht="17.25" customHeight="1">
      <c r="A29" s="1202"/>
      <c r="B29" s="552" t="s">
        <v>919</v>
      </c>
      <c r="C29" s="551">
        <v>4</v>
      </c>
      <c r="D29" s="551">
        <v>1</v>
      </c>
      <c r="E29" s="551"/>
      <c r="F29" s="551"/>
      <c r="G29" s="551">
        <v>6</v>
      </c>
      <c r="H29" s="551">
        <v>7</v>
      </c>
      <c r="I29" s="551">
        <v>17</v>
      </c>
    </row>
    <row r="30" spans="1:9" ht="17.25" customHeight="1">
      <c r="A30" s="1202"/>
      <c r="B30" s="552" t="s">
        <v>876</v>
      </c>
      <c r="C30" s="551">
        <v>4</v>
      </c>
      <c r="D30" s="551">
        <v>1</v>
      </c>
      <c r="E30" s="551">
        <v>0</v>
      </c>
      <c r="F30" s="551">
        <v>0</v>
      </c>
      <c r="G30" s="551">
        <v>6</v>
      </c>
      <c r="H30" s="551">
        <v>7</v>
      </c>
      <c r="I30" s="551">
        <v>17</v>
      </c>
    </row>
    <row r="31" spans="1:9" ht="17.25" customHeight="1">
      <c r="A31" s="1202"/>
      <c r="B31" s="552" t="s">
        <v>229</v>
      </c>
      <c r="C31" s="551">
        <v>4</v>
      </c>
      <c r="D31" s="551">
        <v>1</v>
      </c>
      <c r="E31" s="551"/>
      <c r="F31" s="551"/>
      <c r="G31" s="551">
        <v>5</v>
      </c>
      <c r="H31" s="551">
        <v>6</v>
      </c>
      <c r="I31" s="551">
        <v>17</v>
      </c>
    </row>
    <row r="32" spans="1:9" ht="17.25" customHeight="1">
      <c r="A32" s="1202"/>
      <c r="B32" s="552" t="s">
        <v>228</v>
      </c>
      <c r="C32" s="339">
        <v>4</v>
      </c>
      <c r="D32" s="339">
        <v>1</v>
      </c>
      <c r="E32" s="339">
        <v>0</v>
      </c>
      <c r="F32" s="339">
        <v>0</v>
      </c>
      <c r="G32" s="339">
        <v>5</v>
      </c>
      <c r="H32" s="339">
        <v>4</v>
      </c>
      <c r="I32" s="339">
        <v>17</v>
      </c>
    </row>
    <row r="33" spans="1:9" ht="17.25" customHeight="1">
      <c r="A33" s="1202"/>
      <c r="B33" s="552" t="s">
        <v>227</v>
      </c>
      <c r="C33" s="551">
        <v>4</v>
      </c>
      <c r="D33" s="553">
        <v>1</v>
      </c>
      <c r="E33" s="551"/>
      <c r="F33" s="551"/>
      <c r="G33" s="551">
        <v>3</v>
      </c>
      <c r="H33" s="551">
        <v>1</v>
      </c>
      <c r="I33" s="551">
        <v>13</v>
      </c>
    </row>
    <row r="34" spans="1:9" ht="17.25" customHeight="1">
      <c r="A34" s="1202">
        <v>5</v>
      </c>
      <c r="B34" s="550" t="s">
        <v>19</v>
      </c>
      <c r="C34" s="551"/>
      <c r="D34" s="551"/>
      <c r="E34" s="551"/>
      <c r="F34" s="551"/>
      <c r="G34" s="551"/>
      <c r="H34" s="551"/>
      <c r="I34" s="551"/>
    </row>
    <row r="35" spans="1:9" ht="17.25" customHeight="1">
      <c r="A35" s="1202"/>
      <c r="B35" s="552" t="s">
        <v>919</v>
      </c>
      <c r="C35" s="551"/>
      <c r="D35" s="551">
        <v>1</v>
      </c>
      <c r="E35" s="551"/>
      <c r="F35" s="551"/>
      <c r="G35" s="551">
        <v>1</v>
      </c>
      <c r="H35" s="551">
        <v>0</v>
      </c>
      <c r="I35" s="551">
        <v>1</v>
      </c>
    </row>
    <row r="36" spans="1:9" ht="17.25" customHeight="1">
      <c r="A36" s="1202"/>
      <c r="B36" s="552" t="s">
        <v>876</v>
      </c>
      <c r="C36" s="551">
        <v>0</v>
      </c>
      <c r="D36" s="551">
        <v>1</v>
      </c>
      <c r="E36" s="551">
        <v>0</v>
      </c>
      <c r="F36" s="551">
        <v>0</v>
      </c>
      <c r="G36" s="551">
        <v>1</v>
      </c>
      <c r="H36" s="551">
        <v>0</v>
      </c>
      <c r="I36" s="551">
        <v>1</v>
      </c>
    </row>
    <row r="37" spans="1:9" ht="17.25" customHeight="1">
      <c r="A37" s="1202"/>
      <c r="B37" s="552" t="s">
        <v>229</v>
      </c>
      <c r="C37" s="551"/>
      <c r="D37" s="551">
        <v>1</v>
      </c>
      <c r="E37" s="551"/>
      <c r="F37" s="551"/>
      <c r="G37" s="551">
        <v>1</v>
      </c>
      <c r="H37" s="551">
        <v>0</v>
      </c>
      <c r="I37" s="551">
        <v>1</v>
      </c>
    </row>
    <row r="38" spans="1:9" ht="17.25" customHeight="1">
      <c r="A38" s="1202"/>
      <c r="B38" s="552" t="s">
        <v>228</v>
      </c>
      <c r="C38" s="339">
        <v>0</v>
      </c>
      <c r="D38" s="339">
        <v>1</v>
      </c>
      <c r="E38" s="339">
        <v>0</v>
      </c>
      <c r="F38" s="339">
        <v>0</v>
      </c>
      <c r="G38" s="339">
        <v>1</v>
      </c>
      <c r="H38" s="339">
        <v>0</v>
      </c>
      <c r="I38" s="339">
        <v>1</v>
      </c>
    </row>
    <row r="39" spans="1:9" ht="17.25" customHeight="1">
      <c r="A39" s="1202"/>
      <c r="B39" s="552" t="s">
        <v>227</v>
      </c>
      <c r="C39" s="551"/>
      <c r="D39" s="551">
        <v>1</v>
      </c>
      <c r="E39" s="551"/>
      <c r="F39" s="551"/>
      <c r="G39" s="551">
        <v>1</v>
      </c>
      <c r="H39" s="551">
        <v>0</v>
      </c>
      <c r="I39" s="551">
        <v>1</v>
      </c>
    </row>
    <row r="40" spans="1:9" ht="17.25" customHeight="1">
      <c r="A40" s="1202">
        <v>6</v>
      </c>
      <c r="B40" s="550" t="s">
        <v>20</v>
      </c>
      <c r="C40" s="551"/>
      <c r="D40" s="551"/>
      <c r="E40" s="551"/>
      <c r="F40" s="551"/>
      <c r="G40" s="551"/>
      <c r="H40" s="551"/>
      <c r="I40" s="551"/>
    </row>
    <row r="41" spans="1:9" ht="17.25" customHeight="1">
      <c r="A41" s="1202"/>
      <c r="B41" s="552" t="s">
        <v>919</v>
      </c>
      <c r="C41" s="551">
        <v>1</v>
      </c>
      <c r="D41" s="551"/>
      <c r="E41" s="551"/>
      <c r="F41" s="551"/>
      <c r="G41" s="551">
        <v>4</v>
      </c>
      <c r="H41" s="551">
        <v>14</v>
      </c>
      <c r="I41" s="551">
        <v>14</v>
      </c>
    </row>
    <row r="42" spans="1:9" ht="17.25" customHeight="1">
      <c r="A42" s="1202"/>
      <c r="B42" s="552" t="s">
        <v>876</v>
      </c>
      <c r="C42" s="551">
        <v>1</v>
      </c>
      <c r="D42" s="551">
        <v>0</v>
      </c>
      <c r="E42" s="551">
        <v>0</v>
      </c>
      <c r="F42" s="551">
        <v>0</v>
      </c>
      <c r="G42" s="551">
        <v>4</v>
      </c>
      <c r="H42" s="551">
        <v>12</v>
      </c>
      <c r="I42" s="551">
        <v>14</v>
      </c>
    </row>
    <row r="43" spans="1:9" ht="17.25" customHeight="1">
      <c r="A43" s="1202"/>
      <c r="B43" s="552" t="s">
        <v>229</v>
      </c>
      <c r="C43" s="551">
        <v>1</v>
      </c>
      <c r="D43" s="551"/>
      <c r="E43" s="551"/>
      <c r="F43" s="551"/>
      <c r="G43" s="551">
        <v>4</v>
      </c>
      <c r="H43" s="551">
        <v>9</v>
      </c>
      <c r="I43" s="551">
        <v>13</v>
      </c>
    </row>
    <row r="44" spans="1:9" ht="17.25" customHeight="1">
      <c r="A44" s="1202"/>
      <c r="B44" s="552" t="s">
        <v>228</v>
      </c>
      <c r="C44" s="339">
        <v>1</v>
      </c>
      <c r="D44" s="339">
        <v>0</v>
      </c>
      <c r="E44" s="339">
        <v>0</v>
      </c>
      <c r="F44" s="339">
        <v>0</v>
      </c>
      <c r="G44" s="339">
        <v>4</v>
      </c>
      <c r="H44" s="339">
        <v>9</v>
      </c>
      <c r="I44" s="339">
        <v>13</v>
      </c>
    </row>
    <row r="45" spans="1:9" ht="17.25" customHeight="1">
      <c r="A45" s="1202"/>
      <c r="B45" s="552" t="s">
        <v>227</v>
      </c>
      <c r="C45" s="551">
        <v>1</v>
      </c>
      <c r="D45" s="551"/>
      <c r="E45" s="551"/>
      <c r="F45" s="551"/>
      <c r="G45" s="551">
        <v>2</v>
      </c>
      <c r="H45" s="551">
        <v>8</v>
      </c>
      <c r="I45" s="551">
        <v>12</v>
      </c>
    </row>
    <row r="46" spans="1:9" ht="17.25" customHeight="1">
      <c r="A46" s="1202">
        <v>7</v>
      </c>
      <c r="B46" s="550" t="s">
        <v>23</v>
      </c>
      <c r="C46" s="551"/>
      <c r="D46" s="551"/>
      <c r="E46" s="551"/>
      <c r="F46" s="551"/>
      <c r="G46" s="551"/>
      <c r="H46" s="551"/>
      <c r="I46" s="551"/>
    </row>
    <row r="47" spans="1:9" ht="17.25" customHeight="1">
      <c r="A47" s="1202"/>
      <c r="B47" s="552" t="s">
        <v>919</v>
      </c>
      <c r="C47" s="551">
        <v>6</v>
      </c>
      <c r="D47" s="551">
        <v>6</v>
      </c>
      <c r="E47" s="551">
        <v>1</v>
      </c>
      <c r="F47" s="551">
        <v>1</v>
      </c>
      <c r="G47" s="551">
        <v>6</v>
      </c>
      <c r="H47" s="551">
        <v>0</v>
      </c>
      <c r="I47" s="551">
        <v>9</v>
      </c>
    </row>
    <row r="48" spans="1:9" ht="17.25" customHeight="1">
      <c r="A48" s="1202"/>
      <c r="B48" s="552" t="s">
        <v>876</v>
      </c>
      <c r="C48" s="551">
        <v>6</v>
      </c>
      <c r="D48" s="551">
        <v>6</v>
      </c>
      <c r="E48" s="551">
        <v>1</v>
      </c>
      <c r="F48" s="551">
        <v>1</v>
      </c>
      <c r="G48" s="551">
        <v>5</v>
      </c>
      <c r="H48" s="551">
        <v>0</v>
      </c>
      <c r="I48" s="551">
        <v>8</v>
      </c>
    </row>
    <row r="49" spans="1:9" ht="17.25" customHeight="1">
      <c r="A49" s="1202"/>
      <c r="B49" s="552" t="s">
        <v>229</v>
      </c>
      <c r="C49" s="551">
        <v>5</v>
      </c>
      <c r="D49" s="551">
        <v>7</v>
      </c>
      <c r="E49" s="551">
        <v>1</v>
      </c>
      <c r="F49" s="551">
        <v>1</v>
      </c>
      <c r="G49" s="551">
        <v>5</v>
      </c>
      <c r="H49" s="551">
        <v>0</v>
      </c>
      <c r="I49" s="551">
        <v>8</v>
      </c>
    </row>
    <row r="50" spans="1:9" ht="17.25" customHeight="1">
      <c r="A50" s="1202"/>
      <c r="B50" s="552" t="s">
        <v>228</v>
      </c>
      <c r="C50" s="339">
        <v>4</v>
      </c>
      <c r="D50" s="339">
        <v>8</v>
      </c>
      <c r="E50" s="339">
        <v>1</v>
      </c>
      <c r="F50" s="339">
        <v>1</v>
      </c>
      <c r="G50" s="339">
        <v>5</v>
      </c>
      <c r="H50" s="339">
        <v>0</v>
      </c>
      <c r="I50" s="339">
        <v>7</v>
      </c>
    </row>
    <row r="51" spans="1:9" ht="17.25" customHeight="1">
      <c r="A51" s="1202"/>
      <c r="B51" s="552" t="s">
        <v>227</v>
      </c>
      <c r="C51" s="551">
        <v>4</v>
      </c>
      <c r="D51" s="551">
        <v>8</v>
      </c>
      <c r="E51" s="551">
        <v>1</v>
      </c>
      <c r="F51" s="551">
        <v>1</v>
      </c>
      <c r="G51" s="551">
        <v>5</v>
      </c>
      <c r="H51" s="551">
        <v>0</v>
      </c>
      <c r="I51" s="551">
        <v>7</v>
      </c>
    </row>
    <row r="52" spans="1:9" ht="17.25" customHeight="1">
      <c r="A52" s="1202">
        <v>8</v>
      </c>
      <c r="B52" s="550" t="s">
        <v>24</v>
      </c>
      <c r="C52" s="551"/>
      <c r="D52" s="551"/>
      <c r="E52" s="551"/>
      <c r="F52" s="551"/>
      <c r="G52" s="551"/>
      <c r="H52" s="551"/>
      <c r="I52" s="551"/>
    </row>
    <row r="53" spans="1:9" ht="17.25" customHeight="1">
      <c r="A53" s="1202"/>
      <c r="B53" s="552" t="s">
        <v>919</v>
      </c>
      <c r="C53" s="551"/>
      <c r="D53" s="551"/>
      <c r="E53" s="551"/>
      <c r="F53" s="551"/>
      <c r="G53" s="551">
        <v>2</v>
      </c>
      <c r="H53" s="551">
        <v>0</v>
      </c>
      <c r="I53" s="551">
        <v>1</v>
      </c>
    </row>
    <row r="54" spans="1:9" ht="17.25" customHeight="1">
      <c r="A54" s="1202"/>
      <c r="B54" s="552" t="s">
        <v>876</v>
      </c>
      <c r="C54" s="551">
        <v>0</v>
      </c>
      <c r="D54" s="551">
        <v>0</v>
      </c>
      <c r="E54" s="551">
        <v>0</v>
      </c>
      <c r="F54" s="551">
        <v>0</v>
      </c>
      <c r="G54" s="551">
        <v>2</v>
      </c>
      <c r="H54" s="551">
        <v>0</v>
      </c>
      <c r="I54" s="551">
        <v>1</v>
      </c>
    </row>
    <row r="55" spans="1:9" ht="17.25" customHeight="1">
      <c r="A55" s="1202"/>
      <c r="B55" s="552" t="s">
        <v>229</v>
      </c>
      <c r="C55" s="551"/>
      <c r="D55" s="551"/>
      <c r="E55" s="551"/>
      <c r="F55" s="551"/>
      <c r="G55" s="551">
        <v>2</v>
      </c>
      <c r="H55" s="551">
        <v>0</v>
      </c>
      <c r="I55" s="551">
        <v>1</v>
      </c>
    </row>
    <row r="56" spans="1:9" ht="17.25" customHeight="1">
      <c r="A56" s="1202"/>
      <c r="B56" s="552" t="s">
        <v>228</v>
      </c>
      <c r="C56" s="339">
        <v>0</v>
      </c>
      <c r="D56" s="339">
        <v>0</v>
      </c>
      <c r="E56" s="339">
        <v>0</v>
      </c>
      <c r="F56" s="339">
        <v>0</v>
      </c>
      <c r="G56" s="339">
        <v>2</v>
      </c>
      <c r="H56" s="339">
        <v>0</v>
      </c>
      <c r="I56" s="339">
        <v>1</v>
      </c>
    </row>
    <row r="57" spans="1:9" ht="17.25" customHeight="1">
      <c r="A57" s="1202"/>
      <c r="B57" s="552" t="s">
        <v>227</v>
      </c>
      <c r="C57" s="551"/>
      <c r="D57" s="551"/>
      <c r="E57" s="551"/>
      <c r="F57" s="551"/>
      <c r="G57" s="551">
        <v>2</v>
      </c>
      <c r="H57" s="551">
        <v>0</v>
      </c>
      <c r="I57" s="551">
        <v>1</v>
      </c>
    </row>
    <row r="58" spans="1:9" ht="17.25" customHeight="1">
      <c r="A58" s="1202">
        <v>9</v>
      </c>
      <c r="B58" s="550" t="s">
        <v>25</v>
      </c>
      <c r="C58" s="551"/>
      <c r="D58" s="551"/>
      <c r="E58" s="551"/>
      <c r="F58" s="551"/>
      <c r="G58" s="551"/>
      <c r="H58" s="551"/>
      <c r="I58" s="551"/>
    </row>
    <row r="59" spans="1:9" ht="17.25" customHeight="1">
      <c r="A59" s="1202"/>
      <c r="B59" s="552" t="s">
        <v>919</v>
      </c>
      <c r="C59" s="551">
        <v>1</v>
      </c>
      <c r="D59" s="551">
        <v>1</v>
      </c>
      <c r="E59" s="551">
        <v>1</v>
      </c>
      <c r="F59" s="551">
        <v>1</v>
      </c>
      <c r="G59" s="551">
        <v>9</v>
      </c>
      <c r="H59" s="551">
        <v>51</v>
      </c>
      <c r="I59" s="551">
        <v>26</v>
      </c>
    </row>
    <row r="60" spans="1:9" ht="17.25" customHeight="1">
      <c r="A60" s="1202"/>
      <c r="B60" s="552" t="s">
        <v>876</v>
      </c>
      <c r="C60" s="551">
        <v>1</v>
      </c>
      <c r="D60" s="551">
        <v>1</v>
      </c>
      <c r="E60" s="551">
        <v>1</v>
      </c>
      <c r="F60" s="551">
        <v>1</v>
      </c>
      <c r="G60" s="551">
        <v>9</v>
      </c>
      <c r="H60" s="551">
        <v>44</v>
      </c>
      <c r="I60" s="551">
        <v>25</v>
      </c>
    </row>
    <row r="61" spans="1:9" ht="17.25" customHeight="1">
      <c r="A61" s="1202"/>
      <c r="B61" s="552" t="s">
        <v>229</v>
      </c>
      <c r="C61" s="551">
        <v>1</v>
      </c>
      <c r="D61" s="551">
        <v>1</v>
      </c>
      <c r="E61" s="551">
        <v>1</v>
      </c>
      <c r="F61" s="551">
        <v>1</v>
      </c>
      <c r="G61" s="551">
        <v>6</v>
      </c>
      <c r="H61" s="551">
        <v>37</v>
      </c>
      <c r="I61" s="551">
        <v>28</v>
      </c>
    </row>
    <row r="62" spans="1:9" ht="17.25" customHeight="1">
      <c r="A62" s="1202"/>
      <c r="B62" s="552" t="s">
        <v>228</v>
      </c>
      <c r="C62" s="339">
        <v>1</v>
      </c>
      <c r="D62" s="339">
        <v>1</v>
      </c>
      <c r="E62" s="339">
        <v>1</v>
      </c>
      <c r="F62" s="339">
        <v>1</v>
      </c>
      <c r="G62" s="339">
        <v>5</v>
      </c>
      <c r="H62" s="339">
        <v>34</v>
      </c>
      <c r="I62" s="339">
        <v>28</v>
      </c>
    </row>
    <row r="63" spans="1:9" ht="17.25" customHeight="1">
      <c r="A63" s="1202"/>
      <c r="B63" s="552" t="s">
        <v>227</v>
      </c>
      <c r="C63" s="551">
        <v>1</v>
      </c>
      <c r="D63" s="551"/>
      <c r="E63" s="551">
        <v>1</v>
      </c>
      <c r="F63" s="551">
        <v>1</v>
      </c>
      <c r="G63" s="551">
        <v>3</v>
      </c>
      <c r="H63" s="551">
        <v>31</v>
      </c>
      <c r="I63" s="551">
        <v>27</v>
      </c>
    </row>
    <row r="64" spans="1:9" ht="17.25" customHeight="1">
      <c r="A64" s="1202">
        <v>10</v>
      </c>
      <c r="B64" s="550" t="s">
        <v>26</v>
      </c>
      <c r="C64" s="551"/>
      <c r="D64" s="551"/>
      <c r="E64" s="551"/>
      <c r="F64" s="551"/>
      <c r="G64" s="551"/>
      <c r="H64" s="551"/>
      <c r="I64" s="551"/>
    </row>
    <row r="65" spans="1:9" ht="17.25" customHeight="1">
      <c r="A65" s="1202"/>
      <c r="B65" s="552" t="s">
        <v>919</v>
      </c>
      <c r="C65" s="551">
        <v>1</v>
      </c>
      <c r="D65" s="551">
        <v>3</v>
      </c>
      <c r="E65" s="551"/>
      <c r="F65" s="551">
        <v>3</v>
      </c>
      <c r="G65" s="551">
        <v>5</v>
      </c>
      <c r="H65" s="551">
        <v>24</v>
      </c>
      <c r="I65" s="551">
        <v>20</v>
      </c>
    </row>
    <row r="66" spans="1:9" ht="17.25" customHeight="1">
      <c r="A66" s="1202"/>
      <c r="B66" s="552" t="s">
        <v>876</v>
      </c>
      <c r="C66" s="551">
        <v>1</v>
      </c>
      <c r="D66" s="551">
        <v>3</v>
      </c>
      <c r="E66" s="551">
        <v>0</v>
      </c>
      <c r="F66" s="551">
        <v>3</v>
      </c>
      <c r="G66" s="551">
        <v>5</v>
      </c>
      <c r="H66" s="551">
        <v>24</v>
      </c>
      <c r="I66" s="551">
        <v>20</v>
      </c>
    </row>
    <row r="67" spans="1:9" ht="17.25" customHeight="1">
      <c r="A67" s="1202"/>
      <c r="B67" s="552" t="s">
        <v>229</v>
      </c>
      <c r="C67" s="551">
        <v>1</v>
      </c>
      <c r="D67" s="551">
        <v>3</v>
      </c>
      <c r="E67" s="551"/>
      <c r="F67" s="551">
        <v>3</v>
      </c>
      <c r="G67" s="551">
        <v>5</v>
      </c>
      <c r="H67" s="551">
        <v>23</v>
      </c>
      <c r="I67" s="551">
        <v>18</v>
      </c>
    </row>
    <row r="68" spans="1:9" ht="17.25" customHeight="1">
      <c r="A68" s="1202"/>
      <c r="B68" s="552" t="s">
        <v>228</v>
      </c>
      <c r="C68" s="339">
        <v>1</v>
      </c>
      <c r="D68" s="339">
        <v>3</v>
      </c>
      <c r="E68" s="339">
        <v>0</v>
      </c>
      <c r="F68" s="339">
        <v>3</v>
      </c>
      <c r="G68" s="339">
        <v>3</v>
      </c>
      <c r="H68" s="339">
        <v>22</v>
      </c>
      <c r="I68" s="339">
        <v>16</v>
      </c>
    </row>
    <row r="69" spans="1:9" ht="17.25" customHeight="1">
      <c r="A69" s="1202"/>
      <c r="B69" s="552" t="s">
        <v>227</v>
      </c>
      <c r="C69" s="551">
        <v>1</v>
      </c>
      <c r="D69" s="551">
        <v>2</v>
      </c>
      <c r="E69" s="551"/>
      <c r="F69" s="551">
        <v>3</v>
      </c>
      <c r="G69" s="551">
        <v>2</v>
      </c>
      <c r="H69" s="551">
        <v>18</v>
      </c>
      <c r="I69" s="551">
        <v>14</v>
      </c>
    </row>
    <row r="70" spans="1:9" ht="17.25" customHeight="1">
      <c r="A70" s="1202">
        <v>11</v>
      </c>
      <c r="B70" s="550" t="s">
        <v>27</v>
      </c>
      <c r="C70" s="551"/>
      <c r="D70" s="551"/>
      <c r="E70" s="551"/>
      <c r="F70" s="551"/>
      <c r="G70" s="551"/>
      <c r="H70" s="551"/>
      <c r="I70" s="551"/>
    </row>
    <row r="71" spans="1:9" ht="17.25" customHeight="1">
      <c r="A71" s="1202"/>
      <c r="B71" s="552" t="s">
        <v>919</v>
      </c>
      <c r="C71" s="551">
        <v>1</v>
      </c>
      <c r="D71" s="551"/>
      <c r="E71" s="551"/>
      <c r="F71" s="551"/>
      <c r="G71" s="551">
        <v>5</v>
      </c>
      <c r="H71" s="551">
        <v>17</v>
      </c>
      <c r="I71" s="551">
        <v>7</v>
      </c>
    </row>
    <row r="72" spans="1:9" ht="17.25" customHeight="1">
      <c r="A72" s="1202"/>
      <c r="B72" s="552" t="s">
        <v>876</v>
      </c>
      <c r="C72" s="551">
        <v>1</v>
      </c>
      <c r="D72" s="551">
        <v>0</v>
      </c>
      <c r="E72" s="551">
        <v>0</v>
      </c>
      <c r="F72" s="551">
        <v>0</v>
      </c>
      <c r="G72" s="551">
        <v>4</v>
      </c>
      <c r="H72" s="551">
        <v>17</v>
      </c>
      <c r="I72" s="551">
        <v>7</v>
      </c>
    </row>
    <row r="73" spans="1:9" ht="17.25" customHeight="1">
      <c r="A73" s="1202"/>
      <c r="B73" s="552" t="s">
        <v>229</v>
      </c>
      <c r="C73" s="551">
        <v>1</v>
      </c>
      <c r="D73" s="551"/>
      <c r="E73" s="551"/>
      <c r="F73" s="551"/>
      <c r="G73" s="551">
        <v>4</v>
      </c>
      <c r="H73" s="551">
        <v>17</v>
      </c>
      <c r="I73" s="551">
        <v>5</v>
      </c>
    </row>
    <row r="74" spans="1:9" ht="17.25" customHeight="1">
      <c r="A74" s="1202"/>
      <c r="B74" s="552" t="s">
        <v>228</v>
      </c>
      <c r="C74" s="339">
        <v>1</v>
      </c>
      <c r="D74" s="339">
        <v>0</v>
      </c>
      <c r="E74" s="339">
        <v>0</v>
      </c>
      <c r="F74" s="339">
        <v>0</v>
      </c>
      <c r="G74" s="339">
        <v>4</v>
      </c>
      <c r="H74" s="339">
        <v>17</v>
      </c>
      <c r="I74" s="339">
        <v>4</v>
      </c>
    </row>
    <row r="75" spans="1:9" ht="17.25" customHeight="1">
      <c r="A75" s="1202"/>
      <c r="B75" s="552" t="s">
        <v>227</v>
      </c>
      <c r="C75" s="551">
        <v>1</v>
      </c>
      <c r="D75" s="551"/>
      <c r="E75" s="551"/>
      <c r="F75" s="551"/>
      <c r="G75" s="551">
        <v>3</v>
      </c>
      <c r="H75" s="551">
        <v>17</v>
      </c>
      <c r="I75" s="551">
        <v>4</v>
      </c>
    </row>
    <row r="76" spans="1:9" ht="17.25" customHeight="1">
      <c r="A76" s="1202">
        <v>12</v>
      </c>
      <c r="B76" s="550" t="s">
        <v>57</v>
      </c>
      <c r="C76" s="551"/>
      <c r="D76" s="551"/>
      <c r="E76" s="551"/>
      <c r="F76" s="551"/>
      <c r="G76" s="551"/>
      <c r="H76" s="551"/>
      <c r="I76" s="551"/>
    </row>
    <row r="77" spans="1:9" ht="17.25" customHeight="1">
      <c r="A77" s="1202"/>
      <c r="B77" s="552" t="s">
        <v>919</v>
      </c>
      <c r="C77" s="551">
        <v>2</v>
      </c>
      <c r="D77" s="551"/>
      <c r="E77" s="551"/>
      <c r="F77" s="551"/>
      <c r="G77" s="551">
        <v>4</v>
      </c>
      <c r="H77" s="551">
        <v>0</v>
      </c>
      <c r="I77" s="551">
        <v>9</v>
      </c>
    </row>
    <row r="78" spans="1:9" ht="17.25" customHeight="1">
      <c r="A78" s="1202"/>
      <c r="B78" s="552" t="s">
        <v>876</v>
      </c>
      <c r="C78" s="551">
        <v>2</v>
      </c>
      <c r="D78" s="551">
        <v>0</v>
      </c>
      <c r="E78" s="551">
        <v>0</v>
      </c>
      <c r="F78" s="551">
        <v>0</v>
      </c>
      <c r="G78" s="551">
        <v>3</v>
      </c>
      <c r="H78" s="551">
        <v>0</v>
      </c>
      <c r="I78" s="551">
        <v>9</v>
      </c>
    </row>
    <row r="79" spans="1:9" ht="17.25" customHeight="1">
      <c r="A79" s="1202"/>
      <c r="B79" s="552" t="s">
        <v>229</v>
      </c>
      <c r="C79" s="551">
        <v>2</v>
      </c>
      <c r="D79" s="551"/>
      <c r="E79" s="551"/>
      <c r="F79" s="551"/>
      <c r="G79" s="551">
        <v>3</v>
      </c>
      <c r="H79" s="551">
        <v>0</v>
      </c>
      <c r="I79" s="551">
        <v>9</v>
      </c>
    </row>
    <row r="80" spans="1:9" ht="17.25" customHeight="1">
      <c r="A80" s="1202"/>
      <c r="B80" s="552" t="s">
        <v>228</v>
      </c>
      <c r="C80" s="339">
        <v>2</v>
      </c>
      <c r="D80" s="339">
        <v>0</v>
      </c>
      <c r="E80" s="339">
        <v>0</v>
      </c>
      <c r="F80" s="339">
        <v>0</v>
      </c>
      <c r="G80" s="339">
        <v>3</v>
      </c>
      <c r="H80" s="339">
        <v>0</v>
      </c>
      <c r="I80" s="339">
        <v>9</v>
      </c>
    </row>
    <row r="81" spans="1:9" ht="17.25" customHeight="1">
      <c r="A81" s="1202"/>
      <c r="B81" s="552" t="s">
        <v>227</v>
      </c>
      <c r="C81" s="551">
        <v>2</v>
      </c>
      <c r="D81" s="551"/>
      <c r="E81" s="551"/>
      <c r="F81" s="551"/>
      <c r="G81" s="551">
        <v>2</v>
      </c>
      <c r="H81" s="551">
        <v>0</v>
      </c>
      <c r="I81" s="551">
        <v>9</v>
      </c>
    </row>
    <row r="82" spans="1:9" ht="17.25" customHeight="1">
      <c r="A82" s="1202">
        <v>13</v>
      </c>
      <c r="B82" s="550" t="s">
        <v>29</v>
      </c>
      <c r="C82" s="551"/>
      <c r="D82" s="551"/>
      <c r="E82" s="551"/>
      <c r="F82" s="551"/>
      <c r="G82" s="551"/>
      <c r="H82" s="551"/>
      <c r="I82" s="551"/>
    </row>
    <row r="83" spans="1:9" ht="17.25" customHeight="1">
      <c r="A83" s="1202"/>
      <c r="B83" s="552" t="s">
        <v>919</v>
      </c>
      <c r="C83" s="551">
        <v>1</v>
      </c>
      <c r="D83" s="551"/>
      <c r="E83" s="551"/>
      <c r="F83" s="551">
        <v>1</v>
      </c>
      <c r="G83" s="551">
        <v>5</v>
      </c>
      <c r="H83" s="551">
        <v>15</v>
      </c>
      <c r="I83" s="551">
        <v>11</v>
      </c>
    </row>
    <row r="84" spans="1:9" ht="17.25" customHeight="1">
      <c r="A84" s="1202"/>
      <c r="B84" s="552" t="s">
        <v>876</v>
      </c>
      <c r="C84" s="551">
        <v>1</v>
      </c>
      <c r="D84" s="551">
        <v>0</v>
      </c>
      <c r="E84" s="551">
        <v>0</v>
      </c>
      <c r="F84" s="551">
        <v>1</v>
      </c>
      <c r="G84" s="551">
        <v>5</v>
      </c>
      <c r="H84" s="551">
        <v>14</v>
      </c>
      <c r="I84" s="551">
        <v>11</v>
      </c>
    </row>
    <row r="85" spans="1:9" ht="17.25" customHeight="1">
      <c r="A85" s="1202"/>
      <c r="B85" s="552" t="s">
        <v>229</v>
      </c>
      <c r="C85" s="551">
        <v>1</v>
      </c>
      <c r="D85" s="551"/>
      <c r="E85" s="551"/>
      <c r="F85" s="551">
        <v>1</v>
      </c>
      <c r="G85" s="551">
        <v>5</v>
      </c>
      <c r="H85" s="551">
        <v>14</v>
      </c>
      <c r="I85" s="551">
        <v>11</v>
      </c>
    </row>
    <row r="86" spans="1:9" ht="17.25" customHeight="1">
      <c r="A86" s="1202"/>
      <c r="B86" s="552" t="s">
        <v>228</v>
      </c>
      <c r="C86" s="339">
        <v>1</v>
      </c>
      <c r="D86" s="339">
        <v>0</v>
      </c>
      <c r="E86" s="339">
        <v>0</v>
      </c>
      <c r="F86" s="339">
        <v>1</v>
      </c>
      <c r="G86" s="339">
        <v>4</v>
      </c>
      <c r="H86" s="339">
        <v>9</v>
      </c>
      <c r="I86" s="339">
        <v>10</v>
      </c>
    </row>
    <row r="87" spans="1:9" ht="17.25" customHeight="1">
      <c r="A87" s="1202"/>
      <c r="B87" s="552" t="s">
        <v>227</v>
      </c>
      <c r="C87" s="551">
        <v>1</v>
      </c>
      <c r="D87" s="551">
        <v>1</v>
      </c>
      <c r="E87" s="551"/>
      <c r="F87" s="551">
        <v>1</v>
      </c>
      <c r="G87" s="551">
        <v>2</v>
      </c>
      <c r="H87" s="551">
        <v>8</v>
      </c>
      <c r="I87" s="551">
        <v>8</v>
      </c>
    </row>
    <row r="88" spans="1:9" ht="17.25" customHeight="1">
      <c r="A88" s="1202">
        <v>14</v>
      </c>
      <c r="B88" s="550" t="s">
        <v>30</v>
      </c>
      <c r="C88" s="551"/>
      <c r="D88" s="551"/>
      <c r="E88" s="551"/>
      <c r="F88" s="551"/>
      <c r="G88" s="551"/>
      <c r="H88" s="551"/>
      <c r="I88" s="551"/>
    </row>
    <row r="89" spans="1:9" ht="17.25" customHeight="1">
      <c r="A89" s="1202"/>
      <c r="B89" s="552" t="s">
        <v>919</v>
      </c>
      <c r="C89" s="551">
        <v>1</v>
      </c>
      <c r="D89" s="551">
        <v>2</v>
      </c>
      <c r="E89" s="551"/>
      <c r="F89" s="551">
        <v>12</v>
      </c>
      <c r="G89" s="551">
        <v>6</v>
      </c>
      <c r="H89" s="551">
        <v>20</v>
      </c>
      <c r="I89" s="551">
        <v>33</v>
      </c>
    </row>
    <row r="90" spans="1:9" ht="17.25" customHeight="1">
      <c r="A90" s="1202"/>
      <c r="B90" s="552" t="s">
        <v>876</v>
      </c>
      <c r="C90" s="551">
        <v>1</v>
      </c>
      <c r="D90" s="551">
        <v>3</v>
      </c>
      <c r="E90" s="551">
        <v>0</v>
      </c>
      <c r="F90" s="551">
        <v>11</v>
      </c>
      <c r="G90" s="551">
        <v>6</v>
      </c>
      <c r="H90" s="551">
        <v>18</v>
      </c>
      <c r="I90" s="551">
        <v>32</v>
      </c>
    </row>
    <row r="91" spans="1:9" ht="17.25" customHeight="1">
      <c r="A91" s="1202"/>
      <c r="B91" s="552" t="s">
        <v>229</v>
      </c>
      <c r="C91" s="551">
        <v>1</v>
      </c>
      <c r="D91" s="551">
        <v>4</v>
      </c>
      <c r="E91" s="551"/>
      <c r="F91" s="551">
        <v>11</v>
      </c>
      <c r="G91" s="551">
        <v>4</v>
      </c>
      <c r="H91" s="551">
        <v>18</v>
      </c>
      <c r="I91" s="551">
        <v>30</v>
      </c>
    </row>
    <row r="92" spans="1:9" ht="17.25" customHeight="1">
      <c r="A92" s="1202"/>
      <c r="B92" s="552" t="s">
        <v>228</v>
      </c>
      <c r="C92" s="339">
        <v>1</v>
      </c>
      <c r="D92" s="339">
        <v>4</v>
      </c>
      <c r="E92" s="339">
        <v>0</v>
      </c>
      <c r="F92" s="339">
        <v>11</v>
      </c>
      <c r="G92" s="339">
        <v>4</v>
      </c>
      <c r="H92" s="339">
        <v>16</v>
      </c>
      <c r="I92" s="339">
        <v>28</v>
      </c>
    </row>
    <row r="93" spans="1:9" ht="17.25" customHeight="1">
      <c r="A93" s="1202"/>
      <c r="B93" s="552" t="s">
        <v>227</v>
      </c>
      <c r="C93" s="551">
        <v>1</v>
      </c>
      <c r="D93" s="551">
        <v>4</v>
      </c>
      <c r="E93" s="551"/>
      <c r="F93" s="551">
        <v>11</v>
      </c>
      <c r="G93" s="551">
        <v>3</v>
      </c>
      <c r="H93" s="551">
        <v>14</v>
      </c>
      <c r="I93" s="551">
        <v>26</v>
      </c>
    </row>
    <row r="94" spans="1:9" ht="17.25" customHeight="1">
      <c r="A94" s="1202">
        <v>15</v>
      </c>
      <c r="B94" s="550" t="s">
        <v>31</v>
      </c>
      <c r="C94" s="551"/>
      <c r="D94" s="551"/>
      <c r="E94" s="551"/>
      <c r="F94" s="551"/>
      <c r="G94" s="551"/>
      <c r="H94" s="551"/>
      <c r="I94" s="551"/>
    </row>
    <row r="95" spans="1:9" ht="17.25" customHeight="1">
      <c r="A95" s="1202"/>
      <c r="B95" s="552" t="s">
        <v>919</v>
      </c>
      <c r="C95" s="551">
        <v>1</v>
      </c>
      <c r="D95" s="551">
        <v>2</v>
      </c>
      <c r="E95" s="551"/>
      <c r="F95" s="551">
        <v>1</v>
      </c>
      <c r="G95" s="551">
        <v>6</v>
      </c>
      <c r="H95" s="551">
        <v>0</v>
      </c>
      <c r="I95" s="551">
        <v>14</v>
      </c>
    </row>
    <row r="96" spans="1:9" ht="17.25" customHeight="1">
      <c r="A96" s="1202"/>
      <c r="B96" s="552" t="s">
        <v>876</v>
      </c>
      <c r="C96" s="551">
        <v>1</v>
      </c>
      <c r="D96" s="551">
        <v>2</v>
      </c>
      <c r="E96" s="551">
        <v>0</v>
      </c>
      <c r="F96" s="551">
        <v>1</v>
      </c>
      <c r="G96" s="551">
        <v>6</v>
      </c>
      <c r="H96" s="551">
        <v>0</v>
      </c>
      <c r="I96" s="551">
        <v>13</v>
      </c>
    </row>
    <row r="97" spans="1:9" ht="17.25" customHeight="1">
      <c r="A97" s="1202"/>
      <c r="B97" s="552" t="s">
        <v>229</v>
      </c>
      <c r="C97" s="551">
        <v>1</v>
      </c>
      <c r="D97" s="551">
        <v>2</v>
      </c>
      <c r="E97" s="551"/>
      <c r="F97" s="551">
        <v>1</v>
      </c>
      <c r="G97" s="551">
        <v>6</v>
      </c>
      <c r="H97" s="551">
        <v>0</v>
      </c>
      <c r="I97" s="551">
        <v>13</v>
      </c>
    </row>
    <row r="98" spans="1:9" ht="17.25" customHeight="1">
      <c r="A98" s="1202"/>
      <c r="B98" s="552" t="s">
        <v>228</v>
      </c>
      <c r="C98" s="339">
        <v>1</v>
      </c>
      <c r="D98" s="339">
        <v>2</v>
      </c>
      <c r="E98" s="339">
        <v>0</v>
      </c>
      <c r="F98" s="339">
        <v>1</v>
      </c>
      <c r="G98" s="339">
        <v>6</v>
      </c>
      <c r="H98" s="339">
        <v>0</v>
      </c>
      <c r="I98" s="339">
        <v>13</v>
      </c>
    </row>
    <row r="99" spans="1:9" ht="17.25" customHeight="1">
      <c r="A99" s="1202"/>
      <c r="B99" s="552" t="s">
        <v>227</v>
      </c>
      <c r="C99" s="551">
        <v>1</v>
      </c>
      <c r="D99" s="551">
        <v>2</v>
      </c>
      <c r="E99" s="551"/>
      <c r="F99" s="551">
        <v>1</v>
      </c>
      <c r="G99" s="551">
        <v>5</v>
      </c>
      <c r="H99" s="551">
        <v>0</v>
      </c>
      <c r="I99" s="551">
        <v>13</v>
      </c>
    </row>
    <row r="100" spans="1:9" ht="17.25" customHeight="1">
      <c r="A100" s="1202">
        <v>16</v>
      </c>
      <c r="B100" s="550" t="s">
        <v>154</v>
      </c>
      <c r="C100" s="551"/>
      <c r="D100" s="551"/>
      <c r="E100" s="551"/>
      <c r="F100" s="551"/>
      <c r="G100" s="551"/>
      <c r="H100" s="551"/>
      <c r="I100" s="551"/>
    </row>
    <row r="101" spans="1:9" ht="17.25" customHeight="1">
      <c r="A101" s="1202"/>
      <c r="B101" s="552" t="s">
        <v>919</v>
      </c>
      <c r="C101" s="551"/>
      <c r="D101" s="551">
        <v>1</v>
      </c>
      <c r="E101" s="551"/>
      <c r="F101" s="551"/>
      <c r="G101" s="551"/>
      <c r="H101" s="551"/>
      <c r="I101" s="551">
        <v>1</v>
      </c>
    </row>
    <row r="102" spans="1:9" ht="17.25" customHeight="1">
      <c r="A102" s="1202"/>
      <c r="B102" s="552" t="s">
        <v>876</v>
      </c>
      <c r="C102" s="551">
        <v>0</v>
      </c>
      <c r="D102" s="551">
        <v>1</v>
      </c>
      <c r="E102" s="551">
        <v>0</v>
      </c>
      <c r="F102" s="551">
        <v>0</v>
      </c>
      <c r="G102" s="551">
        <v>0</v>
      </c>
      <c r="H102" s="551"/>
      <c r="I102" s="551">
        <v>1</v>
      </c>
    </row>
    <row r="103" spans="1:9" ht="17.25" customHeight="1">
      <c r="A103" s="1202"/>
      <c r="B103" s="552" t="s">
        <v>229</v>
      </c>
      <c r="C103" s="551"/>
      <c r="D103" s="551">
        <v>1</v>
      </c>
      <c r="E103" s="551"/>
      <c r="F103" s="551"/>
      <c r="G103" s="551"/>
      <c r="H103" s="551"/>
      <c r="I103" s="551"/>
    </row>
    <row r="104" spans="1:9" ht="17.25" customHeight="1">
      <c r="A104" s="1202">
        <v>17</v>
      </c>
      <c r="B104" s="550" t="s">
        <v>33</v>
      </c>
      <c r="C104" s="551"/>
      <c r="D104" s="551"/>
      <c r="E104" s="551"/>
      <c r="F104" s="551"/>
      <c r="G104" s="551"/>
      <c r="H104" s="551"/>
      <c r="I104" s="551"/>
    </row>
    <row r="105" spans="1:9" ht="17.25" customHeight="1">
      <c r="A105" s="1202"/>
      <c r="B105" s="552" t="s">
        <v>919</v>
      </c>
      <c r="C105" s="551">
        <v>2</v>
      </c>
      <c r="D105" s="551">
        <v>1</v>
      </c>
      <c r="E105" s="551"/>
      <c r="F105" s="551"/>
      <c r="G105" s="551">
        <v>10</v>
      </c>
      <c r="H105" s="551">
        <v>40</v>
      </c>
      <c r="I105" s="551">
        <v>23</v>
      </c>
    </row>
    <row r="106" spans="1:9" ht="17.25" customHeight="1">
      <c r="A106" s="1202"/>
      <c r="B106" s="552" t="s">
        <v>876</v>
      </c>
      <c r="C106" s="551">
        <v>2</v>
      </c>
      <c r="D106" s="551">
        <v>1</v>
      </c>
      <c r="E106" s="551">
        <v>0</v>
      </c>
      <c r="F106" s="551">
        <v>0</v>
      </c>
      <c r="G106" s="551">
        <v>9</v>
      </c>
      <c r="H106" s="551">
        <v>39</v>
      </c>
      <c r="I106" s="551">
        <v>22</v>
      </c>
    </row>
    <row r="107" spans="1:9" ht="17.25" customHeight="1">
      <c r="A107" s="1202"/>
      <c r="B107" s="552" t="s">
        <v>229</v>
      </c>
      <c r="C107" s="551">
        <v>2</v>
      </c>
      <c r="D107" s="551">
        <v>1</v>
      </c>
      <c r="E107" s="551"/>
      <c r="F107" s="551"/>
      <c r="G107" s="551">
        <v>8</v>
      </c>
      <c r="H107" s="551">
        <v>33</v>
      </c>
      <c r="I107" s="551">
        <v>21</v>
      </c>
    </row>
    <row r="108" spans="1:9" ht="17.25" customHeight="1">
      <c r="A108" s="1202"/>
      <c r="B108" s="552" t="s">
        <v>228</v>
      </c>
      <c r="C108" s="339">
        <v>2</v>
      </c>
      <c r="D108" s="339">
        <v>1</v>
      </c>
      <c r="E108" s="339">
        <v>0</v>
      </c>
      <c r="F108" s="339">
        <v>0</v>
      </c>
      <c r="G108" s="339">
        <v>8</v>
      </c>
      <c r="H108" s="339">
        <v>31</v>
      </c>
      <c r="I108" s="339">
        <v>22</v>
      </c>
    </row>
    <row r="109" spans="1:9" ht="17.25" customHeight="1">
      <c r="A109" s="1202"/>
      <c r="B109" s="552" t="s">
        <v>227</v>
      </c>
      <c r="C109" s="551">
        <v>2</v>
      </c>
      <c r="D109" s="551">
        <v>1</v>
      </c>
      <c r="E109" s="551"/>
      <c r="F109" s="551"/>
      <c r="G109" s="551">
        <v>7</v>
      </c>
      <c r="H109" s="551">
        <v>22</v>
      </c>
      <c r="I109" s="551">
        <v>19</v>
      </c>
    </row>
    <row r="110" spans="1:9" ht="17.25" customHeight="1">
      <c r="A110" s="1202">
        <v>18</v>
      </c>
      <c r="B110" s="550" t="s">
        <v>34</v>
      </c>
      <c r="C110" s="551"/>
      <c r="D110" s="551"/>
      <c r="E110" s="551"/>
      <c r="F110" s="551"/>
      <c r="G110" s="551"/>
      <c r="H110" s="551"/>
      <c r="I110" s="551"/>
    </row>
    <row r="111" spans="1:9" ht="17.25" customHeight="1">
      <c r="A111" s="1202"/>
      <c r="B111" s="552" t="s">
        <v>919</v>
      </c>
      <c r="C111" s="551">
        <v>1</v>
      </c>
      <c r="D111" s="551">
        <v>7</v>
      </c>
      <c r="E111" s="551">
        <v>2</v>
      </c>
      <c r="F111" s="551">
        <v>12</v>
      </c>
      <c r="G111" s="551">
        <v>7</v>
      </c>
      <c r="H111" s="551">
        <v>21</v>
      </c>
      <c r="I111" s="551">
        <v>23</v>
      </c>
    </row>
    <row r="112" spans="1:9" ht="17.25" customHeight="1">
      <c r="A112" s="1202"/>
      <c r="B112" s="552" t="s">
        <v>876</v>
      </c>
      <c r="C112" s="551">
        <v>1</v>
      </c>
      <c r="D112" s="551">
        <v>7</v>
      </c>
      <c r="E112" s="551">
        <v>2</v>
      </c>
      <c r="F112" s="551">
        <v>12</v>
      </c>
      <c r="G112" s="551">
        <v>7</v>
      </c>
      <c r="H112" s="551">
        <v>18</v>
      </c>
      <c r="I112" s="551">
        <v>23</v>
      </c>
    </row>
    <row r="113" spans="1:9" ht="17.25" customHeight="1">
      <c r="A113" s="1202"/>
      <c r="B113" s="552" t="s">
        <v>229</v>
      </c>
      <c r="C113" s="551">
        <v>1</v>
      </c>
      <c r="D113" s="551">
        <v>7</v>
      </c>
      <c r="E113" s="551">
        <v>2</v>
      </c>
      <c r="F113" s="551">
        <v>12</v>
      </c>
      <c r="G113" s="551">
        <v>8</v>
      </c>
      <c r="H113" s="551">
        <v>11</v>
      </c>
      <c r="I113" s="551">
        <v>23</v>
      </c>
    </row>
    <row r="114" spans="1:9" ht="17.25" customHeight="1">
      <c r="A114" s="1202"/>
      <c r="B114" s="552" t="s">
        <v>228</v>
      </c>
      <c r="C114" s="339">
        <v>1</v>
      </c>
      <c r="D114" s="339">
        <v>7</v>
      </c>
      <c r="E114" s="339">
        <v>2</v>
      </c>
      <c r="F114" s="339">
        <v>12</v>
      </c>
      <c r="G114" s="339">
        <v>6</v>
      </c>
      <c r="H114" s="339">
        <v>11</v>
      </c>
      <c r="I114" s="339">
        <v>22</v>
      </c>
    </row>
    <row r="115" spans="1:9" ht="17.25" customHeight="1">
      <c r="A115" s="1202"/>
      <c r="B115" s="552" t="s">
        <v>227</v>
      </c>
      <c r="C115" s="551">
        <v>1</v>
      </c>
      <c r="D115" s="551">
        <v>7</v>
      </c>
      <c r="E115" s="551">
        <v>2</v>
      </c>
      <c r="F115" s="551">
        <v>12</v>
      </c>
      <c r="G115" s="551">
        <v>5</v>
      </c>
      <c r="H115" s="551">
        <v>4</v>
      </c>
      <c r="I115" s="551">
        <v>22</v>
      </c>
    </row>
    <row r="116" spans="1:9" ht="17.25" customHeight="1">
      <c r="A116" s="1202">
        <v>19</v>
      </c>
      <c r="B116" s="550" t="s">
        <v>35</v>
      </c>
      <c r="C116" s="551"/>
      <c r="D116" s="551"/>
      <c r="E116" s="551"/>
      <c r="F116" s="551"/>
      <c r="G116" s="551"/>
      <c r="H116" s="551"/>
      <c r="I116" s="551"/>
    </row>
    <row r="117" spans="1:9" ht="17.25" customHeight="1">
      <c r="A117" s="1202"/>
      <c r="B117" s="552" t="s">
        <v>919</v>
      </c>
      <c r="C117" s="551">
        <v>3</v>
      </c>
      <c r="D117" s="551"/>
      <c r="E117" s="551"/>
      <c r="F117" s="551"/>
      <c r="G117" s="551">
        <v>2</v>
      </c>
      <c r="H117" s="551">
        <v>2</v>
      </c>
      <c r="I117" s="551">
        <v>3</v>
      </c>
    </row>
    <row r="118" spans="1:9" ht="17.25" customHeight="1">
      <c r="A118" s="1202"/>
      <c r="B118" s="552" t="s">
        <v>876</v>
      </c>
      <c r="C118" s="339">
        <v>3</v>
      </c>
      <c r="D118" s="339">
        <v>0</v>
      </c>
      <c r="E118" s="339">
        <v>0</v>
      </c>
      <c r="F118" s="339">
        <v>0</v>
      </c>
      <c r="G118" s="339">
        <v>2</v>
      </c>
      <c r="H118" s="339">
        <v>1</v>
      </c>
      <c r="I118" s="339">
        <v>3</v>
      </c>
    </row>
    <row r="119" spans="1:9" ht="17.25" customHeight="1">
      <c r="A119" s="1202"/>
      <c r="B119" s="552" t="s">
        <v>229</v>
      </c>
      <c r="C119" s="551">
        <v>3</v>
      </c>
      <c r="D119" s="551"/>
      <c r="E119" s="551"/>
      <c r="F119" s="551"/>
      <c r="G119" s="551">
        <v>2</v>
      </c>
      <c r="H119" s="551">
        <v>0</v>
      </c>
      <c r="I119" s="551">
        <v>3</v>
      </c>
    </row>
    <row r="120" spans="1:9" ht="17.25" customHeight="1">
      <c r="A120" s="1202"/>
      <c r="B120" s="552" t="s">
        <v>228</v>
      </c>
      <c r="C120" s="339">
        <v>2</v>
      </c>
      <c r="D120" s="339">
        <v>0</v>
      </c>
      <c r="E120" s="339">
        <v>0</v>
      </c>
      <c r="F120" s="339">
        <v>0</v>
      </c>
      <c r="G120" s="339">
        <v>2</v>
      </c>
      <c r="H120" s="339">
        <v>0</v>
      </c>
      <c r="I120" s="339">
        <v>2</v>
      </c>
    </row>
    <row r="121" spans="1:9" ht="17.25" customHeight="1">
      <c r="A121" s="1202"/>
      <c r="B121" s="552" t="s">
        <v>227</v>
      </c>
      <c r="C121" s="551">
        <v>2</v>
      </c>
      <c r="D121" s="551"/>
      <c r="E121" s="551"/>
      <c r="F121" s="551"/>
      <c r="G121" s="551">
        <v>2</v>
      </c>
      <c r="H121" s="551">
        <v>0</v>
      </c>
      <c r="I121" s="551">
        <v>1</v>
      </c>
    </row>
    <row r="122" spans="1:9" ht="17.25" customHeight="1">
      <c r="A122" s="1202">
        <v>20</v>
      </c>
      <c r="B122" s="550" t="s">
        <v>36</v>
      </c>
      <c r="C122" s="551"/>
      <c r="D122" s="551"/>
      <c r="E122" s="551"/>
      <c r="F122" s="551"/>
      <c r="G122" s="551"/>
      <c r="H122" s="551"/>
      <c r="I122" s="551"/>
    </row>
    <row r="123" spans="1:9" ht="17.25" customHeight="1">
      <c r="A123" s="1202"/>
      <c r="B123" s="552" t="s">
        <v>919</v>
      </c>
      <c r="C123" s="551">
        <v>1</v>
      </c>
      <c r="D123" s="551"/>
      <c r="E123" s="551"/>
      <c r="F123" s="551"/>
      <c r="G123" s="551">
        <v>2</v>
      </c>
      <c r="H123" s="551">
        <v>8</v>
      </c>
      <c r="I123" s="551">
        <v>0</v>
      </c>
    </row>
    <row r="124" spans="1:9" ht="17.25" customHeight="1">
      <c r="A124" s="1202"/>
      <c r="B124" s="552" t="s">
        <v>876</v>
      </c>
      <c r="C124" s="551">
        <v>1</v>
      </c>
      <c r="D124" s="551">
        <v>0</v>
      </c>
      <c r="E124" s="551">
        <v>0</v>
      </c>
      <c r="F124" s="551">
        <v>0</v>
      </c>
      <c r="G124" s="551">
        <v>2</v>
      </c>
      <c r="H124" s="551">
        <v>8</v>
      </c>
      <c r="I124" s="551">
        <v>0</v>
      </c>
    </row>
    <row r="125" spans="1:9" ht="17.25" customHeight="1">
      <c r="A125" s="1202"/>
      <c r="B125" s="552" t="s">
        <v>229</v>
      </c>
      <c r="C125" s="551">
        <v>1</v>
      </c>
      <c r="D125" s="551"/>
      <c r="E125" s="551"/>
      <c r="F125" s="551"/>
      <c r="G125" s="551">
        <v>2</v>
      </c>
      <c r="H125" s="551">
        <v>7</v>
      </c>
      <c r="I125" s="551">
        <v>0</v>
      </c>
    </row>
    <row r="126" spans="1:9" ht="17.25" customHeight="1">
      <c r="A126" s="1202"/>
      <c r="B126" s="552" t="s">
        <v>228</v>
      </c>
      <c r="C126" s="339">
        <v>1</v>
      </c>
      <c r="D126" s="339">
        <v>0</v>
      </c>
      <c r="E126" s="339">
        <v>0</v>
      </c>
      <c r="F126" s="339">
        <v>0</v>
      </c>
      <c r="G126" s="339">
        <v>2</v>
      </c>
      <c r="H126" s="339">
        <v>7</v>
      </c>
      <c r="I126" s="339">
        <v>0</v>
      </c>
    </row>
    <row r="127" spans="1:9" ht="17.25" customHeight="1">
      <c r="A127" s="1202"/>
      <c r="B127" s="552" t="s">
        <v>227</v>
      </c>
      <c r="C127" s="551">
        <v>1</v>
      </c>
      <c r="D127" s="551"/>
      <c r="E127" s="551"/>
      <c r="F127" s="551"/>
      <c r="G127" s="551">
        <v>1</v>
      </c>
      <c r="H127" s="551">
        <v>6</v>
      </c>
      <c r="I127" s="551">
        <v>0</v>
      </c>
    </row>
    <row r="128" spans="1:9" ht="17.25" customHeight="1">
      <c r="A128" s="1202">
        <v>21</v>
      </c>
      <c r="B128" s="550" t="s">
        <v>37</v>
      </c>
      <c r="C128" s="551"/>
      <c r="D128" s="551"/>
      <c r="E128" s="551"/>
      <c r="F128" s="551"/>
      <c r="G128" s="551"/>
      <c r="H128" s="551"/>
      <c r="I128" s="551"/>
    </row>
    <row r="129" spans="1:9" ht="17.25" customHeight="1">
      <c r="A129" s="1202"/>
      <c r="B129" s="552" t="s">
        <v>919</v>
      </c>
      <c r="C129" s="551">
        <v>1</v>
      </c>
      <c r="D129" s="551"/>
      <c r="E129" s="551"/>
      <c r="F129" s="551"/>
      <c r="G129" s="551">
        <v>1</v>
      </c>
      <c r="H129" s="551">
        <v>1</v>
      </c>
      <c r="I129" s="551">
        <v>0</v>
      </c>
    </row>
    <row r="130" spans="1:9" ht="17.25" customHeight="1">
      <c r="A130" s="1202"/>
      <c r="B130" s="552" t="s">
        <v>876</v>
      </c>
      <c r="C130" s="551">
        <v>1</v>
      </c>
      <c r="D130" s="551">
        <v>0</v>
      </c>
      <c r="E130" s="551">
        <v>0</v>
      </c>
      <c r="F130" s="551">
        <v>0</v>
      </c>
      <c r="G130" s="551">
        <v>1</v>
      </c>
      <c r="H130" s="551">
        <v>1</v>
      </c>
      <c r="I130" s="551">
        <v>0</v>
      </c>
    </row>
    <row r="131" spans="1:9" ht="17.25" customHeight="1">
      <c r="A131" s="1202"/>
      <c r="B131" s="552" t="s">
        <v>229</v>
      </c>
      <c r="C131" s="551">
        <v>1</v>
      </c>
      <c r="D131" s="551"/>
      <c r="E131" s="551"/>
      <c r="F131" s="551"/>
      <c r="G131" s="551">
        <v>1</v>
      </c>
      <c r="H131" s="551">
        <v>1</v>
      </c>
      <c r="I131" s="551">
        <v>0</v>
      </c>
    </row>
    <row r="132" spans="1:9" ht="17.25" customHeight="1">
      <c r="A132" s="1202"/>
      <c r="B132" s="552" t="s">
        <v>228</v>
      </c>
      <c r="C132" s="339">
        <v>1</v>
      </c>
      <c r="D132" s="339">
        <v>0</v>
      </c>
      <c r="E132" s="339">
        <v>0</v>
      </c>
      <c r="F132" s="339">
        <v>0</v>
      </c>
      <c r="G132" s="339">
        <v>1</v>
      </c>
      <c r="H132" s="339">
        <v>1</v>
      </c>
      <c r="I132" s="339">
        <v>0</v>
      </c>
    </row>
    <row r="133" spans="1:9" ht="17.25" customHeight="1">
      <c r="A133" s="1202"/>
      <c r="B133" s="552" t="s">
        <v>227</v>
      </c>
      <c r="C133" s="551">
        <v>1</v>
      </c>
      <c r="D133" s="551"/>
      <c r="E133" s="551"/>
      <c r="F133" s="551"/>
      <c r="G133" s="551">
        <v>1</v>
      </c>
      <c r="H133" s="551">
        <v>1</v>
      </c>
      <c r="I133" s="551">
        <v>0</v>
      </c>
    </row>
    <row r="134" spans="1:9" ht="17.25" customHeight="1">
      <c r="A134" s="1202">
        <v>22</v>
      </c>
      <c r="B134" s="550" t="s">
        <v>38</v>
      </c>
      <c r="C134" s="551"/>
      <c r="D134" s="551"/>
      <c r="E134" s="551"/>
      <c r="F134" s="551"/>
      <c r="G134" s="551"/>
      <c r="H134" s="551"/>
      <c r="I134" s="551"/>
    </row>
    <row r="135" spans="1:9" ht="17.25" customHeight="1">
      <c r="A135" s="1202"/>
      <c r="B135" s="552" t="s">
        <v>919</v>
      </c>
      <c r="C135" s="551">
        <v>1</v>
      </c>
      <c r="D135" s="551"/>
      <c r="E135" s="551"/>
      <c r="F135" s="551"/>
      <c r="G135" s="551">
        <v>1</v>
      </c>
      <c r="H135" s="551">
        <v>4</v>
      </c>
      <c r="I135" s="551">
        <v>0</v>
      </c>
    </row>
    <row r="136" spans="1:9" ht="17.25" customHeight="1">
      <c r="A136" s="1202"/>
      <c r="B136" s="552" t="s">
        <v>876</v>
      </c>
      <c r="C136" s="551">
        <v>1</v>
      </c>
      <c r="D136" s="551">
        <v>0</v>
      </c>
      <c r="E136" s="551">
        <v>0</v>
      </c>
      <c r="F136" s="551">
        <v>0</v>
      </c>
      <c r="G136" s="551">
        <v>1</v>
      </c>
      <c r="H136" s="551">
        <v>3</v>
      </c>
      <c r="I136" s="551">
        <v>0</v>
      </c>
    </row>
    <row r="137" spans="1:9" ht="17.25" customHeight="1">
      <c r="A137" s="1202"/>
      <c r="B137" s="552" t="s">
        <v>229</v>
      </c>
      <c r="C137" s="551">
        <v>1</v>
      </c>
      <c r="D137" s="551"/>
      <c r="E137" s="551"/>
      <c r="F137" s="551"/>
      <c r="G137" s="551">
        <v>1</v>
      </c>
      <c r="H137" s="551">
        <v>3</v>
      </c>
      <c r="I137" s="551">
        <v>0</v>
      </c>
    </row>
    <row r="138" spans="1:9" ht="17.25" customHeight="1">
      <c r="A138" s="1202"/>
      <c r="B138" s="552" t="s">
        <v>228</v>
      </c>
      <c r="C138" s="339">
        <v>1</v>
      </c>
      <c r="D138" s="339">
        <v>0</v>
      </c>
      <c r="E138" s="339">
        <v>0</v>
      </c>
      <c r="F138" s="339">
        <v>0</v>
      </c>
      <c r="G138" s="339">
        <v>1</v>
      </c>
      <c r="H138" s="339">
        <v>3</v>
      </c>
      <c r="I138" s="339">
        <v>0</v>
      </c>
    </row>
    <row r="139" spans="1:9" ht="17.25" customHeight="1">
      <c r="A139" s="1202"/>
      <c r="B139" s="552" t="s">
        <v>227</v>
      </c>
      <c r="C139" s="551">
        <v>1</v>
      </c>
      <c r="D139" s="551"/>
      <c r="E139" s="551"/>
      <c r="F139" s="551"/>
      <c r="G139" s="551">
        <v>1</v>
      </c>
      <c r="H139" s="551">
        <v>3</v>
      </c>
      <c r="I139" s="551">
        <v>0</v>
      </c>
    </row>
    <row r="140" spans="1:9" ht="17.25" customHeight="1">
      <c r="A140" s="1202">
        <v>23</v>
      </c>
      <c r="B140" s="550" t="s">
        <v>39</v>
      </c>
      <c r="C140" s="551"/>
      <c r="D140" s="551"/>
      <c r="E140" s="551"/>
      <c r="F140" s="551"/>
      <c r="G140" s="551"/>
      <c r="H140" s="551"/>
      <c r="I140" s="551"/>
    </row>
    <row r="141" spans="1:9" ht="17.25" customHeight="1">
      <c r="A141" s="1202"/>
      <c r="B141" s="552" t="s">
        <v>919</v>
      </c>
      <c r="C141" s="551">
        <v>1</v>
      </c>
      <c r="D141" s="551"/>
      <c r="E141" s="551"/>
      <c r="F141" s="551">
        <v>3</v>
      </c>
      <c r="G141" s="551">
        <v>5</v>
      </c>
      <c r="H141" s="551">
        <v>8</v>
      </c>
      <c r="I141" s="551">
        <v>19</v>
      </c>
    </row>
    <row r="142" spans="1:9" ht="17.25" customHeight="1">
      <c r="A142" s="1202"/>
      <c r="B142" s="552" t="s">
        <v>876</v>
      </c>
      <c r="C142" s="551">
        <v>1</v>
      </c>
      <c r="D142" s="551">
        <v>0</v>
      </c>
      <c r="E142" s="551">
        <v>0</v>
      </c>
      <c r="F142" s="551">
        <v>3</v>
      </c>
      <c r="G142" s="551">
        <v>5</v>
      </c>
      <c r="H142" s="551">
        <v>8</v>
      </c>
      <c r="I142" s="551">
        <v>18</v>
      </c>
    </row>
    <row r="143" spans="1:9" ht="17.25" customHeight="1">
      <c r="A143" s="1202"/>
      <c r="B143" s="552" t="s">
        <v>229</v>
      </c>
      <c r="C143" s="551">
        <v>1</v>
      </c>
      <c r="D143" s="551"/>
      <c r="E143" s="551"/>
      <c r="F143" s="551">
        <v>3</v>
      </c>
      <c r="G143" s="551">
        <v>5</v>
      </c>
      <c r="H143" s="551">
        <v>6</v>
      </c>
      <c r="I143" s="551">
        <v>16</v>
      </c>
    </row>
    <row r="144" spans="1:9" ht="17.25" customHeight="1">
      <c r="A144" s="1202"/>
      <c r="B144" s="552" t="s">
        <v>228</v>
      </c>
      <c r="C144" s="339">
        <v>1</v>
      </c>
      <c r="D144" s="339">
        <v>0</v>
      </c>
      <c r="E144" s="339">
        <v>0</v>
      </c>
      <c r="F144" s="339">
        <v>2</v>
      </c>
      <c r="G144" s="339">
        <v>5</v>
      </c>
      <c r="H144" s="339">
        <v>4</v>
      </c>
      <c r="I144" s="339">
        <v>15</v>
      </c>
    </row>
    <row r="145" spans="1:9" ht="17.25" customHeight="1">
      <c r="A145" s="1202"/>
      <c r="B145" s="552" t="s">
        <v>227</v>
      </c>
      <c r="C145" s="551">
        <v>1</v>
      </c>
      <c r="D145" s="551"/>
      <c r="E145" s="551"/>
      <c r="F145" s="551">
        <v>2</v>
      </c>
      <c r="G145" s="551">
        <v>4</v>
      </c>
      <c r="H145" s="551">
        <v>3</v>
      </c>
      <c r="I145" s="551">
        <v>14</v>
      </c>
    </row>
    <row r="146" spans="1:9" ht="17.25" customHeight="1">
      <c r="A146" s="1202">
        <v>24</v>
      </c>
      <c r="B146" s="550" t="s">
        <v>40</v>
      </c>
      <c r="C146" s="551"/>
      <c r="D146" s="551"/>
      <c r="E146" s="551"/>
      <c r="F146" s="551"/>
      <c r="G146" s="551"/>
      <c r="H146" s="551"/>
      <c r="I146" s="551"/>
    </row>
    <row r="147" spans="1:9" ht="17.25" customHeight="1">
      <c r="A147" s="1202"/>
      <c r="B147" s="552" t="s">
        <v>919</v>
      </c>
      <c r="C147" s="551">
        <v>1</v>
      </c>
      <c r="D147" s="551"/>
      <c r="E147" s="551"/>
      <c r="F147" s="551">
        <v>1</v>
      </c>
      <c r="G147" s="551">
        <v>2</v>
      </c>
      <c r="H147" s="551">
        <v>0</v>
      </c>
      <c r="I147" s="551">
        <v>0</v>
      </c>
    </row>
    <row r="148" spans="1:9" ht="17.25" customHeight="1">
      <c r="A148" s="1202"/>
      <c r="B148" s="552" t="s">
        <v>876</v>
      </c>
      <c r="C148" s="551">
        <v>1</v>
      </c>
      <c r="D148" s="551">
        <v>0</v>
      </c>
      <c r="E148" s="551">
        <v>0</v>
      </c>
      <c r="F148" s="551">
        <v>1</v>
      </c>
      <c r="G148" s="551">
        <v>2</v>
      </c>
      <c r="H148" s="551">
        <v>0</v>
      </c>
      <c r="I148" s="551">
        <v>0</v>
      </c>
    </row>
    <row r="149" spans="1:9" ht="17.25" customHeight="1">
      <c r="A149" s="1202"/>
      <c r="B149" s="552" t="s">
        <v>229</v>
      </c>
      <c r="C149" s="551">
        <v>1</v>
      </c>
      <c r="D149" s="551"/>
      <c r="E149" s="551"/>
      <c r="F149" s="551">
        <v>1</v>
      </c>
      <c r="G149" s="551">
        <v>2</v>
      </c>
      <c r="H149" s="551">
        <v>0</v>
      </c>
      <c r="I149" s="551">
        <v>0</v>
      </c>
    </row>
    <row r="150" spans="1:9" ht="17.25" customHeight="1">
      <c r="A150" s="1202"/>
      <c r="B150" s="552" t="s">
        <v>228</v>
      </c>
      <c r="C150" s="339">
        <v>1</v>
      </c>
      <c r="D150" s="339">
        <v>0</v>
      </c>
      <c r="E150" s="339">
        <v>0</v>
      </c>
      <c r="F150" s="339">
        <v>1</v>
      </c>
      <c r="G150" s="339">
        <v>2</v>
      </c>
      <c r="H150" s="339">
        <v>0</v>
      </c>
      <c r="I150" s="339">
        <v>0</v>
      </c>
    </row>
    <row r="151" spans="1:9" ht="17.25" customHeight="1">
      <c r="A151" s="1202"/>
      <c r="B151" s="552" t="s">
        <v>227</v>
      </c>
      <c r="C151" s="551">
        <v>1</v>
      </c>
      <c r="D151" s="551"/>
      <c r="E151" s="551"/>
      <c r="F151" s="551">
        <v>1</v>
      </c>
      <c r="G151" s="551">
        <v>2</v>
      </c>
      <c r="H151" s="551">
        <v>0</v>
      </c>
      <c r="I151" s="551">
        <v>0</v>
      </c>
    </row>
    <row r="152" spans="1:9" ht="17.25" customHeight="1">
      <c r="A152" s="1202">
        <v>25</v>
      </c>
      <c r="B152" s="550" t="s">
        <v>41</v>
      </c>
      <c r="C152" s="551"/>
      <c r="D152" s="551"/>
      <c r="E152" s="551"/>
      <c r="F152" s="551"/>
      <c r="G152" s="551"/>
      <c r="H152" s="551"/>
      <c r="I152" s="551"/>
    </row>
    <row r="153" spans="1:9" ht="17.25" customHeight="1">
      <c r="A153" s="1202"/>
      <c r="B153" s="552" t="s">
        <v>919</v>
      </c>
      <c r="C153" s="551">
        <v>1</v>
      </c>
      <c r="D153" s="551">
        <v>1</v>
      </c>
      <c r="E153" s="551"/>
      <c r="F153" s="551">
        <v>1</v>
      </c>
      <c r="G153" s="551">
        <v>6</v>
      </c>
      <c r="H153" s="551">
        <v>18</v>
      </c>
      <c r="I153" s="551">
        <v>12</v>
      </c>
    </row>
    <row r="154" spans="1:9" ht="17.25" customHeight="1">
      <c r="A154" s="1202"/>
      <c r="B154" s="552" t="s">
        <v>876</v>
      </c>
      <c r="C154" s="551">
        <v>1</v>
      </c>
      <c r="D154" s="551">
        <v>1</v>
      </c>
      <c r="E154" s="551">
        <v>0</v>
      </c>
      <c r="F154" s="551">
        <v>1</v>
      </c>
      <c r="G154" s="551">
        <v>6</v>
      </c>
      <c r="H154" s="551">
        <v>15</v>
      </c>
      <c r="I154" s="551">
        <v>10</v>
      </c>
    </row>
    <row r="155" spans="1:9" ht="17.25" customHeight="1">
      <c r="A155" s="1202"/>
      <c r="B155" s="552" t="s">
        <v>229</v>
      </c>
      <c r="C155" s="551">
        <v>1</v>
      </c>
      <c r="D155" s="551">
        <v>1</v>
      </c>
      <c r="E155" s="551"/>
      <c r="F155" s="551">
        <v>1</v>
      </c>
      <c r="G155" s="551">
        <v>5</v>
      </c>
      <c r="H155" s="551">
        <v>15</v>
      </c>
      <c r="I155" s="551">
        <v>9</v>
      </c>
    </row>
    <row r="156" spans="1:9" ht="17.25" customHeight="1">
      <c r="A156" s="1202"/>
      <c r="B156" s="552" t="s">
        <v>228</v>
      </c>
      <c r="C156" s="339">
        <v>1</v>
      </c>
      <c r="D156" s="339">
        <v>1</v>
      </c>
      <c r="E156" s="339">
        <v>0</v>
      </c>
      <c r="F156" s="339">
        <v>1</v>
      </c>
      <c r="G156" s="339">
        <v>5</v>
      </c>
      <c r="H156" s="339">
        <v>15</v>
      </c>
      <c r="I156" s="339">
        <v>9</v>
      </c>
    </row>
    <row r="157" spans="1:9" ht="17.25" customHeight="1">
      <c r="A157" s="1202"/>
      <c r="B157" s="552" t="s">
        <v>227</v>
      </c>
      <c r="C157" s="551">
        <v>1</v>
      </c>
      <c r="D157" s="551">
        <v>1</v>
      </c>
      <c r="E157" s="551"/>
      <c r="F157" s="551">
        <v>1</v>
      </c>
      <c r="G157" s="551">
        <v>4</v>
      </c>
      <c r="H157" s="551">
        <v>15</v>
      </c>
      <c r="I157" s="551">
        <v>9</v>
      </c>
    </row>
    <row r="158" spans="1:9" ht="17.25" customHeight="1">
      <c r="A158" s="1202">
        <v>26</v>
      </c>
      <c r="B158" s="550" t="s">
        <v>42</v>
      </c>
      <c r="C158" s="551"/>
      <c r="D158" s="551"/>
      <c r="E158" s="551"/>
      <c r="F158" s="551"/>
      <c r="G158" s="551"/>
      <c r="H158" s="551"/>
      <c r="I158" s="551"/>
    </row>
    <row r="159" spans="1:9" ht="17.25" customHeight="1">
      <c r="A159" s="1202"/>
      <c r="B159" s="552" t="s">
        <v>919</v>
      </c>
      <c r="C159" s="551">
        <v>1</v>
      </c>
      <c r="D159" s="551"/>
      <c r="E159" s="551"/>
      <c r="F159" s="551">
        <v>7</v>
      </c>
      <c r="G159" s="551">
        <v>5</v>
      </c>
      <c r="H159" s="551">
        <v>49</v>
      </c>
      <c r="I159" s="551">
        <v>26</v>
      </c>
    </row>
    <row r="160" spans="1:9" ht="17.25" customHeight="1">
      <c r="A160" s="1202"/>
      <c r="B160" s="552" t="s">
        <v>876</v>
      </c>
      <c r="C160" s="551">
        <v>1</v>
      </c>
      <c r="D160" s="551">
        <v>0</v>
      </c>
      <c r="E160" s="551">
        <v>0</v>
      </c>
      <c r="F160" s="551">
        <v>7</v>
      </c>
      <c r="G160" s="551">
        <v>5</v>
      </c>
      <c r="H160" s="551">
        <v>52</v>
      </c>
      <c r="I160" s="551">
        <v>26</v>
      </c>
    </row>
    <row r="161" spans="1:9" ht="17.25" customHeight="1">
      <c r="A161" s="1202"/>
      <c r="B161" s="552" t="s">
        <v>229</v>
      </c>
      <c r="C161" s="551">
        <v>1</v>
      </c>
      <c r="D161" s="551"/>
      <c r="E161" s="551"/>
      <c r="F161" s="551">
        <v>7</v>
      </c>
      <c r="G161" s="551">
        <v>5</v>
      </c>
      <c r="H161" s="551">
        <v>50</v>
      </c>
      <c r="I161" s="551">
        <v>25</v>
      </c>
    </row>
    <row r="162" spans="1:9" ht="17.25" customHeight="1">
      <c r="A162" s="1202"/>
      <c r="B162" s="552" t="s">
        <v>228</v>
      </c>
      <c r="C162" s="339">
        <v>1</v>
      </c>
      <c r="D162" s="339">
        <v>0</v>
      </c>
      <c r="E162" s="339">
        <v>0</v>
      </c>
      <c r="F162" s="339">
        <v>8</v>
      </c>
      <c r="G162" s="339">
        <v>5</v>
      </c>
      <c r="H162" s="339">
        <v>45</v>
      </c>
      <c r="I162" s="339">
        <v>23</v>
      </c>
    </row>
    <row r="163" spans="1:9" ht="17.25" customHeight="1">
      <c r="A163" s="1202"/>
      <c r="B163" s="552" t="s">
        <v>227</v>
      </c>
      <c r="C163" s="551">
        <v>1</v>
      </c>
      <c r="D163" s="551"/>
      <c r="E163" s="551"/>
      <c r="F163" s="551">
        <v>8</v>
      </c>
      <c r="G163" s="551">
        <v>4</v>
      </c>
      <c r="H163" s="551">
        <v>43</v>
      </c>
      <c r="I163" s="551">
        <v>22</v>
      </c>
    </row>
    <row r="164" spans="1:9" ht="17.25" customHeight="1">
      <c r="A164" s="1202">
        <v>27</v>
      </c>
      <c r="B164" s="550" t="s">
        <v>43</v>
      </c>
      <c r="C164" s="551"/>
      <c r="D164" s="551"/>
      <c r="E164" s="551"/>
      <c r="F164" s="551"/>
      <c r="G164" s="551"/>
      <c r="H164" s="551"/>
      <c r="I164" s="551"/>
    </row>
    <row r="165" spans="1:9" ht="17.25" customHeight="1">
      <c r="A165" s="1202"/>
      <c r="B165" s="552" t="s">
        <v>919</v>
      </c>
      <c r="C165" s="551">
        <v>1</v>
      </c>
      <c r="D165" s="551"/>
      <c r="E165" s="551"/>
      <c r="F165" s="551"/>
      <c r="G165" s="551">
        <v>1</v>
      </c>
      <c r="H165" s="551">
        <v>6</v>
      </c>
      <c r="I165" s="551">
        <v>1</v>
      </c>
    </row>
    <row r="166" spans="1:9" ht="17.25" customHeight="1">
      <c r="A166" s="1202"/>
      <c r="B166" s="552" t="s">
        <v>876</v>
      </c>
      <c r="C166" s="551">
        <v>1</v>
      </c>
      <c r="D166" s="551">
        <v>0</v>
      </c>
      <c r="E166" s="551">
        <v>0</v>
      </c>
      <c r="F166" s="551">
        <v>0</v>
      </c>
      <c r="G166" s="551">
        <v>1</v>
      </c>
      <c r="H166" s="551">
        <v>5</v>
      </c>
      <c r="I166" s="551">
        <v>1</v>
      </c>
    </row>
    <row r="167" spans="1:9" ht="17.25" customHeight="1">
      <c r="A167" s="1202"/>
      <c r="B167" s="552" t="s">
        <v>229</v>
      </c>
      <c r="C167" s="551">
        <v>1</v>
      </c>
      <c r="D167" s="551"/>
      <c r="E167" s="551"/>
      <c r="F167" s="551"/>
      <c r="G167" s="551">
        <v>1</v>
      </c>
      <c r="H167" s="551">
        <v>5</v>
      </c>
      <c r="I167" s="551">
        <v>1</v>
      </c>
    </row>
    <row r="168" spans="1:9" ht="17.25" customHeight="1">
      <c r="A168" s="1202"/>
      <c r="B168" s="552" t="s">
        <v>228</v>
      </c>
      <c r="C168" s="339">
        <v>1</v>
      </c>
      <c r="D168" s="339">
        <v>0</v>
      </c>
      <c r="E168" s="339">
        <v>0</v>
      </c>
      <c r="F168" s="339">
        <v>0</v>
      </c>
      <c r="G168" s="339">
        <v>1</v>
      </c>
      <c r="H168" s="339">
        <v>5</v>
      </c>
      <c r="I168" s="339">
        <v>0</v>
      </c>
    </row>
    <row r="169" spans="1:9" ht="17.25" customHeight="1">
      <c r="A169" s="1202"/>
      <c r="B169" s="552" t="s">
        <v>227</v>
      </c>
      <c r="C169" s="551">
        <v>1</v>
      </c>
      <c r="D169" s="551"/>
      <c r="E169" s="551"/>
      <c r="F169" s="551"/>
      <c r="G169" s="551">
        <v>1</v>
      </c>
      <c r="H169" s="551">
        <v>5</v>
      </c>
      <c r="I169" s="551">
        <v>0</v>
      </c>
    </row>
    <row r="170" spans="1:9" ht="17.25" customHeight="1">
      <c r="A170" s="1202">
        <v>28</v>
      </c>
      <c r="B170" s="550" t="s">
        <v>44</v>
      </c>
      <c r="C170" s="551"/>
      <c r="D170" s="551"/>
      <c r="E170" s="551"/>
      <c r="F170" s="551"/>
      <c r="G170" s="551"/>
      <c r="H170" s="551"/>
      <c r="I170" s="551"/>
    </row>
    <row r="171" spans="1:9" ht="17.25" customHeight="1">
      <c r="A171" s="1202"/>
      <c r="B171" s="552" t="s">
        <v>919</v>
      </c>
      <c r="C171" s="551">
        <v>2</v>
      </c>
      <c r="D171" s="551"/>
      <c r="E171" s="551">
        <v>2</v>
      </c>
      <c r="F171" s="551">
        <v>26</v>
      </c>
      <c r="G171" s="551">
        <v>7</v>
      </c>
      <c r="H171" s="551">
        <v>3</v>
      </c>
      <c r="I171" s="551">
        <v>21</v>
      </c>
    </row>
    <row r="172" spans="1:9" ht="17.25" customHeight="1">
      <c r="A172" s="1202"/>
      <c r="B172" s="552" t="s">
        <v>876</v>
      </c>
      <c r="C172" s="551">
        <v>2</v>
      </c>
      <c r="D172" s="551">
        <v>0</v>
      </c>
      <c r="E172" s="551">
        <v>2</v>
      </c>
      <c r="F172" s="551">
        <v>26</v>
      </c>
      <c r="G172" s="551">
        <v>7</v>
      </c>
      <c r="H172" s="551">
        <v>0</v>
      </c>
      <c r="I172" s="551">
        <v>21</v>
      </c>
    </row>
    <row r="173" spans="1:9" ht="17.25" customHeight="1">
      <c r="A173" s="1202"/>
      <c r="B173" s="552" t="s">
        <v>229</v>
      </c>
      <c r="C173" s="551">
        <v>2</v>
      </c>
      <c r="D173" s="551"/>
      <c r="E173" s="551">
        <v>2</v>
      </c>
      <c r="F173" s="551">
        <v>26</v>
      </c>
      <c r="G173" s="551">
        <v>7</v>
      </c>
      <c r="H173" s="551">
        <v>0</v>
      </c>
      <c r="I173" s="551">
        <v>21</v>
      </c>
    </row>
    <row r="174" spans="1:9" ht="17.25" customHeight="1">
      <c r="A174" s="1202"/>
      <c r="B174" s="552" t="s">
        <v>228</v>
      </c>
      <c r="C174" s="339">
        <v>2</v>
      </c>
      <c r="D174" s="339">
        <v>0</v>
      </c>
      <c r="E174" s="339">
        <v>2</v>
      </c>
      <c r="F174" s="339">
        <v>26</v>
      </c>
      <c r="G174" s="339">
        <v>7</v>
      </c>
      <c r="H174" s="339">
        <v>0</v>
      </c>
      <c r="I174" s="339">
        <v>21</v>
      </c>
    </row>
    <row r="175" spans="1:9" ht="17.25" customHeight="1">
      <c r="A175" s="1202"/>
      <c r="B175" s="552" t="s">
        <v>227</v>
      </c>
      <c r="C175" s="551">
        <v>2</v>
      </c>
      <c r="D175" s="551"/>
      <c r="E175" s="551">
        <v>2</v>
      </c>
      <c r="F175" s="551">
        <v>26</v>
      </c>
      <c r="G175" s="551">
        <v>7</v>
      </c>
      <c r="H175" s="551">
        <v>0</v>
      </c>
      <c r="I175" s="551">
        <v>20</v>
      </c>
    </row>
    <row r="176" spans="1:9" ht="17.25" customHeight="1">
      <c r="A176" s="1202">
        <v>29</v>
      </c>
      <c r="B176" s="550" t="s">
        <v>131</v>
      </c>
      <c r="C176" s="551"/>
      <c r="D176" s="551"/>
      <c r="E176" s="551"/>
      <c r="F176" s="551"/>
      <c r="G176" s="551"/>
      <c r="H176" s="551"/>
      <c r="I176" s="551"/>
    </row>
    <row r="177" spans="1:9" ht="17.25" customHeight="1">
      <c r="A177" s="1202"/>
      <c r="B177" s="552" t="s">
        <v>919</v>
      </c>
      <c r="C177" s="551">
        <v>3</v>
      </c>
      <c r="D177" s="551">
        <v>1</v>
      </c>
      <c r="E177" s="551"/>
      <c r="F177" s="551">
        <v>2</v>
      </c>
      <c r="G177" s="551">
        <v>4</v>
      </c>
      <c r="H177" s="551">
        <v>4</v>
      </c>
      <c r="I177" s="551">
        <v>15</v>
      </c>
    </row>
    <row r="178" spans="1:9" ht="17.25" customHeight="1">
      <c r="A178" s="1202"/>
      <c r="B178" s="552" t="s">
        <v>876</v>
      </c>
      <c r="C178" s="551">
        <v>3</v>
      </c>
      <c r="D178" s="551">
        <v>1</v>
      </c>
      <c r="E178" s="551">
        <v>0</v>
      </c>
      <c r="F178" s="551">
        <v>2</v>
      </c>
      <c r="G178" s="551">
        <v>4</v>
      </c>
      <c r="H178" s="551">
        <v>4</v>
      </c>
      <c r="I178" s="551">
        <v>15</v>
      </c>
    </row>
    <row r="179" spans="1:9" ht="17.25" customHeight="1">
      <c r="A179" s="1202"/>
      <c r="B179" s="552" t="s">
        <v>229</v>
      </c>
      <c r="C179" s="551">
        <v>3</v>
      </c>
      <c r="D179" s="551"/>
      <c r="E179" s="551"/>
      <c r="F179" s="551">
        <v>2</v>
      </c>
      <c r="G179" s="551">
        <v>2</v>
      </c>
      <c r="H179" s="551">
        <v>0</v>
      </c>
      <c r="I179" s="551">
        <v>15</v>
      </c>
    </row>
    <row r="180" spans="1:9" ht="17.25" customHeight="1">
      <c r="A180" s="1202"/>
      <c r="B180" s="552" t="s">
        <v>228</v>
      </c>
      <c r="C180" s="339">
        <v>3</v>
      </c>
      <c r="D180" s="339">
        <v>0</v>
      </c>
      <c r="E180" s="339">
        <v>0</v>
      </c>
      <c r="F180" s="339">
        <v>2</v>
      </c>
      <c r="G180" s="339">
        <v>2</v>
      </c>
      <c r="H180" s="339">
        <v>0</v>
      </c>
      <c r="I180" s="339">
        <v>15</v>
      </c>
    </row>
    <row r="181" spans="1:9" ht="17.25" customHeight="1">
      <c r="A181" s="1202"/>
      <c r="B181" s="552" t="s">
        <v>227</v>
      </c>
      <c r="C181" s="551">
        <v>3</v>
      </c>
      <c r="D181" s="551"/>
      <c r="E181" s="551"/>
      <c r="F181" s="551">
        <v>2</v>
      </c>
      <c r="G181" s="551">
        <v>2</v>
      </c>
      <c r="H181" s="551">
        <v>0</v>
      </c>
      <c r="I181" s="551">
        <v>15</v>
      </c>
    </row>
    <row r="182" spans="1:9" ht="17.25" customHeight="1">
      <c r="A182" s="1202">
        <v>30</v>
      </c>
      <c r="B182" s="550" t="s">
        <v>45</v>
      </c>
      <c r="C182" s="551"/>
      <c r="D182" s="551"/>
      <c r="E182" s="551"/>
      <c r="F182" s="551"/>
      <c r="G182" s="551"/>
      <c r="H182" s="551"/>
      <c r="I182" s="551"/>
    </row>
    <row r="183" spans="1:9" ht="17.25" customHeight="1">
      <c r="A183" s="1202"/>
      <c r="B183" s="552" t="s">
        <v>919</v>
      </c>
      <c r="C183" s="551">
        <v>1</v>
      </c>
      <c r="D183" s="551"/>
      <c r="E183" s="551"/>
      <c r="F183" s="551"/>
      <c r="G183" s="551">
        <v>2</v>
      </c>
      <c r="H183" s="551">
        <v>1</v>
      </c>
      <c r="I183" s="551">
        <v>1</v>
      </c>
    </row>
    <row r="184" spans="1:9" ht="17.25" customHeight="1">
      <c r="A184" s="1202"/>
      <c r="B184" s="552" t="s">
        <v>876</v>
      </c>
      <c r="C184" s="551">
        <v>1</v>
      </c>
      <c r="D184" s="551">
        <v>0</v>
      </c>
      <c r="E184" s="551">
        <v>0</v>
      </c>
      <c r="F184" s="551">
        <v>0</v>
      </c>
      <c r="G184" s="551">
        <v>2</v>
      </c>
      <c r="H184" s="551">
        <v>1</v>
      </c>
      <c r="I184" s="551">
        <v>1</v>
      </c>
    </row>
    <row r="185" spans="1:9" ht="17.25" customHeight="1">
      <c r="A185" s="1202"/>
      <c r="B185" s="552" t="s">
        <v>229</v>
      </c>
      <c r="C185" s="551">
        <v>1</v>
      </c>
      <c r="D185" s="551"/>
      <c r="E185" s="551"/>
      <c r="F185" s="551"/>
      <c r="G185" s="551">
        <v>1</v>
      </c>
      <c r="H185" s="551">
        <v>1</v>
      </c>
      <c r="I185" s="551">
        <v>1</v>
      </c>
    </row>
    <row r="186" spans="1:9" ht="17.25" customHeight="1">
      <c r="A186" s="1202"/>
      <c r="B186" s="552" t="s">
        <v>228</v>
      </c>
      <c r="C186" s="339">
        <v>1</v>
      </c>
      <c r="D186" s="339">
        <v>0</v>
      </c>
      <c r="E186" s="339">
        <v>0</v>
      </c>
      <c r="F186" s="339">
        <v>0</v>
      </c>
      <c r="G186" s="339">
        <v>1</v>
      </c>
      <c r="H186" s="339">
        <v>1</v>
      </c>
      <c r="I186" s="339">
        <v>1</v>
      </c>
    </row>
    <row r="187" spans="1:9" ht="17.25" customHeight="1">
      <c r="A187" s="1202"/>
      <c r="B187" s="552" t="s">
        <v>227</v>
      </c>
      <c r="C187" s="551">
        <v>1</v>
      </c>
      <c r="D187" s="551"/>
      <c r="E187" s="551"/>
      <c r="F187" s="551"/>
      <c r="G187" s="551">
        <v>1</v>
      </c>
      <c r="H187" s="551">
        <v>1</v>
      </c>
      <c r="I187" s="551">
        <v>1</v>
      </c>
    </row>
    <row r="188" spans="1:9" ht="17.25" customHeight="1">
      <c r="A188" s="1202">
        <v>31</v>
      </c>
      <c r="B188" s="550" t="s">
        <v>47</v>
      </c>
      <c r="C188" s="551"/>
      <c r="D188" s="551"/>
      <c r="E188" s="551"/>
      <c r="F188" s="551"/>
      <c r="G188" s="551"/>
      <c r="H188" s="551"/>
      <c r="I188" s="551"/>
    </row>
    <row r="189" spans="1:9" ht="17.25" customHeight="1">
      <c r="A189" s="1202"/>
      <c r="B189" s="552" t="s">
        <v>919</v>
      </c>
      <c r="C189" s="551">
        <v>6</v>
      </c>
      <c r="D189" s="551">
        <v>2</v>
      </c>
      <c r="E189" s="551">
        <v>3</v>
      </c>
      <c r="F189" s="551">
        <v>4</v>
      </c>
      <c r="G189" s="551">
        <v>11</v>
      </c>
      <c r="H189" s="551">
        <v>31</v>
      </c>
      <c r="I189" s="551">
        <v>32</v>
      </c>
    </row>
    <row r="190" spans="1:9" ht="17.25" customHeight="1">
      <c r="A190" s="1202"/>
      <c r="B190" s="552" t="s">
        <v>876</v>
      </c>
      <c r="C190" s="551">
        <v>5</v>
      </c>
      <c r="D190" s="551">
        <v>2</v>
      </c>
      <c r="E190" s="551">
        <v>3</v>
      </c>
      <c r="F190" s="551">
        <v>4</v>
      </c>
      <c r="G190" s="551">
        <v>11</v>
      </c>
      <c r="H190" s="551">
        <v>29</v>
      </c>
      <c r="I190" s="551">
        <v>28</v>
      </c>
    </row>
    <row r="191" spans="1:9" ht="17.25" customHeight="1">
      <c r="A191" s="1202"/>
      <c r="B191" s="552" t="s">
        <v>229</v>
      </c>
      <c r="C191" s="551">
        <v>4</v>
      </c>
      <c r="D191" s="551">
        <v>2</v>
      </c>
      <c r="E191" s="551">
        <v>3</v>
      </c>
      <c r="F191" s="551">
        <v>4</v>
      </c>
      <c r="G191" s="551">
        <v>9</v>
      </c>
      <c r="H191" s="551">
        <v>29</v>
      </c>
      <c r="I191" s="551">
        <v>28</v>
      </c>
    </row>
    <row r="192" spans="1:9" ht="17.25" customHeight="1">
      <c r="A192" s="1202"/>
      <c r="B192" s="552" t="s">
        <v>228</v>
      </c>
      <c r="C192" s="339">
        <v>4</v>
      </c>
      <c r="D192" s="339">
        <v>2</v>
      </c>
      <c r="E192" s="339">
        <v>3</v>
      </c>
      <c r="F192" s="339">
        <v>4</v>
      </c>
      <c r="G192" s="339">
        <v>9</v>
      </c>
      <c r="H192" s="339">
        <v>28</v>
      </c>
      <c r="I192" s="339">
        <v>27</v>
      </c>
    </row>
    <row r="193" spans="1:9" ht="17.25" customHeight="1">
      <c r="A193" s="1202"/>
      <c r="B193" s="552" t="s">
        <v>227</v>
      </c>
      <c r="C193" s="551">
        <v>4</v>
      </c>
      <c r="D193" s="551">
        <v>2</v>
      </c>
      <c r="E193" s="551">
        <v>3</v>
      </c>
      <c r="F193" s="551">
        <v>4</v>
      </c>
      <c r="G193" s="551">
        <v>7</v>
      </c>
      <c r="H193" s="551">
        <v>27</v>
      </c>
      <c r="I193" s="551">
        <v>27</v>
      </c>
    </row>
    <row r="194" spans="1:9" ht="17.25" customHeight="1">
      <c r="A194" s="1202">
        <v>32</v>
      </c>
      <c r="B194" s="550" t="s">
        <v>46</v>
      </c>
      <c r="C194" s="551"/>
      <c r="D194" s="551"/>
      <c r="E194" s="551"/>
      <c r="F194" s="551"/>
      <c r="G194" s="551"/>
      <c r="H194" s="551"/>
      <c r="I194" s="551"/>
    </row>
    <row r="195" spans="1:9" ht="17.25" customHeight="1">
      <c r="A195" s="1202"/>
      <c r="B195" s="552" t="s">
        <v>919</v>
      </c>
      <c r="C195" s="551">
        <v>1</v>
      </c>
      <c r="D195" s="551">
        <v>1</v>
      </c>
      <c r="E195" s="551">
        <v>1</v>
      </c>
      <c r="F195" s="551">
        <v>1</v>
      </c>
      <c r="G195" s="551">
        <v>4</v>
      </c>
      <c r="H195" s="551">
        <v>19</v>
      </c>
      <c r="I195" s="551">
        <v>10</v>
      </c>
    </row>
    <row r="196" spans="1:9" ht="17.25" customHeight="1">
      <c r="A196" s="1202"/>
      <c r="B196" s="552" t="s">
        <v>876</v>
      </c>
      <c r="C196" s="551">
        <v>1</v>
      </c>
      <c r="D196" s="551">
        <v>1</v>
      </c>
      <c r="E196" s="551">
        <v>1</v>
      </c>
      <c r="F196" s="551">
        <v>1</v>
      </c>
      <c r="G196" s="551">
        <v>4</v>
      </c>
      <c r="H196" s="551">
        <v>17</v>
      </c>
      <c r="I196" s="551">
        <v>11</v>
      </c>
    </row>
    <row r="197" spans="1:9" ht="17.25" customHeight="1">
      <c r="A197" s="1202"/>
      <c r="B197" s="552" t="s">
        <v>229</v>
      </c>
      <c r="C197" s="551">
        <v>1</v>
      </c>
      <c r="D197" s="551">
        <v>1</v>
      </c>
      <c r="E197" s="551">
        <v>1</v>
      </c>
      <c r="F197" s="551">
        <v>1</v>
      </c>
      <c r="G197" s="551">
        <v>4</v>
      </c>
      <c r="H197" s="551">
        <v>17</v>
      </c>
      <c r="I197" s="551">
        <v>10</v>
      </c>
    </row>
    <row r="198" spans="1:9" ht="17.25" customHeight="1">
      <c r="A198" s="1202"/>
      <c r="B198" s="552" t="s">
        <v>228</v>
      </c>
      <c r="C198" s="339">
        <v>1</v>
      </c>
      <c r="D198" s="339">
        <v>1</v>
      </c>
      <c r="E198" s="339">
        <v>1</v>
      </c>
      <c r="F198" s="339">
        <v>1</v>
      </c>
      <c r="G198" s="339">
        <v>4</v>
      </c>
      <c r="H198" s="339">
        <v>17</v>
      </c>
      <c r="I198" s="339">
        <v>10</v>
      </c>
    </row>
    <row r="199" spans="1:9" ht="17.25" customHeight="1">
      <c r="A199" s="1202"/>
      <c r="B199" s="552" t="s">
        <v>227</v>
      </c>
      <c r="C199" s="551">
        <v>1</v>
      </c>
      <c r="D199" s="551">
        <v>1</v>
      </c>
      <c r="E199" s="551">
        <v>1</v>
      </c>
      <c r="F199" s="551">
        <v>1</v>
      </c>
      <c r="G199" s="551">
        <v>3</v>
      </c>
      <c r="H199" s="551">
        <v>15</v>
      </c>
      <c r="I199" s="551">
        <v>10</v>
      </c>
    </row>
    <row r="200" spans="1:9" ht="17.25" customHeight="1">
      <c r="A200" s="1202">
        <v>33</v>
      </c>
      <c r="B200" s="550" t="s">
        <v>48</v>
      </c>
      <c r="C200" s="551"/>
      <c r="D200" s="551"/>
      <c r="E200" s="551"/>
      <c r="F200" s="551"/>
      <c r="G200" s="551"/>
      <c r="H200" s="551"/>
      <c r="I200" s="551"/>
    </row>
    <row r="201" spans="1:9" ht="17.25" customHeight="1">
      <c r="A201" s="1202"/>
      <c r="B201" s="552" t="s">
        <v>919</v>
      </c>
      <c r="C201" s="551">
        <v>1</v>
      </c>
      <c r="D201" s="551">
        <v>1</v>
      </c>
      <c r="E201" s="551"/>
      <c r="F201" s="551">
        <v>1</v>
      </c>
      <c r="G201" s="551">
        <v>8</v>
      </c>
      <c r="H201" s="551">
        <v>11</v>
      </c>
      <c r="I201" s="551">
        <v>35</v>
      </c>
    </row>
    <row r="202" spans="1:9" ht="17.25" customHeight="1">
      <c r="A202" s="1202"/>
      <c r="B202" s="552" t="s">
        <v>876</v>
      </c>
      <c r="C202" s="551">
        <v>1</v>
      </c>
      <c r="D202" s="551">
        <v>1</v>
      </c>
      <c r="E202" s="551">
        <v>0</v>
      </c>
      <c r="F202" s="551">
        <v>1</v>
      </c>
      <c r="G202" s="551">
        <v>8</v>
      </c>
      <c r="H202" s="551">
        <v>11</v>
      </c>
      <c r="I202" s="551">
        <v>29</v>
      </c>
    </row>
    <row r="203" spans="1:9" ht="17.25" customHeight="1">
      <c r="A203" s="1202"/>
      <c r="B203" s="552" t="s">
        <v>229</v>
      </c>
      <c r="C203" s="551">
        <v>1</v>
      </c>
      <c r="D203" s="551">
        <v>1</v>
      </c>
      <c r="E203" s="551"/>
      <c r="F203" s="551">
        <v>1</v>
      </c>
      <c r="G203" s="551">
        <v>8</v>
      </c>
      <c r="H203" s="551">
        <v>10</v>
      </c>
      <c r="I203" s="551">
        <v>25</v>
      </c>
    </row>
    <row r="204" spans="1:9" ht="17.25" customHeight="1">
      <c r="A204" s="1202"/>
      <c r="B204" s="552" t="s">
        <v>228</v>
      </c>
      <c r="C204" s="339">
        <v>1</v>
      </c>
      <c r="D204" s="339">
        <v>0</v>
      </c>
      <c r="E204" s="339">
        <v>0</v>
      </c>
      <c r="F204" s="339">
        <v>1</v>
      </c>
      <c r="G204" s="339">
        <v>7</v>
      </c>
      <c r="H204" s="339">
        <v>10</v>
      </c>
      <c r="I204" s="339">
        <v>25</v>
      </c>
    </row>
    <row r="205" spans="1:9" ht="17.25" customHeight="1">
      <c r="A205" s="1202"/>
      <c r="B205" s="552" t="s">
        <v>227</v>
      </c>
      <c r="C205" s="551">
        <v>1</v>
      </c>
      <c r="D205" s="551"/>
      <c r="E205" s="551"/>
      <c r="F205" s="551">
        <v>1</v>
      </c>
      <c r="G205" s="551">
        <v>6</v>
      </c>
      <c r="H205" s="551">
        <v>9</v>
      </c>
      <c r="I205" s="551">
        <v>25</v>
      </c>
    </row>
  </sheetData>
  <mergeCells count="35">
    <mergeCell ref="A28:A33"/>
    <mergeCell ref="B1:I1"/>
    <mergeCell ref="A4:A9"/>
    <mergeCell ref="A10:A15"/>
    <mergeCell ref="A16:A21"/>
    <mergeCell ref="A22:A27"/>
    <mergeCell ref="A100:A103"/>
    <mergeCell ref="A34:A39"/>
    <mergeCell ref="A40:A45"/>
    <mergeCell ref="A46:A51"/>
    <mergeCell ref="A52:A57"/>
    <mergeCell ref="A58:A63"/>
    <mergeCell ref="A64:A69"/>
    <mergeCell ref="A70:A75"/>
    <mergeCell ref="A76:A81"/>
    <mergeCell ref="A82:A87"/>
    <mergeCell ref="A88:A93"/>
    <mergeCell ref="A94:A99"/>
    <mergeCell ref="A170:A175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176:A181"/>
    <mergeCell ref="A182:A187"/>
    <mergeCell ref="A188:A193"/>
    <mergeCell ref="A194:A199"/>
    <mergeCell ref="A200:A205"/>
  </mergeCells>
  <printOptions horizontalCentered="1"/>
  <pageMargins left="0.51181102362204722" right="0.39370078740157483" top="0.51181102362204722" bottom="0.51181102362204722" header="0.27559055118110237" footer="0.23622047244094491"/>
  <pageSetup paperSize="9" scale="64" firstPageNumber="2" pageOrder="overThenDown" orientation="portrait" useFirstPageNumber="1" r:id="rId1"/>
  <headerFooter alignWithMargins="0">
    <oddFooter>&amp;LAISHE 2021-22&amp;CT-41</oddFooter>
  </headerFooter>
  <rowBreaks count="3" manualBreakCount="3">
    <brk id="63" max="16383" man="1"/>
    <brk id="121" max="16383" man="1"/>
    <brk id="181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41A0-4FF8-40ED-BBFD-58D89830CF56}">
  <sheetPr>
    <tabColor rgb="FF00B050"/>
  </sheetPr>
  <dimension ref="A1:Q42"/>
  <sheetViews>
    <sheetView view="pageBreakPreview" zoomScaleSheetLayoutView="100" workbookViewId="0">
      <pane xSplit="2" ySplit="4" topLeftCell="C5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"/>
  <cols>
    <col min="1" max="1" width="8.28515625" style="543" bestFit="1" customWidth="1"/>
    <col min="2" max="2" width="35.5703125" style="546" customWidth="1"/>
    <col min="3" max="17" width="15" style="543" customWidth="1"/>
    <col min="18" max="16384" width="9.28515625" style="543"/>
  </cols>
  <sheetData>
    <row r="1" spans="1:17" s="555" customFormat="1" ht="27.75" customHeight="1">
      <c r="A1" s="543"/>
      <c r="B1" s="554" t="s">
        <v>232</v>
      </c>
      <c r="C1" s="1205" t="s">
        <v>233</v>
      </c>
      <c r="D1" s="1205"/>
      <c r="E1" s="1205"/>
      <c r="F1" s="1205"/>
      <c r="G1" s="1205"/>
      <c r="H1" s="1203" t="str">
        <f>C1</f>
        <v>Various College Indicators during last 5 years</v>
      </c>
      <c r="I1" s="1203"/>
      <c r="J1" s="1203"/>
      <c r="K1" s="1203"/>
      <c r="L1" s="1206"/>
      <c r="M1" s="1207" t="str">
        <f>H1</f>
        <v>Various College Indicators during last 5 years</v>
      </c>
      <c r="N1" s="1207"/>
      <c r="O1" s="1207"/>
      <c r="P1" s="1207"/>
      <c r="Q1" s="1207"/>
    </row>
    <row r="2" spans="1:17" s="556" customFormat="1" ht="18" customHeight="1">
      <c r="A2" s="1208" t="s">
        <v>988</v>
      </c>
      <c r="B2" s="1210" t="s">
        <v>168</v>
      </c>
      <c r="C2" s="1211" t="s">
        <v>1079</v>
      </c>
      <c r="D2" s="1211"/>
      <c r="E2" s="1211"/>
      <c r="F2" s="1211"/>
      <c r="G2" s="1211"/>
      <c r="H2" s="1212" t="s">
        <v>1080</v>
      </c>
      <c r="I2" s="1211"/>
      <c r="J2" s="1211"/>
      <c r="K2" s="1211"/>
      <c r="L2" s="1211"/>
      <c r="M2" s="1211" t="s">
        <v>140</v>
      </c>
      <c r="N2" s="1211"/>
      <c r="O2" s="1211"/>
      <c r="P2" s="1211"/>
      <c r="Q2" s="1211"/>
    </row>
    <row r="3" spans="1:17" s="556" customFormat="1" ht="24" customHeight="1">
      <c r="A3" s="1209"/>
      <c r="B3" s="1210"/>
      <c r="C3" s="544" t="s">
        <v>227</v>
      </c>
      <c r="D3" s="544" t="s">
        <v>228</v>
      </c>
      <c r="E3" s="544" t="s">
        <v>229</v>
      </c>
      <c r="F3" s="544" t="s">
        <v>876</v>
      </c>
      <c r="G3" s="544" t="s">
        <v>919</v>
      </c>
      <c r="H3" s="544" t="s">
        <v>227</v>
      </c>
      <c r="I3" s="544" t="s">
        <v>228</v>
      </c>
      <c r="J3" s="544" t="s">
        <v>229</v>
      </c>
      <c r="K3" s="544" t="s">
        <v>876</v>
      </c>
      <c r="L3" s="544" t="s">
        <v>919</v>
      </c>
      <c r="M3" s="544" t="s">
        <v>227</v>
      </c>
      <c r="N3" s="544" t="s">
        <v>228</v>
      </c>
      <c r="O3" s="557" t="s">
        <v>229</v>
      </c>
      <c r="P3" s="544" t="s">
        <v>876</v>
      </c>
      <c r="Q3" s="544" t="s">
        <v>919</v>
      </c>
    </row>
    <row r="4" spans="1:17" s="561" customFormat="1" ht="15.75" customHeight="1">
      <c r="A4" s="558">
        <v>1</v>
      </c>
      <c r="B4" s="558">
        <v>2</v>
      </c>
      <c r="C4" s="559">
        <v>3</v>
      </c>
      <c r="D4" s="559">
        <v>4</v>
      </c>
      <c r="E4" s="559">
        <v>5</v>
      </c>
      <c r="F4" s="559">
        <v>6</v>
      </c>
      <c r="G4" s="559">
        <v>7</v>
      </c>
      <c r="H4" s="559">
        <v>3</v>
      </c>
      <c r="I4" s="559">
        <v>4</v>
      </c>
      <c r="J4" s="559">
        <v>5</v>
      </c>
      <c r="K4" s="559">
        <v>6</v>
      </c>
      <c r="L4" s="559">
        <v>7</v>
      </c>
      <c r="M4" s="559">
        <v>3</v>
      </c>
      <c r="N4" s="559">
        <v>4</v>
      </c>
      <c r="O4" s="559">
        <v>5</v>
      </c>
      <c r="P4" s="559">
        <v>6</v>
      </c>
      <c r="Q4" s="560">
        <v>7</v>
      </c>
    </row>
    <row r="5" spans="1:17" s="568" customFormat="1" ht="26.25" customHeight="1">
      <c r="A5" s="562"/>
      <c r="B5" s="563" t="s">
        <v>230</v>
      </c>
      <c r="C5" s="564">
        <v>698</v>
      </c>
      <c r="D5" s="564">
        <v>693</v>
      </c>
      <c r="E5" s="564">
        <v>680</v>
      </c>
      <c r="F5" s="564">
        <v>646</v>
      </c>
      <c r="G5" s="564">
        <v>709</v>
      </c>
      <c r="H5" s="565">
        <v>28</v>
      </c>
      <c r="I5" s="566">
        <v>28</v>
      </c>
      <c r="J5" s="566">
        <v>30</v>
      </c>
      <c r="K5" s="566">
        <v>31</v>
      </c>
      <c r="L5" s="566">
        <v>30</v>
      </c>
      <c r="M5" s="567">
        <v>39050</v>
      </c>
      <c r="N5" s="567">
        <v>39931</v>
      </c>
      <c r="O5" s="567">
        <v>42343</v>
      </c>
      <c r="P5" s="567">
        <v>43796</v>
      </c>
      <c r="Q5" s="567">
        <v>45473</v>
      </c>
    </row>
    <row r="6" spans="1:17" s="572" customFormat="1" ht="28.15" customHeight="1">
      <c r="A6" s="569">
        <v>1</v>
      </c>
      <c r="B6" s="563" t="s">
        <v>1061</v>
      </c>
      <c r="C6" s="570">
        <v>928</v>
      </c>
      <c r="D6" s="570">
        <v>914</v>
      </c>
      <c r="E6" s="570">
        <v>739</v>
      </c>
      <c r="F6" s="570">
        <v>845</v>
      </c>
      <c r="G6" s="570">
        <v>808</v>
      </c>
      <c r="H6" s="521">
        <v>14</v>
      </c>
      <c r="I6" s="340">
        <v>16</v>
      </c>
      <c r="J6" s="340">
        <v>16</v>
      </c>
      <c r="K6" s="571">
        <v>17</v>
      </c>
      <c r="L6" s="571">
        <v>18</v>
      </c>
      <c r="M6" s="341">
        <v>7</v>
      </c>
      <c r="N6" s="562">
        <v>8</v>
      </c>
      <c r="O6" s="562">
        <v>8</v>
      </c>
      <c r="P6" s="562">
        <v>9</v>
      </c>
      <c r="Q6" s="567">
        <v>9</v>
      </c>
    </row>
    <row r="7" spans="1:17" s="572" customFormat="1" ht="26.25" customHeight="1">
      <c r="A7" s="569">
        <v>2</v>
      </c>
      <c r="B7" s="563" t="s">
        <v>15</v>
      </c>
      <c r="C7" s="570">
        <v>493</v>
      </c>
      <c r="D7" s="570">
        <v>524</v>
      </c>
      <c r="E7" s="570">
        <v>547</v>
      </c>
      <c r="F7" s="570">
        <v>541</v>
      </c>
      <c r="G7" s="570">
        <v>554</v>
      </c>
      <c r="H7" s="521">
        <v>48</v>
      </c>
      <c r="I7" s="340">
        <v>49</v>
      </c>
      <c r="J7" s="340">
        <v>51</v>
      </c>
      <c r="K7" s="571">
        <v>49</v>
      </c>
      <c r="L7" s="571">
        <v>49</v>
      </c>
      <c r="M7" s="341">
        <v>2624</v>
      </c>
      <c r="N7" s="562">
        <v>2678</v>
      </c>
      <c r="O7" s="562">
        <v>2750</v>
      </c>
      <c r="P7" s="562">
        <v>2601</v>
      </c>
      <c r="Q7" s="562">
        <v>2602</v>
      </c>
    </row>
    <row r="8" spans="1:17" s="572" customFormat="1" ht="26.25" customHeight="1">
      <c r="A8" s="569">
        <v>3</v>
      </c>
      <c r="B8" s="563" t="s">
        <v>16</v>
      </c>
      <c r="C8" s="570">
        <v>810</v>
      </c>
      <c r="D8" s="570">
        <v>551</v>
      </c>
      <c r="E8" s="570">
        <v>553</v>
      </c>
      <c r="F8" s="570">
        <v>547</v>
      </c>
      <c r="G8" s="570">
        <v>666</v>
      </c>
      <c r="H8" s="521">
        <v>19</v>
      </c>
      <c r="I8" s="340">
        <v>23</v>
      </c>
      <c r="J8" s="340">
        <v>25</v>
      </c>
      <c r="K8" s="571">
        <v>27</v>
      </c>
      <c r="L8" s="571">
        <v>25</v>
      </c>
      <c r="M8" s="341">
        <v>30</v>
      </c>
      <c r="N8" s="562">
        <v>37</v>
      </c>
      <c r="O8" s="562">
        <v>39</v>
      </c>
      <c r="P8" s="562">
        <v>42</v>
      </c>
      <c r="Q8" s="562">
        <v>44</v>
      </c>
    </row>
    <row r="9" spans="1:17" s="572" customFormat="1" ht="26.25" customHeight="1">
      <c r="A9" s="569">
        <v>4</v>
      </c>
      <c r="B9" s="563" t="s">
        <v>17</v>
      </c>
      <c r="C9" s="570">
        <v>983</v>
      </c>
      <c r="D9" s="570">
        <v>971</v>
      </c>
      <c r="E9" s="570">
        <v>870</v>
      </c>
      <c r="F9" s="570">
        <v>795</v>
      </c>
      <c r="G9" s="570">
        <v>906</v>
      </c>
      <c r="H9" s="521">
        <v>14</v>
      </c>
      <c r="I9" s="340">
        <v>15</v>
      </c>
      <c r="J9" s="340">
        <v>15</v>
      </c>
      <c r="K9" s="571">
        <v>16</v>
      </c>
      <c r="L9" s="571">
        <v>15</v>
      </c>
      <c r="M9" s="341">
        <v>512</v>
      </c>
      <c r="N9" s="562">
        <v>544</v>
      </c>
      <c r="O9" s="562">
        <v>558</v>
      </c>
      <c r="P9" s="562">
        <v>595</v>
      </c>
      <c r="Q9" s="562">
        <v>607</v>
      </c>
    </row>
    <row r="10" spans="1:17" s="572" customFormat="1" ht="26.25" customHeight="1">
      <c r="A10" s="569">
        <v>5</v>
      </c>
      <c r="B10" s="563" t="s">
        <v>18</v>
      </c>
      <c r="C10" s="570">
        <v>1686</v>
      </c>
      <c r="D10" s="570">
        <v>1616</v>
      </c>
      <c r="E10" s="570">
        <v>1703</v>
      </c>
      <c r="F10" s="570">
        <v>1881</v>
      </c>
      <c r="G10" s="570">
        <v>2088</v>
      </c>
      <c r="H10" s="521">
        <v>7</v>
      </c>
      <c r="I10" s="340">
        <v>7</v>
      </c>
      <c r="J10" s="340">
        <v>7</v>
      </c>
      <c r="K10" s="571">
        <v>8</v>
      </c>
      <c r="L10" s="571">
        <v>7</v>
      </c>
      <c r="M10" s="341">
        <v>770</v>
      </c>
      <c r="N10" s="562">
        <v>840</v>
      </c>
      <c r="O10" s="562">
        <v>874</v>
      </c>
      <c r="P10" s="562">
        <v>1035</v>
      </c>
      <c r="Q10" s="562">
        <v>1092</v>
      </c>
    </row>
    <row r="11" spans="1:17" s="572" customFormat="1" ht="26.25" customHeight="1">
      <c r="A11" s="569">
        <v>6</v>
      </c>
      <c r="B11" s="563" t="s">
        <v>19</v>
      </c>
      <c r="C11" s="570">
        <v>2052</v>
      </c>
      <c r="D11" s="570">
        <v>2034</v>
      </c>
      <c r="E11" s="570">
        <v>2022</v>
      </c>
      <c r="F11" s="570">
        <v>1890</v>
      </c>
      <c r="G11" s="570">
        <v>1888</v>
      </c>
      <c r="H11" s="521">
        <v>13</v>
      </c>
      <c r="I11" s="340">
        <v>13</v>
      </c>
      <c r="J11" s="340">
        <v>12</v>
      </c>
      <c r="K11" s="571">
        <v>12</v>
      </c>
      <c r="L11" s="571">
        <v>15</v>
      </c>
      <c r="M11" s="341">
        <v>25</v>
      </c>
      <c r="N11" s="562">
        <v>25</v>
      </c>
      <c r="O11" s="562">
        <v>25</v>
      </c>
      <c r="P11" s="562">
        <v>26</v>
      </c>
      <c r="Q11" s="562">
        <v>26</v>
      </c>
    </row>
    <row r="12" spans="1:17" s="572" customFormat="1" ht="26.25" customHeight="1">
      <c r="A12" s="569">
        <v>7</v>
      </c>
      <c r="B12" s="563" t="s">
        <v>20</v>
      </c>
      <c r="C12" s="570">
        <v>550</v>
      </c>
      <c r="D12" s="570">
        <v>565</v>
      </c>
      <c r="E12" s="570">
        <v>557</v>
      </c>
      <c r="F12" s="570">
        <v>546</v>
      </c>
      <c r="G12" s="570">
        <v>606</v>
      </c>
      <c r="H12" s="521">
        <v>24</v>
      </c>
      <c r="I12" s="340">
        <v>24</v>
      </c>
      <c r="J12" s="340">
        <v>26</v>
      </c>
      <c r="K12" s="571">
        <v>27</v>
      </c>
      <c r="L12" s="571">
        <v>27</v>
      </c>
      <c r="M12" s="341">
        <v>741</v>
      </c>
      <c r="N12" s="562">
        <v>760</v>
      </c>
      <c r="O12" s="562">
        <v>810</v>
      </c>
      <c r="P12" s="562">
        <v>870</v>
      </c>
      <c r="Q12" s="562">
        <v>917</v>
      </c>
    </row>
    <row r="13" spans="1:17" s="572" customFormat="1" ht="26.25" customHeight="1">
      <c r="A13" s="569">
        <v>8</v>
      </c>
      <c r="B13" s="563" t="s">
        <v>23</v>
      </c>
      <c r="C13" s="570">
        <v>1531</v>
      </c>
      <c r="D13" s="570">
        <v>1562</v>
      </c>
      <c r="E13" s="570">
        <v>1620</v>
      </c>
      <c r="F13" s="570">
        <v>1567</v>
      </c>
      <c r="G13" s="570">
        <v>1752</v>
      </c>
      <c r="H13" s="521">
        <v>8</v>
      </c>
      <c r="I13" s="340">
        <v>8</v>
      </c>
      <c r="J13" s="340">
        <v>8</v>
      </c>
      <c r="K13" s="571">
        <v>8</v>
      </c>
      <c r="L13" s="571">
        <v>8</v>
      </c>
      <c r="M13" s="341">
        <v>178</v>
      </c>
      <c r="N13" s="562">
        <v>180</v>
      </c>
      <c r="O13" s="562">
        <v>179</v>
      </c>
      <c r="P13" s="562">
        <v>180</v>
      </c>
      <c r="Q13" s="562">
        <v>188</v>
      </c>
    </row>
    <row r="14" spans="1:17" s="572" customFormat="1" ht="26.25" customHeight="1">
      <c r="A14" s="569">
        <v>9</v>
      </c>
      <c r="B14" s="563" t="s">
        <v>24</v>
      </c>
      <c r="C14" s="570">
        <v>640</v>
      </c>
      <c r="D14" s="570">
        <v>700</v>
      </c>
      <c r="E14" s="570">
        <v>670</v>
      </c>
      <c r="F14" s="570">
        <v>684</v>
      </c>
      <c r="G14" s="570">
        <v>680</v>
      </c>
      <c r="H14" s="521">
        <v>32</v>
      </c>
      <c r="I14" s="340">
        <v>31</v>
      </c>
      <c r="J14" s="340">
        <v>31</v>
      </c>
      <c r="K14" s="571">
        <v>32</v>
      </c>
      <c r="L14" s="571">
        <v>34</v>
      </c>
      <c r="M14" s="341">
        <v>56</v>
      </c>
      <c r="N14" s="562">
        <v>57</v>
      </c>
      <c r="O14" s="562">
        <v>58</v>
      </c>
      <c r="P14" s="562">
        <v>61</v>
      </c>
      <c r="Q14" s="562">
        <v>62</v>
      </c>
    </row>
    <row r="15" spans="1:17" s="572" customFormat="1" ht="26.25" customHeight="1">
      <c r="A15" s="569">
        <v>10</v>
      </c>
      <c r="B15" s="563" t="s">
        <v>25</v>
      </c>
      <c r="C15" s="570">
        <v>519</v>
      </c>
      <c r="D15" s="570">
        <v>513</v>
      </c>
      <c r="E15" s="570">
        <v>528</v>
      </c>
      <c r="F15" s="570">
        <v>526</v>
      </c>
      <c r="G15" s="570">
        <v>537</v>
      </c>
      <c r="H15" s="521">
        <v>30</v>
      </c>
      <c r="I15" s="340">
        <v>31</v>
      </c>
      <c r="J15" s="340">
        <v>31</v>
      </c>
      <c r="K15" s="571">
        <v>31</v>
      </c>
      <c r="L15" s="571">
        <v>32</v>
      </c>
      <c r="M15" s="341">
        <v>2196</v>
      </c>
      <c r="N15" s="562">
        <v>2232</v>
      </c>
      <c r="O15" s="562">
        <v>2275</v>
      </c>
      <c r="P15" s="562">
        <v>2267</v>
      </c>
      <c r="Q15" s="562">
        <v>2395</v>
      </c>
    </row>
    <row r="16" spans="1:17" s="572" customFormat="1" ht="26.25" customHeight="1">
      <c r="A16" s="569">
        <v>11</v>
      </c>
      <c r="B16" s="563" t="s">
        <v>26</v>
      </c>
      <c r="C16" s="570">
        <v>611</v>
      </c>
      <c r="D16" s="570">
        <v>610</v>
      </c>
      <c r="E16" s="570">
        <v>590</v>
      </c>
      <c r="F16" s="570">
        <v>584</v>
      </c>
      <c r="G16" s="570">
        <v>614</v>
      </c>
      <c r="H16" s="521">
        <v>30</v>
      </c>
      <c r="I16" s="340">
        <v>33</v>
      </c>
      <c r="J16" s="340">
        <v>34</v>
      </c>
      <c r="K16" s="571">
        <v>34</v>
      </c>
      <c r="L16" s="571">
        <v>33</v>
      </c>
      <c r="M16" s="341">
        <v>964</v>
      </c>
      <c r="N16" s="562">
        <v>1038</v>
      </c>
      <c r="O16" s="562">
        <v>1087</v>
      </c>
      <c r="P16" s="562">
        <v>1083</v>
      </c>
      <c r="Q16" s="562">
        <v>1090</v>
      </c>
    </row>
    <row r="17" spans="1:17" s="572" customFormat="1" ht="26.25" customHeight="1">
      <c r="A17" s="569">
        <v>12</v>
      </c>
      <c r="B17" s="563" t="s">
        <v>27</v>
      </c>
      <c r="C17" s="570">
        <v>553</v>
      </c>
      <c r="D17" s="570">
        <v>558</v>
      </c>
      <c r="E17" s="570">
        <v>541</v>
      </c>
      <c r="F17" s="570">
        <v>510</v>
      </c>
      <c r="G17" s="570">
        <v>577</v>
      </c>
      <c r="H17" s="521">
        <v>45</v>
      </c>
      <c r="I17" s="340">
        <v>47</v>
      </c>
      <c r="J17" s="340">
        <v>49</v>
      </c>
      <c r="K17" s="571">
        <v>50</v>
      </c>
      <c r="L17" s="571">
        <v>47</v>
      </c>
      <c r="M17" s="341">
        <v>327</v>
      </c>
      <c r="N17" s="562">
        <v>336</v>
      </c>
      <c r="O17" s="562">
        <v>344</v>
      </c>
      <c r="P17" s="562">
        <v>348</v>
      </c>
      <c r="Q17" s="562">
        <v>349</v>
      </c>
    </row>
    <row r="18" spans="1:17" s="572" customFormat="1" ht="26.25" customHeight="1">
      <c r="A18" s="569">
        <v>13</v>
      </c>
      <c r="B18" s="563" t="s">
        <v>57</v>
      </c>
      <c r="C18" s="570">
        <v>720</v>
      </c>
      <c r="D18" s="570">
        <v>799</v>
      </c>
      <c r="E18" s="570">
        <v>721</v>
      </c>
      <c r="F18" s="570">
        <v>594</v>
      </c>
      <c r="G18" s="570">
        <v>633</v>
      </c>
      <c r="H18" s="521">
        <v>23</v>
      </c>
      <c r="I18" s="340">
        <v>23</v>
      </c>
      <c r="J18" s="340">
        <v>26</v>
      </c>
      <c r="K18" s="571">
        <v>29</v>
      </c>
      <c r="L18" s="571">
        <v>21</v>
      </c>
      <c r="M18" s="341">
        <v>297</v>
      </c>
      <c r="N18" s="562">
        <v>293</v>
      </c>
      <c r="O18" s="562">
        <v>316</v>
      </c>
      <c r="P18" s="562">
        <v>348</v>
      </c>
      <c r="Q18" s="562">
        <v>341</v>
      </c>
    </row>
    <row r="19" spans="1:17" s="572" customFormat="1" ht="26.25" customHeight="1">
      <c r="A19" s="569">
        <v>14</v>
      </c>
      <c r="B19" s="563" t="s">
        <v>29</v>
      </c>
      <c r="C19" s="570">
        <v>1786</v>
      </c>
      <c r="D19" s="570">
        <v>1875</v>
      </c>
      <c r="E19" s="570">
        <v>1938</v>
      </c>
      <c r="F19" s="570">
        <v>1761</v>
      </c>
      <c r="G19" s="570">
        <v>1848</v>
      </c>
      <c r="H19" s="521">
        <v>8</v>
      </c>
      <c r="I19" s="340">
        <v>8</v>
      </c>
      <c r="J19" s="340">
        <v>8</v>
      </c>
      <c r="K19" s="571">
        <v>9</v>
      </c>
      <c r="L19" s="571">
        <v>8</v>
      </c>
      <c r="M19" s="341">
        <v>309</v>
      </c>
      <c r="N19" s="562">
        <v>313</v>
      </c>
      <c r="O19" s="562">
        <v>323</v>
      </c>
      <c r="P19" s="562">
        <v>336</v>
      </c>
      <c r="Q19" s="562">
        <v>366</v>
      </c>
    </row>
    <row r="20" spans="1:17" s="572" customFormat="1" ht="26.25" customHeight="1">
      <c r="A20" s="569">
        <v>15</v>
      </c>
      <c r="B20" s="563" t="s">
        <v>30</v>
      </c>
      <c r="C20" s="570">
        <v>416</v>
      </c>
      <c r="D20" s="570">
        <v>426</v>
      </c>
      <c r="E20" s="570">
        <v>415</v>
      </c>
      <c r="F20" s="570">
        <v>392</v>
      </c>
      <c r="G20" s="570">
        <v>413</v>
      </c>
      <c r="H20" s="521">
        <v>51</v>
      </c>
      <c r="I20" s="340">
        <v>53</v>
      </c>
      <c r="J20" s="340">
        <v>59</v>
      </c>
      <c r="K20" s="571">
        <v>62</v>
      </c>
      <c r="L20" s="571">
        <v>66</v>
      </c>
      <c r="M20" s="341">
        <v>3593</v>
      </c>
      <c r="N20" s="562">
        <v>3670</v>
      </c>
      <c r="O20" s="562">
        <v>4047</v>
      </c>
      <c r="P20" s="562">
        <v>4233</v>
      </c>
      <c r="Q20" s="562">
        <v>4430</v>
      </c>
    </row>
    <row r="21" spans="1:17" s="572" customFormat="1" ht="26.25" customHeight="1">
      <c r="A21" s="569">
        <v>16</v>
      </c>
      <c r="B21" s="563" t="s">
        <v>31</v>
      </c>
      <c r="C21" s="570">
        <v>554</v>
      </c>
      <c r="D21" s="570">
        <v>568</v>
      </c>
      <c r="E21" s="570">
        <v>575</v>
      </c>
      <c r="F21" s="570">
        <v>531</v>
      </c>
      <c r="G21" s="570">
        <v>594</v>
      </c>
      <c r="H21" s="521">
        <v>44</v>
      </c>
      <c r="I21" s="340">
        <v>45</v>
      </c>
      <c r="J21" s="340">
        <v>48</v>
      </c>
      <c r="K21" s="571">
        <v>50</v>
      </c>
      <c r="L21" s="571">
        <v>46</v>
      </c>
      <c r="M21" s="341">
        <v>1306</v>
      </c>
      <c r="N21" s="562">
        <v>1348</v>
      </c>
      <c r="O21" s="562">
        <v>1417</v>
      </c>
      <c r="P21" s="562">
        <v>1448</v>
      </c>
      <c r="Q21" s="562">
        <v>1463</v>
      </c>
    </row>
    <row r="22" spans="1:17" s="572" customFormat="1" ht="26.25" customHeight="1">
      <c r="A22" s="569">
        <v>17</v>
      </c>
      <c r="B22" s="563" t="s">
        <v>154</v>
      </c>
      <c r="C22" s="573"/>
      <c r="D22" s="573"/>
      <c r="E22" s="570">
        <v>480</v>
      </c>
      <c r="F22" s="570">
        <v>777</v>
      </c>
      <c r="G22" s="570">
        <v>514</v>
      </c>
      <c r="H22" s="521" t="s">
        <v>925</v>
      </c>
      <c r="I22" s="340" t="s">
        <v>925</v>
      </c>
      <c r="J22" s="340">
        <v>14</v>
      </c>
      <c r="K22" s="571">
        <v>8</v>
      </c>
      <c r="L22" s="571">
        <v>16</v>
      </c>
      <c r="M22" s="341"/>
      <c r="N22" s="562"/>
      <c r="O22" s="562">
        <v>5</v>
      </c>
      <c r="P22" s="562">
        <v>3</v>
      </c>
      <c r="Q22" s="562">
        <v>6</v>
      </c>
    </row>
    <row r="23" spans="1:17" s="572" customFormat="1" ht="26.25" customHeight="1">
      <c r="A23" s="569">
        <v>18</v>
      </c>
      <c r="B23" s="563" t="s">
        <v>32</v>
      </c>
      <c r="C23" s="570">
        <v>0</v>
      </c>
      <c r="D23" s="570">
        <v>0</v>
      </c>
      <c r="E23" s="570">
        <v>0</v>
      </c>
      <c r="F23" s="570">
        <v>0</v>
      </c>
      <c r="G23" s="570">
        <v>0</v>
      </c>
      <c r="H23" s="521">
        <v>0</v>
      </c>
      <c r="I23" s="340">
        <v>0</v>
      </c>
      <c r="J23" s="340">
        <v>0</v>
      </c>
      <c r="K23" s="571">
        <v>0</v>
      </c>
      <c r="L23" s="571">
        <v>0</v>
      </c>
      <c r="M23" s="341">
        <v>0</v>
      </c>
      <c r="N23" s="562">
        <v>0</v>
      </c>
      <c r="O23" s="562">
        <v>0</v>
      </c>
      <c r="P23" s="562">
        <v>0</v>
      </c>
      <c r="Q23" s="562"/>
    </row>
    <row r="24" spans="1:17" s="572" customFormat="1" ht="26.25" customHeight="1">
      <c r="A24" s="569">
        <v>19</v>
      </c>
      <c r="B24" s="563" t="s">
        <v>33</v>
      </c>
      <c r="C24" s="570">
        <v>646</v>
      </c>
      <c r="D24" s="570">
        <v>734</v>
      </c>
      <c r="E24" s="570">
        <v>771</v>
      </c>
      <c r="F24" s="570">
        <v>666</v>
      </c>
      <c r="G24" s="570">
        <v>808</v>
      </c>
      <c r="H24" s="521">
        <v>24</v>
      </c>
      <c r="I24" s="340">
        <v>24</v>
      </c>
      <c r="J24" s="340">
        <v>27</v>
      </c>
      <c r="K24" s="571">
        <v>29</v>
      </c>
      <c r="L24" s="571">
        <v>28</v>
      </c>
      <c r="M24" s="341">
        <v>2124</v>
      </c>
      <c r="N24" s="562">
        <v>2191</v>
      </c>
      <c r="O24" s="562">
        <v>2411</v>
      </c>
      <c r="P24" s="562">
        <v>2610</v>
      </c>
      <c r="Q24" s="562">
        <v>2742</v>
      </c>
    </row>
    <row r="25" spans="1:17" s="572" customFormat="1" ht="26.25" customHeight="1">
      <c r="A25" s="569">
        <v>20</v>
      </c>
      <c r="B25" s="563" t="s">
        <v>34</v>
      </c>
      <c r="C25" s="570">
        <v>678</v>
      </c>
      <c r="D25" s="570">
        <v>681</v>
      </c>
      <c r="E25" s="570">
        <v>670</v>
      </c>
      <c r="F25" s="570">
        <v>672</v>
      </c>
      <c r="G25" s="570">
        <v>685</v>
      </c>
      <c r="H25" s="521">
        <v>33</v>
      </c>
      <c r="I25" s="340">
        <v>33</v>
      </c>
      <c r="J25" s="340">
        <v>34</v>
      </c>
      <c r="K25" s="571">
        <v>34</v>
      </c>
      <c r="L25" s="571">
        <v>36</v>
      </c>
      <c r="M25" s="341">
        <v>4314</v>
      </c>
      <c r="N25" s="562">
        <v>4340</v>
      </c>
      <c r="O25" s="562">
        <v>4494</v>
      </c>
      <c r="P25" s="562">
        <v>4532</v>
      </c>
      <c r="Q25" s="562">
        <v>4692</v>
      </c>
    </row>
    <row r="26" spans="1:17" s="572" customFormat="1" ht="26.25" customHeight="1">
      <c r="A26" s="569">
        <v>21</v>
      </c>
      <c r="B26" s="563" t="s">
        <v>35</v>
      </c>
      <c r="C26" s="570">
        <v>1156</v>
      </c>
      <c r="D26" s="570">
        <v>1039</v>
      </c>
      <c r="E26" s="570">
        <v>1056</v>
      </c>
      <c r="F26" s="570">
        <v>1090</v>
      </c>
      <c r="G26" s="570">
        <v>1013</v>
      </c>
      <c r="H26" s="521">
        <v>26</v>
      </c>
      <c r="I26" s="340">
        <v>28</v>
      </c>
      <c r="J26" s="340">
        <v>31</v>
      </c>
      <c r="K26" s="571">
        <v>33</v>
      </c>
      <c r="L26" s="571">
        <v>29</v>
      </c>
      <c r="M26" s="341">
        <v>87</v>
      </c>
      <c r="N26" s="562">
        <v>92</v>
      </c>
      <c r="O26" s="562">
        <v>102</v>
      </c>
      <c r="P26" s="562">
        <v>105</v>
      </c>
      <c r="Q26" s="562">
        <v>108</v>
      </c>
    </row>
    <row r="27" spans="1:17" s="572" customFormat="1" ht="26.25" customHeight="1">
      <c r="A27" s="569">
        <v>22</v>
      </c>
      <c r="B27" s="563" t="s">
        <v>36</v>
      </c>
      <c r="C27" s="570">
        <v>1087</v>
      </c>
      <c r="D27" s="570">
        <v>1039</v>
      </c>
      <c r="E27" s="570">
        <v>1105</v>
      </c>
      <c r="F27" s="570">
        <v>817</v>
      </c>
      <c r="G27" s="570">
        <v>909</v>
      </c>
      <c r="H27" s="521">
        <v>18</v>
      </c>
      <c r="I27" s="340">
        <v>19</v>
      </c>
      <c r="J27" s="340">
        <v>20</v>
      </c>
      <c r="K27" s="571">
        <v>23</v>
      </c>
      <c r="L27" s="571">
        <v>20</v>
      </c>
      <c r="M27" s="341">
        <v>60</v>
      </c>
      <c r="N27" s="562">
        <v>63</v>
      </c>
      <c r="O27" s="562">
        <v>67</v>
      </c>
      <c r="P27" s="562">
        <v>75</v>
      </c>
      <c r="Q27" s="562">
        <v>77</v>
      </c>
    </row>
    <row r="28" spans="1:17" s="572" customFormat="1" ht="26.25" customHeight="1">
      <c r="A28" s="569">
        <v>23</v>
      </c>
      <c r="B28" s="563" t="s">
        <v>37</v>
      </c>
      <c r="C28" s="570">
        <v>612</v>
      </c>
      <c r="D28" s="570">
        <v>603</v>
      </c>
      <c r="E28" s="570">
        <v>559</v>
      </c>
      <c r="F28" s="570">
        <v>650</v>
      </c>
      <c r="G28" s="570">
        <v>669</v>
      </c>
      <c r="H28" s="521">
        <v>23</v>
      </c>
      <c r="I28" s="340">
        <v>25</v>
      </c>
      <c r="J28" s="340">
        <v>28</v>
      </c>
      <c r="K28" s="571">
        <v>31</v>
      </c>
      <c r="L28" s="571">
        <v>28</v>
      </c>
      <c r="M28" s="341">
        <v>30</v>
      </c>
      <c r="N28" s="562">
        <v>32</v>
      </c>
      <c r="O28" s="562">
        <v>35</v>
      </c>
      <c r="P28" s="562">
        <v>39</v>
      </c>
      <c r="Q28" s="562">
        <v>40</v>
      </c>
    </row>
    <row r="29" spans="1:17" s="572" customFormat="1" ht="26.25" customHeight="1">
      <c r="A29" s="569">
        <v>24</v>
      </c>
      <c r="B29" s="563" t="s">
        <v>38</v>
      </c>
      <c r="C29" s="570">
        <v>484</v>
      </c>
      <c r="D29" s="570">
        <v>497</v>
      </c>
      <c r="E29" s="570">
        <v>507</v>
      </c>
      <c r="F29" s="570">
        <v>490</v>
      </c>
      <c r="G29" s="570">
        <v>533</v>
      </c>
      <c r="H29" s="521">
        <v>27</v>
      </c>
      <c r="I29" s="340">
        <v>28</v>
      </c>
      <c r="J29" s="340">
        <v>28</v>
      </c>
      <c r="K29" s="571">
        <v>28</v>
      </c>
      <c r="L29" s="571">
        <v>25</v>
      </c>
      <c r="M29" s="341">
        <v>66</v>
      </c>
      <c r="N29" s="562">
        <v>67</v>
      </c>
      <c r="O29" s="562">
        <v>67</v>
      </c>
      <c r="P29" s="562">
        <v>68</v>
      </c>
      <c r="Q29" s="562">
        <v>69</v>
      </c>
    </row>
    <row r="30" spans="1:17" s="572" customFormat="1" ht="26.25" customHeight="1">
      <c r="A30" s="569">
        <v>25</v>
      </c>
      <c r="B30" s="563" t="s">
        <v>39</v>
      </c>
      <c r="C30" s="570">
        <v>685</v>
      </c>
      <c r="D30" s="570">
        <v>682</v>
      </c>
      <c r="E30" s="570">
        <v>659</v>
      </c>
      <c r="F30" s="570">
        <v>573</v>
      </c>
      <c r="G30" s="570">
        <v>576</v>
      </c>
      <c r="H30" s="521">
        <v>23</v>
      </c>
      <c r="I30" s="340">
        <v>23</v>
      </c>
      <c r="J30" s="340">
        <v>24</v>
      </c>
      <c r="K30" s="571">
        <v>26</v>
      </c>
      <c r="L30" s="571">
        <v>27</v>
      </c>
      <c r="M30" s="341">
        <v>1042</v>
      </c>
      <c r="N30" s="562">
        <v>1062</v>
      </c>
      <c r="O30" s="562">
        <v>1087</v>
      </c>
      <c r="P30" s="562">
        <v>1206</v>
      </c>
      <c r="Q30" s="562">
        <v>1300</v>
      </c>
    </row>
    <row r="31" spans="1:17" s="572" customFormat="1" ht="26.25" customHeight="1">
      <c r="A31" s="569">
        <v>26</v>
      </c>
      <c r="B31" s="563" t="s">
        <v>40</v>
      </c>
      <c r="C31" s="570">
        <v>569</v>
      </c>
      <c r="D31" s="570">
        <v>600</v>
      </c>
      <c r="E31" s="570">
        <v>668</v>
      </c>
      <c r="F31" s="570">
        <v>611</v>
      </c>
      <c r="G31" s="570">
        <v>760</v>
      </c>
      <c r="H31" s="521">
        <v>47</v>
      </c>
      <c r="I31" s="340">
        <v>46</v>
      </c>
      <c r="J31" s="340">
        <v>46</v>
      </c>
      <c r="K31" s="571">
        <v>45</v>
      </c>
      <c r="L31" s="571">
        <v>53</v>
      </c>
      <c r="M31" s="341">
        <v>76</v>
      </c>
      <c r="N31" s="562">
        <v>76</v>
      </c>
      <c r="O31" s="562">
        <v>79</v>
      </c>
      <c r="P31" s="562">
        <v>81</v>
      </c>
      <c r="Q31" s="562">
        <v>82</v>
      </c>
    </row>
    <row r="32" spans="1:17" s="572" customFormat="1" ht="26.25" customHeight="1">
      <c r="A32" s="569">
        <v>27</v>
      </c>
      <c r="B32" s="563" t="s">
        <v>41</v>
      </c>
      <c r="C32" s="574">
        <v>576</v>
      </c>
      <c r="D32" s="570">
        <v>546</v>
      </c>
      <c r="E32" s="570">
        <v>521</v>
      </c>
      <c r="F32" s="570">
        <v>484</v>
      </c>
      <c r="G32" s="570">
        <v>494</v>
      </c>
      <c r="H32" s="521">
        <v>33</v>
      </c>
      <c r="I32" s="340">
        <v>34</v>
      </c>
      <c r="J32" s="340">
        <v>35</v>
      </c>
      <c r="K32" s="571">
        <v>34</v>
      </c>
      <c r="L32" s="571">
        <v>33</v>
      </c>
      <c r="M32" s="341">
        <v>1053</v>
      </c>
      <c r="N32" s="562">
        <v>1063</v>
      </c>
      <c r="O32" s="562">
        <v>1079</v>
      </c>
      <c r="P32" s="562">
        <v>1039</v>
      </c>
      <c r="Q32" s="562">
        <v>1044</v>
      </c>
    </row>
    <row r="33" spans="1:17" s="572" customFormat="1" ht="26.25" customHeight="1">
      <c r="A33" s="569">
        <v>28</v>
      </c>
      <c r="B33" s="563" t="s">
        <v>42</v>
      </c>
      <c r="C33" s="570">
        <v>526</v>
      </c>
      <c r="D33" s="570">
        <v>521</v>
      </c>
      <c r="E33" s="570">
        <v>517</v>
      </c>
      <c r="F33" s="570">
        <v>467</v>
      </c>
      <c r="G33" s="570">
        <v>513</v>
      </c>
      <c r="H33" s="521">
        <v>33</v>
      </c>
      <c r="I33" s="340">
        <v>35</v>
      </c>
      <c r="J33" s="340">
        <v>37</v>
      </c>
      <c r="K33" s="571">
        <v>40</v>
      </c>
      <c r="L33" s="571">
        <v>42</v>
      </c>
      <c r="M33" s="341">
        <v>2957</v>
      </c>
      <c r="N33" s="562">
        <v>3156</v>
      </c>
      <c r="O33" s="562">
        <v>3380</v>
      </c>
      <c r="P33" s="562">
        <v>3694</v>
      </c>
      <c r="Q33" s="562">
        <v>3934</v>
      </c>
    </row>
    <row r="34" spans="1:17" s="572" customFormat="1" ht="26.25" customHeight="1">
      <c r="A34" s="569">
        <v>29</v>
      </c>
      <c r="B34" s="563" t="s">
        <v>43</v>
      </c>
      <c r="C34" s="570">
        <v>737</v>
      </c>
      <c r="D34" s="570">
        <v>751</v>
      </c>
      <c r="E34" s="570">
        <v>634</v>
      </c>
      <c r="F34" s="570">
        <v>578</v>
      </c>
      <c r="G34" s="570">
        <v>712</v>
      </c>
      <c r="H34" s="521">
        <v>22</v>
      </c>
      <c r="I34" s="340">
        <v>25</v>
      </c>
      <c r="J34" s="340">
        <v>29</v>
      </c>
      <c r="K34" s="571">
        <v>30</v>
      </c>
      <c r="L34" s="571">
        <v>27</v>
      </c>
      <c r="M34" s="341">
        <v>17</v>
      </c>
      <c r="N34" s="562">
        <v>19</v>
      </c>
      <c r="O34" s="562">
        <v>22</v>
      </c>
      <c r="P34" s="562">
        <v>23</v>
      </c>
      <c r="Q34" s="562">
        <v>24</v>
      </c>
    </row>
    <row r="35" spans="1:17" s="572" customFormat="1" ht="26.25" customHeight="1">
      <c r="A35" s="569">
        <v>30</v>
      </c>
      <c r="B35" s="563" t="s">
        <v>44</v>
      </c>
      <c r="C35" s="570">
        <v>919</v>
      </c>
      <c r="D35" s="570">
        <v>924</v>
      </c>
      <c r="E35" s="570">
        <v>872</v>
      </c>
      <c r="F35" s="570">
        <v>838</v>
      </c>
      <c r="G35" s="570">
        <v>808</v>
      </c>
      <c r="H35" s="521">
        <v>35</v>
      </c>
      <c r="I35" s="340">
        <v>35</v>
      </c>
      <c r="J35" s="340">
        <v>38</v>
      </c>
      <c r="K35" s="571">
        <v>40</v>
      </c>
      <c r="L35" s="571">
        <v>40</v>
      </c>
      <c r="M35" s="341">
        <v>2472</v>
      </c>
      <c r="N35" s="562">
        <v>2466</v>
      </c>
      <c r="O35" s="562">
        <v>2610</v>
      </c>
      <c r="P35" s="562">
        <v>2667</v>
      </c>
      <c r="Q35" s="562">
        <v>2829</v>
      </c>
    </row>
    <row r="36" spans="1:17" s="572" customFormat="1" ht="26.25" customHeight="1">
      <c r="A36" s="569">
        <v>31</v>
      </c>
      <c r="B36" s="563" t="s">
        <v>131</v>
      </c>
      <c r="C36" s="570">
        <v>558</v>
      </c>
      <c r="D36" s="570">
        <v>554</v>
      </c>
      <c r="E36" s="570">
        <v>545</v>
      </c>
      <c r="F36" s="570">
        <v>556</v>
      </c>
      <c r="G36" s="570">
        <v>611</v>
      </c>
      <c r="H36" s="521">
        <v>51</v>
      </c>
      <c r="I36" s="340">
        <v>50</v>
      </c>
      <c r="J36" s="340">
        <v>53</v>
      </c>
      <c r="K36" s="571">
        <v>53</v>
      </c>
      <c r="L36" s="571">
        <v>52</v>
      </c>
      <c r="M36" s="341">
        <v>2045</v>
      </c>
      <c r="N36" s="562">
        <v>1988</v>
      </c>
      <c r="O36" s="562">
        <v>2071</v>
      </c>
      <c r="P36" s="562">
        <v>2062</v>
      </c>
      <c r="Q36" s="562">
        <v>2083</v>
      </c>
    </row>
    <row r="37" spans="1:17" s="572" customFormat="1" ht="29.25" customHeight="1">
      <c r="A37" s="569">
        <v>32</v>
      </c>
      <c r="B37" s="563" t="s">
        <v>1062</v>
      </c>
      <c r="C37" s="570">
        <v>1026</v>
      </c>
      <c r="D37" s="570">
        <v>1069</v>
      </c>
      <c r="E37" s="570">
        <v>1154</v>
      </c>
      <c r="F37" s="570">
        <v>589</v>
      </c>
      <c r="G37" s="570">
        <v>654</v>
      </c>
      <c r="H37" s="575">
        <v>28</v>
      </c>
      <c r="I37" s="571">
        <v>28</v>
      </c>
      <c r="J37" s="571">
        <v>27</v>
      </c>
      <c r="K37" s="571">
        <v>14</v>
      </c>
      <c r="L37" s="571">
        <v>17</v>
      </c>
      <c r="M37" s="571">
        <v>17</v>
      </c>
      <c r="N37" s="571">
        <v>18</v>
      </c>
      <c r="O37" s="571">
        <v>18</v>
      </c>
      <c r="P37" s="562">
        <v>19</v>
      </c>
      <c r="Q37" s="562">
        <v>19</v>
      </c>
    </row>
    <row r="38" spans="1:17" s="572" customFormat="1" ht="26.25" customHeight="1">
      <c r="A38" s="569">
        <v>33</v>
      </c>
      <c r="B38" s="563" t="s">
        <v>45</v>
      </c>
      <c r="C38" s="570">
        <v>1156</v>
      </c>
      <c r="D38" s="570">
        <v>1153</v>
      </c>
      <c r="E38" s="570">
        <v>1175</v>
      </c>
      <c r="F38" s="570">
        <v>1198</v>
      </c>
      <c r="G38" s="570">
        <v>1387</v>
      </c>
      <c r="H38" s="521">
        <v>12</v>
      </c>
      <c r="I38" s="340">
        <v>12</v>
      </c>
      <c r="J38" s="340">
        <v>12</v>
      </c>
      <c r="K38" s="571">
        <v>13</v>
      </c>
      <c r="L38" s="571">
        <v>11</v>
      </c>
      <c r="M38" s="341">
        <v>52</v>
      </c>
      <c r="N38" s="562">
        <v>52</v>
      </c>
      <c r="O38" s="562">
        <v>53</v>
      </c>
      <c r="P38" s="562">
        <v>54</v>
      </c>
      <c r="Q38" s="562">
        <v>54</v>
      </c>
    </row>
    <row r="39" spans="1:17" s="572" customFormat="1" ht="26.25" customHeight="1">
      <c r="A39" s="569">
        <v>34</v>
      </c>
      <c r="B39" s="563" t="s">
        <v>47</v>
      </c>
      <c r="C39" s="570">
        <v>816</v>
      </c>
      <c r="D39" s="570">
        <v>743</v>
      </c>
      <c r="E39" s="570">
        <v>692</v>
      </c>
      <c r="F39" s="570">
        <v>614</v>
      </c>
      <c r="G39" s="570">
        <v>761</v>
      </c>
      <c r="H39" s="521">
        <v>28</v>
      </c>
      <c r="I39" s="340">
        <v>28</v>
      </c>
      <c r="J39" s="340">
        <v>31</v>
      </c>
      <c r="K39" s="571">
        <v>32</v>
      </c>
      <c r="L39" s="571">
        <v>29</v>
      </c>
      <c r="M39" s="341">
        <v>6922</v>
      </c>
      <c r="N39" s="562">
        <v>7078</v>
      </c>
      <c r="O39" s="562">
        <v>7788</v>
      </c>
      <c r="P39" s="562">
        <v>8114</v>
      </c>
      <c r="Q39" s="562">
        <v>8375</v>
      </c>
    </row>
    <row r="40" spans="1:17" s="572" customFormat="1" ht="26.25" customHeight="1">
      <c r="A40" s="569">
        <v>35</v>
      </c>
      <c r="B40" s="563" t="s">
        <v>46</v>
      </c>
      <c r="C40" s="570">
        <v>621</v>
      </c>
      <c r="D40" s="570">
        <v>641</v>
      </c>
      <c r="E40" s="570">
        <v>634</v>
      </c>
      <c r="F40" s="570">
        <v>546</v>
      </c>
      <c r="G40" s="570">
        <v>646</v>
      </c>
      <c r="H40" s="521">
        <v>37</v>
      </c>
      <c r="I40" s="340">
        <v>37</v>
      </c>
      <c r="J40" s="340">
        <v>38</v>
      </c>
      <c r="K40" s="571">
        <v>40</v>
      </c>
      <c r="L40" s="571">
        <v>37</v>
      </c>
      <c r="M40" s="341">
        <v>440</v>
      </c>
      <c r="N40" s="562">
        <v>438</v>
      </c>
      <c r="O40" s="562">
        <v>454</v>
      </c>
      <c r="P40" s="562">
        <v>477</v>
      </c>
      <c r="Q40" s="562">
        <v>500</v>
      </c>
    </row>
    <row r="41" spans="1:17" s="572" customFormat="1" ht="26.25" customHeight="1">
      <c r="A41" s="569">
        <v>36</v>
      </c>
      <c r="B41" s="563" t="s">
        <v>48</v>
      </c>
      <c r="C41" s="570">
        <v>1170</v>
      </c>
      <c r="D41" s="570">
        <v>1170</v>
      </c>
      <c r="E41" s="570">
        <v>1179</v>
      </c>
      <c r="F41" s="570">
        <v>1161</v>
      </c>
      <c r="G41" s="570">
        <v>1189</v>
      </c>
      <c r="H41" s="521">
        <v>12</v>
      </c>
      <c r="I41" s="340">
        <v>13</v>
      </c>
      <c r="J41" s="340">
        <v>13</v>
      </c>
      <c r="K41" s="571">
        <v>13</v>
      </c>
      <c r="L41" s="571">
        <v>15</v>
      </c>
      <c r="M41" s="341">
        <v>1341</v>
      </c>
      <c r="N41" s="562">
        <v>1371</v>
      </c>
      <c r="O41" s="562">
        <v>1411</v>
      </c>
      <c r="P41" s="562">
        <v>1446</v>
      </c>
      <c r="Q41" s="562">
        <v>1514</v>
      </c>
    </row>
    <row r="42" spans="1:17">
      <c r="Q42" s="572"/>
    </row>
  </sheetData>
  <mergeCells count="8">
    <mergeCell ref="C1:G1"/>
    <mergeCell ref="H1:L1"/>
    <mergeCell ref="M1:Q1"/>
    <mergeCell ref="A2:A3"/>
    <mergeCell ref="B2:B3"/>
    <mergeCell ref="C2:G2"/>
    <mergeCell ref="H2:L2"/>
    <mergeCell ref="M2:Q2"/>
  </mergeCells>
  <printOptions horizontalCentered="1"/>
  <pageMargins left="0.31496062992125984" right="0.51181102362204722" top="0.28000000000000003" bottom="0.32" header="0.19685039370078741" footer="0.16"/>
  <pageSetup paperSize="9" scale="75" firstPageNumber="2" pageOrder="overThenDown" orientation="portrait" useFirstPageNumber="1" r:id="rId1"/>
  <headerFooter alignWithMargins="0">
    <oddFooter>&amp;L&amp;"Arial,Italic"&amp;9AISHE 2021-22&amp;CT-42</oddFooter>
  </headerFooter>
  <colBreaks count="2" manualBreakCount="2">
    <brk id="7" max="40" man="1"/>
    <brk id="12" max="40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7A70-FD26-499F-804B-4B7A66C042DE}">
  <sheetPr>
    <tabColor rgb="FF00B050"/>
  </sheetPr>
  <dimension ref="A1:AC224"/>
  <sheetViews>
    <sheetView showZeros="0" view="pageBreakPreview" zoomScaleSheetLayoutView="100" workbookViewId="0">
      <pane xSplit="2" ySplit="3" topLeftCell="C4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8.7109375" defaultRowHeight="15"/>
  <cols>
    <col min="1" max="1" width="6" style="542" bestFit="1" customWidth="1"/>
    <col min="2" max="2" width="30.28515625" style="543" customWidth="1"/>
    <col min="3" max="5" width="9.28515625" style="543" customWidth="1"/>
    <col min="6" max="8" width="8.7109375" style="543" customWidth="1"/>
    <col min="9" max="9" width="10" style="543" customWidth="1"/>
    <col min="10" max="10" width="9.28515625" style="543" customWidth="1"/>
    <col min="11" max="11" width="11.28515625" style="543" customWidth="1"/>
    <col min="12" max="14" width="10.7109375" style="543" customWidth="1"/>
    <col min="15" max="15" width="8.5703125" style="543" customWidth="1"/>
    <col min="16" max="16" width="10.140625" style="543" bestFit="1" customWidth="1"/>
    <col min="17" max="17" width="8.7109375" style="543" customWidth="1"/>
    <col min="18" max="19" width="9.28515625" style="543" customWidth="1"/>
    <col min="20" max="20" width="10" style="543" customWidth="1"/>
    <col min="21" max="25" width="9.28515625" style="543" customWidth="1"/>
    <col min="26" max="26" width="10.140625" style="543" bestFit="1" customWidth="1"/>
    <col min="27" max="27" width="10.5703125" style="543" customWidth="1"/>
    <col min="28" max="28" width="10.42578125" style="543" bestFit="1" customWidth="1"/>
    <col min="29" max="29" width="10.5703125" style="543" customWidth="1"/>
    <col min="30" max="16384" width="8.7109375" style="543"/>
  </cols>
  <sheetData>
    <row r="1" spans="1:29" s="579" customFormat="1" ht="28.5" customHeight="1">
      <c r="A1" s="542"/>
      <c r="B1" s="576" t="s">
        <v>234</v>
      </c>
      <c r="C1" s="555" t="s">
        <v>235</v>
      </c>
      <c r="D1" s="577"/>
      <c r="E1" s="577"/>
      <c r="F1" s="577"/>
      <c r="G1" s="577"/>
      <c r="H1" s="577"/>
      <c r="I1" s="577"/>
      <c r="J1" s="577"/>
      <c r="K1" s="577"/>
      <c r="L1" s="578" t="str">
        <f>C1</f>
        <v>Estimated Student Enrolment at various levels during last 5 years</v>
      </c>
      <c r="M1" s="577"/>
      <c r="N1" s="577"/>
      <c r="O1" s="577"/>
      <c r="P1" s="577"/>
      <c r="Q1" s="577"/>
      <c r="R1" s="577"/>
      <c r="S1" s="577"/>
      <c r="T1" s="577"/>
      <c r="U1" s="578" t="str">
        <f>L1</f>
        <v>Estimated Student Enrolment at various levels during last 5 years</v>
      </c>
      <c r="V1" s="577"/>
      <c r="W1" s="577"/>
      <c r="X1" s="577"/>
      <c r="Y1" s="577"/>
      <c r="Z1" s="577"/>
      <c r="AA1" s="577"/>
      <c r="AB1" s="577"/>
      <c r="AC1" s="577"/>
    </row>
    <row r="2" spans="1:29" s="580" customFormat="1" ht="18.75" customHeight="1">
      <c r="A2" s="1208" t="s">
        <v>988</v>
      </c>
      <c r="B2" s="1218" t="s">
        <v>168</v>
      </c>
      <c r="C2" s="1216" t="s">
        <v>89</v>
      </c>
      <c r="D2" s="1217"/>
      <c r="E2" s="1217"/>
      <c r="F2" s="1216" t="s">
        <v>90</v>
      </c>
      <c r="G2" s="1217"/>
      <c r="H2" s="1217"/>
      <c r="I2" s="1216" t="s">
        <v>85</v>
      </c>
      <c r="J2" s="1216"/>
      <c r="K2" s="1216"/>
      <c r="L2" s="1216" t="s">
        <v>86</v>
      </c>
      <c r="M2" s="1216"/>
      <c r="N2" s="1216"/>
      <c r="O2" s="1216" t="s">
        <v>91</v>
      </c>
      <c r="P2" s="1216"/>
      <c r="Q2" s="1216"/>
      <c r="R2" s="1216" t="s">
        <v>92</v>
      </c>
      <c r="S2" s="1216"/>
      <c r="T2" s="1216"/>
      <c r="U2" s="1216" t="s">
        <v>93</v>
      </c>
      <c r="V2" s="1216"/>
      <c r="W2" s="1216"/>
      <c r="X2" s="1216" t="s">
        <v>94</v>
      </c>
      <c r="Y2" s="1217"/>
      <c r="Z2" s="1217"/>
      <c r="AA2" s="1216" t="s">
        <v>60</v>
      </c>
      <c r="AB2" s="1217"/>
      <c r="AC2" s="1217"/>
    </row>
    <row r="3" spans="1:29" s="580" customFormat="1" ht="18.75" customHeight="1">
      <c r="A3" s="1209"/>
      <c r="B3" s="1218"/>
      <c r="C3" s="581" t="s">
        <v>87</v>
      </c>
      <c r="D3" s="581" t="s">
        <v>88</v>
      </c>
      <c r="E3" s="581" t="s">
        <v>236</v>
      </c>
      <c r="F3" s="581" t="s">
        <v>87</v>
      </c>
      <c r="G3" s="581" t="s">
        <v>88</v>
      </c>
      <c r="H3" s="581" t="s">
        <v>236</v>
      </c>
      <c r="I3" s="581" t="s">
        <v>87</v>
      </c>
      <c r="J3" s="581" t="s">
        <v>88</v>
      </c>
      <c r="K3" s="581" t="s">
        <v>236</v>
      </c>
      <c r="L3" s="582" t="s">
        <v>87</v>
      </c>
      <c r="M3" s="581" t="s">
        <v>88</v>
      </c>
      <c r="N3" s="581" t="s">
        <v>236</v>
      </c>
      <c r="O3" s="581" t="s">
        <v>87</v>
      </c>
      <c r="P3" s="581" t="s">
        <v>88</v>
      </c>
      <c r="Q3" s="581" t="s">
        <v>236</v>
      </c>
      <c r="R3" s="581" t="s">
        <v>87</v>
      </c>
      <c r="S3" s="581" t="s">
        <v>88</v>
      </c>
      <c r="T3" s="581" t="s">
        <v>236</v>
      </c>
      <c r="U3" s="581" t="s">
        <v>87</v>
      </c>
      <c r="V3" s="581" t="s">
        <v>88</v>
      </c>
      <c r="W3" s="581" t="s">
        <v>236</v>
      </c>
      <c r="X3" s="581" t="s">
        <v>87</v>
      </c>
      <c r="Y3" s="581" t="s">
        <v>88</v>
      </c>
      <c r="Z3" s="581" t="s">
        <v>236</v>
      </c>
      <c r="AA3" s="581" t="s">
        <v>87</v>
      </c>
      <c r="AB3" s="581" t="s">
        <v>88</v>
      </c>
      <c r="AC3" s="581" t="s">
        <v>236</v>
      </c>
    </row>
    <row r="4" spans="1:29" s="584" customFormat="1">
      <c r="A4" s="583">
        <v>1</v>
      </c>
      <c r="B4" s="559">
        <v>2</v>
      </c>
      <c r="C4" s="583">
        <v>3</v>
      </c>
      <c r="D4" s="559">
        <v>4</v>
      </c>
      <c r="E4" s="583">
        <v>5</v>
      </c>
      <c r="F4" s="559">
        <v>6</v>
      </c>
      <c r="G4" s="583">
        <v>7</v>
      </c>
      <c r="H4" s="559">
        <v>8</v>
      </c>
      <c r="I4" s="583">
        <v>9</v>
      </c>
      <c r="J4" s="559">
        <v>10</v>
      </c>
      <c r="K4" s="583">
        <v>11</v>
      </c>
      <c r="L4" s="559">
        <v>12</v>
      </c>
      <c r="M4" s="583">
        <v>13</v>
      </c>
      <c r="N4" s="559">
        <v>14</v>
      </c>
      <c r="O4" s="583">
        <v>15</v>
      </c>
      <c r="P4" s="559">
        <v>16</v>
      </c>
      <c r="Q4" s="583">
        <v>17</v>
      </c>
      <c r="R4" s="559">
        <v>18</v>
      </c>
      <c r="S4" s="583">
        <v>19</v>
      </c>
      <c r="T4" s="559">
        <v>20</v>
      </c>
      <c r="U4" s="583">
        <v>21</v>
      </c>
      <c r="V4" s="559">
        <v>22</v>
      </c>
      <c r="W4" s="583">
        <v>23</v>
      </c>
      <c r="X4" s="559">
        <v>24</v>
      </c>
      <c r="Y4" s="583">
        <v>25</v>
      </c>
      <c r="Z4" s="559">
        <v>26</v>
      </c>
      <c r="AA4" s="583">
        <v>27</v>
      </c>
      <c r="AB4" s="559">
        <v>28</v>
      </c>
      <c r="AC4" s="583">
        <v>29</v>
      </c>
    </row>
    <row r="5" spans="1:29">
      <c r="A5" s="1204"/>
      <c r="B5" s="585" t="s">
        <v>230</v>
      </c>
      <c r="C5" s="586"/>
      <c r="D5" s="586"/>
      <c r="E5" s="586"/>
      <c r="F5" s="586"/>
      <c r="G5" s="586"/>
      <c r="H5" s="586"/>
      <c r="I5" s="586"/>
      <c r="J5" s="586"/>
      <c r="K5" s="587"/>
      <c r="L5" s="586"/>
      <c r="M5" s="586"/>
      <c r="N5" s="586"/>
      <c r="O5" s="586"/>
      <c r="P5" s="586"/>
      <c r="Q5" s="586"/>
      <c r="R5" s="586"/>
      <c r="S5" s="586"/>
      <c r="T5" s="587"/>
      <c r="U5" s="586"/>
      <c r="V5" s="586"/>
      <c r="W5" s="586"/>
      <c r="X5" s="586"/>
      <c r="Y5" s="586"/>
      <c r="Z5" s="586"/>
      <c r="AA5" s="586"/>
      <c r="AB5" s="586"/>
      <c r="AC5" s="587"/>
    </row>
    <row r="6" spans="1:29">
      <c r="A6" s="1204"/>
      <c r="B6" s="588" t="s">
        <v>919</v>
      </c>
      <c r="C6" s="586">
        <v>113932</v>
      </c>
      <c r="D6" s="586">
        <v>98636</v>
      </c>
      <c r="E6" s="586">
        <v>212568</v>
      </c>
      <c r="F6" s="586">
        <v>3393</v>
      </c>
      <c r="G6" s="586">
        <v>6127</v>
      </c>
      <c r="H6" s="586">
        <v>9520</v>
      </c>
      <c r="I6" s="586">
        <v>2325040</v>
      </c>
      <c r="J6" s="586">
        <v>2892713</v>
      </c>
      <c r="K6" s="587">
        <v>5217753</v>
      </c>
      <c r="L6" s="586">
        <v>17854294</v>
      </c>
      <c r="M6" s="586">
        <v>16284939</v>
      </c>
      <c r="N6" s="586">
        <v>34139233</v>
      </c>
      <c r="O6" s="586">
        <v>130028</v>
      </c>
      <c r="P6" s="586">
        <v>104755</v>
      </c>
      <c r="Q6" s="586">
        <v>234783</v>
      </c>
      <c r="R6" s="586">
        <v>1860546</v>
      </c>
      <c r="S6" s="586">
        <v>1055899</v>
      </c>
      <c r="T6" s="587">
        <v>2916445</v>
      </c>
      <c r="U6" s="586">
        <v>40558</v>
      </c>
      <c r="V6" s="586">
        <v>36742</v>
      </c>
      <c r="W6" s="586">
        <v>77300</v>
      </c>
      <c r="X6" s="586">
        <v>248598</v>
      </c>
      <c r="Y6" s="586">
        <v>211981</v>
      </c>
      <c r="Z6" s="586">
        <v>460579</v>
      </c>
      <c r="AA6" s="586">
        <v>22576389</v>
      </c>
      <c r="AB6" s="586">
        <v>20691792</v>
      </c>
      <c r="AC6" s="587">
        <v>43268181</v>
      </c>
    </row>
    <row r="7" spans="1:29">
      <c r="A7" s="1204"/>
      <c r="B7" s="588" t="s">
        <v>876</v>
      </c>
      <c r="C7" s="589">
        <v>116764</v>
      </c>
      <c r="D7" s="589">
        <v>95088</v>
      </c>
      <c r="E7" s="589">
        <v>211852</v>
      </c>
      <c r="F7" s="589">
        <v>6345</v>
      </c>
      <c r="G7" s="589">
        <v>10399</v>
      </c>
      <c r="H7" s="589">
        <v>16744</v>
      </c>
      <c r="I7" s="589">
        <v>2053794</v>
      </c>
      <c r="J7" s="589">
        <v>2662855</v>
      </c>
      <c r="K7" s="589">
        <v>4716649</v>
      </c>
      <c r="L7" s="589">
        <v>16747674</v>
      </c>
      <c r="M7" s="589">
        <v>15909835</v>
      </c>
      <c r="N7" s="589">
        <v>32657509</v>
      </c>
      <c r="O7" s="589">
        <v>143723</v>
      </c>
      <c r="P7" s="589">
        <v>113464</v>
      </c>
      <c r="Q7" s="589">
        <v>257187</v>
      </c>
      <c r="R7" s="589">
        <v>1873568</v>
      </c>
      <c r="S7" s="589">
        <v>1105752</v>
      </c>
      <c r="T7" s="589">
        <v>2979320</v>
      </c>
      <c r="U7" s="589">
        <v>83841</v>
      </c>
      <c r="V7" s="589">
        <v>72070</v>
      </c>
      <c r="W7" s="589">
        <v>155911</v>
      </c>
      <c r="X7" s="589">
        <v>212201</v>
      </c>
      <c r="Y7" s="589">
        <v>173340</v>
      </c>
      <c r="Z7" s="589">
        <v>385541</v>
      </c>
      <c r="AA7" s="589">
        <v>21237910</v>
      </c>
      <c r="AB7" s="589">
        <v>20142803</v>
      </c>
      <c r="AC7" s="589">
        <v>41380713</v>
      </c>
    </row>
    <row r="8" spans="1:29">
      <c r="A8" s="1204"/>
      <c r="B8" s="588" t="s">
        <v>229</v>
      </c>
      <c r="C8" s="342">
        <v>111444</v>
      </c>
      <c r="D8" s="342">
        <v>91106</v>
      </c>
      <c r="E8" s="342">
        <v>202550</v>
      </c>
      <c r="F8" s="342">
        <v>9043</v>
      </c>
      <c r="G8" s="342">
        <v>14891</v>
      </c>
      <c r="H8" s="342">
        <v>23934</v>
      </c>
      <c r="I8" s="342">
        <v>1860163</v>
      </c>
      <c r="J8" s="342">
        <v>2452372</v>
      </c>
      <c r="K8" s="342">
        <v>4312535</v>
      </c>
      <c r="L8" s="343">
        <v>15563077</v>
      </c>
      <c r="M8" s="342">
        <v>15084210</v>
      </c>
      <c r="N8" s="342">
        <v>30647287</v>
      </c>
      <c r="O8" s="342">
        <v>116346</v>
      </c>
      <c r="P8" s="342">
        <v>100903</v>
      </c>
      <c r="Q8" s="342">
        <v>217249</v>
      </c>
      <c r="R8" s="342">
        <v>1740798</v>
      </c>
      <c r="S8" s="342">
        <v>931764</v>
      </c>
      <c r="T8" s="342">
        <v>2672562</v>
      </c>
      <c r="U8" s="341">
        <v>74164</v>
      </c>
      <c r="V8" s="342">
        <v>85705</v>
      </c>
      <c r="W8" s="342">
        <v>159869</v>
      </c>
      <c r="X8" s="342">
        <v>168712</v>
      </c>
      <c r="Y8" s="342">
        <v>131661</v>
      </c>
      <c r="Z8" s="342">
        <v>300373</v>
      </c>
      <c r="AA8" s="342">
        <v>19643747</v>
      </c>
      <c r="AB8" s="342">
        <v>18892612</v>
      </c>
      <c r="AC8" s="342">
        <v>38536359</v>
      </c>
    </row>
    <row r="9" spans="1:29">
      <c r="A9" s="1204"/>
      <c r="B9" s="590" t="s">
        <v>228</v>
      </c>
      <c r="C9" s="551">
        <v>95043</v>
      </c>
      <c r="D9" s="551">
        <v>74127</v>
      </c>
      <c r="E9" s="551">
        <v>169170</v>
      </c>
      <c r="F9" s="551">
        <v>11623</v>
      </c>
      <c r="G9" s="551">
        <v>19069</v>
      </c>
      <c r="H9" s="551">
        <v>30692</v>
      </c>
      <c r="I9" s="551">
        <v>1761330</v>
      </c>
      <c r="J9" s="551">
        <v>2281192</v>
      </c>
      <c r="K9" s="551">
        <v>4042522</v>
      </c>
      <c r="L9" s="591">
        <v>15203346</v>
      </c>
      <c r="M9" s="551">
        <v>14625729</v>
      </c>
      <c r="N9" s="551">
        <v>29829075</v>
      </c>
      <c r="O9" s="551">
        <v>121555</v>
      </c>
      <c r="P9" s="551">
        <v>103156</v>
      </c>
      <c r="Q9" s="551">
        <v>224711</v>
      </c>
      <c r="R9" s="551">
        <v>1803208</v>
      </c>
      <c r="S9" s="551">
        <v>896187</v>
      </c>
      <c r="T9" s="551">
        <v>2699395</v>
      </c>
      <c r="U9" s="551">
        <v>75127</v>
      </c>
      <c r="V9" s="551">
        <v>87570</v>
      </c>
      <c r="W9" s="551">
        <v>162697</v>
      </c>
      <c r="X9" s="551">
        <v>138656</v>
      </c>
      <c r="Y9" s="551">
        <v>102470</v>
      </c>
      <c r="Z9" s="551">
        <v>241126</v>
      </c>
      <c r="AA9" s="551">
        <v>19209888</v>
      </c>
      <c r="AB9" s="551">
        <v>18189500</v>
      </c>
      <c r="AC9" s="551">
        <v>37399388</v>
      </c>
    </row>
    <row r="10" spans="1:29">
      <c r="A10" s="1204"/>
      <c r="B10" s="590" t="s">
        <v>227</v>
      </c>
      <c r="C10" s="551">
        <v>92570</v>
      </c>
      <c r="D10" s="551">
        <v>68842</v>
      </c>
      <c r="E10" s="551">
        <v>161412</v>
      </c>
      <c r="F10" s="551">
        <v>12287</v>
      </c>
      <c r="G10" s="551">
        <v>21822</v>
      </c>
      <c r="H10" s="551">
        <v>34109</v>
      </c>
      <c r="I10" s="592">
        <v>1891071</v>
      </c>
      <c r="J10" s="592">
        <v>2223239</v>
      </c>
      <c r="K10" s="592">
        <v>4114310</v>
      </c>
      <c r="L10" s="593">
        <v>15052304.146459209</v>
      </c>
      <c r="M10" s="592">
        <v>13964045.595048957</v>
      </c>
      <c r="N10" s="592">
        <v>29016349.741508164</v>
      </c>
      <c r="O10" s="551">
        <v>126853</v>
      </c>
      <c r="P10" s="551">
        <v>108410</v>
      </c>
      <c r="Q10" s="551">
        <v>235263</v>
      </c>
      <c r="R10" s="551">
        <v>1838217</v>
      </c>
      <c r="S10" s="551">
        <v>869717</v>
      </c>
      <c r="T10" s="551">
        <v>2707934</v>
      </c>
      <c r="U10" s="551">
        <v>76962</v>
      </c>
      <c r="V10" s="551">
        <v>100261</v>
      </c>
      <c r="W10" s="551">
        <v>177223</v>
      </c>
      <c r="X10" s="551">
        <v>114411</v>
      </c>
      <c r="Y10" s="551">
        <v>81366</v>
      </c>
      <c r="Z10" s="551">
        <v>195777</v>
      </c>
      <c r="AA10" s="592">
        <v>19204674.913845398</v>
      </c>
      <c r="AB10" s="592">
        <v>17437702.669367902</v>
      </c>
      <c r="AC10" s="551">
        <v>36642377.5832133</v>
      </c>
    </row>
    <row r="11" spans="1:29">
      <c r="A11" s="1202">
        <v>1</v>
      </c>
      <c r="B11" s="585" t="s">
        <v>1061</v>
      </c>
      <c r="C11" s="586"/>
      <c r="D11" s="586"/>
      <c r="E11" s="586"/>
      <c r="F11" s="586"/>
      <c r="G11" s="586"/>
      <c r="H11" s="586"/>
      <c r="I11" s="586"/>
      <c r="J11" s="586"/>
      <c r="K11" s="587"/>
      <c r="L11" s="586"/>
      <c r="M11" s="586"/>
      <c r="N11" s="586"/>
      <c r="O11" s="586"/>
      <c r="P11" s="586"/>
      <c r="Q11" s="586"/>
      <c r="R11" s="586"/>
      <c r="S11" s="586"/>
      <c r="T11" s="587"/>
      <c r="U11" s="586"/>
      <c r="V11" s="586"/>
      <c r="W11" s="586"/>
      <c r="X11" s="586"/>
      <c r="Y11" s="586"/>
      <c r="Z11" s="586"/>
      <c r="AA11" s="586"/>
      <c r="AB11" s="586"/>
      <c r="AC11" s="587"/>
    </row>
    <row r="12" spans="1:29">
      <c r="A12" s="1202"/>
      <c r="B12" s="588" t="s">
        <v>919</v>
      </c>
      <c r="C12" s="586">
        <v>5</v>
      </c>
      <c r="D12" s="586">
        <v>9</v>
      </c>
      <c r="E12" s="586">
        <v>14</v>
      </c>
      <c r="F12" s="586"/>
      <c r="G12" s="586"/>
      <c r="H12" s="586"/>
      <c r="I12" s="586">
        <v>575</v>
      </c>
      <c r="J12" s="586">
        <v>942</v>
      </c>
      <c r="K12" s="587">
        <v>1517</v>
      </c>
      <c r="L12" s="586">
        <v>3807</v>
      </c>
      <c r="M12" s="586">
        <v>4444</v>
      </c>
      <c r="N12" s="586">
        <v>8251</v>
      </c>
      <c r="O12" s="586">
        <v>26</v>
      </c>
      <c r="P12" s="586">
        <v>37</v>
      </c>
      <c r="Q12" s="586">
        <v>63</v>
      </c>
      <c r="R12" s="586">
        <v>555</v>
      </c>
      <c r="S12" s="586">
        <v>407</v>
      </c>
      <c r="T12" s="587">
        <v>962</v>
      </c>
      <c r="U12" s="586">
        <v>39</v>
      </c>
      <c r="V12" s="586">
        <v>33</v>
      </c>
      <c r="W12" s="586">
        <v>72</v>
      </c>
      <c r="X12" s="586">
        <v>193</v>
      </c>
      <c r="Y12" s="586">
        <v>355</v>
      </c>
      <c r="Z12" s="586">
        <v>548</v>
      </c>
      <c r="AA12" s="586">
        <v>5200</v>
      </c>
      <c r="AB12" s="586">
        <v>6227</v>
      </c>
      <c r="AC12" s="587">
        <v>11427</v>
      </c>
    </row>
    <row r="13" spans="1:29">
      <c r="A13" s="1202"/>
      <c r="B13" s="588" t="s">
        <v>876</v>
      </c>
      <c r="C13" s="589">
        <v>7</v>
      </c>
      <c r="D13" s="589">
        <v>12</v>
      </c>
      <c r="E13" s="589">
        <v>19</v>
      </c>
      <c r="F13" s="589">
        <v>0</v>
      </c>
      <c r="G13" s="589">
        <v>0</v>
      </c>
      <c r="H13" s="589">
        <v>0</v>
      </c>
      <c r="I13" s="589">
        <v>582</v>
      </c>
      <c r="J13" s="589">
        <v>979</v>
      </c>
      <c r="K13" s="589">
        <v>1561</v>
      </c>
      <c r="L13" s="589">
        <v>4055</v>
      </c>
      <c r="M13" s="589">
        <v>4672</v>
      </c>
      <c r="N13" s="589">
        <v>8727</v>
      </c>
      <c r="O13" s="589">
        <v>85</v>
      </c>
      <c r="P13" s="589">
        <v>56</v>
      </c>
      <c r="Q13" s="589">
        <v>141</v>
      </c>
      <c r="R13" s="589">
        <v>621</v>
      </c>
      <c r="S13" s="589">
        <v>455</v>
      </c>
      <c r="T13" s="589">
        <v>1076</v>
      </c>
      <c r="U13" s="589">
        <v>39</v>
      </c>
      <c r="V13" s="589">
        <v>33</v>
      </c>
      <c r="W13" s="589">
        <v>72</v>
      </c>
      <c r="X13" s="589">
        <v>145</v>
      </c>
      <c r="Y13" s="589">
        <v>224</v>
      </c>
      <c r="Z13" s="589">
        <v>369</v>
      </c>
      <c r="AA13" s="589">
        <v>5534</v>
      </c>
      <c r="AB13" s="589">
        <v>6431</v>
      </c>
      <c r="AC13" s="589">
        <v>11965</v>
      </c>
    </row>
    <row r="14" spans="1:29">
      <c r="A14" s="1202"/>
      <c r="B14" s="588" t="s">
        <v>229</v>
      </c>
      <c r="C14" s="344">
        <v>5</v>
      </c>
      <c r="D14" s="344">
        <v>9</v>
      </c>
      <c r="E14" s="344">
        <v>14</v>
      </c>
      <c r="F14" s="344">
        <v>0</v>
      </c>
      <c r="G14" s="344">
        <v>0</v>
      </c>
      <c r="H14" s="344">
        <v>0</v>
      </c>
      <c r="I14" s="344">
        <v>571</v>
      </c>
      <c r="J14" s="344">
        <v>969</v>
      </c>
      <c r="K14" s="344">
        <v>1540</v>
      </c>
      <c r="L14" s="345">
        <v>3397</v>
      </c>
      <c r="M14" s="344">
        <v>4059</v>
      </c>
      <c r="N14" s="344">
        <v>7456</v>
      </c>
      <c r="O14" s="344">
        <v>58</v>
      </c>
      <c r="P14" s="344">
        <v>40</v>
      </c>
      <c r="Q14" s="344">
        <v>98</v>
      </c>
      <c r="R14" s="344">
        <v>310</v>
      </c>
      <c r="S14" s="344">
        <v>262</v>
      </c>
      <c r="T14" s="344">
        <v>572</v>
      </c>
      <c r="U14" s="346">
        <v>46</v>
      </c>
      <c r="V14" s="344">
        <v>36</v>
      </c>
      <c r="W14" s="344">
        <v>82</v>
      </c>
      <c r="X14" s="344">
        <v>145</v>
      </c>
      <c r="Y14" s="344">
        <v>224</v>
      </c>
      <c r="Z14" s="344">
        <v>369</v>
      </c>
      <c r="AA14" s="347">
        <v>4532</v>
      </c>
      <c r="AB14" s="347">
        <v>5599</v>
      </c>
      <c r="AC14" s="347">
        <v>10131</v>
      </c>
    </row>
    <row r="15" spans="1:29">
      <c r="A15" s="1202"/>
      <c r="B15" s="590" t="s">
        <v>228</v>
      </c>
      <c r="C15" s="551">
        <v>44</v>
      </c>
      <c r="D15" s="551">
        <v>23</v>
      </c>
      <c r="E15" s="551">
        <v>67</v>
      </c>
      <c r="F15" s="551">
        <v>0</v>
      </c>
      <c r="G15" s="551">
        <v>0</v>
      </c>
      <c r="H15" s="551">
        <v>0</v>
      </c>
      <c r="I15" s="551">
        <v>629</v>
      </c>
      <c r="J15" s="551">
        <v>966</v>
      </c>
      <c r="K15" s="551">
        <v>1595</v>
      </c>
      <c r="L15" s="591">
        <v>3804</v>
      </c>
      <c r="M15" s="551">
        <v>4885</v>
      </c>
      <c r="N15" s="551">
        <v>8689</v>
      </c>
      <c r="O15" s="551">
        <v>46</v>
      </c>
      <c r="P15" s="551">
        <v>42</v>
      </c>
      <c r="Q15" s="551">
        <v>88</v>
      </c>
      <c r="R15" s="551">
        <v>534</v>
      </c>
      <c r="S15" s="551">
        <v>350</v>
      </c>
      <c r="T15" s="551">
        <v>884</v>
      </c>
      <c r="U15" s="551">
        <v>0</v>
      </c>
      <c r="V15" s="551">
        <v>0</v>
      </c>
      <c r="W15" s="551">
        <v>0</v>
      </c>
      <c r="X15" s="551">
        <v>46</v>
      </c>
      <c r="Y15" s="551">
        <v>142</v>
      </c>
      <c r="Z15" s="551">
        <v>188</v>
      </c>
      <c r="AA15" s="551">
        <v>5103</v>
      </c>
      <c r="AB15" s="551">
        <v>6408</v>
      </c>
      <c r="AC15" s="551">
        <v>11511</v>
      </c>
    </row>
    <row r="16" spans="1:29">
      <c r="A16" s="1202"/>
      <c r="B16" s="590" t="s">
        <v>227</v>
      </c>
      <c r="C16" s="348">
        <v>42</v>
      </c>
      <c r="D16" s="348">
        <v>26</v>
      </c>
      <c r="E16" s="348">
        <v>68</v>
      </c>
      <c r="F16" s="348">
        <v>0</v>
      </c>
      <c r="G16" s="348">
        <v>0</v>
      </c>
      <c r="H16" s="348">
        <v>0</v>
      </c>
      <c r="I16" s="348">
        <v>730</v>
      </c>
      <c r="J16" s="348">
        <v>771</v>
      </c>
      <c r="K16" s="348">
        <v>1501</v>
      </c>
      <c r="L16" s="349">
        <v>3967</v>
      </c>
      <c r="M16" s="348">
        <v>4170</v>
      </c>
      <c r="N16" s="348">
        <v>8137</v>
      </c>
      <c r="O16" s="348">
        <v>47</v>
      </c>
      <c r="P16" s="348">
        <v>28</v>
      </c>
      <c r="Q16" s="348">
        <v>75</v>
      </c>
      <c r="R16" s="348">
        <v>429</v>
      </c>
      <c r="S16" s="348">
        <v>273</v>
      </c>
      <c r="T16" s="348">
        <v>702</v>
      </c>
      <c r="U16" s="348">
        <v>0</v>
      </c>
      <c r="V16" s="348">
        <v>0</v>
      </c>
      <c r="W16" s="348">
        <v>0</v>
      </c>
      <c r="X16" s="348">
        <v>26</v>
      </c>
      <c r="Y16" s="348">
        <v>91</v>
      </c>
      <c r="Z16" s="348">
        <v>117</v>
      </c>
      <c r="AA16" s="350">
        <v>5241</v>
      </c>
      <c r="AB16" s="350">
        <v>5359</v>
      </c>
      <c r="AC16" s="350">
        <v>10600</v>
      </c>
    </row>
    <row r="17" spans="1:29">
      <c r="A17" s="1202">
        <v>2</v>
      </c>
      <c r="B17" s="585" t="s">
        <v>15</v>
      </c>
      <c r="C17" s="586"/>
      <c r="D17" s="586"/>
      <c r="E17" s="586"/>
      <c r="F17" s="586"/>
      <c r="G17" s="586"/>
      <c r="H17" s="586"/>
      <c r="I17" s="586"/>
      <c r="J17" s="586"/>
      <c r="K17" s="587"/>
      <c r="L17" s="586"/>
      <c r="M17" s="586"/>
      <c r="N17" s="586"/>
      <c r="O17" s="586"/>
      <c r="P17" s="586"/>
      <c r="Q17" s="586"/>
      <c r="R17" s="586"/>
      <c r="S17" s="586"/>
      <c r="T17" s="587"/>
      <c r="U17" s="586"/>
      <c r="V17" s="586"/>
      <c r="W17" s="586"/>
      <c r="X17" s="586"/>
      <c r="Y17" s="586"/>
      <c r="Z17" s="586"/>
      <c r="AA17" s="586"/>
      <c r="AB17" s="586"/>
      <c r="AC17" s="587"/>
    </row>
    <row r="18" spans="1:29">
      <c r="A18" s="1202"/>
      <c r="B18" s="588" t="s">
        <v>919</v>
      </c>
      <c r="C18" s="586">
        <v>3237</v>
      </c>
      <c r="D18" s="586">
        <v>2346</v>
      </c>
      <c r="E18" s="586">
        <v>5583</v>
      </c>
      <c r="F18" s="586">
        <v>7</v>
      </c>
      <c r="G18" s="586">
        <v>16</v>
      </c>
      <c r="H18" s="586">
        <v>23</v>
      </c>
      <c r="I18" s="586">
        <v>93141</v>
      </c>
      <c r="J18" s="586">
        <v>91801</v>
      </c>
      <c r="K18" s="587">
        <v>184942</v>
      </c>
      <c r="L18" s="586">
        <v>828981</v>
      </c>
      <c r="M18" s="586">
        <v>740069</v>
      </c>
      <c r="N18" s="586">
        <v>1569050</v>
      </c>
      <c r="O18" s="586">
        <v>997</v>
      </c>
      <c r="P18" s="586">
        <v>574</v>
      </c>
      <c r="Q18" s="586">
        <v>1571</v>
      </c>
      <c r="R18" s="586">
        <v>95265</v>
      </c>
      <c r="S18" s="586">
        <v>61698</v>
      </c>
      <c r="T18" s="587">
        <v>156963</v>
      </c>
      <c r="U18" s="586">
        <v>357</v>
      </c>
      <c r="V18" s="586">
        <v>154</v>
      </c>
      <c r="W18" s="586">
        <v>511</v>
      </c>
      <c r="X18" s="586">
        <v>6754</v>
      </c>
      <c r="Y18" s="586">
        <v>3762</v>
      </c>
      <c r="Z18" s="586">
        <v>10516</v>
      </c>
      <c r="AA18" s="586">
        <v>1028739</v>
      </c>
      <c r="AB18" s="586">
        <v>900420</v>
      </c>
      <c r="AC18" s="587">
        <v>1929159</v>
      </c>
    </row>
    <row r="19" spans="1:29">
      <c r="A19" s="1202"/>
      <c r="B19" s="588" t="s">
        <v>876</v>
      </c>
      <c r="C19" s="589">
        <v>4283</v>
      </c>
      <c r="D19" s="589">
        <v>2708</v>
      </c>
      <c r="E19" s="589">
        <v>6991</v>
      </c>
      <c r="F19" s="589">
        <v>70</v>
      </c>
      <c r="G19" s="589">
        <v>48</v>
      </c>
      <c r="H19" s="589">
        <v>118</v>
      </c>
      <c r="I19" s="589">
        <v>98570</v>
      </c>
      <c r="J19" s="589">
        <v>97244</v>
      </c>
      <c r="K19" s="589">
        <v>195814</v>
      </c>
      <c r="L19" s="589">
        <v>846588</v>
      </c>
      <c r="M19" s="589">
        <v>759307</v>
      </c>
      <c r="N19" s="589">
        <v>1605895</v>
      </c>
      <c r="O19" s="589">
        <v>758</v>
      </c>
      <c r="P19" s="589">
        <v>431</v>
      </c>
      <c r="Q19" s="589">
        <v>1189</v>
      </c>
      <c r="R19" s="589">
        <v>96913</v>
      </c>
      <c r="S19" s="589">
        <v>66591</v>
      </c>
      <c r="T19" s="589">
        <v>163504</v>
      </c>
      <c r="U19" s="589">
        <v>454</v>
      </c>
      <c r="V19" s="589">
        <v>696</v>
      </c>
      <c r="W19" s="589">
        <v>1150</v>
      </c>
      <c r="X19" s="589">
        <v>8429</v>
      </c>
      <c r="Y19" s="589">
        <v>4528</v>
      </c>
      <c r="Z19" s="589">
        <v>12957</v>
      </c>
      <c r="AA19" s="589">
        <v>1056065</v>
      </c>
      <c r="AB19" s="589">
        <v>931553</v>
      </c>
      <c r="AC19" s="589">
        <v>1987618</v>
      </c>
    </row>
    <row r="20" spans="1:29">
      <c r="A20" s="1202"/>
      <c r="B20" s="590" t="s">
        <v>229</v>
      </c>
      <c r="C20" s="346">
        <v>3837</v>
      </c>
      <c r="D20" s="346">
        <v>2879</v>
      </c>
      <c r="E20" s="346">
        <v>6716</v>
      </c>
      <c r="F20" s="346">
        <v>175</v>
      </c>
      <c r="G20" s="346">
        <v>102</v>
      </c>
      <c r="H20" s="346">
        <v>277</v>
      </c>
      <c r="I20" s="346">
        <v>112024</v>
      </c>
      <c r="J20" s="346">
        <v>105816</v>
      </c>
      <c r="K20" s="346">
        <v>217840</v>
      </c>
      <c r="L20" s="351">
        <v>798084</v>
      </c>
      <c r="M20" s="346">
        <v>694983</v>
      </c>
      <c r="N20" s="346">
        <v>1493067</v>
      </c>
      <c r="O20" s="346">
        <v>1402</v>
      </c>
      <c r="P20" s="346">
        <v>879</v>
      </c>
      <c r="Q20" s="346">
        <v>2281</v>
      </c>
      <c r="R20" s="346">
        <v>93033</v>
      </c>
      <c r="S20" s="346">
        <v>60085</v>
      </c>
      <c r="T20" s="346">
        <v>153118</v>
      </c>
      <c r="U20" s="351">
        <v>3921</v>
      </c>
      <c r="V20" s="346">
        <v>6917</v>
      </c>
      <c r="W20" s="346">
        <v>10838</v>
      </c>
      <c r="X20" s="346">
        <v>8650</v>
      </c>
      <c r="Y20" s="346">
        <v>4362</v>
      </c>
      <c r="Z20" s="346">
        <v>13012</v>
      </c>
      <c r="AA20" s="352">
        <v>1021126</v>
      </c>
      <c r="AB20" s="352">
        <v>876023</v>
      </c>
      <c r="AC20" s="352">
        <v>1897149</v>
      </c>
    </row>
    <row r="21" spans="1:29">
      <c r="A21" s="1202"/>
      <c r="B21" s="590" t="s">
        <v>228</v>
      </c>
      <c r="C21" s="551">
        <v>3054</v>
      </c>
      <c r="D21" s="551">
        <v>1927</v>
      </c>
      <c r="E21" s="551">
        <v>4981</v>
      </c>
      <c r="F21" s="551">
        <v>249</v>
      </c>
      <c r="G21" s="551">
        <v>182</v>
      </c>
      <c r="H21" s="551">
        <v>431</v>
      </c>
      <c r="I21" s="551">
        <v>112753</v>
      </c>
      <c r="J21" s="551">
        <v>98539</v>
      </c>
      <c r="K21" s="551">
        <v>211292</v>
      </c>
      <c r="L21" s="591">
        <v>741636</v>
      </c>
      <c r="M21" s="551">
        <v>625754</v>
      </c>
      <c r="N21" s="551">
        <v>1367390</v>
      </c>
      <c r="O21" s="551">
        <v>1665</v>
      </c>
      <c r="P21" s="551">
        <v>1030</v>
      </c>
      <c r="Q21" s="551">
        <v>2695</v>
      </c>
      <c r="R21" s="551">
        <v>97733</v>
      </c>
      <c r="S21" s="551">
        <v>64378</v>
      </c>
      <c r="T21" s="551">
        <v>162111</v>
      </c>
      <c r="U21" s="591">
        <v>327</v>
      </c>
      <c r="V21" s="551">
        <v>636</v>
      </c>
      <c r="W21" s="551">
        <v>963</v>
      </c>
      <c r="X21" s="551">
        <v>7389</v>
      </c>
      <c r="Y21" s="551">
        <v>3578</v>
      </c>
      <c r="Z21" s="551">
        <v>10967</v>
      </c>
      <c r="AA21" s="551">
        <v>964806</v>
      </c>
      <c r="AB21" s="551">
        <v>796024</v>
      </c>
      <c r="AC21" s="551">
        <v>1760830</v>
      </c>
    </row>
    <row r="22" spans="1:29">
      <c r="A22" s="1202"/>
      <c r="B22" s="590" t="s">
        <v>227</v>
      </c>
      <c r="C22" s="348">
        <v>4007</v>
      </c>
      <c r="D22" s="348">
        <v>2282</v>
      </c>
      <c r="E22" s="348">
        <v>6289</v>
      </c>
      <c r="F22" s="348">
        <v>555</v>
      </c>
      <c r="G22" s="348">
        <v>342</v>
      </c>
      <c r="H22" s="348">
        <v>897</v>
      </c>
      <c r="I22" s="348">
        <v>120479.38457744679</v>
      </c>
      <c r="J22" s="348">
        <v>98816.577628071362</v>
      </c>
      <c r="K22" s="348">
        <v>219295.96220551815</v>
      </c>
      <c r="L22" s="349">
        <v>711831.13217008556</v>
      </c>
      <c r="M22" s="348">
        <v>578321.87024372909</v>
      </c>
      <c r="N22" s="348">
        <v>1290153.0024138147</v>
      </c>
      <c r="O22" s="348">
        <v>1596</v>
      </c>
      <c r="P22" s="348">
        <v>1018</v>
      </c>
      <c r="Q22" s="348">
        <v>2614</v>
      </c>
      <c r="R22" s="348">
        <v>100939</v>
      </c>
      <c r="S22" s="348">
        <v>66275</v>
      </c>
      <c r="T22" s="348">
        <v>167214</v>
      </c>
      <c r="U22" s="349">
        <v>258</v>
      </c>
      <c r="V22" s="348">
        <v>529</v>
      </c>
      <c r="W22" s="348">
        <v>787</v>
      </c>
      <c r="X22" s="348">
        <v>7132</v>
      </c>
      <c r="Y22" s="348">
        <v>2900</v>
      </c>
      <c r="Z22" s="348">
        <v>10032</v>
      </c>
      <c r="AA22" s="350">
        <f t="shared" ref="AA22:AC22" si="0">C22+F22+I22+L22+O22+R22+U22+X22</f>
        <v>946797.51674753241</v>
      </c>
      <c r="AB22" s="350">
        <f t="shared" si="0"/>
        <v>750484.44787180051</v>
      </c>
      <c r="AC22" s="350">
        <f t="shared" si="0"/>
        <v>1697281.9646193329</v>
      </c>
    </row>
    <row r="23" spans="1:29">
      <c r="A23" s="1202">
        <v>3</v>
      </c>
      <c r="B23" s="585" t="s">
        <v>16</v>
      </c>
      <c r="C23" s="586"/>
      <c r="D23" s="586"/>
      <c r="E23" s="586"/>
      <c r="F23" s="586"/>
      <c r="G23" s="586"/>
      <c r="H23" s="586"/>
      <c r="I23" s="586"/>
      <c r="J23" s="586"/>
      <c r="K23" s="587"/>
      <c r="L23" s="586"/>
      <c r="M23" s="586"/>
      <c r="N23" s="586"/>
      <c r="O23" s="586"/>
      <c r="P23" s="586"/>
      <c r="Q23" s="586"/>
      <c r="R23" s="586"/>
      <c r="S23" s="586"/>
      <c r="T23" s="587"/>
      <c r="U23" s="586"/>
      <c r="V23" s="586"/>
      <c r="W23" s="586"/>
      <c r="X23" s="586"/>
      <c r="Y23" s="586"/>
      <c r="Z23" s="586"/>
      <c r="AA23" s="586"/>
      <c r="AB23" s="586"/>
      <c r="AC23" s="587"/>
    </row>
    <row r="24" spans="1:29">
      <c r="A24" s="1202"/>
      <c r="B24" s="588" t="s">
        <v>919</v>
      </c>
      <c r="C24" s="586">
        <v>441</v>
      </c>
      <c r="D24" s="586">
        <v>240</v>
      </c>
      <c r="E24" s="586">
        <v>681</v>
      </c>
      <c r="F24" s="586"/>
      <c r="G24" s="586"/>
      <c r="H24" s="586"/>
      <c r="I24" s="586">
        <v>6481</v>
      </c>
      <c r="J24" s="586">
        <v>6215</v>
      </c>
      <c r="K24" s="587">
        <v>12696</v>
      </c>
      <c r="L24" s="586">
        <v>25094</v>
      </c>
      <c r="M24" s="586">
        <v>21201</v>
      </c>
      <c r="N24" s="586">
        <v>46295</v>
      </c>
      <c r="O24" s="586">
        <v>152</v>
      </c>
      <c r="P24" s="586">
        <v>101</v>
      </c>
      <c r="Q24" s="586">
        <v>253</v>
      </c>
      <c r="R24" s="586">
        <v>1335</v>
      </c>
      <c r="S24" s="586">
        <v>1260</v>
      </c>
      <c r="T24" s="587">
        <v>2595</v>
      </c>
      <c r="U24" s="586">
        <v>329</v>
      </c>
      <c r="V24" s="586">
        <v>163</v>
      </c>
      <c r="W24" s="586">
        <v>492</v>
      </c>
      <c r="X24" s="586">
        <v>1163</v>
      </c>
      <c r="Y24" s="586">
        <v>715</v>
      </c>
      <c r="Z24" s="586">
        <v>1878</v>
      </c>
      <c r="AA24" s="586">
        <v>34995</v>
      </c>
      <c r="AB24" s="586">
        <v>29895</v>
      </c>
      <c r="AC24" s="587">
        <v>64890</v>
      </c>
    </row>
    <row r="25" spans="1:29">
      <c r="A25" s="1202"/>
      <c r="B25" s="588" t="s">
        <v>876</v>
      </c>
      <c r="C25" s="589">
        <v>470</v>
      </c>
      <c r="D25" s="589">
        <v>258</v>
      </c>
      <c r="E25" s="589">
        <v>728</v>
      </c>
      <c r="F25" s="589">
        <v>56</v>
      </c>
      <c r="G25" s="589">
        <v>74</v>
      </c>
      <c r="H25" s="589">
        <v>130</v>
      </c>
      <c r="I25" s="589">
        <v>5623</v>
      </c>
      <c r="J25" s="589">
        <v>5814</v>
      </c>
      <c r="K25" s="589">
        <v>11437</v>
      </c>
      <c r="L25" s="589">
        <v>22310</v>
      </c>
      <c r="M25" s="589">
        <v>20017</v>
      </c>
      <c r="N25" s="589">
        <v>42327</v>
      </c>
      <c r="O25" s="589">
        <v>97</v>
      </c>
      <c r="P25" s="589">
        <v>80</v>
      </c>
      <c r="Q25" s="589">
        <v>177</v>
      </c>
      <c r="R25" s="589">
        <v>1403</v>
      </c>
      <c r="S25" s="589">
        <v>1139</v>
      </c>
      <c r="T25" s="589">
        <v>2542</v>
      </c>
      <c r="U25" s="589">
        <v>310</v>
      </c>
      <c r="V25" s="589">
        <v>162</v>
      </c>
      <c r="W25" s="589">
        <v>472</v>
      </c>
      <c r="X25" s="589">
        <v>1196</v>
      </c>
      <c r="Y25" s="589">
        <v>726</v>
      </c>
      <c r="Z25" s="589">
        <v>1922</v>
      </c>
      <c r="AA25" s="589">
        <v>31465</v>
      </c>
      <c r="AB25" s="589">
        <v>28270</v>
      </c>
      <c r="AC25" s="589">
        <v>59735</v>
      </c>
    </row>
    <row r="26" spans="1:29">
      <c r="A26" s="1202"/>
      <c r="B26" s="588" t="s">
        <v>229</v>
      </c>
      <c r="C26" s="344">
        <v>597</v>
      </c>
      <c r="D26" s="344">
        <v>469</v>
      </c>
      <c r="E26" s="344">
        <v>1066</v>
      </c>
      <c r="F26" s="344">
        <v>77</v>
      </c>
      <c r="G26" s="344">
        <v>113</v>
      </c>
      <c r="H26" s="344">
        <v>190</v>
      </c>
      <c r="I26" s="344">
        <v>4960</v>
      </c>
      <c r="J26" s="344">
        <v>5880</v>
      </c>
      <c r="K26" s="344">
        <v>10840</v>
      </c>
      <c r="L26" s="345">
        <v>20418</v>
      </c>
      <c r="M26" s="344">
        <v>19017</v>
      </c>
      <c r="N26" s="344">
        <v>39435</v>
      </c>
      <c r="O26" s="344">
        <v>127</v>
      </c>
      <c r="P26" s="344">
        <v>144</v>
      </c>
      <c r="Q26" s="344">
        <v>271</v>
      </c>
      <c r="R26" s="344">
        <v>1308</v>
      </c>
      <c r="S26" s="344">
        <v>645</v>
      </c>
      <c r="T26" s="344">
        <v>1953</v>
      </c>
      <c r="U26" s="345">
        <v>299</v>
      </c>
      <c r="V26" s="344">
        <v>119</v>
      </c>
      <c r="W26" s="344">
        <v>418</v>
      </c>
      <c r="X26" s="344">
        <v>1015</v>
      </c>
      <c r="Y26" s="344">
        <v>628</v>
      </c>
      <c r="Z26" s="344">
        <v>1643</v>
      </c>
      <c r="AA26" s="347">
        <v>28801</v>
      </c>
      <c r="AB26" s="347">
        <v>27015</v>
      </c>
      <c r="AC26" s="347">
        <v>55816</v>
      </c>
    </row>
    <row r="27" spans="1:29">
      <c r="A27" s="1202"/>
      <c r="B27" s="590" t="s">
        <v>228</v>
      </c>
      <c r="C27" s="551">
        <v>396</v>
      </c>
      <c r="D27" s="551">
        <v>280</v>
      </c>
      <c r="E27" s="551">
        <v>676</v>
      </c>
      <c r="F27" s="551">
        <v>47</v>
      </c>
      <c r="G27" s="551">
        <v>77</v>
      </c>
      <c r="H27" s="551">
        <v>124</v>
      </c>
      <c r="I27" s="551">
        <v>3796</v>
      </c>
      <c r="J27" s="551">
        <v>4287</v>
      </c>
      <c r="K27" s="551">
        <v>8083</v>
      </c>
      <c r="L27" s="591">
        <v>17976</v>
      </c>
      <c r="M27" s="551">
        <v>17966</v>
      </c>
      <c r="N27" s="551">
        <v>35942</v>
      </c>
      <c r="O27" s="551">
        <v>104</v>
      </c>
      <c r="P27" s="551">
        <v>61</v>
      </c>
      <c r="Q27" s="551">
        <v>165</v>
      </c>
      <c r="R27" s="551">
        <v>832</v>
      </c>
      <c r="S27" s="551">
        <v>595</v>
      </c>
      <c r="T27" s="551">
        <v>1427</v>
      </c>
      <c r="U27" s="591">
        <v>265</v>
      </c>
      <c r="V27" s="551">
        <v>84</v>
      </c>
      <c r="W27" s="551">
        <v>349</v>
      </c>
      <c r="X27" s="551">
        <v>308</v>
      </c>
      <c r="Y27" s="551">
        <v>94</v>
      </c>
      <c r="Z27" s="551">
        <v>402</v>
      </c>
      <c r="AA27" s="551">
        <v>23724</v>
      </c>
      <c r="AB27" s="551">
        <v>23444</v>
      </c>
      <c r="AC27" s="551">
        <v>47168</v>
      </c>
    </row>
    <row r="28" spans="1:29">
      <c r="A28" s="1202"/>
      <c r="B28" s="590" t="s">
        <v>227</v>
      </c>
      <c r="C28" s="348">
        <v>397</v>
      </c>
      <c r="D28" s="348">
        <v>247</v>
      </c>
      <c r="E28" s="348">
        <v>644</v>
      </c>
      <c r="F28" s="348">
        <v>43</v>
      </c>
      <c r="G28" s="348">
        <v>67</v>
      </c>
      <c r="H28" s="348">
        <v>110</v>
      </c>
      <c r="I28" s="348">
        <v>4333.0670025145218</v>
      </c>
      <c r="J28" s="348">
        <v>3357.7752973164288</v>
      </c>
      <c r="K28" s="348">
        <v>7690.8422998309507</v>
      </c>
      <c r="L28" s="349">
        <v>18731.047202461981</v>
      </c>
      <c r="M28" s="348">
        <v>17733.980349528741</v>
      </c>
      <c r="N28" s="348">
        <v>36465.027551990723</v>
      </c>
      <c r="O28" s="348">
        <v>84</v>
      </c>
      <c r="P28" s="348">
        <v>54</v>
      </c>
      <c r="Q28" s="348">
        <v>138</v>
      </c>
      <c r="R28" s="348">
        <v>1202</v>
      </c>
      <c r="S28" s="348">
        <v>663</v>
      </c>
      <c r="T28" s="348">
        <v>1865</v>
      </c>
      <c r="U28" s="349">
        <v>246</v>
      </c>
      <c r="V28" s="348">
        <v>79</v>
      </c>
      <c r="W28" s="348">
        <v>325</v>
      </c>
      <c r="X28" s="348">
        <v>177</v>
      </c>
      <c r="Y28" s="348">
        <v>49</v>
      </c>
      <c r="Z28" s="348">
        <v>226</v>
      </c>
      <c r="AA28" s="350">
        <f t="shared" ref="AA28:AC28" si="1">C28+F28+I28+L28+O28+R28+U28+X28</f>
        <v>25213.114204976504</v>
      </c>
      <c r="AB28" s="350">
        <f t="shared" si="1"/>
        <v>22250.755646845169</v>
      </c>
      <c r="AC28" s="350">
        <f t="shared" si="1"/>
        <v>47463.86985182167</v>
      </c>
    </row>
    <row r="29" spans="1:29">
      <c r="A29" s="1202">
        <v>4</v>
      </c>
      <c r="B29" s="585" t="s">
        <v>17</v>
      </c>
      <c r="C29" s="586"/>
      <c r="D29" s="586"/>
      <c r="E29" s="586"/>
      <c r="F29" s="586"/>
      <c r="G29" s="586"/>
      <c r="H29" s="586"/>
      <c r="I29" s="586"/>
      <c r="J29" s="586"/>
      <c r="K29" s="587"/>
      <c r="L29" s="586"/>
      <c r="M29" s="586"/>
      <c r="N29" s="586"/>
      <c r="O29" s="586"/>
      <c r="P29" s="586"/>
      <c r="Q29" s="586"/>
      <c r="R29" s="586"/>
      <c r="S29" s="586"/>
      <c r="T29" s="587"/>
      <c r="U29" s="586"/>
      <c r="V29" s="586"/>
      <c r="W29" s="586"/>
      <c r="X29" s="586"/>
      <c r="Y29" s="586"/>
      <c r="Z29" s="586"/>
      <c r="AA29" s="586"/>
      <c r="AB29" s="586"/>
      <c r="AC29" s="587"/>
    </row>
    <row r="30" spans="1:29">
      <c r="A30" s="1202"/>
      <c r="B30" s="588" t="s">
        <v>919</v>
      </c>
      <c r="C30" s="586">
        <v>3140</v>
      </c>
      <c r="D30" s="586">
        <v>2230</v>
      </c>
      <c r="E30" s="586">
        <v>5370</v>
      </c>
      <c r="F30" s="586">
        <v>82</v>
      </c>
      <c r="G30" s="586">
        <v>132</v>
      </c>
      <c r="H30" s="586">
        <v>214</v>
      </c>
      <c r="I30" s="586">
        <v>26134</v>
      </c>
      <c r="J30" s="586">
        <v>36830</v>
      </c>
      <c r="K30" s="587">
        <v>62964</v>
      </c>
      <c r="L30" s="586">
        <v>288411</v>
      </c>
      <c r="M30" s="586">
        <v>290995</v>
      </c>
      <c r="N30" s="586">
        <v>579406</v>
      </c>
      <c r="O30" s="586">
        <v>693</v>
      </c>
      <c r="P30" s="586">
        <v>828</v>
      </c>
      <c r="Q30" s="586">
        <v>1521</v>
      </c>
      <c r="R30" s="586">
        <v>12793</v>
      </c>
      <c r="S30" s="586">
        <v>9470</v>
      </c>
      <c r="T30" s="587">
        <v>22263</v>
      </c>
      <c r="U30" s="586">
        <v>102</v>
      </c>
      <c r="V30" s="586">
        <v>688</v>
      </c>
      <c r="W30" s="586">
        <v>790</v>
      </c>
      <c r="X30" s="586">
        <v>2571</v>
      </c>
      <c r="Y30" s="586">
        <v>2913</v>
      </c>
      <c r="Z30" s="586">
        <v>5484</v>
      </c>
      <c r="AA30" s="586">
        <v>333926</v>
      </c>
      <c r="AB30" s="586">
        <v>344086</v>
      </c>
      <c r="AC30" s="587">
        <v>678012</v>
      </c>
    </row>
    <row r="31" spans="1:29">
      <c r="A31" s="1202"/>
      <c r="B31" s="588" t="s">
        <v>876</v>
      </c>
      <c r="C31" s="589">
        <v>3648</v>
      </c>
      <c r="D31" s="589">
        <v>2356</v>
      </c>
      <c r="E31" s="589">
        <v>6004</v>
      </c>
      <c r="F31" s="589">
        <v>126</v>
      </c>
      <c r="G31" s="589">
        <v>180</v>
      </c>
      <c r="H31" s="589">
        <v>306</v>
      </c>
      <c r="I31" s="589">
        <v>23461</v>
      </c>
      <c r="J31" s="589">
        <v>33328</v>
      </c>
      <c r="K31" s="589">
        <v>56789</v>
      </c>
      <c r="L31" s="589">
        <v>297876</v>
      </c>
      <c r="M31" s="589">
        <v>304835</v>
      </c>
      <c r="N31" s="589">
        <v>602711</v>
      </c>
      <c r="O31" s="589">
        <v>984</v>
      </c>
      <c r="P31" s="589">
        <v>946</v>
      </c>
      <c r="Q31" s="589">
        <v>1930</v>
      </c>
      <c r="R31" s="589">
        <v>12972</v>
      </c>
      <c r="S31" s="589">
        <v>9814</v>
      </c>
      <c r="T31" s="589">
        <v>22786</v>
      </c>
      <c r="U31" s="589">
        <v>459</v>
      </c>
      <c r="V31" s="589">
        <v>866</v>
      </c>
      <c r="W31" s="589">
        <v>1325</v>
      </c>
      <c r="X31" s="589">
        <v>2459</v>
      </c>
      <c r="Y31" s="589">
        <v>2783</v>
      </c>
      <c r="Z31" s="589">
        <v>5242</v>
      </c>
      <c r="AA31" s="589">
        <v>341985</v>
      </c>
      <c r="AB31" s="589">
        <v>355108</v>
      </c>
      <c r="AC31" s="589">
        <v>697093</v>
      </c>
    </row>
    <row r="32" spans="1:29">
      <c r="A32" s="1202"/>
      <c r="B32" s="588" t="s">
        <v>229</v>
      </c>
      <c r="C32" s="344">
        <v>3214</v>
      </c>
      <c r="D32" s="344">
        <v>2413</v>
      </c>
      <c r="E32" s="344">
        <v>5627</v>
      </c>
      <c r="F32" s="344">
        <v>245</v>
      </c>
      <c r="G32" s="344">
        <v>371</v>
      </c>
      <c r="H32" s="344">
        <v>616</v>
      </c>
      <c r="I32" s="344">
        <v>27523</v>
      </c>
      <c r="J32" s="344">
        <v>39800</v>
      </c>
      <c r="K32" s="344">
        <v>67323</v>
      </c>
      <c r="L32" s="345">
        <v>269915</v>
      </c>
      <c r="M32" s="344">
        <v>278078</v>
      </c>
      <c r="N32" s="344">
        <v>547993</v>
      </c>
      <c r="O32" s="344">
        <v>1683</v>
      </c>
      <c r="P32" s="344">
        <v>1530</v>
      </c>
      <c r="Q32" s="344">
        <v>3213</v>
      </c>
      <c r="R32" s="344">
        <v>11139</v>
      </c>
      <c r="S32" s="344">
        <v>8078</v>
      </c>
      <c r="T32" s="344">
        <v>19217</v>
      </c>
      <c r="U32" s="345">
        <v>743</v>
      </c>
      <c r="V32" s="344">
        <v>1176</v>
      </c>
      <c r="W32" s="344">
        <v>1919</v>
      </c>
      <c r="X32" s="344">
        <v>2446</v>
      </c>
      <c r="Y32" s="344">
        <v>2247</v>
      </c>
      <c r="Z32" s="344">
        <v>4693</v>
      </c>
      <c r="AA32" s="347">
        <v>316908</v>
      </c>
      <c r="AB32" s="347">
        <v>333693</v>
      </c>
      <c r="AC32" s="347">
        <v>650601</v>
      </c>
    </row>
    <row r="33" spans="1:29">
      <c r="A33" s="1202"/>
      <c r="B33" s="590" t="s">
        <v>228</v>
      </c>
      <c r="C33" s="551">
        <v>2970</v>
      </c>
      <c r="D33" s="553">
        <v>1970</v>
      </c>
      <c r="E33" s="551">
        <v>4940</v>
      </c>
      <c r="F33" s="551">
        <v>192</v>
      </c>
      <c r="G33" s="551">
        <v>272</v>
      </c>
      <c r="H33" s="551">
        <v>464</v>
      </c>
      <c r="I33" s="551">
        <v>26709</v>
      </c>
      <c r="J33" s="551">
        <v>38720</v>
      </c>
      <c r="K33" s="551">
        <v>65429</v>
      </c>
      <c r="L33" s="591">
        <v>300082</v>
      </c>
      <c r="M33" s="551">
        <v>296037</v>
      </c>
      <c r="N33" s="551">
        <v>596119</v>
      </c>
      <c r="O33" s="551">
        <v>1694</v>
      </c>
      <c r="P33" s="551">
        <v>1564</v>
      </c>
      <c r="Q33" s="551">
        <v>3258</v>
      </c>
      <c r="R33" s="551">
        <v>12704</v>
      </c>
      <c r="S33" s="551">
        <v>10910</v>
      </c>
      <c r="T33" s="551">
        <v>23614</v>
      </c>
      <c r="U33" s="591">
        <v>756</v>
      </c>
      <c r="V33" s="551">
        <v>1034</v>
      </c>
      <c r="W33" s="551">
        <v>1790</v>
      </c>
      <c r="X33" s="551">
        <v>2377</v>
      </c>
      <c r="Y33" s="551">
        <v>2172</v>
      </c>
      <c r="Z33" s="551">
        <v>4549</v>
      </c>
      <c r="AA33" s="551">
        <v>347484</v>
      </c>
      <c r="AB33" s="551">
        <v>352679</v>
      </c>
      <c r="AC33" s="551">
        <v>700163</v>
      </c>
    </row>
    <row r="34" spans="1:29">
      <c r="A34" s="1202"/>
      <c r="B34" s="590" t="s">
        <v>227</v>
      </c>
      <c r="C34" s="348">
        <v>2633</v>
      </c>
      <c r="D34" s="348">
        <v>1704</v>
      </c>
      <c r="E34" s="348">
        <v>4337</v>
      </c>
      <c r="F34" s="348">
        <v>129</v>
      </c>
      <c r="G34" s="348">
        <v>224</v>
      </c>
      <c r="H34" s="348">
        <v>353</v>
      </c>
      <c r="I34" s="348">
        <v>39906.581104964018</v>
      </c>
      <c r="J34" s="348">
        <v>48392.65349222636</v>
      </c>
      <c r="K34" s="348">
        <v>88299.234597190385</v>
      </c>
      <c r="L34" s="349">
        <v>278600.10512203502</v>
      </c>
      <c r="M34" s="348">
        <v>277744.19171424501</v>
      </c>
      <c r="N34" s="348">
        <v>556344.29683628003</v>
      </c>
      <c r="O34" s="348">
        <v>1735</v>
      </c>
      <c r="P34" s="348">
        <v>1627</v>
      </c>
      <c r="Q34" s="348">
        <v>3362</v>
      </c>
      <c r="R34" s="348">
        <v>10223</v>
      </c>
      <c r="S34" s="348">
        <v>7709</v>
      </c>
      <c r="T34" s="348">
        <v>17932</v>
      </c>
      <c r="U34" s="349">
        <v>1082</v>
      </c>
      <c r="V34" s="348">
        <v>1353</v>
      </c>
      <c r="W34" s="348">
        <v>2435</v>
      </c>
      <c r="X34" s="348">
        <v>2630</v>
      </c>
      <c r="Y34" s="348">
        <v>2651</v>
      </c>
      <c r="Z34" s="348">
        <v>5281</v>
      </c>
      <c r="AA34" s="350">
        <f t="shared" ref="AA34:AC34" si="2">C34+F34+I34+L34+O34+R34+U34+X34</f>
        <v>336938.68622699904</v>
      </c>
      <c r="AB34" s="350">
        <f t="shared" si="2"/>
        <v>341404.84520647139</v>
      </c>
      <c r="AC34" s="350">
        <f t="shared" si="2"/>
        <v>678343.53143347043</v>
      </c>
    </row>
    <row r="35" spans="1:29">
      <c r="A35" s="1202">
        <v>5</v>
      </c>
      <c r="B35" s="585" t="s">
        <v>18</v>
      </c>
      <c r="C35" s="586"/>
      <c r="D35" s="586"/>
      <c r="E35" s="586"/>
      <c r="F35" s="586"/>
      <c r="G35" s="586"/>
      <c r="H35" s="586"/>
      <c r="I35" s="586"/>
      <c r="J35" s="586"/>
      <c r="K35" s="587"/>
      <c r="L35" s="586"/>
      <c r="M35" s="586"/>
      <c r="N35" s="586"/>
      <c r="O35" s="586"/>
      <c r="P35" s="586"/>
      <c r="Q35" s="586"/>
      <c r="R35" s="586"/>
      <c r="S35" s="586"/>
      <c r="T35" s="587"/>
      <c r="U35" s="586"/>
      <c r="V35" s="586"/>
      <c r="W35" s="586"/>
      <c r="X35" s="586"/>
      <c r="Y35" s="586"/>
      <c r="Z35" s="586"/>
      <c r="AA35" s="586"/>
      <c r="AB35" s="586"/>
      <c r="AC35" s="587"/>
    </row>
    <row r="36" spans="1:29">
      <c r="A36" s="1202"/>
      <c r="B36" s="588" t="s">
        <v>919</v>
      </c>
      <c r="C36" s="586">
        <v>3720</v>
      </c>
      <c r="D36" s="586">
        <v>1854</v>
      </c>
      <c r="E36" s="586">
        <v>5574</v>
      </c>
      <c r="F36" s="586"/>
      <c r="G36" s="586"/>
      <c r="H36" s="586"/>
      <c r="I36" s="586">
        <v>80756</v>
      </c>
      <c r="J36" s="586">
        <v>74667</v>
      </c>
      <c r="K36" s="587">
        <v>155423</v>
      </c>
      <c r="L36" s="586">
        <v>1291227</v>
      </c>
      <c r="M36" s="586">
        <v>1041776</v>
      </c>
      <c r="N36" s="586">
        <v>2333003</v>
      </c>
      <c r="O36" s="586">
        <v>1989</v>
      </c>
      <c r="P36" s="586">
        <v>808</v>
      </c>
      <c r="Q36" s="586">
        <v>2797</v>
      </c>
      <c r="R36" s="586">
        <v>65540</v>
      </c>
      <c r="S36" s="586">
        <v>53449</v>
      </c>
      <c r="T36" s="587">
        <v>118989</v>
      </c>
      <c r="U36" s="586">
        <v>1419</v>
      </c>
      <c r="V36" s="586">
        <v>1292</v>
      </c>
      <c r="W36" s="586">
        <v>2711</v>
      </c>
      <c r="X36" s="586">
        <v>2809</v>
      </c>
      <c r="Y36" s="586">
        <v>1640</v>
      </c>
      <c r="Z36" s="586">
        <v>4449</v>
      </c>
      <c r="AA36" s="586">
        <v>1447460</v>
      </c>
      <c r="AB36" s="586">
        <v>1175486</v>
      </c>
      <c r="AC36" s="587">
        <v>2622946</v>
      </c>
    </row>
    <row r="37" spans="1:29">
      <c r="A37" s="1202"/>
      <c r="B37" s="588" t="s">
        <v>876</v>
      </c>
      <c r="C37" s="589">
        <v>2625</v>
      </c>
      <c r="D37" s="589">
        <v>1183</v>
      </c>
      <c r="E37" s="589">
        <v>3808</v>
      </c>
      <c r="F37" s="589">
        <v>50</v>
      </c>
      <c r="G37" s="589">
        <v>23</v>
      </c>
      <c r="H37" s="589">
        <v>73</v>
      </c>
      <c r="I37" s="589">
        <v>99157</v>
      </c>
      <c r="J37" s="589">
        <v>84462</v>
      </c>
      <c r="K37" s="589">
        <v>183619</v>
      </c>
      <c r="L37" s="589">
        <v>1141620</v>
      </c>
      <c r="M37" s="589">
        <v>911387</v>
      </c>
      <c r="N37" s="589">
        <v>2053007</v>
      </c>
      <c r="O37" s="589">
        <v>2798</v>
      </c>
      <c r="P37" s="589">
        <v>1077</v>
      </c>
      <c r="Q37" s="589">
        <v>3875</v>
      </c>
      <c r="R37" s="589">
        <v>57296</v>
      </c>
      <c r="S37" s="589">
        <v>49189</v>
      </c>
      <c r="T37" s="589">
        <v>106485</v>
      </c>
      <c r="U37" s="589">
        <v>3264</v>
      </c>
      <c r="V37" s="589">
        <v>2885</v>
      </c>
      <c r="W37" s="589">
        <v>6149</v>
      </c>
      <c r="X37" s="589">
        <v>2592</v>
      </c>
      <c r="Y37" s="589">
        <v>1333</v>
      </c>
      <c r="Z37" s="589">
        <v>3925</v>
      </c>
      <c r="AA37" s="589">
        <v>1309402</v>
      </c>
      <c r="AB37" s="589">
        <v>1051539</v>
      </c>
      <c r="AC37" s="589">
        <v>2360941</v>
      </c>
    </row>
    <row r="38" spans="1:29">
      <c r="A38" s="1202"/>
      <c r="B38" s="588" t="s">
        <v>229</v>
      </c>
      <c r="C38" s="344">
        <v>1665</v>
      </c>
      <c r="D38" s="344">
        <v>1034</v>
      </c>
      <c r="E38" s="344">
        <v>2699</v>
      </c>
      <c r="F38" s="344">
        <v>55</v>
      </c>
      <c r="G38" s="344">
        <v>15</v>
      </c>
      <c r="H38" s="344">
        <v>70</v>
      </c>
      <c r="I38" s="344">
        <v>61287</v>
      </c>
      <c r="J38" s="344">
        <v>59654</v>
      </c>
      <c r="K38" s="344">
        <v>120941</v>
      </c>
      <c r="L38" s="345">
        <v>855740</v>
      </c>
      <c r="M38" s="344">
        <v>677529</v>
      </c>
      <c r="N38" s="344">
        <v>1533269</v>
      </c>
      <c r="O38" s="344">
        <v>1814</v>
      </c>
      <c r="P38" s="344">
        <v>801</v>
      </c>
      <c r="Q38" s="344">
        <v>2615</v>
      </c>
      <c r="R38" s="344">
        <v>43054</v>
      </c>
      <c r="S38" s="344">
        <v>25907</v>
      </c>
      <c r="T38" s="344">
        <v>68961</v>
      </c>
      <c r="U38" s="345">
        <v>4029</v>
      </c>
      <c r="V38" s="344">
        <v>2564</v>
      </c>
      <c r="W38" s="344">
        <v>6593</v>
      </c>
      <c r="X38" s="344">
        <v>2258</v>
      </c>
      <c r="Y38" s="344">
        <v>1026</v>
      </c>
      <c r="Z38" s="344">
        <v>3284</v>
      </c>
      <c r="AA38" s="347">
        <v>969902</v>
      </c>
      <c r="AB38" s="347">
        <v>768530</v>
      </c>
      <c r="AC38" s="347">
        <v>1738432</v>
      </c>
    </row>
    <row r="39" spans="1:29">
      <c r="A39" s="1202"/>
      <c r="B39" s="590" t="s">
        <v>228</v>
      </c>
      <c r="C39" s="551">
        <v>2239</v>
      </c>
      <c r="D39" s="551">
        <v>1123</v>
      </c>
      <c r="E39" s="551">
        <v>3362</v>
      </c>
      <c r="F39" s="551">
        <v>0</v>
      </c>
      <c r="G39" s="551">
        <v>0</v>
      </c>
      <c r="H39" s="551">
        <v>0</v>
      </c>
      <c r="I39" s="551">
        <v>69515</v>
      </c>
      <c r="J39" s="551">
        <v>58697</v>
      </c>
      <c r="K39" s="551">
        <v>128212</v>
      </c>
      <c r="L39" s="591">
        <v>807032</v>
      </c>
      <c r="M39" s="551">
        <v>604600</v>
      </c>
      <c r="N39" s="551">
        <v>1411632</v>
      </c>
      <c r="O39" s="551">
        <v>1692</v>
      </c>
      <c r="P39" s="551">
        <v>778</v>
      </c>
      <c r="Q39" s="551">
        <v>2470</v>
      </c>
      <c r="R39" s="551">
        <v>35350</v>
      </c>
      <c r="S39" s="551">
        <v>18990</v>
      </c>
      <c r="T39" s="551">
        <v>54340</v>
      </c>
      <c r="U39" s="591">
        <v>2705</v>
      </c>
      <c r="V39" s="551">
        <v>1439</v>
      </c>
      <c r="W39" s="551">
        <v>4144</v>
      </c>
      <c r="X39" s="551">
        <v>1952</v>
      </c>
      <c r="Y39" s="551">
        <v>896</v>
      </c>
      <c r="Z39" s="551">
        <v>2848</v>
      </c>
      <c r="AA39" s="551">
        <v>920485</v>
      </c>
      <c r="AB39" s="551">
        <v>686523</v>
      </c>
      <c r="AC39" s="551">
        <v>1607008</v>
      </c>
    </row>
    <row r="40" spans="1:29">
      <c r="A40" s="1202"/>
      <c r="B40" s="590" t="s">
        <v>227</v>
      </c>
      <c r="C40" s="339">
        <v>1902</v>
      </c>
      <c r="D40" s="339">
        <v>954</v>
      </c>
      <c r="E40" s="341">
        <v>2856</v>
      </c>
      <c r="F40" s="594"/>
      <c r="G40" s="594"/>
      <c r="H40" s="594"/>
      <c r="I40" s="339">
        <v>70534</v>
      </c>
      <c r="J40" s="339">
        <v>54605</v>
      </c>
      <c r="K40" s="341">
        <v>125139</v>
      </c>
      <c r="L40" s="353">
        <v>763699</v>
      </c>
      <c r="M40" s="339">
        <v>570070</v>
      </c>
      <c r="N40" s="341">
        <v>1333769</v>
      </c>
      <c r="O40" s="339">
        <v>2030</v>
      </c>
      <c r="P40" s="339">
        <v>850</v>
      </c>
      <c r="Q40" s="341">
        <v>2880</v>
      </c>
      <c r="R40" s="339">
        <v>30942</v>
      </c>
      <c r="S40" s="339">
        <v>14031</v>
      </c>
      <c r="T40" s="341">
        <v>44973</v>
      </c>
      <c r="U40" s="353">
        <v>2336</v>
      </c>
      <c r="V40" s="339">
        <v>1075</v>
      </c>
      <c r="W40" s="341">
        <v>3411</v>
      </c>
      <c r="X40" s="339">
        <v>1512</v>
      </c>
      <c r="Y40" s="339">
        <v>788</v>
      </c>
      <c r="Z40" s="341">
        <v>2300</v>
      </c>
      <c r="AA40" s="341">
        <v>872270</v>
      </c>
      <c r="AB40" s="341">
        <v>642325</v>
      </c>
      <c r="AC40" s="341">
        <v>1514595</v>
      </c>
    </row>
    <row r="41" spans="1:29">
      <c r="A41" s="1202">
        <v>6</v>
      </c>
      <c r="B41" s="585" t="s">
        <v>19</v>
      </c>
      <c r="C41" s="586"/>
      <c r="D41" s="586"/>
      <c r="E41" s="586"/>
      <c r="F41" s="586"/>
      <c r="G41" s="586"/>
      <c r="H41" s="586"/>
      <c r="I41" s="586"/>
      <c r="J41" s="586"/>
      <c r="K41" s="587"/>
      <c r="L41" s="586"/>
      <c r="M41" s="586"/>
      <c r="N41" s="586"/>
      <c r="O41" s="586"/>
      <c r="P41" s="586"/>
      <c r="Q41" s="586"/>
      <c r="R41" s="586"/>
      <c r="S41" s="586"/>
      <c r="T41" s="587"/>
      <c r="U41" s="586"/>
      <c r="V41" s="586"/>
      <c r="W41" s="586"/>
      <c r="X41" s="586"/>
      <c r="Y41" s="586"/>
      <c r="Z41" s="586"/>
      <c r="AA41" s="586"/>
      <c r="AB41" s="586"/>
      <c r="AC41" s="587"/>
    </row>
    <row r="42" spans="1:29">
      <c r="A42" s="1202"/>
      <c r="B42" s="588" t="s">
        <v>919</v>
      </c>
      <c r="C42" s="586">
        <v>343</v>
      </c>
      <c r="D42" s="586">
        <v>454</v>
      </c>
      <c r="E42" s="586">
        <v>797</v>
      </c>
      <c r="F42" s="586">
        <v>19</v>
      </c>
      <c r="G42" s="586">
        <v>25</v>
      </c>
      <c r="H42" s="586">
        <v>44</v>
      </c>
      <c r="I42" s="586">
        <v>9172</v>
      </c>
      <c r="J42" s="586">
        <v>13600</v>
      </c>
      <c r="K42" s="587">
        <v>22772</v>
      </c>
      <c r="L42" s="586">
        <v>41264</v>
      </c>
      <c r="M42" s="586">
        <v>36134</v>
      </c>
      <c r="N42" s="586">
        <v>77398</v>
      </c>
      <c r="O42" s="586">
        <v>899</v>
      </c>
      <c r="P42" s="586">
        <v>965</v>
      </c>
      <c r="Q42" s="586">
        <v>1864</v>
      </c>
      <c r="R42" s="586">
        <v>2152</v>
      </c>
      <c r="S42" s="586">
        <v>2828</v>
      </c>
      <c r="T42" s="587">
        <v>4980</v>
      </c>
      <c r="U42" s="586">
        <v>319</v>
      </c>
      <c r="V42" s="586">
        <v>288</v>
      </c>
      <c r="W42" s="586">
        <v>607</v>
      </c>
      <c r="X42" s="586">
        <v>1123</v>
      </c>
      <c r="Y42" s="586">
        <v>1418</v>
      </c>
      <c r="Z42" s="586">
        <v>2541</v>
      </c>
      <c r="AA42" s="586">
        <v>55291</v>
      </c>
      <c r="AB42" s="586">
        <v>55712</v>
      </c>
      <c r="AC42" s="587">
        <v>111003</v>
      </c>
    </row>
    <row r="43" spans="1:29">
      <c r="A43" s="1202"/>
      <c r="B43" s="588" t="s">
        <v>876</v>
      </c>
      <c r="C43" s="589">
        <v>323</v>
      </c>
      <c r="D43" s="589">
        <v>427</v>
      </c>
      <c r="E43" s="589">
        <v>750</v>
      </c>
      <c r="F43" s="589">
        <v>158</v>
      </c>
      <c r="G43" s="589">
        <v>29</v>
      </c>
      <c r="H43" s="589">
        <v>187</v>
      </c>
      <c r="I43" s="589">
        <v>8669</v>
      </c>
      <c r="J43" s="589">
        <v>13715</v>
      </c>
      <c r="K43" s="589">
        <v>22384</v>
      </c>
      <c r="L43" s="589">
        <v>40358</v>
      </c>
      <c r="M43" s="589">
        <v>35349</v>
      </c>
      <c r="N43" s="589">
        <v>75707</v>
      </c>
      <c r="O43" s="589">
        <v>1138</v>
      </c>
      <c r="P43" s="589">
        <v>1181</v>
      </c>
      <c r="Q43" s="589">
        <v>2319</v>
      </c>
      <c r="R43" s="589">
        <v>3035</v>
      </c>
      <c r="S43" s="589">
        <v>3631</v>
      </c>
      <c r="T43" s="589">
        <v>6666</v>
      </c>
      <c r="U43" s="589">
        <v>245</v>
      </c>
      <c r="V43" s="589">
        <v>237</v>
      </c>
      <c r="W43" s="589">
        <v>482</v>
      </c>
      <c r="X43" s="589">
        <v>883</v>
      </c>
      <c r="Y43" s="589">
        <v>1087</v>
      </c>
      <c r="Z43" s="589">
        <v>1970</v>
      </c>
      <c r="AA43" s="589">
        <v>54809</v>
      </c>
      <c r="AB43" s="589">
        <v>55656</v>
      </c>
      <c r="AC43" s="589">
        <v>110465</v>
      </c>
    </row>
    <row r="44" spans="1:29">
      <c r="A44" s="1202"/>
      <c r="B44" s="590" t="s">
        <v>229</v>
      </c>
      <c r="C44" s="346">
        <v>409</v>
      </c>
      <c r="D44" s="346">
        <v>550</v>
      </c>
      <c r="E44" s="346">
        <v>959</v>
      </c>
      <c r="F44" s="346">
        <v>140</v>
      </c>
      <c r="G44" s="346">
        <v>48</v>
      </c>
      <c r="H44" s="346">
        <v>188</v>
      </c>
      <c r="I44" s="346">
        <v>8560</v>
      </c>
      <c r="J44" s="346">
        <v>13854</v>
      </c>
      <c r="K44" s="346">
        <v>22414</v>
      </c>
      <c r="L44" s="351">
        <v>39098</v>
      </c>
      <c r="M44" s="346">
        <v>34415</v>
      </c>
      <c r="N44" s="346">
        <v>73513</v>
      </c>
      <c r="O44" s="346">
        <v>1065</v>
      </c>
      <c r="P44" s="346">
        <v>1115</v>
      </c>
      <c r="Q44" s="346">
        <v>2180</v>
      </c>
      <c r="R44" s="346">
        <v>2340</v>
      </c>
      <c r="S44" s="346">
        <v>1944</v>
      </c>
      <c r="T44" s="346">
        <v>4284</v>
      </c>
      <c r="U44" s="351">
        <v>419</v>
      </c>
      <c r="V44" s="346">
        <v>281</v>
      </c>
      <c r="W44" s="346">
        <v>700</v>
      </c>
      <c r="X44" s="346">
        <v>1139</v>
      </c>
      <c r="Y44" s="346">
        <v>1290</v>
      </c>
      <c r="Z44" s="346">
        <v>2429</v>
      </c>
      <c r="AA44" s="352">
        <v>53170</v>
      </c>
      <c r="AB44" s="352">
        <v>53497</v>
      </c>
      <c r="AC44" s="352">
        <v>106667</v>
      </c>
    </row>
    <row r="45" spans="1:29">
      <c r="A45" s="1202"/>
      <c r="B45" s="590" t="s">
        <v>228</v>
      </c>
      <c r="C45" s="551">
        <v>353</v>
      </c>
      <c r="D45" s="551">
        <v>508</v>
      </c>
      <c r="E45" s="551">
        <v>861</v>
      </c>
      <c r="F45" s="551">
        <v>145</v>
      </c>
      <c r="G45" s="551">
        <v>43</v>
      </c>
      <c r="H45" s="551">
        <v>188</v>
      </c>
      <c r="I45" s="551">
        <v>7576</v>
      </c>
      <c r="J45" s="551">
        <v>13291</v>
      </c>
      <c r="K45" s="551">
        <v>20867</v>
      </c>
      <c r="L45" s="591">
        <v>36391</v>
      </c>
      <c r="M45" s="551">
        <v>32954</v>
      </c>
      <c r="N45" s="551">
        <v>69345</v>
      </c>
      <c r="O45" s="551">
        <v>778</v>
      </c>
      <c r="P45" s="551">
        <v>857</v>
      </c>
      <c r="Q45" s="551">
        <v>1635</v>
      </c>
      <c r="R45" s="551">
        <v>1644</v>
      </c>
      <c r="S45" s="551">
        <v>1477</v>
      </c>
      <c r="T45" s="551">
        <v>3121</v>
      </c>
      <c r="U45" s="591">
        <v>568</v>
      </c>
      <c r="V45" s="551">
        <v>222</v>
      </c>
      <c r="W45" s="551">
        <v>790</v>
      </c>
      <c r="X45" s="551">
        <v>1111</v>
      </c>
      <c r="Y45" s="551">
        <v>1091</v>
      </c>
      <c r="Z45" s="551">
        <v>2202</v>
      </c>
      <c r="AA45" s="551">
        <v>48566</v>
      </c>
      <c r="AB45" s="551">
        <v>50443</v>
      </c>
      <c r="AC45" s="551">
        <v>99009</v>
      </c>
    </row>
    <row r="46" spans="1:29">
      <c r="A46" s="1202"/>
      <c r="B46" s="590" t="s">
        <v>227</v>
      </c>
      <c r="C46" s="348">
        <v>472</v>
      </c>
      <c r="D46" s="348">
        <v>415</v>
      </c>
      <c r="E46" s="348">
        <v>887</v>
      </c>
      <c r="F46" s="348">
        <v>168</v>
      </c>
      <c r="G46" s="348">
        <v>67</v>
      </c>
      <c r="H46" s="348">
        <v>235</v>
      </c>
      <c r="I46" s="348">
        <v>9571.8463378402666</v>
      </c>
      <c r="J46" s="348">
        <v>14184.183966206754</v>
      </c>
      <c r="K46" s="348">
        <v>23756.030304047021</v>
      </c>
      <c r="L46" s="349">
        <v>40220.809648325136</v>
      </c>
      <c r="M46" s="348">
        <v>33672.608451791282</v>
      </c>
      <c r="N46" s="348">
        <v>73893.418100116411</v>
      </c>
      <c r="O46" s="348">
        <v>533</v>
      </c>
      <c r="P46" s="348">
        <v>639</v>
      </c>
      <c r="Q46" s="348">
        <v>1172</v>
      </c>
      <c r="R46" s="348">
        <v>1571</v>
      </c>
      <c r="S46" s="348">
        <v>1398</v>
      </c>
      <c r="T46" s="348">
        <v>2969</v>
      </c>
      <c r="U46" s="349">
        <v>464</v>
      </c>
      <c r="V46" s="348">
        <v>262</v>
      </c>
      <c r="W46" s="348">
        <v>726</v>
      </c>
      <c r="X46" s="348">
        <v>1058</v>
      </c>
      <c r="Y46" s="348">
        <v>1133</v>
      </c>
      <c r="Z46" s="348">
        <v>2191</v>
      </c>
      <c r="AA46" s="350">
        <f t="shared" ref="AA46:AC46" si="3">C46+F46+I46+L46+O46+R46+U46+X46</f>
        <v>54058.655986165402</v>
      </c>
      <c r="AB46" s="350">
        <f t="shared" si="3"/>
        <v>51770.792417998033</v>
      </c>
      <c r="AC46" s="350">
        <f t="shared" si="3"/>
        <v>105829.44840416343</v>
      </c>
    </row>
    <row r="47" spans="1:29">
      <c r="A47" s="1202">
        <v>7</v>
      </c>
      <c r="B47" s="585" t="s">
        <v>20</v>
      </c>
      <c r="C47" s="586"/>
      <c r="D47" s="586"/>
      <c r="E47" s="586"/>
      <c r="F47" s="586"/>
      <c r="G47" s="586"/>
      <c r="H47" s="586"/>
      <c r="I47" s="586"/>
      <c r="J47" s="586"/>
      <c r="K47" s="587"/>
      <c r="L47" s="586"/>
      <c r="M47" s="586"/>
      <c r="N47" s="586"/>
      <c r="O47" s="586"/>
      <c r="P47" s="586"/>
      <c r="Q47" s="586"/>
      <c r="R47" s="586"/>
      <c r="S47" s="586"/>
      <c r="T47" s="587"/>
      <c r="U47" s="586"/>
      <c r="V47" s="586"/>
      <c r="W47" s="586"/>
      <c r="X47" s="586"/>
      <c r="Y47" s="586"/>
      <c r="Z47" s="586"/>
      <c r="AA47" s="586"/>
      <c r="AB47" s="586"/>
      <c r="AC47" s="587"/>
    </row>
    <row r="48" spans="1:29">
      <c r="A48" s="1202"/>
      <c r="B48" s="588" t="s">
        <v>919</v>
      </c>
      <c r="C48" s="586">
        <v>920</v>
      </c>
      <c r="D48" s="586">
        <v>917</v>
      </c>
      <c r="E48" s="586">
        <v>1837</v>
      </c>
      <c r="F48" s="586">
        <v>4</v>
      </c>
      <c r="G48" s="586">
        <v>8</v>
      </c>
      <c r="H48" s="586">
        <v>12</v>
      </c>
      <c r="I48" s="586">
        <v>35630</v>
      </c>
      <c r="J48" s="586">
        <v>51834</v>
      </c>
      <c r="K48" s="587">
        <v>87464</v>
      </c>
      <c r="L48" s="586">
        <v>227084</v>
      </c>
      <c r="M48" s="586">
        <v>275545</v>
      </c>
      <c r="N48" s="586">
        <v>502629</v>
      </c>
      <c r="O48" s="586">
        <v>8448</v>
      </c>
      <c r="P48" s="586">
        <v>8480</v>
      </c>
      <c r="Q48" s="586">
        <v>16928</v>
      </c>
      <c r="R48" s="586">
        <v>23571</v>
      </c>
      <c r="S48" s="586">
        <v>18112</v>
      </c>
      <c r="T48" s="587">
        <v>41683</v>
      </c>
      <c r="U48" s="586">
        <v>254</v>
      </c>
      <c r="V48" s="586">
        <v>435</v>
      </c>
      <c r="W48" s="586">
        <v>689</v>
      </c>
      <c r="X48" s="586">
        <v>2690</v>
      </c>
      <c r="Y48" s="586">
        <v>2409</v>
      </c>
      <c r="Z48" s="586">
        <v>5099</v>
      </c>
      <c r="AA48" s="586">
        <v>298601</v>
      </c>
      <c r="AB48" s="586">
        <v>357740</v>
      </c>
      <c r="AC48" s="587">
        <v>656341</v>
      </c>
    </row>
    <row r="49" spans="1:29">
      <c r="A49" s="1202"/>
      <c r="B49" s="588" t="s">
        <v>876</v>
      </c>
      <c r="C49" s="589">
        <v>910</v>
      </c>
      <c r="D49" s="589">
        <v>744</v>
      </c>
      <c r="E49" s="589">
        <v>1654</v>
      </c>
      <c r="F49" s="589">
        <v>36</v>
      </c>
      <c r="G49" s="589">
        <v>22</v>
      </c>
      <c r="H49" s="589">
        <v>58</v>
      </c>
      <c r="I49" s="589">
        <v>33737</v>
      </c>
      <c r="J49" s="589">
        <v>46771</v>
      </c>
      <c r="K49" s="589">
        <v>80508</v>
      </c>
      <c r="L49" s="589">
        <v>215732</v>
      </c>
      <c r="M49" s="589">
        <v>259411</v>
      </c>
      <c r="N49" s="589">
        <v>475143</v>
      </c>
      <c r="O49" s="589">
        <v>14443</v>
      </c>
      <c r="P49" s="589">
        <v>14621</v>
      </c>
      <c r="Q49" s="589">
        <v>29064</v>
      </c>
      <c r="R49" s="589">
        <v>36144</v>
      </c>
      <c r="S49" s="589">
        <v>27021</v>
      </c>
      <c r="T49" s="589">
        <v>63165</v>
      </c>
      <c r="U49" s="589">
        <v>296</v>
      </c>
      <c r="V49" s="589">
        <v>435</v>
      </c>
      <c r="W49" s="589">
        <v>731</v>
      </c>
      <c r="X49" s="589">
        <v>1542</v>
      </c>
      <c r="Y49" s="589">
        <v>1540</v>
      </c>
      <c r="Z49" s="589">
        <v>3082</v>
      </c>
      <c r="AA49" s="589">
        <v>302840</v>
      </c>
      <c r="AB49" s="589">
        <v>350565</v>
      </c>
      <c r="AC49" s="589">
        <v>653405</v>
      </c>
    </row>
    <row r="50" spans="1:29">
      <c r="A50" s="1202"/>
      <c r="B50" s="590" t="s">
        <v>229</v>
      </c>
      <c r="C50" s="346">
        <v>824</v>
      </c>
      <c r="D50" s="346">
        <v>691</v>
      </c>
      <c r="E50" s="346">
        <v>1515</v>
      </c>
      <c r="F50" s="346">
        <v>109</v>
      </c>
      <c r="G50" s="346">
        <v>89</v>
      </c>
      <c r="H50" s="346">
        <v>198</v>
      </c>
      <c r="I50" s="346">
        <v>30137</v>
      </c>
      <c r="J50" s="346">
        <v>40444</v>
      </c>
      <c r="K50" s="346">
        <v>70581</v>
      </c>
      <c r="L50" s="351">
        <v>187304</v>
      </c>
      <c r="M50" s="346">
        <v>228077</v>
      </c>
      <c r="N50" s="346">
        <v>415381</v>
      </c>
      <c r="O50" s="346">
        <v>13986</v>
      </c>
      <c r="P50" s="346">
        <v>14396</v>
      </c>
      <c r="Q50" s="346">
        <v>28382</v>
      </c>
      <c r="R50" s="346">
        <v>38361</v>
      </c>
      <c r="S50" s="346">
        <v>27702</v>
      </c>
      <c r="T50" s="346">
        <v>66063</v>
      </c>
      <c r="U50" s="351">
        <v>210</v>
      </c>
      <c r="V50" s="346">
        <v>335</v>
      </c>
      <c r="W50" s="346">
        <v>545</v>
      </c>
      <c r="X50" s="346">
        <v>1882</v>
      </c>
      <c r="Y50" s="346">
        <v>1848</v>
      </c>
      <c r="Z50" s="346">
        <v>3730</v>
      </c>
      <c r="AA50" s="352">
        <v>272813</v>
      </c>
      <c r="AB50" s="352">
        <v>313582</v>
      </c>
      <c r="AC50" s="352">
        <v>586395</v>
      </c>
    </row>
    <row r="51" spans="1:29">
      <c r="A51" s="1202"/>
      <c r="B51" s="590" t="s">
        <v>228</v>
      </c>
      <c r="C51" s="551">
        <v>965</v>
      </c>
      <c r="D51" s="551">
        <v>509</v>
      </c>
      <c r="E51" s="551">
        <v>1474</v>
      </c>
      <c r="F51" s="551">
        <v>193</v>
      </c>
      <c r="G51" s="551">
        <v>151</v>
      </c>
      <c r="H51" s="551">
        <v>344</v>
      </c>
      <c r="I51" s="551">
        <v>30690</v>
      </c>
      <c r="J51" s="551">
        <v>37757</v>
      </c>
      <c r="K51" s="551">
        <v>68447</v>
      </c>
      <c r="L51" s="591">
        <v>190502</v>
      </c>
      <c r="M51" s="551">
        <v>215794</v>
      </c>
      <c r="N51" s="551">
        <v>406296</v>
      </c>
      <c r="O51" s="551">
        <v>14887</v>
      </c>
      <c r="P51" s="551">
        <v>15114</v>
      </c>
      <c r="Q51" s="551">
        <v>30001</v>
      </c>
      <c r="R51" s="551">
        <v>44001</v>
      </c>
      <c r="S51" s="551">
        <v>33005</v>
      </c>
      <c r="T51" s="551">
        <v>77006</v>
      </c>
      <c r="U51" s="591">
        <v>190</v>
      </c>
      <c r="V51" s="551">
        <v>365</v>
      </c>
      <c r="W51" s="551">
        <v>555</v>
      </c>
      <c r="X51" s="551">
        <v>1357</v>
      </c>
      <c r="Y51" s="551">
        <v>1444</v>
      </c>
      <c r="Z51" s="551">
        <v>2801</v>
      </c>
      <c r="AA51" s="551">
        <v>282785</v>
      </c>
      <c r="AB51" s="551">
        <v>304139</v>
      </c>
      <c r="AC51" s="551">
        <v>586924</v>
      </c>
    </row>
    <row r="52" spans="1:29">
      <c r="A52" s="1202"/>
      <c r="B52" s="590" t="s">
        <v>227</v>
      </c>
      <c r="C52" s="348">
        <v>740</v>
      </c>
      <c r="D52" s="348">
        <v>425</v>
      </c>
      <c r="E52" s="348">
        <v>1165</v>
      </c>
      <c r="F52" s="348">
        <v>149</v>
      </c>
      <c r="G52" s="348">
        <v>150</v>
      </c>
      <c r="H52" s="348">
        <v>299</v>
      </c>
      <c r="I52" s="348">
        <v>29365</v>
      </c>
      <c r="J52" s="348">
        <v>34811</v>
      </c>
      <c r="K52" s="348">
        <v>64176</v>
      </c>
      <c r="L52" s="349">
        <v>185435</v>
      </c>
      <c r="M52" s="348">
        <v>199088</v>
      </c>
      <c r="N52" s="348">
        <v>384523</v>
      </c>
      <c r="O52" s="348">
        <v>18658</v>
      </c>
      <c r="P52" s="348">
        <v>18485</v>
      </c>
      <c r="Q52" s="348">
        <v>37143</v>
      </c>
      <c r="R52" s="348">
        <v>51571</v>
      </c>
      <c r="S52" s="348">
        <v>33441</v>
      </c>
      <c r="T52" s="348">
        <v>85012</v>
      </c>
      <c r="U52" s="349">
        <v>211</v>
      </c>
      <c r="V52" s="348">
        <v>313</v>
      </c>
      <c r="W52" s="348">
        <v>524</v>
      </c>
      <c r="X52" s="348">
        <v>1014</v>
      </c>
      <c r="Y52" s="348">
        <v>1005</v>
      </c>
      <c r="Z52" s="348">
        <v>2019</v>
      </c>
      <c r="AA52" s="350">
        <f t="shared" ref="AA52:AC52" si="4">C52+F52+I52+L52+O52+R52+U52+X52</f>
        <v>287143</v>
      </c>
      <c r="AB52" s="350">
        <f t="shared" si="4"/>
        <v>287718</v>
      </c>
      <c r="AC52" s="350">
        <f t="shared" si="4"/>
        <v>574861</v>
      </c>
    </row>
    <row r="53" spans="1:29">
      <c r="A53" s="1202">
        <v>8</v>
      </c>
      <c r="B53" s="585" t="s">
        <v>23</v>
      </c>
      <c r="C53" s="586"/>
      <c r="D53" s="586"/>
      <c r="E53" s="586"/>
      <c r="F53" s="586"/>
      <c r="G53" s="586"/>
      <c r="H53" s="586"/>
      <c r="I53" s="586"/>
      <c r="J53" s="586"/>
      <c r="K53" s="587"/>
      <c r="L53" s="586"/>
      <c r="M53" s="586"/>
      <c r="N53" s="586"/>
      <c r="O53" s="586"/>
      <c r="P53" s="586"/>
      <c r="Q53" s="586"/>
      <c r="R53" s="586"/>
      <c r="S53" s="586"/>
      <c r="T53" s="587"/>
      <c r="U53" s="586"/>
      <c r="V53" s="586"/>
      <c r="W53" s="586"/>
      <c r="X53" s="586"/>
      <c r="Y53" s="586"/>
      <c r="Z53" s="586"/>
      <c r="AA53" s="586"/>
      <c r="AB53" s="586"/>
      <c r="AC53" s="587"/>
    </row>
    <row r="54" spans="1:29">
      <c r="A54" s="1202"/>
      <c r="B54" s="588" t="s">
        <v>919</v>
      </c>
      <c r="C54" s="586">
        <v>7533</v>
      </c>
      <c r="D54" s="586">
        <v>6561</v>
      </c>
      <c r="E54" s="586">
        <v>14094</v>
      </c>
      <c r="F54" s="586">
        <v>716</v>
      </c>
      <c r="G54" s="586">
        <v>761</v>
      </c>
      <c r="H54" s="586">
        <v>1477</v>
      </c>
      <c r="I54" s="586">
        <v>73783</v>
      </c>
      <c r="J54" s="586">
        <v>103616</v>
      </c>
      <c r="K54" s="587">
        <v>177399</v>
      </c>
      <c r="L54" s="586">
        <v>473724</v>
      </c>
      <c r="M54" s="586">
        <v>425006</v>
      </c>
      <c r="N54" s="586">
        <v>898730</v>
      </c>
      <c r="O54" s="586">
        <v>8389</v>
      </c>
      <c r="P54" s="586">
        <v>6686</v>
      </c>
      <c r="Q54" s="586">
        <v>15075</v>
      </c>
      <c r="R54" s="586">
        <v>16092</v>
      </c>
      <c r="S54" s="586">
        <v>13965</v>
      </c>
      <c r="T54" s="587">
        <v>30057</v>
      </c>
      <c r="U54" s="586">
        <v>1331</v>
      </c>
      <c r="V54" s="586">
        <v>1093</v>
      </c>
      <c r="W54" s="586">
        <v>2424</v>
      </c>
      <c r="X54" s="586">
        <v>3785</v>
      </c>
      <c r="Y54" s="586">
        <v>2349</v>
      </c>
      <c r="Z54" s="586">
        <v>6134</v>
      </c>
      <c r="AA54" s="586">
        <v>585353</v>
      </c>
      <c r="AB54" s="586">
        <v>560037</v>
      </c>
      <c r="AC54" s="587">
        <v>1145390</v>
      </c>
    </row>
    <row r="55" spans="1:29">
      <c r="A55" s="1202"/>
      <c r="B55" s="588" t="s">
        <v>876</v>
      </c>
      <c r="C55" s="589">
        <v>8112</v>
      </c>
      <c r="D55" s="589">
        <v>7332</v>
      </c>
      <c r="E55" s="589">
        <v>15444</v>
      </c>
      <c r="F55" s="589">
        <v>772</v>
      </c>
      <c r="G55" s="589">
        <v>764</v>
      </c>
      <c r="H55" s="589">
        <v>1536</v>
      </c>
      <c r="I55" s="589">
        <v>69649</v>
      </c>
      <c r="J55" s="589">
        <v>97222</v>
      </c>
      <c r="K55" s="589">
        <v>166871</v>
      </c>
      <c r="L55" s="589">
        <v>454449</v>
      </c>
      <c r="M55" s="589">
        <v>409832</v>
      </c>
      <c r="N55" s="589">
        <v>864281</v>
      </c>
      <c r="O55" s="589">
        <v>9715</v>
      </c>
      <c r="P55" s="589">
        <v>7442</v>
      </c>
      <c r="Q55" s="589">
        <v>17157</v>
      </c>
      <c r="R55" s="589">
        <v>17002</v>
      </c>
      <c r="S55" s="589">
        <v>15459</v>
      </c>
      <c r="T55" s="589">
        <v>32461</v>
      </c>
      <c r="U55" s="589">
        <v>1415</v>
      </c>
      <c r="V55" s="589">
        <v>1143</v>
      </c>
      <c r="W55" s="589">
        <v>2558</v>
      </c>
      <c r="X55" s="589">
        <v>3735</v>
      </c>
      <c r="Y55" s="589">
        <v>2228</v>
      </c>
      <c r="Z55" s="589">
        <v>5963</v>
      </c>
      <c r="AA55" s="589">
        <v>564849</v>
      </c>
      <c r="AB55" s="589">
        <v>541422</v>
      </c>
      <c r="AC55" s="589">
        <v>1106271</v>
      </c>
    </row>
    <row r="56" spans="1:29">
      <c r="A56" s="1202"/>
      <c r="B56" s="590" t="s">
        <v>229</v>
      </c>
      <c r="C56" s="346">
        <v>8812</v>
      </c>
      <c r="D56" s="346">
        <v>7458</v>
      </c>
      <c r="E56" s="346">
        <v>16270</v>
      </c>
      <c r="F56" s="346">
        <v>650</v>
      </c>
      <c r="G56" s="346">
        <v>672</v>
      </c>
      <c r="H56" s="346">
        <v>1322</v>
      </c>
      <c r="I56" s="346">
        <v>71734</v>
      </c>
      <c r="J56" s="346">
        <v>103717</v>
      </c>
      <c r="K56" s="346">
        <v>175451</v>
      </c>
      <c r="L56" s="351">
        <v>467104</v>
      </c>
      <c r="M56" s="346">
        <v>419284</v>
      </c>
      <c r="N56" s="346">
        <v>886388</v>
      </c>
      <c r="O56" s="346">
        <v>6054</v>
      </c>
      <c r="P56" s="346">
        <v>4758</v>
      </c>
      <c r="Q56" s="346">
        <v>10812</v>
      </c>
      <c r="R56" s="346">
        <v>18927</v>
      </c>
      <c r="S56" s="346">
        <v>15039</v>
      </c>
      <c r="T56" s="346">
        <v>33966</v>
      </c>
      <c r="U56" s="351">
        <v>2467</v>
      </c>
      <c r="V56" s="346">
        <v>1684</v>
      </c>
      <c r="W56" s="346">
        <v>4151</v>
      </c>
      <c r="X56" s="346">
        <v>2999</v>
      </c>
      <c r="Y56" s="346">
        <v>1497</v>
      </c>
      <c r="Z56" s="346">
        <v>4496</v>
      </c>
      <c r="AA56" s="352">
        <v>578747</v>
      </c>
      <c r="AB56" s="352">
        <v>554109</v>
      </c>
      <c r="AC56" s="352">
        <v>1132856</v>
      </c>
    </row>
    <row r="57" spans="1:29">
      <c r="A57" s="1202"/>
      <c r="B57" s="590" t="s">
        <v>228</v>
      </c>
      <c r="C57" s="551">
        <v>4918</v>
      </c>
      <c r="D57" s="551">
        <v>4493</v>
      </c>
      <c r="E57" s="551">
        <v>9411</v>
      </c>
      <c r="F57" s="551">
        <v>2402</v>
      </c>
      <c r="G57" s="551">
        <v>2684</v>
      </c>
      <c r="H57" s="551">
        <v>5086</v>
      </c>
      <c r="I57" s="551">
        <v>65500</v>
      </c>
      <c r="J57" s="551">
        <v>93497</v>
      </c>
      <c r="K57" s="551">
        <v>158997</v>
      </c>
      <c r="L57" s="591">
        <v>448749</v>
      </c>
      <c r="M57" s="551">
        <v>405107</v>
      </c>
      <c r="N57" s="551">
        <v>853856</v>
      </c>
      <c r="O57" s="551">
        <v>4512</v>
      </c>
      <c r="P57" s="551">
        <v>3831</v>
      </c>
      <c r="Q57" s="551">
        <v>8343</v>
      </c>
      <c r="R57" s="551">
        <v>17907</v>
      </c>
      <c r="S57" s="551">
        <v>14441</v>
      </c>
      <c r="T57" s="551">
        <v>32348</v>
      </c>
      <c r="U57" s="591">
        <v>2605</v>
      </c>
      <c r="V57" s="551">
        <v>1839</v>
      </c>
      <c r="W57" s="551">
        <v>4444</v>
      </c>
      <c r="X57" s="551">
        <v>3189</v>
      </c>
      <c r="Y57" s="551">
        <v>1882</v>
      </c>
      <c r="Z57" s="551">
        <v>5071</v>
      </c>
      <c r="AA57" s="551">
        <v>549782</v>
      </c>
      <c r="AB57" s="551">
        <v>527774</v>
      </c>
      <c r="AC57" s="551">
        <v>1077556</v>
      </c>
    </row>
    <row r="58" spans="1:29">
      <c r="A58" s="1202"/>
      <c r="B58" s="590" t="s">
        <v>227</v>
      </c>
      <c r="C58" s="348">
        <v>7580</v>
      </c>
      <c r="D58" s="348">
        <v>7132</v>
      </c>
      <c r="E58" s="348">
        <v>14712</v>
      </c>
      <c r="F58" s="348">
        <v>1243</v>
      </c>
      <c r="G58" s="348">
        <v>1380</v>
      </c>
      <c r="H58" s="348">
        <v>2623</v>
      </c>
      <c r="I58" s="348">
        <v>76741.452372635584</v>
      </c>
      <c r="J58" s="348">
        <v>76782.275494269546</v>
      </c>
      <c r="K58" s="348">
        <v>153523.72786690513</v>
      </c>
      <c r="L58" s="349">
        <v>452469.12838086154</v>
      </c>
      <c r="M58" s="348">
        <v>394715.03819226782</v>
      </c>
      <c r="N58" s="348">
        <v>847184.16657312936</v>
      </c>
      <c r="O58" s="348">
        <v>4815</v>
      </c>
      <c r="P58" s="348">
        <v>3517</v>
      </c>
      <c r="Q58" s="348">
        <v>8332</v>
      </c>
      <c r="R58" s="348">
        <v>17797</v>
      </c>
      <c r="S58" s="348">
        <v>13228</v>
      </c>
      <c r="T58" s="348">
        <v>31025</v>
      </c>
      <c r="U58" s="349">
        <v>2317</v>
      </c>
      <c r="V58" s="348">
        <v>1544</v>
      </c>
      <c r="W58" s="348">
        <v>3861</v>
      </c>
      <c r="X58" s="348">
        <v>2126</v>
      </c>
      <c r="Y58" s="348">
        <v>1019</v>
      </c>
      <c r="Z58" s="348">
        <v>3145</v>
      </c>
      <c r="AA58" s="350">
        <f t="shared" ref="AA58:AC58" si="5">C58+F58+I58+L58+O58+R58+U58+X58</f>
        <v>565088.58075349708</v>
      </c>
      <c r="AB58" s="350">
        <f t="shared" si="5"/>
        <v>499317.31368653738</v>
      </c>
      <c r="AC58" s="350">
        <f t="shared" si="5"/>
        <v>1064405.8944400344</v>
      </c>
    </row>
    <row r="59" spans="1:29">
      <c r="A59" s="1202">
        <v>9</v>
      </c>
      <c r="B59" s="585" t="s">
        <v>24</v>
      </c>
      <c r="C59" s="586"/>
      <c r="D59" s="586"/>
      <c r="E59" s="586"/>
      <c r="F59" s="586"/>
      <c r="G59" s="586"/>
      <c r="H59" s="586"/>
      <c r="I59" s="586"/>
      <c r="J59" s="586"/>
      <c r="K59" s="587"/>
      <c r="L59" s="586"/>
      <c r="M59" s="586"/>
      <c r="N59" s="586"/>
      <c r="O59" s="586"/>
      <c r="P59" s="586"/>
      <c r="Q59" s="586"/>
      <c r="R59" s="586"/>
      <c r="S59" s="586"/>
      <c r="T59" s="587"/>
      <c r="U59" s="586"/>
      <c r="V59" s="586"/>
      <c r="W59" s="586"/>
      <c r="X59" s="586"/>
      <c r="Y59" s="586"/>
      <c r="Z59" s="586"/>
      <c r="AA59" s="586"/>
      <c r="AB59" s="586"/>
      <c r="AC59" s="587"/>
    </row>
    <row r="60" spans="1:29">
      <c r="A60" s="1202"/>
      <c r="B60" s="588" t="s">
        <v>919</v>
      </c>
      <c r="C60" s="586">
        <v>494</v>
      </c>
      <c r="D60" s="586">
        <v>407</v>
      </c>
      <c r="E60" s="586">
        <v>901</v>
      </c>
      <c r="F60" s="586">
        <v>10</v>
      </c>
      <c r="G60" s="586"/>
      <c r="H60" s="586">
        <v>10</v>
      </c>
      <c r="I60" s="586">
        <v>3523</v>
      </c>
      <c r="J60" s="586">
        <v>4859</v>
      </c>
      <c r="K60" s="587">
        <v>8382</v>
      </c>
      <c r="L60" s="586">
        <v>23132</v>
      </c>
      <c r="M60" s="586">
        <v>22401</v>
      </c>
      <c r="N60" s="586">
        <v>45533</v>
      </c>
      <c r="O60" s="586">
        <v>131</v>
      </c>
      <c r="P60" s="586">
        <v>123</v>
      </c>
      <c r="Q60" s="586">
        <v>254</v>
      </c>
      <c r="R60" s="586">
        <v>6515</v>
      </c>
      <c r="S60" s="586">
        <v>1006</v>
      </c>
      <c r="T60" s="587">
        <v>7521</v>
      </c>
      <c r="U60" s="586">
        <v>12</v>
      </c>
      <c r="V60" s="586"/>
      <c r="W60" s="586">
        <v>12</v>
      </c>
      <c r="X60" s="586">
        <v>1581</v>
      </c>
      <c r="Y60" s="586">
        <v>1221</v>
      </c>
      <c r="Z60" s="586">
        <v>2802</v>
      </c>
      <c r="AA60" s="586">
        <v>35398</v>
      </c>
      <c r="AB60" s="586">
        <v>30017</v>
      </c>
      <c r="AC60" s="587">
        <v>65415</v>
      </c>
    </row>
    <row r="61" spans="1:29">
      <c r="A61" s="1202"/>
      <c r="B61" s="588" t="s">
        <v>876</v>
      </c>
      <c r="C61" s="589">
        <v>276</v>
      </c>
      <c r="D61" s="589">
        <v>340</v>
      </c>
      <c r="E61" s="589">
        <v>616</v>
      </c>
      <c r="F61" s="589">
        <v>6</v>
      </c>
      <c r="G61" s="589">
        <v>2</v>
      </c>
      <c r="H61" s="589">
        <v>8</v>
      </c>
      <c r="I61" s="589">
        <v>3113</v>
      </c>
      <c r="J61" s="589">
        <v>4464</v>
      </c>
      <c r="K61" s="589">
        <v>7577</v>
      </c>
      <c r="L61" s="589">
        <v>20785</v>
      </c>
      <c r="M61" s="589">
        <v>23406</v>
      </c>
      <c r="N61" s="589">
        <v>44191</v>
      </c>
      <c r="O61" s="589">
        <v>108</v>
      </c>
      <c r="P61" s="589">
        <v>139</v>
      </c>
      <c r="Q61" s="589">
        <v>247</v>
      </c>
      <c r="R61" s="589">
        <v>4677</v>
      </c>
      <c r="S61" s="589">
        <v>1593</v>
      </c>
      <c r="T61" s="589">
        <v>6270</v>
      </c>
      <c r="U61" s="589">
        <v>17</v>
      </c>
      <c r="V61" s="589">
        <v>14</v>
      </c>
      <c r="W61" s="589">
        <v>31</v>
      </c>
      <c r="X61" s="589">
        <v>422</v>
      </c>
      <c r="Y61" s="589">
        <v>923</v>
      </c>
      <c r="Z61" s="589">
        <v>1345</v>
      </c>
      <c r="AA61" s="589">
        <v>29404</v>
      </c>
      <c r="AB61" s="589">
        <v>30881</v>
      </c>
      <c r="AC61" s="589">
        <v>60285</v>
      </c>
    </row>
    <row r="62" spans="1:29">
      <c r="A62" s="1202"/>
      <c r="B62" s="590" t="s">
        <v>229</v>
      </c>
      <c r="C62" s="346">
        <v>217</v>
      </c>
      <c r="D62" s="346">
        <v>216</v>
      </c>
      <c r="E62" s="346">
        <v>433</v>
      </c>
      <c r="F62" s="346">
        <v>1</v>
      </c>
      <c r="G62" s="346">
        <v>4</v>
      </c>
      <c r="H62" s="346">
        <v>5</v>
      </c>
      <c r="I62" s="346">
        <v>2534</v>
      </c>
      <c r="J62" s="346">
        <v>4183</v>
      </c>
      <c r="K62" s="346">
        <v>6717</v>
      </c>
      <c r="L62" s="351">
        <v>17543</v>
      </c>
      <c r="M62" s="346">
        <v>21755</v>
      </c>
      <c r="N62" s="346">
        <v>39298</v>
      </c>
      <c r="O62" s="346">
        <v>105</v>
      </c>
      <c r="P62" s="346">
        <v>107</v>
      </c>
      <c r="Q62" s="346">
        <v>212</v>
      </c>
      <c r="R62" s="346">
        <v>4439</v>
      </c>
      <c r="S62" s="346">
        <v>930</v>
      </c>
      <c r="T62" s="346">
        <v>5369</v>
      </c>
      <c r="U62" s="351">
        <v>20</v>
      </c>
      <c r="V62" s="346">
        <v>4</v>
      </c>
      <c r="W62" s="346">
        <v>24</v>
      </c>
      <c r="X62" s="346">
        <v>196</v>
      </c>
      <c r="Y62" s="346">
        <v>528</v>
      </c>
      <c r="Z62" s="346">
        <v>724</v>
      </c>
      <c r="AA62" s="352">
        <v>25055</v>
      </c>
      <c r="AB62" s="352">
        <v>27727</v>
      </c>
      <c r="AC62" s="352">
        <v>52782</v>
      </c>
    </row>
    <row r="63" spans="1:29">
      <c r="A63" s="1202"/>
      <c r="B63" s="590" t="s">
        <v>228</v>
      </c>
      <c r="C63" s="551">
        <v>167</v>
      </c>
      <c r="D63" s="551">
        <v>129</v>
      </c>
      <c r="E63" s="551">
        <v>296</v>
      </c>
      <c r="F63" s="551">
        <v>0</v>
      </c>
      <c r="G63" s="551">
        <v>0</v>
      </c>
      <c r="H63" s="551">
        <v>0</v>
      </c>
      <c r="I63" s="551">
        <v>2343</v>
      </c>
      <c r="J63" s="551">
        <v>3873</v>
      </c>
      <c r="K63" s="551">
        <v>6216</v>
      </c>
      <c r="L63" s="591">
        <v>18525</v>
      </c>
      <c r="M63" s="551">
        <v>22303</v>
      </c>
      <c r="N63" s="551">
        <v>40828</v>
      </c>
      <c r="O63" s="551">
        <v>113</v>
      </c>
      <c r="P63" s="551">
        <v>84</v>
      </c>
      <c r="Q63" s="551">
        <v>197</v>
      </c>
      <c r="R63" s="551">
        <v>5595</v>
      </c>
      <c r="S63" s="551">
        <v>845</v>
      </c>
      <c r="T63" s="551">
        <v>6440</v>
      </c>
      <c r="U63" s="591">
        <v>11</v>
      </c>
      <c r="V63" s="551">
        <v>0</v>
      </c>
      <c r="W63" s="551">
        <v>11</v>
      </c>
      <c r="X63" s="551">
        <v>213</v>
      </c>
      <c r="Y63" s="551">
        <v>479</v>
      </c>
      <c r="Z63" s="551">
        <v>692</v>
      </c>
      <c r="AA63" s="551">
        <v>26967</v>
      </c>
      <c r="AB63" s="551">
        <v>27713</v>
      </c>
      <c r="AC63" s="551">
        <v>54680</v>
      </c>
    </row>
    <row r="64" spans="1:29">
      <c r="A64" s="1202"/>
      <c r="B64" s="590" t="s">
        <v>227</v>
      </c>
      <c r="C64" s="348">
        <v>71</v>
      </c>
      <c r="D64" s="348">
        <v>41</v>
      </c>
      <c r="E64" s="348">
        <v>112</v>
      </c>
      <c r="F64" s="348">
        <v>0</v>
      </c>
      <c r="G64" s="348">
        <v>0</v>
      </c>
      <c r="H64" s="348">
        <v>0</v>
      </c>
      <c r="I64" s="348">
        <v>2717.6060566671986</v>
      </c>
      <c r="J64" s="348">
        <v>3527.6443697007871</v>
      </c>
      <c r="K64" s="348">
        <v>6245.2504263679857</v>
      </c>
      <c r="L64" s="349">
        <v>15655.713183328669</v>
      </c>
      <c r="M64" s="348">
        <v>20031.159220925842</v>
      </c>
      <c r="N64" s="348">
        <v>35686.872404254507</v>
      </c>
      <c r="O64" s="348">
        <v>118</v>
      </c>
      <c r="P64" s="348">
        <v>81</v>
      </c>
      <c r="Q64" s="348">
        <v>199</v>
      </c>
      <c r="R64" s="348">
        <v>5971</v>
      </c>
      <c r="S64" s="348">
        <v>841</v>
      </c>
      <c r="T64" s="348">
        <v>6812</v>
      </c>
      <c r="U64" s="349">
        <v>12</v>
      </c>
      <c r="V64" s="348">
        <v>0</v>
      </c>
      <c r="W64" s="348">
        <v>12</v>
      </c>
      <c r="X64" s="348">
        <v>198</v>
      </c>
      <c r="Y64" s="348">
        <v>376</v>
      </c>
      <c r="Z64" s="348">
        <v>574</v>
      </c>
      <c r="AA64" s="350">
        <f t="shared" ref="AA64:AC64" si="6">C64+F64+I64+L64+O64+R64+U64+X64</f>
        <v>24743.319239995868</v>
      </c>
      <c r="AB64" s="350">
        <f t="shared" si="6"/>
        <v>24897.80359062663</v>
      </c>
      <c r="AC64" s="350">
        <f t="shared" si="6"/>
        <v>49641.122830622495</v>
      </c>
    </row>
    <row r="65" spans="1:29">
      <c r="A65" s="1202">
        <v>10</v>
      </c>
      <c r="B65" s="585" t="s">
        <v>25</v>
      </c>
      <c r="C65" s="586"/>
      <c r="D65" s="586"/>
      <c r="E65" s="586"/>
      <c r="F65" s="586"/>
      <c r="G65" s="586"/>
      <c r="H65" s="586"/>
      <c r="I65" s="586"/>
      <c r="J65" s="586"/>
      <c r="K65" s="587"/>
      <c r="L65" s="586"/>
      <c r="M65" s="586"/>
      <c r="N65" s="586"/>
      <c r="O65" s="586"/>
      <c r="P65" s="586"/>
      <c r="Q65" s="586"/>
      <c r="R65" s="586"/>
      <c r="S65" s="586"/>
      <c r="T65" s="587"/>
      <c r="U65" s="586"/>
      <c r="V65" s="586"/>
      <c r="W65" s="586"/>
      <c r="X65" s="586"/>
      <c r="Y65" s="586"/>
      <c r="Z65" s="586"/>
      <c r="AA65" s="586"/>
      <c r="AB65" s="586"/>
      <c r="AC65" s="587"/>
    </row>
    <row r="66" spans="1:29">
      <c r="A66" s="1202"/>
      <c r="B66" s="588" t="s">
        <v>919</v>
      </c>
      <c r="C66" s="586">
        <v>4799</v>
      </c>
      <c r="D66" s="586">
        <v>3734</v>
      </c>
      <c r="E66" s="586">
        <v>8533</v>
      </c>
      <c r="F66" s="586">
        <v>35</v>
      </c>
      <c r="G66" s="586">
        <v>29</v>
      </c>
      <c r="H66" s="586">
        <v>64</v>
      </c>
      <c r="I66" s="586">
        <v>97560</v>
      </c>
      <c r="J66" s="586">
        <v>118747</v>
      </c>
      <c r="K66" s="587">
        <v>216307</v>
      </c>
      <c r="L66" s="586">
        <v>775408</v>
      </c>
      <c r="M66" s="586">
        <v>592468</v>
      </c>
      <c r="N66" s="586">
        <v>1367876</v>
      </c>
      <c r="O66" s="586">
        <v>4508</v>
      </c>
      <c r="P66" s="586">
        <v>4086</v>
      </c>
      <c r="Q66" s="586">
        <v>8594</v>
      </c>
      <c r="R66" s="586">
        <v>111752</v>
      </c>
      <c r="S66" s="586">
        <v>55782</v>
      </c>
      <c r="T66" s="587">
        <v>167534</v>
      </c>
      <c r="U66" s="586">
        <v>3245</v>
      </c>
      <c r="V66" s="586">
        <v>2666</v>
      </c>
      <c r="W66" s="586">
        <v>5911</v>
      </c>
      <c r="X66" s="586">
        <v>12359</v>
      </c>
      <c r="Y66" s="586">
        <v>10484</v>
      </c>
      <c r="Z66" s="586">
        <v>22843</v>
      </c>
      <c r="AA66" s="586">
        <v>1009666</v>
      </c>
      <c r="AB66" s="586">
        <v>787996</v>
      </c>
      <c r="AC66" s="587">
        <v>1797662</v>
      </c>
    </row>
    <row r="67" spans="1:29">
      <c r="A67" s="1202"/>
      <c r="B67" s="588" t="s">
        <v>876</v>
      </c>
      <c r="C67" s="589">
        <v>4819</v>
      </c>
      <c r="D67" s="589">
        <v>3202</v>
      </c>
      <c r="E67" s="589">
        <v>8021</v>
      </c>
      <c r="F67" s="589">
        <v>135</v>
      </c>
      <c r="G67" s="589">
        <v>177</v>
      </c>
      <c r="H67" s="589">
        <v>312</v>
      </c>
      <c r="I67" s="589">
        <v>86719</v>
      </c>
      <c r="J67" s="589">
        <v>99388</v>
      </c>
      <c r="K67" s="589">
        <v>186107</v>
      </c>
      <c r="L67" s="589">
        <v>712608</v>
      </c>
      <c r="M67" s="589">
        <v>545854</v>
      </c>
      <c r="N67" s="589">
        <v>1258462</v>
      </c>
      <c r="O67" s="589">
        <v>3856</v>
      </c>
      <c r="P67" s="589">
        <v>3072</v>
      </c>
      <c r="Q67" s="589">
        <v>6928</v>
      </c>
      <c r="R67" s="589">
        <v>103346</v>
      </c>
      <c r="S67" s="589">
        <v>50683</v>
      </c>
      <c r="T67" s="589">
        <v>154029</v>
      </c>
      <c r="U67" s="589">
        <v>17256</v>
      </c>
      <c r="V67" s="589">
        <v>5035</v>
      </c>
      <c r="W67" s="589">
        <v>22291</v>
      </c>
      <c r="X67" s="589">
        <v>9405</v>
      </c>
      <c r="Y67" s="589">
        <v>7575</v>
      </c>
      <c r="Z67" s="589">
        <v>16980</v>
      </c>
      <c r="AA67" s="589">
        <v>938144</v>
      </c>
      <c r="AB67" s="589">
        <v>714986</v>
      </c>
      <c r="AC67" s="589">
        <v>1653130</v>
      </c>
    </row>
    <row r="68" spans="1:29">
      <c r="A68" s="1202"/>
      <c r="B68" s="590" t="s">
        <v>229</v>
      </c>
      <c r="C68" s="346">
        <v>4380</v>
      </c>
      <c r="D68" s="346">
        <v>3050</v>
      </c>
      <c r="E68" s="346">
        <v>7430</v>
      </c>
      <c r="F68" s="346">
        <v>468</v>
      </c>
      <c r="G68" s="346">
        <v>469</v>
      </c>
      <c r="H68" s="346">
        <v>937</v>
      </c>
      <c r="I68" s="346">
        <v>67586</v>
      </c>
      <c r="J68" s="346">
        <v>87425</v>
      </c>
      <c r="K68" s="346">
        <v>155011</v>
      </c>
      <c r="L68" s="351">
        <v>681018</v>
      </c>
      <c r="M68" s="346">
        <v>526227</v>
      </c>
      <c r="N68" s="346">
        <v>1207245</v>
      </c>
      <c r="O68" s="346">
        <v>3780</v>
      </c>
      <c r="P68" s="346">
        <v>3456</v>
      </c>
      <c r="Q68" s="346">
        <v>7236</v>
      </c>
      <c r="R68" s="346">
        <v>94560</v>
      </c>
      <c r="S68" s="346">
        <v>45181</v>
      </c>
      <c r="T68" s="346">
        <v>139741</v>
      </c>
      <c r="U68" s="351">
        <v>5540</v>
      </c>
      <c r="V68" s="346">
        <v>7185</v>
      </c>
      <c r="W68" s="346">
        <v>12725</v>
      </c>
      <c r="X68" s="346">
        <v>7635</v>
      </c>
      <c r="Y68" s="346">
        <v>6880</v>
      </c>
      <c r="Z68" s="346">
        <v>14515</v>
      </c>
      <c r="AA68" s="352">
        <v>864967</v>
      </c>
      <c r="AB68" s="352">
        <v>679873</v>
      </c>
      <c r="AC68" s="352">
        <v>1544840</v>
      </c>
    </row>
    <row r="69" spans="1:29">
      <c r="A69" s="1202"/>
      <c r="B69" s="590" t="s">
        <v>228</v>
      </c>
      <c r="C69" s="551">
        <v>3589</v>
      </c>
      <c r="D69" s="551">
        <v>2328</v>
      </c>
      <c r="E69" s="551">
        <v>5917</v>
      </c>
      <c r="F69" s="551">
        <v>470</v>
      </c>
      <c r="G69" s="551">
        <v>414</v>
      </c>
      <c r="H69" s="551">
        <v>884</v>
      </c>
      <c r="I69" s="551">
        <v>63874</v>
      </c>
      <c r="J69" s="551">
        <v>83554</v>
      </c>
      <c r="K69" s="551">
        <v>147428</v>
      </c>
      <c r="L69" s="591">
        <v>650213</v>
      </c>
      <c r="M69" s="551">
        <v>497400</v>
      </c>
      <c r="N69" s="551">
        <v>1147613</v>
      </c>
      <c r="O69" s="551">
        <v>3623</v>
      </c>
      <c r="P69" s="551">
        <v>3377</v>
      </c>
      <c r="Q69" s="551">
        <v>7000</v>
      </c>
      <c r="R69" s="551">
        <v>97626</v>
      </c>
      <c r="S69" s="551">
        <v>40902</v>
      </c>
      <c r="T69" s="551">
        <v>138528</v>
      </c>
      <c r="U69" s="591">
        <v>5824</v>
      </c>
      <c r="V69" s="551">
        <v>9742</v>
      </c>
      <c r="W69" s="551">
        <v>15566</v>
      </c>
      <c r="X69" s="551">
        <v>7727</v>
      </c>
      <c r="Y69" s="551">
        <v>7389</v>
      </c>
      <c r="Z69" s="551">
        <v>15116</v>
      </c>
      <c r="AA69" s="551">
        <v>832946</v>
      </c>
      <c r="AB69" s="551">
        <v>645106</v>
      </c>
      <c r="AC69" s="551">
        <v>1478052</v>
      </c>
    </row>
    <row r="70" spans="1:29">
      <c r="A70" s="1202"/>
      <c r="B70" s="590" t="s">
        <v>227</v>
      </c>
      <c r="C70" s="348">
        <v>3256</v>
      </c>
      <c r="D70" s="348">
        <v>1995</v>
      </c>
      <c r="E70" s="348">
        <v>5251</v>
      </c>
      <c r="F70" s="348">
        <v>306</v>
      </c>
      <c r="G70" s="348">
        <v>291</v>
      </c>
      <c r="H70" s="348">
        <v>597</v>
      </c>
      <c r="I70" s="348">
        <v>62301</v>
      </c>
      <c r="J70" s="348">
        <v>76475</v>
      </c>
      <c r="K70" s="348">
        <v>138776</v>
      </c>
      <c r="L70" s="349">
        <v>642272</v>
      </c>
      <c r="M70" s="348">
        <v>487400</v>
      </c>
      <c r="N70" s="348">
        <v>1129672</v>
      </c>
      <c r="O70" s="348">
        <v>3485</v>
      </c>
      <c r="P70" s="348">
        <v>3341</v>
      </c>
      <c r="Q70" s="348">
        <v>6826</v>
      </c>
      <c r="R70" s="348">
        <v>103277</v>
      </c>
      <c r="S70" s="348">
        <v>38690</v>
      </c>
      <c r="T70" s="348">
        <v>141967</v>
      </c>
      <c r="U70" s="349">
        <v>5599</v>
      </c>
      <c r="V70" s="348">
        <v>10162</v>
      </c>
      <c r="W70" s="348">
        <v>15761</v>
      </c>
      <c r="X70" s="348">
        <v>7115</v>
      </c>
      <c r="Y70" s="348">
        <v>7290</v>
      </c>
      <c r="Z70" s="348">
        <v>14405</v>
      </c>
      <c r="AA70" s="350">
        <f t="shared" ref="AA70:AC70" si="7">C70+F70+I70+L70+O70+R70+U70+X70</f>
        <v>827611</v>
      </c>
      <c r="AB70" s="350">
        <f t="shared" si="7"/>
        <v>625644</v>
      </c>
      <c r="AC70" s="350">
        <f t="shared" si="7"/>
        <v>1453255</v>
      </c>
    </row>
    <row r="71" spans="1:29">
      <c r="A71" s="1202">
        <v>11</v>
      </c>
      <c r="B71" s="585" t="s">
        <v>26</v>
      </c>
      <c r="C71" s="586"/>
      <c r="D71" s="586"/>
      <c r="E71" s="586"/>
      <c r="F71" s="586"/>
      <c r="G71" s="586"/>
      <c r="H71" s="586"/>
      <c r="I71" s="586"/>
      <c r="J71" s="586"/>
      <c r="K71" s="587"/>
      <c r="L71" s="586"/>
      <c r="M71" s="586"/>
      <c r="N71" s="586"/>
      <c r="O71" s="586"/>
      <c r="P71" s="586"/>
      <c r="Q71" s="586"/>
      <c r="R71" s="586"/>
      <c r="S71" s="586"/>
      <c r="T71" s="587"/>
      <c r="U71" s="586"/>
      <c r="V71" s="586"/>
      <c r="W71" s="586"/>
      <c r="X71" s="586"/>
      <c r="Y71" s="586"/>
      <c r="Z71" s="586"/>
      <c r="AA71" s="586"/>
      <c r="AB71" s="586"/>
      <c r="AC71" s="587"/>
    </row>
    <row r="72" spans="1:29">
      <c r="A72" s="1202"/>
      <c r="B72" s="588" t="s">
        <v>919</v>
      </c>
      <c r="C72" s="586">
        <v>1784</v>
      </c>
      <c r="D72" s="586">
        <v>2385</v>
      </c>
      <c r="E72" s="586">
        <v>4169</v>
      </c>
      <c r="F72" s="586">
        <v>16</v>
      </c>
      <c r="G72" s="586">
        <v>32</v>
      </c>
      <c r="H72" s="586">
        <v>48</v>
      </c>
      <c r="I72" s="586">
        <v>57199</v>
      </c>
      <c r="J72" s="586">
        <v>98973</v>
      </c>
      <c r="K72" s="587">
        <v>156172</v>
      </c>
      <c r="L72" s="586">
        <v>405310</v>
      </c>
      <c r="M72" s="586">
        <v>417253</v>
      </c>
      <c r="N72" s="586">
        <v>822563</v>
      </c>
      <c r="O72" s="586">
        <v>1801</v>
      </c>
      <c r="P72" s="586">
        <v>1734</v>
      </c>
      <c r="Q72" s="586">
        <v>3535</v>
      </c>
      <c r="R72" s="586">
        <v>63957</v>
      </c>
      <c r="S72" s="586">
        <v>31839</v>
      </c>
      <c r="T72" s="587">
        <v>95796</v>
      </c>
      <c r="U72" s="586">
        <v>298</v>
      </c>
      <c r="V72" s="586">
        <v>522</v>
      </c>
      <c r="W72" s="586">
        <v>820</v>
      </c>
      <c r="X72" s="586">
        <v>11781</v>
      </c>
      <c r="Y72" s="586">
        <v>9648</v>
      </c>
      <c r="Z72" s="586">
        <v>21429</v>
      </c>
      <c r="AA72" s="586">
        <v>542146</v>
      </c>
      <c r="AB72" s="586">
        <v>562386</v>
      </c>
      <c r="AC72" s="587">
        <v>1104532</v>
      </c>
    </row>
    <row r="73" spans="1:29">
      <c r="A73" s="1202"/>
      <c r="B73" s="588" t="s">
        <v>876</v>
      </c>
      <c r="C73" s="589">
        <v>2046</v>
      </c>
      <c r="D73" s="589">
        <v>2502</v>
      </c>
      <c r="E73" s="589">
        <v>4548</v>
      </c>
      <c r="F73" s="589">
        <v>104</v>
      </c>
      <c r="G73" s="589">
        <v>142</v>
      </c>
      <c r="H73" s="589">
        <v>246</v>
      </c>
      <c r="I73" s="589">
        <v>50192</v>
      </c>
      <c r="J73" s="589">
        <v>80377</v>
      </c>
      <c r="K73" s="589">
        <v>130569</v>
      </c>
      <c r="L73" s="589">
        <v>392179</v>
      </c>
      <c r="M73" s="589">
        <v>389514</v>
      </c>
      <c r="N73" s="589">
        <v>781693</v>
      </c>
      <c r="O73" s="589">
        <v>1596</v>
      </c>
      <c r="P73" s="589">
        <v>1331</v>
      </c>
      <c r="Q73" s="589">
        <v>2927</v>
      </c>
      <c r="R73" s="589">
        <v>61163</v>
      </c>
      <c r="S73" s="589">
        <v>28798</v>
      </c>
      <c r="T73" s="589">
        <v>89961</v>
      </c>
      <c r="U73" s="589">
        <v>693</v>
      </c>
      <c r="V73" s="589">
        <v>991</v>
      </c>
      <c r="W73" s="589">
        <v>1684</v>
      </c>
      <c r="X73" s="589">
        <v>9840</v>
      </c>
      <c r="Y73" s="589">
        <v>7691</v>
      </c>
      <c r="Z73" s="589">
        <v>17531</v>
      </c>
      <c r="AA73" s="589">
        <v>517813</v>
      </c>
      <c r="AB73" s="589">
        <v>511346</v>
      </c>
      <c r="AC73" s="589">
        <v>1029159</v>
      </c>
    </row>
    <row r="74" spans="1:29">
      <c r="A74" s="1202"/>
      <c r="B74" s="590" t="s">
        <v>229</v>
      </c>
      <c r="C74" s="346">
        <v>1810</v>
      </c>
      <c r="D74" s="346">
        <v>2356</v>
      </c>
      <c r="E74" s="346">
        <v>4166</v>
      </c>
      <c r="F74" s="346">
        <v>80</v>
      </c>
      <c r="G74" s="346">
        <v>230</v>
      </c>
      <c r="H74" s="346">
        <v>310</v>
      </c>
      <c r="I74" s="346">
        <v>41587</v>
      </c>
      <c r="J74" s="346">
        <v>69928</v>
      </c>
      <c r="K74" s="346">
        <v>111515</v>
      </c>
      <c r="L74" s="351">
        <v>354321</v>
      </c>
      <c r="M74" s="346">
        <v>368329</v>
      </c>
      <c r="N74" s="346">
        <v>722650</v>
      </c>
      <c r="O74" s="346">
        <v>2059</v>
      </c>
      <c r="P74" s="346">
        <v>1672</v>
      </c>
      <c r="Q74" s="346">
        <v>3731</v>
      </c>
      <c r="R74" s="346">
        <v>49706</v>
      </c>
      <c r="S74" s="346">
        <v>21579</v>
      </c>
      <c r="T74" s="346">
        <v>71285</v>
      </c>
      <c r="U74" s="351">
        <v>1621</v>
      </c>
      <c r="V74" s="346">
        <v>1778</v>
      </c>
      <c r="W74" s="346">
        <v>3399</v>
      </c>
      <c r="X74" s="346">
        <v>9303</v>
      </c>
      <c r="Y74" s="346">
        <v>7182</v>
      </c>
      <c r="Z74" s="346">
        <v>16485</v>
      </c>
      <c r="AA74" s="352">
        <v>460487</v>
      </c>
      <c r="AB74" s="352">
        <v>473054</v>
      </c>
      <c r="AC74" s="352">
        <v>933541</v>
      </c>
    </row>
    <row r="75" spans="1:29">
      <c r="A75" s="1202"/>
      <c r="B75" s="590" t="s">
        <v>228</v>
      </c>
      <c r="C75" s="551">
        <v>1855</v>
      </c>
      <c r="D75" s="551">
        <v>1991</v>
      </c>
      <c r="E75" s="551">
        <v>3846</v>
      </c>
      <c r="F75" s="551">
        <v>154</v>
      </c>
      <c r="G75" s="551">
        <v>287</v>
      </c>
      <c r="H75" s="551">
        <v>441</v>
      </c>
      <c r="I75" s="551">
        <v>39800</v>
      </c>
      <c r="J75" s="551">
        <v>69046</v>
      </c>
      <c r="K75" s="551">
        <v>108846</v>
      </c>
      <c r="L75" s="591">
        <v>353487</v>
      </c>
      <c r="M75" s="551">
        <v>368952</v>
      </c>
      <c r="N75" s="551">
        <v>722439</v>
      </c>
      <c r="O75" s="551">
        <v>1917</v>
      </c>
      <c r="P75" s="551">
        <v>1507</v>
      </c>
      <c r="Q75" s="551">
        <v>3424</v>
      </c>
      <c r="R75" s="551">
        <v>50412</v>
      </c>
      <c r="S75" s="551">
        <v>22284</v>
      </c>
      <c r="T75" s="551">
        <v>72696</v>
      </c>
      <c r="U75" s="591">
        <v>1175</v>
      </c>
      <c r="V75" s="551">
        <v>1577</v>
      </c>
      <c r="W75" s="551">
        <v>2752</v>
      </c>
      <c r="X75" s="551">
        <v>8489</v>
      </c>
      <c r="Y75" s="551">
        <v>5960</v>
      </c>
      <c r="Z75" s="551">
        <v>14449</v>
      </c>
      <c r="AA75" s="551">
        <v>457289</v>
      </c>
      <c r="AB75" s="551">
        <v>471604</v>
      </c>
      <c r="AC75" s="551">
        <v>928893</v>
      </c>
    </row>
    <row r="76" spans="1:29">
      <c r="A76" s="1202"/>
      <c r="B76" s="590" t="s">
        <v>227</v>
      </c>
      <c r="C76" s="348">
        <v>1632</v>
      </c>
      <c r="D76" s="348">
        <v>1696</v>
      </c>
      <c r="E76" s="348">
        <v>3328</v>
      </c>
      <c r="F76" s="348">
        <v>170</v>
      </c>
      <c r="G76" s="348">
        <v>270</v>
      </c>
      <c r="H76" s="348">
        <v>440</v>
      </c>
      <c r="I76" s="348">
        <v>47613.360389324749</v>
      </c>
      <c r="J76" s="348">
        <v>82880.467817951023</v>
      </c>
      <c r="K76" s="348">
        <v>130493.82820727579</v>
      </c>
      <c r="L76" s="349">
        <v>361144.02289604669</v>
      </c>
      <c r="M76" s="348">
        <v>332361.36593495507</v>
      </c>
      <c r="N76" s="348">
        <v>693505.38883100171</v>
      </c>
      <c r="O76" s="348">
        <v>1846</v>
      </c>
      <c r="P76" s="348">
        <v>1200</v>
      </c>
      <c r="Q76" s="348">
        <v>3046</v>
      </c>
      <c r="R76" s="348">
        <v>45449</v>
      </c>
      <c r="S76" s="348">
        <v>20955</v>
      </c>
      <c r="T76" s="348">
        <v>66404</v>
      </c>
      <c r="U76" s="349">
        <v>1241</v>
      </c>
      <c r="V76" s="348">
        <v>1833</v>
      </c>
      <c r="W76" s="348">
        <v>3074</v>
      </c>
      <c r="X76" s="348">
        <v>8294</v>
      </c>
      <c r="Y76" s="348">
        <v>4858</v>
      </c>
      <c r="Z76" s="348">
        <v>13152</v>
      </c>
      <c r="AA76" s="350">
        <f t="shared" ref="AA76:AC76" si="8">C76+F76+I76+L76+O76+R76+U76+X76</f>
        <v>467389.38328537147</v>
      </c>
      <c r="AB76" s="350">
        <f t="shared" si="8"/>
        <v>446053.83375290607</v>
      </c>
      <c r="AC76" s="350">
        <f t="shared" si="8"/>
        <v>913443.21703827754</v>
      </c>
    </row>
    <row r="77" spans="1:29">
      <c r="A77" s="1202">
        <v>12</v>
      </c>
      <c r="B77" s="585" t="s">
        <v>27</v>
      </c>
      <c r="C77" s="586"/>
      <c r="D77" s="586"/>
      <c r="E77" s="586"/>
      <c r="F77" s="586"/>
      <c r="G77" s="586"/>
      <c r="H77" s="586"/>
      <c r="I77" s="586"/>
      <c r="J77" s="586"/>
      <c r="K77" s="587"/>
      <c r="L77" s="586"/>
      <c r="M77" s="586"/>
      <c r="N77" s="586"/>
      <c r="O77" s="586"/>
      <c r="P77" s="586"/>
      <c r="Q77" s="586"/>
      <c r="R77" s="586"/>
      <c r="S77" s="586"/>
      <c r="T77" s="587"/>
      <c r="U77" s="586"/>
      <c r="V77" s="586"/>
      <c r="W77" s="586"/>
      <c r="X77" s="586"/>
      <c r="Y77" s="586"/>
      <c r="Z77" s="586"/>
      <c r="AA77" s="586"/>
      <c r="AB77" s="586"/>
      <c r="AC77" s="587"/>
    </row>
    <row r="78" spans="1:29">
      <c r="A78" s="1202"/>
      <c r="B78" s="588" t="s">
        <v>919</v>
      </c>
      <c r="C78" s="586">
        <v>1028</v>
      </c>
      <c r="D78" s="586">
        <v>1055</v>
      </c>
      <c r="E78" s="586">
        <v>2083</v>
      </c>
      <c r="F78" s="586">
        <v>44</v>
      </c>
      <c r="G78" s="586">
        <v>38</v>
      </c>
      <c r="H78" s="586">
        <v>82</v>
      </c>
      <c r="I78" s="586">
        <v>15071</v>
      </c>
      <c r="J78" s="586">
        <v>18862</v>
      </c>
      <c r="K78" s="587">
        <v>33933</v>
      </c>
      <c r="L78" s="586">
        <v>119249</v>
      </c>
      <c r="M78" s="586">
        <v>141142</v>
      </c>
      <c r="N78" s="586">
        <v>260391</v>
      </c>
      <c r="O78" s="586">
        <v>970</v>
      </c>
      <c r="P78" s="586">
        <v>917</v>
      </c>
      <c r="Q78" s="586">
        <v>1887</v>
      </c>
      <c r="R78" s="586">
        <v>8944</v>
      </c>
      <c r="S78" s="586">
        <v>9189</v>
      </c>
      <c r="T78" s="587">
        <v>18133</v>
      </c>
      <c r="U78" s="586">
        <v>333</v>
      </c>
      <c r="V78" s="586">
        <v>204</v>
      </c>
      <c r="W78" s="586">
        <v>537</v>
      </c>
      <c r="X78" s="586">
        <v>1504</v>
      </c>
      <c r="Y78" s="586">
        <v>1101</v>
      </c>
      <c r="Z78" s="586">
        <v>2605</v>
      </c>
      <c r="AA78" s="586">
        <v>147143</v>
      </c>
      <c r="AB78" s="586">
        <v>172508</v>
      </c>
      <c r="AC78" s="587">
        <v>319651</v>
      </c>
    </row>
    <row r="79" spans="1:29">
      <c r="A79" s="1202"/>
      <c r="B79" s="588" t="s">
        <v>876</v>
      </c>
      <c r="C79" s="589">
        <v>1100</v>
      </c>
      <c r="D79" s="589">
        <v>1012</v>
      </c>
      <c r="E79" s="589">
        <v>2112</v>
      </c>
      <c r="F79" s="589">
        <v>136</v>
      </c>
      <c r="G79" s="589">
        <v>134</v>
      </c>
      <c r="H79" s="589">
        <v>270</v>
      </c>
      <c r="I79" s="589">
        <v>13471</v>
      </c>
      <c r="J79" s="589">
        <v>16133</v>
      </c>
      <c r="K79" s="589">
        <v>29604</v>
      </c>
      <c r="L79" s="589">
        <v>107717</v>
      </c>
      <c r="M79" s="589">
        <v>128469</v>
      </c>
      <c r="N79" s="589">
        <v>236186</v>
      </c>
      <c r="O79" s="589">
        <v>730</v>
      </c>
      <c r="P79" s="589">
        <v>753</v>
      </c>
      <c r="Q79" s="589">
        <v>1483</v>
      </c>
      <c r="R79" s="589">
        <v>8214</v>
      </c>
      <c r="S79" s="589">
        <v>8687</v>
      </c>
      <c r="T79" s="589">
        <v>16901</v>
      </c>
      <c r="U79" s="589">
        <v>324</v>
      </c>
      <c r="V79" s="589">
        <v>236</v>
      </c>
      <c r="W79" s="589">
        <v>560</v>
      </c>
      <c r="X79" s="589">
        <v>1504</v>
      </c>
      <c r="Y79" s="589">
        <v>965</v>
      </c>
      <c r="Z79" s="589">
        <v>2469</v>
      </c>
      <c r="AA79" s="589">
        <v>133196</v>
      </c>
      <c r="AB79" s="589">
        <v>156389</v>
      </c>
      <c r="AC79" s="589">
        <v>289585</v>
      </c>
    </row>
    <row r="80" spans="1:29">
      <c r="A80" s="1202"/>
      <c r="B80" s="590" t="s">
        <v>229</v>
      </c>
      <c r="C80" s="346">
        <v>1027</v>
      </c>
      <c r="D80" s="346">
        <v>897</v>
      </c>
      <c r="E80" s="346">
        <v>1924</v>
      </c>
      <c r="F80" s="346">
        <v>118</v>
      </c>
      <c r="G80" s="346">
        <v>214</v>
      </c>
      <c r="H80" s="346">
        <v>332</v>
      </c>
      <c r="I80" s="346">
        <v>12488</v>
      </c>
      <c r="J80" s="346">
        <v>16079</v>
      </c>
      <c r="K80" s="346">
        <v>28567</v>
      </c>
      <c r="L80" s="351">
        <v>107453</v>
      </c>
      <c r="M80" s="346">
        <v>129428</v>
      </c>
      <c r="N80" s="346">
        <v>236881</v>
      </c>
      <c r="O80" s="346">
        <v>1049</v>
      </c>
      <c r="P80" s="346">
        <v>1240</v>
      </c>
      <c r="Q80" s="346">
        <v>2289</v>
      </c>
      <c r="R80" s="346">
        <v>8515</v>
      </c>
      <c r="S80" s="346">
        <v>8198</v>
      </c>
      <c r="T80" s="346">
        <v>16713</v>
      </c>
      <c r="U80" s="351">
        <v>591</v>
      </c>
      <c r="V80" s="346">
        <v>678</v>
      </c>
      <c r="W80" s="346">
        <v>1269</v>
      </c>
      <c r="X80" s="346">
        <v>990</v>
      </c>
      <c r="Y80" s="346">
        <v>523</v>
      </c>
      <c r="Z80" s="346">
        <v>1513</v>
      </c>
      <c r="AA80" s="352">
        <v>132231</v>
      </c>
      <c r="AB80" s="352">
        <v>157257</v>
      </c>
      <c r="AC80" s="352">
        <v>289488</v>
      </c>
    </row>
    <row r="81" spans="1:29">
      <c r="A81" s="1202"/>
      <c r="B81" s="590" t="s">
        <v>228</v>
      </c>
      <c r="C81" s="551">
        <v>1121</v>
      </c>
      <c r="D81" s="551">
        <v>794</v>
      </c>
      <c r="E81" s="551">
        <v>1915</v>
      </c>
      <c r="F81" s="551">
        <v>95</v>
      </c>
      <c r="G81" s="551">
        <v>179</v>
      </c>
      <c r="H81" s="551">
        <v>274</v>
      </c>
      <c r="I81" s="551">
        <v>12156</v>
      </c>
      <c r="J81" s="551">
        <v>15978</v>
      </c>
      <c r="K81" s="551">
        <v>28134</v>
      </c>
      <c r="L81" s="591">
        <v>105035</v>
      </c>
      <c r="M81" s="551">
        <v>127077</v>
      </c>
      <c r="N81" s="551">
        <v>232112</v>
      </c>
      <c r="O81" s="551">
        <v>876</v>
      </c>
      <c r="P81" s="551">
        <v>717</v>
      </c>
      <c r="Q81" s="551">
        <v>1593</v>
      </c>
      <c r="R81" s="551">
        <v>8354</v>
      </c>
      <c r="S81" s="551">
        <v>8197</v>
      </c>
      <c r="T81" s="551">
        <v>16551</v>
      </c>
      <c r="U81" s="591">
        <v>899</v>
      </c>
      <c r="V81" s="551">
        <v>1050</v>
      </c>
      <c r="W81" s="551">
        <v>1949</v>
      </c>
      <c r="X81" s="551">
        <v>913</v>
      </c>
      <c r="Y81" s="551">
        <v>419</v>
      </c>
      <c r="Z81" s="551">
        <v>1332</v>
      </c>
      <c r="AA81" s="551">
        <v>129449</v>
      </c>
      <c r="AB81" s="551">
        <v>154411</v>
      </c>
      <c r="AC81" s="551">
        <v>283860</v>
      </c>
    </row>
    <row r="82" spans="1:29">
      <c r="A82" s="1202"/>
      <c r="B82" s="590" t="s">
        <v>227</v>
      </c>
      <c r="C82" s="348">
        <v>906</v>
      </c>
      <c r="D82" s="348">
        <v>794</v>
      </c>
      <c r="E82" s="348">
        <v>1700</v>
      </c>
      <c r="F82" s="348">
        <v>92</v>
      </c>
      <c r="G82" s="348">
        <v>167</v>
      </c>
      <c r="H82" s="348">
        <v>259</v>
      </c>
      <c r="I82" s="348">
        <v>15003</v>
      </c>
      <c r="J82" s="348">
        <v>17158</v>
      </c>
      <c r="K82" s="348">
        <v>32161</v>
      </c>
      <c r="L82" s="349">
        <v>102122</v>
      </c>
      <c r="M82" s="348">
        <v>118598</v>
      </c>
      <c r="N82" s="348">
        <v>220720</v>
      </c>
      <c r="O82" s="348">
        <v>930</v>
      </c>
      <c r="P82" s="348">
        <v>1180</v>
      </c>
      <c r="Q82" s="348">
        <v>2110</v>
      </c>
      <c r="R82" s="348">
        <v>7949</v>
      </c>
      <c r="S82" s="348">
        <v>8227</v>
      </c>
      <c r="T82" s="348">
        <v>16176</v>
      </c>
      <c r="U82" s="349">
        <v>572</v>
      </c>
      <c r="V82" s="348">
        <v>851</v>
      </c>
      <c r="W82" s="348">
        <v>1423</v>
      </c>
      <c r="X82" s="348">
        <v>762</v>
      </c>
      <c r="Y82" s="348">
        <v>397</v>
      </c>
      <c r="Z82" s="348">
        <v>1159</v>
      </c>
      <c r="AA82" s="350">
        <f t="shared" ref="AA82:AC82" si="9">C82+F82+I82+L82+O82+R82+U82+X82</f>
        <v>128336</v>
      </c>
      <c r="AB82" s="350">
        <f t="shared" si="9"/>
        <v>147372</v>
      </c>
      <c r="AC82" s="350">
        <f t="shared" si="9"/>
        <v>275708</v>
      </c>
    </row>
    <row r="83" spans="1:29">
      <c r="A83" s="1202">
        <v>13</v>
      </c>
      <c r="B83" s="585" t="s">
        <v>57</v>
      </c>
      <c r="C83" s="586"/>
      <c r="D83" s="586"/>
      <c r="E83" s="586"/>
      <c r="F83" s="586"/>
      <c r="G83" s="586"/>
      <c r="H83" s="586"/>
      <c r="I83" s="586"/>
      <c r="J83" s="586"/>
      <c r="K83" s="587"/>
      <c r="L83" s="586"/>
      <c r="M83" s="586"/>
      <c r="N83" s="586"/>
      <c r="O83" s="586"/>
      <c r="P83" s="586"/>
      <c r="Q83" s="586"/>
      <c r="R83" s="586"/>
      <c r="S83" s="586"/>
      <c r="T83" s="587"/>
      <c r="U83" s="586"/>
      <c r="V83" s="586"/>
      <c r="W83" s="586"/>
      <c r="X83" s="586"/>
      <c r="Y83" s="586"/>
      <c r="Z83" s="586"/>
      <c r="AA83" s="586"/>
      <c r="AB83" s="586"/>
      <c r="AC83" s="587"/>
    </row>
    <row r="84" spans="1:29">
      <c r="A84" s="1202"/>
      <c r="B84" s="588" t="s">
        <v>919</v>
      </c>
      <c r="C84" s="586">
        <v>1879</v>
      </c>
      <c r="D84" s="586">
        <v>1923</v>
      </c>
      <c r="E84" s="586">
        <v>3802</v>
      </c>
      <c r="F84" s="586">
        <v>41</v>
      </c>
      <c r="G84" s="586">
        <v>82</v>
      </c>
      <c r="H84" s="586">
        <v>123</v>
      </c>
      <c r="I84" s="586">
        <v>30709</v>
      </c>
      <c r="J84" s="586">
        <v>41398</v>
      </c>
      <c r="K84" s="587">
        <v>72107</v>
      </c>
      <c r="L84" s="586">
        <v>145870</v>
      </c>
      <c r="M84" s="586">
        <v>147226</v>
      </c>
      <c r="N84" s="586">
        <v>293096</v>
      </c>
      <c r="O84" s="586">
        <v>777</v>
      </c>
      <c r="P84" s="586">
        <v>483</v>
      </c>
      <c r="Q84" s="586">
        <v>1260</v>
      </c>
      <c r="R84" s="586">
        <v>9080</v>
      </c>
      <c r="S84" s="586">
        <v>10909</v>
      </c>
      <c r="T84" s="587">
        <v>19989</v>
      </c>
      <c r="U84" s="586">
        <v>410</v>
      </c>
      <c r="V84" s="586">
        <v>489</v>
      </c>
      <c r="W84" s="586">
        <v>899</v>
      </c>
      <c r="X84" s="586">
        <v>4188</v>
      </c>
      <c r="Y84" s="586">
        <v>4959</v>
      </c>
      <c r="Z84" s="586">
        <v>9147</v>
      </c>
      <c r="AA84" s="586">
        <v>192954</v>
      </c>
      <c r="AB84" s="586">
        <v>207469</v>
      </c>
      <c r="AC84" s="587">
        <v>400423</v>
      </c>
    </row>
    <row r="85" spans="1:29">
      <c r="A85" s="1202"/>
      <c r="B85" s="588" t="s">
        <v>876</v>
      </c>
      <c r="C85" s="589">
        <v>2412</v>
      </c>
      <c r="D85" s="589">
        <v>2033</v>
      </c>
      <c r="E85" s="589">
        <v>4445</v>
      </c>
      <c r="F85" s="589">
        <v>117</v>
      </c>
      <c r="G85" s="589">
        <v>180</v>
      </c>
      <c r="H85" s="589">
        <v>297</v>
      </c>
      <c r="I85" s="589">
        <v>29946</v>
      </c>
      <c r="J85" s="589">
        <v>36342</v>
      </c>
      <c r="K85" s="589">
        <v>66288</v>
      </c>
      <c r="L85" s="589">
        <v>141590</v>
      </c>
      <c r="M85" s="589">
        <v>147415</v>
      </c>
      <c r="N85" s="589">
        <v>289005</v>
      </c>
      <c r="O85" s="589">
        <v>1183</v>
      </c>
      <c r="P85" s="589">
        <v>646</v>
      </c>
      <c r="Q85" s="589">
        <v>1829</v>
      </c>
      <c r="R85" s="589">
        <v>12879</v>
      </c>
      <c r="S85" s="589">
        <v>12592</v>
      </c>
      <c r="T85" s="589">
        <v>25471</v>
      </c>
      <c r="U85" s="589">
        <v>840</v>
      </c>
      <c r="V85" s="589">
        <v>769</v>
      </c>
      <c r="W85" s="589">
        <v>1609</v>
      </c>
      <c r="X85" s="589">
        <v>4509</v>
      </c>
      <c r="Y85" s="589">
        <v>5401</v>
      </c>
      <c r="Z85" s="589">
        <v>9910</v>
      </c>
      <c r="AA85" s="589">
        <v>193476</v>
      </c>
      <c r="AB85" s="589">
        <v>205378</v>
      </c>
      <c r="AC85" s="589">
        <v>398854</v>
      </c>
    </row>
    <row r="86" spans="1:29">
      <c r="A86" s="1202"/>
      <c r="B86" s="590" t="s">
        <v>229</v>
      </c>
      <c r="C86" s="346">
        <v>2080</v>
      </c>
      <c r="D86" s="346">
        <v>1909</v>
      </c>
      <c r="E86" s="346">
        <v>3989</v>
      </c>
      <c r="F86" s="346">
        <v>94</v>
      </c>
      <c r="G86" s="346">
        <v>156</v>
      </c>
      <c r="H86" s="346">
        <v>250</v>
      </c>
      <c r="I86" s="346">
        <v>28673</v>
      </c>
      <c r="J86" s="346">
        <v>34950</v>
      </c>
      <c r="K86" s="346">
        <v>63623</v>
      </c>
      <c r="L86" s="351">
        <v>154680</v>
      </c>
      <c r="M86" s="346">
        <v>147209</v>
      </c>
      <c r="N86" s="346">
        <v>301889</v>
      </c>
      <c r="O86" s="346">
        <v>931</v>
      </c>
      <c r="P86" s="346">
        <v>620</v>
      </c>
      <c r="Q86" s="346">
        <v>1551</v>
      </c>
      <c r="R86" s="346">
        <v>8951</v>
      </c>
      <c r="S86" s="346">
        <v>6660</v>
      </c>
      <c r="T86" s="346">
        <v>15611</v>
      </c>
      <c r="U86" s="351">
        <v>994</v>
      </c>
      <c r="V86" s="346">
        <v>1123</v>
      </c>
      <c r="W86" s="346">
        <v>2117</v>
      </c>
      <c r="X86" s="346">
        <v>2846</v>
      </c>
      <c r="Y86" s="346">
        <v>3540</v>
      </c>
      <c r="Z86" s="346">
        <v>6386</v>
      </c>
      <c r="AA86" s="352">
        <v>199249</v>
      </c>
      <c r="AB86" s="352">
        <v>196167</v>
      </c>
      <c r="AC86" s="352">
        <v>395416</v>
      </c>
    </row>
    <row r="87" spans="1:29">
      <c r="A87" s="1202"/>
      <c r="B87" s="590" t="s">
        <v>228</v>
      </c>
      <c r="C87" s="551">
        <v>1392</v>
      </c>
      <c r="D87" s="551">
        <v>1291</v>
      </c>
      <c r="E87" s="551">
        <v>2683</v>
      </c>
      <c r="F87" s="551">
        <v>143</v>
      </c>
      <c r="G87" s="551">
        <v>174</v>
      </c>
      <c r="H87" s="551">
        <v>317</v>
      </c>
      <c r="I87" s="551">
        <v>29721</v>
      </c>
      <c r="J87" s="551">
        <v>36407</v>
      </c>
      <c r="K87" s="551">
        <v>66128</v>
      </c>
      <c r="L87" s="591">
        <v>151657</v>
      </c>
      <c r="M87" s="551">
        <v>152874</v>
      </c>
      <c r="N87" s="551">
        <v>304531</v>
      </c>
      <c r="O87" s="551">
        <v>1031</v>
      </c>
      <c r="P87" s="551">
        <v>719</v>
      </c>
      <c r="Q87" s="551">
        <v>1750</v>
      </c>
      <c r="R87" s="551">
        <v>8584</v>
      </c>
      <c r="S87" s="551">
        <v>4354</v>
      </c>
      <c r="T87" s="551">
        <v>12938</v>
      </c>
      <c r="U87" s="591">
        <v>124</v>
      </c>
      <c r="V87" s="551">
        <v>116</v>
      </c>
      <c r="W87" s="551">
        <v>240</v>
      </c>
      <c r="X87" s="551">
        <v>2618</v>
      </c>
      <c r="Y87" s="551">
        <v>2894</v>
      </c>
      <c r="Z87" s="551">
        <v>5512</v>
      </c>
      <c r="AA87" s="551">
        <v>195270</v>
      </c>
      <c r="AB87" s="551">
        <v>198829</v>
      </c>
      <c r="AC87" s="551">
        <v>394099</v>
      </c>
    </row>
    <row r="88" spans="1:29">
      <c r="A88" s="1202"/>
      <c r="B88" s="590" t="s">
        <v>227</v>
      </c>
      <c r="C88" s="348">
        <v>1235</v>
      </c>
      <c r="D88" s="348">
        <v>1261</v>
      </c>
      <c r="E88" s="348">
        <v>2496</v>
      </c>
      <c r="F88" s="348">
        <v>119</v>
      </c>
      <c r="G88" s="348">
        <v>123</v>
      </c>
      <c r="H88" s="348">
        <v>242</v>
      </c>
      <c r="I88" s="348">
        <v>37273.65227753076</v>
      </c>
      <c r="J88" s="348">
        <v>34486.068873210868</v>
      </c>
      <c r="K88" s="348">
        <v>71759.721150741621</v>
      </c>
      <c r="L88" s="349">
        <v>127724.85163934874</v>
      </c>
      <c r="M88" s="348">
        <v>139845.2367343462</v>
      </c>
      <c r="N88" s="348">
        <v>267570.08837369492</v>
      </c>
      <c r="O88" s="348">
        <v>1254</v>
      </c>
      <c r="P88" s="348">
        <v>899</v>
      </c>
      <c r="Q88" s="348">
        <v>2153</v>
      </c>
      <c r="R88" s="348">
        <v>7875</v>
      </c>
      <c r="S88" s="348">
        <v>3716</v>
      </c>
      <c r="T88" s="348">
        <v>11591</v>
      </c>
      <c r="U88" s="349">
        <v>8</v>
      </c>
      <c r="V88" s="348">
        <v>3</v>
      </c>
      <c r="W88" s="348">
        <v>11</v>
      </c>
      <c r="X88" s="348">
        <v>1532</v>
      </c>
      <c r="Y88" s="348">
        <v>1875</v>
      </c>
      <c r="Z88" s="348">
        <v>3407</v>
      </c>
      <c r="AA88" s="350">
        <f t="shared" ref="AA88:AC88" si="10">C88+F88+I88+L88+O88+R88+U88+X88</f>
        <v>177021.5039168795</v>
      </c>
      <c r="AB88" s="350">
        <f t="shared" si="10"/>
        <v>182208.30560755706</v>
      </c>
      <c r="AC88" s="350">
        <f t="shared" si="10"/>
        <v>359229.80952443654</v>
      </c>
    </row>
    <row r="89" spans="1:29">
      <c r="A89" s="1202">
        <v>14</v>
      </c>
      <c r="B89" s="585" t="s">
        <v>29</v>
      </c>
      <c r="C89" s="586"/>
      <c r="D89" s="586"/>
      <c r="E89" s="586"/>
      <c r="F89" s="586"/>
      <c r="G89" s="586"/>
      <c r="H89" s="586"/>
      <c r="I89" s="586"/>
      <c r="J89" s="586"/>
      <c r="K89" s="587"/>
      <c r="L89" s="586"/>
      <c r="M89" s="586"/>
      <c r="N89" s="586"/>
      <c r="O89" s="586"/>
      <c r="P89" s="586"/>
      <c r="Q89" s="586"/>
      <c r="R89" s="586"/>
      <c r="S89" s="586"/>
      <c r="T89" s="587"/>
      <c r="U89" s="586"/>
      <c r="V89" s="586"/>
      <c r="W89" s="586"/>
      <c r="X89" s="586"/>
      <c r="Y89" s="586"/>
      <c r="Z89" s="586"/>
      <c r="AA89" s="586"/>
      <c r="AB89" s="586"/>
      <c r="AC89" s="587"/>
    </row>
    <row r="90" spans="1:29">
      <c r="A90" s="1202"/>
      <c r="B90" s="588" t="s">
        <v>919</v>
      </c>
      <c r="C90" s="586">
        <v>2039</v>
      </c>
      <c r="D90" s="586">
        <v>1113</v>
      </c>
      <c r="E90" s="586">
        <v>3152</v>
      </c>
      <c r="F90" s="586">
        <v>14</v>
      </c>
      <c r="G90" s="586">
        <v>66</v>
      </c>
      <c r="H90" s="586">
        <v>80</v>
      </c>
      <c r="I90" s="586">
        <v>48894</v>
      </c>
      <c r="J90" s="586">
        <v>63574</v>
      </c>
      <c r="K90" s="587">
        <v>112468</v>
      </c>
      <c r="L90" s="586">
        <v>362777</v>
      </c>
      <c r="M90" s="586">
        <v>347379</v>
      </c>
      <c r="N90" s="586">
        <v>710156</v>
      </c>
      <c r="O90" s="586">
        <v>2051</v>
      </c>
      <c r="P90" s="586">
        <v>1087</v>
      </c>
      <c r="Q90" s="586">
        <v>3138</v>
      </c>
      <c r="R90" s="586">
        <v>31177</v>
      </c>
      <c r="S90" s="586">
        <v>14953</v>
      </c>
      <c r="T90" s="587">
        <v>46130</v>
      </c>
      <c r="U90" s="586">
        <v>906</v>
      </c>
      <c r="V90" s="586">
        <v>440</v>
      </c>
      <c r="W90" s="586">
        <v>1346</v>
      </c>
      <c r="X90" s="586">
        <v>2248</v>
      </c>
      <c r="Y90" s="586">
        <v>1247</v>
      </c>
      <c r="Z90" s="586">
        <v>3495</v>
      </c>
      <c r="AA90" s="586">
        <v>450106</v>
      </c>
      <c r="AB90" s="586">
        <v>429859</v>
      </c>
      <c r="AC90" s="587">
        <v>879965</v>
      </c>
    </row>
    <row r="91" spans="1:29">
      <c r="A91" s="1202"/>
      <c r="B91" s="588" t="s">
        <v>876</v>
      </c>
      <c r="C91" s="589">
        <v>1738</v>
      </c>
      <c r="D91" s="589">
        <v>919</v>
      </c>
      <c r="E91" s="589">
        <v>2657</v>
      </c>
      <c r="F91" s="589">
        <v>18</v>
      </c>
      <c r="G91" s="589">
        <v>63</v>
      </c>
      <c r="H91" s="589">
        <v>81</v>
      </c>
      <c r="I91" s="589">
        <v>42929</v>
      </c>
      <c r="J91" s="589">
        <v>62500</v>
      </c>
      <c r="K91" s="589">
        <v>105429</v>
      </c>
      <c r="L91" s="589">
        <v>314684</v>
      </c>
      <c r="M91" s="589">
        <v>312130</v>
      </c>
      <c r="N91" s="589">
        <v>626814</v>
      </c>
      <c r="O91" s="589">
        <v>2901</v>
      </c>
      <c r="P91" s="589">
        <v>1184</v>
      </c>
      <c r="Q91" s="589">
        <v>4085</v>
      </c>
      <c r="R91" s="589">
        <v>28104</v>
      </c>
      <c r="S91" s="589">
        <v>14712</v>
      </c>
      <c r="T91" s="589">
        <v>42816</v>
      </c>
      <c r="U91" s="589">
        <v>1160</v>
      </c>
      <c r="V91" s="589">
        <v>800</v>
      </c>
      <c r="W91" s="589">
        <v>1960</v>
      </c>
      <c r="X91" s="589">
        <v>1815</v>
      </c>
      <c r="Y91" s="589">
        <v>1030</v>
      </c>
      <c r="Z91" s="589">
        <v>2845</v>
      </c>
      <c r="AA91" s="589">
        <v>393349</v>
      </c>
      <c r="AB91" s="589">
        <v>393338</v>
      </c>
      <c r="AC91" s="589">
        <v>786687</v>
      </c>
    </row>
    <row r="92" spans="1:29">
      <c r="A92" s="1202"/>
      <c r="B92" s="590" t="s">
        <v>229</v>
      </c>
      <c r="C92" s="346">
        <v>2469</v>
      </c>
      <c r="D92" s="346">
        <v>1020</v>
      </c>
      <c r="E92" s="346">
        <v>3489</v>
      </c>
      <c r="F92" s="346">
        <v>33</v>
      </c>
      <c r="G92" s="346">
        <v>74</v>
      </c>
      <c r="H92" s="346">
        <v>107</v>
      </c>
      <c r="I92" s="346">
        <v>42783</v>
      </c>
      <c r="J92" s="346">
        <v>63051</v>
      </c>
      <c r="K92" s="346">
        <v>105834</v>
      </c>
      <c r="L92" s="351">
        <v>330828</v>
      </c>
      <c r="M92" s="346">
        <v>329263</v>
      </c>
      <c r="N92" s="346">
        <v>660091</v>
      </c>
      <c r="O92" s="346">
        <v>3061</v>
      </c>
      <c r="P92" s="346">
        <v>1602</v>
      </c>
      <c r="Q92" s="346">
        <v>4663</v>
      </c>
      <c r="R92" s="346">
        <v>26918</v>
      </c>
      <c r="S92" s="346">
        <v>11213</v>
      </c>
      <c r="T92" s="346">
        <v>38131</v>
      </c>
      <c r="U92" s="351">
        <v>672</v>
      </c>
      <c r="V92" s="346">
        <v>1256</v>
      </c>
      <c r="W92" s="346">
        <v>1928</v>
      </c>
      <c r="X92" s="346">
        <v>2095</v>
      </c>
      <c r="Y92" s="346">
        <v>1222</v>
      </c>
      <c r="Z92" s="346">
        <v>3317</v>
      </c>
      <c r="AA92" s="352">
        <v>408859</v>
      </c>
      <c r="AB92" s="352">
        <v>408701</v>
      </c>
      <c r="AC92" s="352">
        <v>817560</v>
      </c>
    </row>
    <row r="93" spans="1:29">
      <c r="A93" s="1202"/>
      <c r="B93" s="590" t="s">
        <v>228</v>
      </c>
      <c r="C93" s="551">
        <v>2108</v>
      </c>
      <c r="D93" s="551">
        <v>795</v>
      </c>
      <c r="E93" s="551">
        <v>2903</v>
      </c>
      <c r="F93" s="551">
        <v>46</v>
      </c>
      <c r="G93" s="551">
        <v>110</v>
      </c>
      <c r="H93" s="551">
        <v>156</v>
      </c>
      <c r="I93" s="551">
        <v>33887</v>
      </c>
      <c r="J93" s="551">
        <v>47852</v>
      </c>
      <c r="K93" s="551">
        <v>81739</v>
      </c>
      <c r="L93" s="591">
        <v>311311</v>
      </c>
      <c r="M93" s="551">
        <v>299576</v>
      </c>
      <c r="N93" s="551">
        <v>610887</v>
      </c>
      <c r="O93" s="551">
        <v>3541</v>
      </c>
      <c r="P93" s="551">
        <v>1525</v>
      </c>
      <c r="Q93" s="551">
        <v>5066</v>
      </c>
      <c r="R93" s="551">
        <v>23940</v>
      </c>
      <c r="S93" s="551">
        <v>9279</v>
      </c>
      <c r="T93" s="551">
        <v>33219</v>
      </c>
      <c r="U93" s="591">
        <v>656</v>
      </c>
      <c r="V93" s="551">
        <v>1280</v>
      </c>
      <c r="W93" s="551">
        <v>1936</v>
      </c>
      <c r="X93" s="551">
        <v>2252</v>
      </c>
      <c r="Y93" s="551">
        <v>1326</v>
      </c>
      <c r="Z93" s="551">
        <v>3578</v>
      </c>
      <c r="AA93" s="551">
        <v>377741</v>
      </c>
      <c r="AB93" s="551">
        <v>361743</v>
      </c>
      <c r="AC93" s="551">
        <v>739484</v>
      </c>
    </row>
    <row r="94" spans="1:29">
      <c r="A94" s="1202"/>
      <c r="B94" s="590" t="s">
        <v>227</v>
      </c>
      <c r="C94" s="348">
        <v>1158</v>
      </c>
      <c r="D94" s="348">
        <v>640</v>
      </c>
      <c r="E94" s="348">
        <v>1798</v>
      </c>
      <c r="F94" s="348">
        <v>79</v>
      </c>
      <c r="G94" s="348">
        <v>125</v>
      </c>
      <c r="H94" s="348">
        <v>204</v>
      </c>
      <c r="I94" s="348">
        <v>31720.148833576164</v>
      </c>
      <c r="J94" s="348">
        <v>37447.953000056877</v>
      </c>
      <c r="K94" s="348">
        <v>69168.101833633045</v>
      </c>
      <c r="L94" s="349">
        <v>294357.73487179331</v>
      </c>
      <c r="M94" s="348">
        <v>284420.39991410426</v>
      </c>
      <c r="N94" s="348">
        <v>578778.13478589756</v>
      </c>
      <c r="O94" s="348">
        <v>2753</v>
      </c>
      <c r="P94" s="348">
        <v>1250</v>
      </c>
      <c r="Q94" s="348">
        <v>4003</v>
      </c>
      <c r="R94" s="348">
        <v>21240</v>
      </c>
      <c r="S94" s="348">
        <v>8345</v>
      </c>
      <c r="T94" s="348">
        <v>29585</v>
      </c>
      <c r="U94" s="349">
        <v>471</v>
      </c>
      <c r="V94" s="348">
        <v>1070</v>
      </c>
      <c r="W94" s="348">
        <v>1541</v>
      </c>
      <c r="X94" s="348">
        <v>2316</v>
      </c>
      <c r="Y94" s="348">
        <v>1329</v>
      </c>
      <c r="Z94" s="348">
        <v>3645</v>
      </c>
      <c r="AA94" s="350">
        <f t="shared" ref="AA94:AC94" si="11">C94+F94+I94+L94+O94+R94+U94+X94</f>
        <v>354094.88370536949</v>
      </c>
      <c r="AB94" s="350">
        <f t="shared" si="11"/>
        <v>334627.35291416117</v>
      </c>
      <c r="AC94" s="350">
        <f t="shared" si="11"/>
        <v>688722.23661953059</v>
      </c>
    </row>
    <row r="95" spans="1:29">
      <c r="A95" s="1202">
        <v>15</v>
      </c>
      <c r="B95" s="585" t="s">
        <v>30</v>
      </c>
      <c r="C95" s="586"/>
      <c r="D95" s="586"/>
      <c r="E95" s="586"/>
      <c r="F95" s="586"/>
      <c r="G95" s="586"/>
      <c r="H95" s="586"/>
      <c r="I95" s="586"/>
      <c r="J95" s="586"/>
      <c r="K95" s="587"/>
      <c r="L95" s="586"/>
      <c r="M95" s="586"/>
      <c r="N95" s="586"/>
      <c r="O95" s="586"/>
      <c r="P95" s="586"/>
      <c r="Q95" s="586"/>
      <c r="R95" s="586"/>
      <c r="S95" s="586"/>
      <c r="T95" s="587"/>
      <c r="U95" s="586"/>
      <c r="V95" s="586"/>
      <c r="W95" s="586"/>
      <c r="X95" s="586"/>
      <c r="Y95" s="586"/>
      <c r="Z95" s="586"/>
      <c r="AA95" s="586"/>
      <c r="AB95" s="586"/>
      <c r="AC95" s="587"/>
    </row>
    <row r="96" spans="1:29">
      <c r="A96" s="1202"/>
      <c r="B96" s="588" t="s">
        <v>919</v>
      </c>
      <c r="C96" s="586">
        <v>6045</v>
      </c>
      <c r="D96" s="586">
        <v>5148</v>
      </c>
      <c r="E96" s="586">
        <v>11193</v>
      </c>
      <c r="F96" s="586">
        <v>44</v>
      </c>
      <c r="G96" s="586">
        <v>183</v>
      </c>
      <c r="H96" s="586">
        <v>227</v>
      </c>
      <c r="I96" s="586">
        <v>118528</v>
      </c>
      <c r="J96" s="586">
        <v>142088</v>
      </c>
      <c r="K96" s="587">
        <v>260616</v>
      </c>
      <c r="L96" s="586">
        <v>982974</v>
      </c>
      <c r="M96" s="586">
        <v>923326</v>
      </c>
      <c r="N96" s="586">
        <v>1906300</v>
      </c>
      <c r="O96" s="586">
        <v>4862</v>
      </c>
      <c r="P96" s="586">
        <v>3664</v>
      </c>
      <c r="Q96" s="586">
        <v>8526</v>
      </c>
      <c r="R96" s="586">
        <v>134943</v>
      </c>
      <c r="S96" s="586">
        <v>94970</v>
      </c>
      <c r="T96" s="587">
        <v>229913</v>
      </c>
      <c r="U96" s="586">
        <v>1847</v>
      </c>
      <c r="V96" s="586">
        <v>1196</v>
      </c>
      <c r="W96" s="586">
        <v>3043</v>
      </c>
      <c r="X96" s="586">
        <v>8761</v>
      </c>
      <c r="Y96" s="586">
        <v>7961</v>
      </c>
      <c r="Z96" s="586">
        <v>16722</v>
      </c>
      <c r="AA96" s="586">
        <v>1258004</v>
      </c>
      <c r="AB96" s="586">
        <v>1178536</v>
      </c>
      <c r="AC96" s="587">
        <v>2436540</v>
      </c>
    </row>
    <row r="97" spans="1:29">
      <c r="A97" s="1202"/>
      <c r="B97" s="588" t="s">
        <v>876</v>
      </c>
      <c r="C97" s="589">
        <v>5752</v>
      </c>
      <c r="D97" s="589">
        <v>5276</v>
      </c>
      <c r="E97" s="589">
        <v>11028</v>
      </c>
      <c r="F97" s="589">
        <v>60</v>
      </c>
      <c r="G97" s="589">
        <v>189</v>
      </c>
      <c r="H97" s="589">
        <v>249</v>
      </c>
      <c r="I97" s="589">
        <v>120083</v>
      </c>
      <c r="J97" s="589">
        <v>159105</v>
      </c>
      <c r="K97" s="589">
        <v>279188</v>
      </c>
      <c r="L97" s="589">
        <v>944677</v>
      </c>
      <c r="M97" s="589">
        <v>924391</v>
      </c>
      <c r="N97" s="589">
        <v>1869068</v>
      </c>
      <c r="O97" s="589">
        <v>4112</v>
      </c>
      <c r="P97" s="589">
        <v>3219</v>
      </c>
      <c r="Q97" s="589">
        <v>7331</v>
      </c>
      <c r="R97" s="589">
        <v>138523</v>
      </c>
      <c r="S97" s="589">
        <v>115311</v>
      </c>
      <c r="T97" s="589">
        <v>253834</v>
      </c>
      <c r="U97" s="589">
        <v>3120</v>
      </c>
      <c r="V97" s="589">
        <v>2664</v>
      </c>
      <c r="W97" s="589">
        <v>5784</v>
      </c>
      <c r="X97" s="589">
        <v>7274</v>
      </c>
      <c r="Y97" s="589">
        <v>6681</v>
      </c>
      <c r="Z97" s="589">
        <v>13955</v>
      </c>
      <c r="AA97" s="589">
        <v>1223601</v>
      </c>
      <c r="AB97" s="589">
        <v>1216836</v>
      </c>
      <c r="AC97" s="589">
        <v>2440437</v>
      </c>
    </row>
    <row r="98" spans="1:29">
      <c r="A98" s="1202"/>
      <c r="B98" s="590" t="s">
        <v>229</v>
      </c>
      <c r="C98" s="346">
        <v>8422</v>
      </c>
      <c r="D98" s="346">
        <v>6566</v>
      </c>
      <c r="E98" s="346">
        <v>14988</v>
      </c>
      <c r="F98" s="346">
        <v>160</v>
      </c>
      <c r="G98" s="346">
        <v>368</v>
      </c>
      <c r="H98" s="346">
        <v>528</v>
      </c>
      <c r="I98" s="346">
        <v>104832</v>
      </c>
      <c r="J98" s="346">
        <v>134324</v>
      </c>
      <c r="K98" s="346">
        <v>239156</v>
      </c>
      <c r="L98" s="351">
        <v>848754</v>
      </c>
      <c r="M98" s="346">
        <v>865942</v>
      </c>
      <c r="N98" s="346">
        <v>1714696</v>
      </c>
      <c r="O98" s="346">
        <v>5429</v>
      </c>
      <c r="P98" s="346">
        <v>4444</v>
      </c>
      <c r="Q98" s="346">
        <v>9873</v>
      </c>
      <c r="R98" s="346">
        <v>113722</v>
      </c>
      <c r="S98" s="346">
        <v>80771</v>
      </c>
      <c r="T98" s="346">
        <v>194493</v>
      </c>
      <c r="U98" s="351">
        <v>1182</v>
      </c>
      <c r="V98" s="346">
        <v>1520</v>
      </c>
      <c r="W98" s="346">
        <v>2702</v>
      </c>
      <c r="X98" s="346">
        <v>6382</v>
      </c>
      <c r="Y98" s="346">
        <v>5074</v>
      </c>
      <c r="Z98" s="346">
        <v>11456</v>
      </c>
      <c r="AA98" s="352">
        <v>1088883</v>
      </c>
      <c r="AB98" s="352">
        <v>1099009</v>
      </c>
      <c r="AC98" s="352">
        <v>2187892</v>
      </c>
    </row>
    <row r="99" spans="1:29">
      <c r="A99" s="1202"/>
      <c r="B99" s="590" t="s">
        <v>228</v>
      </c>
      <c r="C99" s="551">
        <v>8070</v>
      </c>
      <c r="D99" s="551">
        <v>5230</v>
      </c>
      <c r="E99" s="551">
        <v>13300</v>
      </c>
      <c r="F99" s="551">
        <v>152</v>
      </c>
      <c r="G99" s="551">
        <v>316</v>
      </c>
      <c r="H99" s="551">
        <v>468</v>
      </c>
      <c r="I99" s="551">
        <v>93614</v>
      </c>
      <c r="J99" s="551">
        <v>118327</v>
      </c>
      <c r="K99" s="551">
        <v>211941</v>
      </c>
      <c r="L99" s="591">
        <v>768616</v>
      </c>
      <c r="M99" s="551">
        <v>789369</v>
      </c>
      <c r="N99" s="551">
        <v>1557985</v>
      </c>
      <c r="O99" s="551">
        <v>3391</v>
      </c>
      <c r="P99" s="551">
        <v>3055</v>
      </c>
      <c r="Q99" s="551">
        <v>6446</v>
      </c>
      <c r="R99" s="551">
        <v>113795</v>
      </c>
      <c r="S99" s="551">
        <v>73333</v>
      </c>
      <c r="T99" s="551">
        <v>187128</v>
      </c>
      <c r="U99" s="591">
        <v>1284</v>
      </c>
      <c r="V99" s="551">
        <v>1795</v>
      </c>
      <c r="W99" s="551">
        <v>3079</v>
      </c>
      <c r="X99" s="551">
        <v>4495</v>
      </c>
      <c r="Y99" s="551">
        <v>3652</v>
      </c>
      <c r="Z99" s="551">
        <v>8147</v>
      </c>
      <c r="AA99" s="551">
        <v>993417</v>
      </c>
      <c r="AB99" s="551">
        <v>995077</v>
      </c>
      <c r="AC99" s="551">
        <v>1988494</v>
      </c>
    </row>
    <row r="100" spans="1:29">
      <c r="A100" s="1202"/>
      <c r="B100" s="590" t="s">
        <v>227</v>
      </c>
      <c r="C100" s="348">
        <v>9103</v>
      </c>
      <c r="D100" s="348">
        <v>5087</v>
      </c>
      <c r="E100" s="348">
        <v>14190</v>
      </c>
      <c r="F100" s="348">
        <v>189</v>
      </c>
      <c r="G100" s="348">
        <v>338</v>
      </c>
      <c r="H100" s="348">
        <v>527</v>
      </c>
      <c r="I100" s="348">
        <v>96826.749361816663</v>
      </c>
      <c r="J100" s="348">
        <v>112435.30950486017</v>
      </c>
      <c r="K100" s="348">
        <v>209262.05886667682</v>
      </c>
      <c r="L100" s="349">
        <v>733767.31147513888</v>
      </c>
      <c r="M100" s="348">
        <v>769158.26757246209</v>
      </c>
      <c r="N100" s="348">
        <v>1502925.579047601</v>
      </c>
      <c r="O100" s="348">
        <v>3283</v>
      </c>
      <c r="P100" s="348">
        <v>2929</v>
      </c>
      <c r="Q100" s="348">
        <v>6212</v>
      </c>
      <c r="R100" s="348">
        <v>122296</v>
      </c>
      <c r="S100" s="348">
        <v>77766</v>
      </c>
      <c r="T100" s="348">
        <v>200062</v>
      </c>
      <c r="U100" s="349">
        <v>2049</v>
      </c>
      <c r="V100" s="348">
        <v>1637</v>
      </c>
      <c r="W100" s="348">
        <v>3686</v>
      </c>
      <c r="X100" s="348">
        <v>3879</v>
      </c>
      <c r="Y100" s="348">
        <v>3112</v>
      </c>
      <c r="Z100" s="348">
        <v>6991</v>
      </c>
      <c r="AA100" s="350">
        <f t="shared" ref="AA100:AC100" si="12">C100+F100+I100+L100+O100+R100+U100+X100</f>
        <v>971393.06083695556</v>
      </c>
      <c r="AB100" s="350">
        <f t="shared" si="12"/>
        <v>972462.57707732229</v>
      </c>
      <c r="AC100" s="350">
        <f t="shared" si="12"/>
        <v>1943855.6379142778</v>
      </c>
    </row>
    <row r="101" spans="1:29">
      <c r="A101" s="1202">
        <v>16</v>
      </c>
      <c r="B101" s="585" t="s">
        <v>31</v>
      </c>
      <c r="C101" s="586"/>
      <c r="D101" s="586"/>
      <c r="E101" s="586"/>
      <c r="F101" s="586"/>
      <c r="G101" s="586"/>
      <c r="H101" s="586"/>
      <c r="I101" s="586"/>
      <c r="J101" s="586"/>
      <c r="K101" s="587"/>
      <c r="L101" s="586"/>
      <c r="M101" s="586"/>
      <c r="N101" s="586"/>
      <c r="O101" s="586"/>
      <c r="P101" s="586"/>
      <c r="Q101" s="586"/>
      <c r="R101" s="586"/>
      <c r="S101" s="586"/>
      <c r="T101" s="587"/>
      <c r="U101" s="586"/>
      <c r="V101" s="586"/>
      <c r="W101" s="586"/>
      <c r="X101" s="586"/>
      <c r="Y101" s="586"/>
      <c r="Z101" s="586"/>
      <c r="AA101" s="586"/>
      <c r="AB101" s="586"/>
      <c r="AC101" s="587"/>
    </row>
    <row r="102" spans="1:29">
      <c r="A102" s="1202"/>
      <c r="B102" s="588" t="s">
        <v>919</v>
      </c>
      <c r="C102" s="586">
        <v>3387</v>
      </c>
      <c r="D102" s="586">
        <v>5747</v>
      </c>
      <c r="E102" s="586">
        <v>9134</v>
      </c>
      <c r="F102" s="586">
        <v>75</v>
      </c>
      <c r="G102" s="586">
        <v>281</v>
      </c>
      <c r="H102" s="586">
        <v>356</v>
      </c>
      <c r="I102" s="586">
        <v>50946</v>
      </c>
      <c r="J102" s="586">
        <v>121630</v>
      </c>
      <c r="K102" s="587">
        <v>172576</v>
      </c>
      <c r="L102" s="586">
        <v>439560</v>
      </c>
      <c r="M102" s="586">
        <v>576826</v>
      </c>
      <c r="N102" s="586">
        <v>1016386</v>
      </c>
      <c r="O102" s="586">
        <v>1284</v>
      </c>
      <c r="P102" s="586">
        <v>1836</v>
      </c>
      <c r="Q102" s="586">
        <v>3120</v>
      </c>
      <c r="R102" s="586">
        <v>53625</v>
      </c>
      <c r="S102" s="586">
        <v>35512</v>
      </c>
      <c r="T102" s="587">
        <v>89137</v>
      </c>
      <c r="U102" s="586">
        <v>580</v>
      </c>
      <c r="V102" s="586">
        <v>1032</v>
      </c>
      <c r="W102" s="586">
        <v>1612</v>
      </c>
      <c r="X102" s="586">
        <v>5115</v>
      </c>
      <c r="Y102" s="586">
        <v>7009</v>
      </c>
      <c r="Z102" s="586">
        <v>12124</v>
      </c>
      <c r="AA102" s="586">
        <v>554572</v>
      </c>
      <c r="AB102" s="586">
        <v>749873</v>
      </c>
      <c r="AC102" s="587">
        <v>1304445</v>
      </c>
    </row>
    <row r="103" spans="1:29">
      <c r="A103" s="1202"/>
      <c r="B103" s="588" t="s">
        <v>876</v>
      </c>
      <c r="C103" s="589">
        <v>3184</v>
      </c>
      <c r="D103" s="589">
        <v>5554</v>
      </c>
      <c r="E103" s="589">
        <v>8738</v>
      </c>
      <c r="F103" s="589">
        <v>207</v>
      </c>
      <c r="G103" s="589">
        <v>745</v>
      </c>
      <c r="H103" s="589">
        <v>952</v>
      </c>
      <c r="I103" s="589">
        <v>45876</v>
      </c>
      <c r="J103" s="589">
        <v>120643</v>
      </c>
      <c r="K103" s="589">
        <v>166519</v>
      </c>
      <c r="L103" s="589">
        <v>454250</v>
      </c>
      <c r="M103" s="589">
        <v>633728</v>
      </c>
      <c r="N103" s="589">
        <v>1087978</v>
      </c>
      <c r="O103" s="589">
        <v>1498</v>
      </c>
      <c r="P103" s="589">
        <v>1621</v>
      </c>
      <c r="Q103" s="589">
        <v>3119</v>
      </c>
      <c r="R103" s="589">
        <v>49106</v>
      </c>
      <c r="S103" s="589">
        <v>33686</v>
      </c>
      <c r="T103" s="589">
        <v>82792</v>
      </c>
      <c r="U103" s="589">
        <v>1278</v>
      </c>
      <c r="V103" s="589">
        <v>3429</v>
      </c>
      <c r="W103" s="589">
        <v>4707</v>
      </c>
      <c r="X103" s="589">
        <v>4226</v>
      </c>
      <c r="Y103" s="589">
        <v>5505</v>
      </c>
      <c r="Z103" s="589">
        <v>9731</v>
      </c>
      <c r="AA103" s="589">
        <v>559625</v>
      </c>
      <c r="AB103" s="589">
        <v>804911</v>
      </c>
      <c r="AC103" s="589">
        <v>1364536</v>
      </c>
    </row>
    <row r="104" spans="1:29">
      <c r="A104" s="1202"/>
      <c r="B104" s="590" t="s">
        <v>229</v>
      </c>
      <c r="C104" s="346">
        <v>2817</v>
      </c>
      <c r="D104" s="346">
        <v>4687</v>
      </c>
      <c r="E104" s="346">
        <v>7504</v>
      </c>
      <c r="F104" s="346">
        <v>197</v>
      </c>
      <c r="G104" s="346">
        <v>676</v>
      </c>
      <c r="H104" s="346">
        <v>873</v>
      </c>
      <c r="I104" s="346">
        <v>40871</v>
      </c>
      <c r="J104" s="346">
        <v>97643</v>
      </c>
      <c r="K104" s="346">
        <v>138514</v>
      </c>
      <c r="L104" s="351">
        <v>393073</v>
      </c>
      <c r="M104" s="346">
        <v>509484</v>
      </c>
      <c r="N104" s="346">
        <v>902557</v>
      </c>
      <c r="O104" s="346">
        <v>1269</v>
      </c>
      <c r="P104" s="346">
        <v>1221</v>
      </c>
      <c r="Q104" s="346">
        <v>2490</v>
      </c>
      <c r="R104" s="346">
        <v>41613</v>
      </c>
      <c r="S104" s="346">
        <v>30834</v>
      </c>
      <c r="T104" s="346">
        <v>72447</v>
      </c>
      <c r="U104" s="351">
        <v>1308</v>
      </c>
      <c r="V104" s="346">
        <v>4365</v>
      </c>
      <c r="W104" s="346">
        <v>5673</v>
      </c>
      <c r="X104" s="346">
        <v>3701</v>
      </c>
      <c r="Y104" s="346">
        <v>4094</v>
      </c>
      <c r="Z104" s="346">
        <v>7795</v>
      </c>
      <c r="AA104" s="352">
        <v>484849</v>
      </c>
      <c r="AB104" s="352">
        <v>653004</v>
      </c>
      <c r="AC104" s="352">
        <v>1137853</v>
      </c>
    </row>
    <row r="105" spans="1:29">
      <c r="A105" s="1202"/>
      <c r="B105" s="590" t="s">
        <v>228</v>
      </c>
      <c r="C105" s="551">
        <v>2503</v>
      </c>
      <c r="D105" s="551">
        <v>4183</v>
      </c>
      <c r="E105" s="551">
        <v>6686</v>
      </c>
      <c r="F105" s="551">
        <v>204</v>
      </c>
      <c r="G105" s="551">
        <v>685</v>
      </c>
      <c r="H105" s="551">
        <v>889</v>
      </c>
      <c r="I105" s="551">
        <v>37756</v>
      </c>
      <c r="J105" s="551">
        <v>88754</v>
      </c>
      <c r="K105" s="551">
        <v>126510</v>
      </c>
      <c r="L105" s="591">
        <v>375536</v>
      </c>
      <c r="M105" s="551">
        <v>505771</v>
      </c>
      <c r="N105" s="551">
        <v>881307</v>
      </c>
      <c r="O105" s="551">
        <v>1078</v>
      </c>
      <c r="P105" s="551">
        <v>967</v>
      </c>
      <c r="Q105" s="551">
        <v>2045</v>
      </c>
      <c r="R105" s="551">
        <v>37153</v>
      </c>
      <c r="S105" s="551">
        <v>29567</v>
      </c>
      <c r="T105" s="551">
        <v>66720</v>
      </c>
      <c r="U105" s="591">
        <v>1142</v>
      </c>
      <c r="V105" s="551">
        <v>4851</v>
      </c>
      <c r="W105" s="551">
        <v>5993</v>
      </c>
      <c r="X105" s="551">
        <v>2828</v>
      </c>
      <c r="Y105" s="551">
        <v>2864</v>
      </c>
      <c r="Z105" s="551">
        <v>5692</v>
      </c>
      <c r="AA105" s="551">
        <v>458200</v>
      </c>
      <c r="AB105" s="551">
        <v>637642</v>
      </c>
      <c r="AC105" s="551">
        <v>1095842</v>
      </c>
    </row>
    <row r="106" spans="1:29">
      <c r="A106" s="1202"/>
      <c r="B106" s="590" t="s">
        <v>227</v>
      </c>
      <c r="C106" s="348">
        <v>2256</v>
      </c>
      <c r="D106" s="348">
        <v>3655</v>
      </c>
      <c r="E106" s="348">
        <v>5911</v>
      </c>
      <c r="F106" s="348">
        <v>280</v>
      </c>
      <c r="G106" s="348">
        <v>630</v>
      </c>
      <c r="H106" s="348">
        <v>910</v>
      </c>
      <c r="I106" s="348">
        <v>39873.435627667954</v>
      </c>
      <c r="J106" s="348">
        <v>80105.771676272299</v>
      </c>
      <c r="K106" s="348">
        <v>119979.20730394025</v>
      </c>
      <c r="L106" s="349">
        <v>397008.30778716237</v>
      </c>
      <c r="M106" s="348">
        <v>479224.28400024667</v>
      </c>
      <c r="N106" s="348">
        <v>876232.59178740904</v>
      </c>
      <c r="O106" s="348">
        <v>1283</v>
      </c>
      <c r="P106" s="348">
        <v>905</v>
      </c>
      <c r="Q106" s="348">
        <v>2188</v>
      </c>
      <c r="R106" s="348">
        <v>36299</v>
      </c>
      <c r="S106" s="348">
        <v>30897</v>
      </c>
      <c r="T106" s="348">
        <v>67196</v>
      </c>
      <c r="U106" s="349">
        <v>926</v>
      </c>
      <c r="V106" s="348">
        <v>5163</v>
      </c>
      <c r="W106" s="348">
        <v>6089</v>
      </c>
      <c r="X106" s="348">
        <v>2252</v>
      </c>
      <c r="Y106" s="348">
        <v>2159</v>
      </c>
      <c r="Z106" s="348">
        <v>4411</v>
      </c>
      <c r="AA106" s="350">
        <f t="shared" ref="AA106:AC106" si="13">C106+F106+I106+L106+O106+R106+U106+X106</f>
        <v>480177.7434148303</v>
      </c>
      <c r="AB106" s="350">
        <f t="shared" si="13"/>
        <v>602739.05567651894</v>
      </c>
      <c r="AC106" s="350">
        <f t="shared" si="13"/>
        <v>1082916.7990913494</v>
      </c>
    </row>
    <row r="107" spans="1:29">
      <c r="A107" s="1213">
        <v>17</v>
      </c>
      <c r="B107" s="585" t="s">
        <v>154</v>
      </c>
      <c r="C107" s="586"/>
      <c r="D107" s="586"/>
      <c r="E107" s="586"/>
      <c r="F107" s="586"/>
      <c r="G107" s="586"/>
      <c r="H107" s="586"/>
      <c r="I107" s="586"/>
      <c r="J107" s="586"/>
      <c r="K107" s="587"/>
      <c r="L107" s="586"/>
      <c r="M107" s="586"/>
      <c r="N107" s="586"/>
      <c r="O107" s="586"/>
      <c r="P107" s="586"/>
      <c r="Q107" s="586"/>
      <c r="R107" s="586"/>
      <c r="S107" s="586"/>
      <c r="T107" s="587"/>
      <c r="U107" s="586"/>
      <c r="V107" s="586"/>
      <c r="W107" s="586"/>
      <c r="X107" s="586"/>
      <c r="Y107" s="586"/>
      <c r="Z107" s="586"/>
      <c r="AA107" s="586"/>
      <c r="AB107" s="586"/>
      <c r="AC107" s="587"/>
    </row>
    <row r="108" spans="1:29">
      <c r="A108" s="1214"/>
      <c r="B108" s="588" t="s">
        <v>919</v>
      </c>
      <c r="C108" s="586">
        <v>15</v>
      </c>
      <c r="D108" s="586">
        <v>3</v>
      </c>
      <c r="E108" s="586">
        <v>18</v>
      </c>
      <c r="F108" s="586"/>
      <c r="G108" s="586"/>
      <c r="H108" s="586"/>
      <c r="I108" s="586">
        <v>155</v>
      </c>
      <c r="J108" s="586">
        <v>318</v>
      </c>
      <c r="K108" s="587">
        <v>473</v>
      </c>
      <c r="L108" s="586">
        <v>1187</v>
      </c>
      <c r="M108" s="586">
        <v>2103</v>
      </c>
      <c r="N108" s="586">
        <v>3290</v>
      </c>
      <c r="O108" s="586"/>
      <c r="P108" s="586"/>
      <c r="Q108" s="586"/>
      <c r="R108" s="586">
        <v>195</v>
      </c>
      <c r="S108" s="586">
        <v>314</v>
      </c>
      <c r="T108" s="587">
        <v>509</v>
      </c>
      <c r="U108" s="586">
        <v>19</v>
      </c>
      <c r="V108" s="586">
        <v>131</v>
      </c>
      <c r="W108" s="586">
        <v>150</v>
      </c>
      <c r="X108" s="586"/>
      <c r="Y108" s="586"/>
      <c r="Z108" s="586"/>
      <c r="AA108" s="586">
        <v>1571</v>
      </c>
      <c r="AB108" s="586">
        <v>2869</v>
      </c>
      <c r="AC108" s="587">
        <v>4440</v>
      </c>
    </row>
    <row r="109" spans="1:29">
      <c r="A109" s="1214"/>
      <c r="B109" s="588" t="s">
        <v>876</v>
      </c>
      <c r="C109" s="589">
        <v>6</v>
      </c>
      <c r="D109" s="589">
        <v>2</v>
      </c>
      <c r="E109" s="589">
        <v>8</v>
      </c>
      <c r="F109" s="589">
        <v>0</v>
      </c>
      <c r="G109" s="589">
        <v>0</v>
      </c>
      <c r="H109" s="589">
        <v>0</v>
      </c>
      <c r="I109" s="589">
        <v>70</v>
      </c>
      <c r="J109" s="589">
        <v>23</v>
      </c>
      <c r="K109" s="589">
        <v>93</v>
      </c>
      <c r="L109" s="589">
        <v>740</v>
      </c>
      <c r="M109" s="589">
        <v>1738</v>
      </c>
      <c r="N109" s="589">
        <v>2478</v>
      </c>
      <c r="O109" s="589">
        <v>0</v>
      </c>
      <c r="P109" s="589">
        <v>0</v>
      </c>
      <c r="Q109" s="589">
        <v>0</v>
      </c>
      <c r="R109" s="589">
        <v>245</v>
      </c>
      <c r="S109" s="589">
        <v>185</v>
      </c>
      <c r="T109" s="589">
        <v>430</v>
      </c>
      <c r="U109" s="589">
        <v>0</v>
      </c>
      <c r="V109" s="589">
        <v>0</v>
      </c>
      <c r="W109" s="589">
        <v>0</v>
      </c>
      <c r="X109" s="589">
        <v>47</v>
      </c>
      <c r="Y109" s="589">
        <v>91</v>
      </c>
      <c r="Z109" s="589">
        <v>138</v>
      </c>
      <c r="AA109" s="589">
        <v>1108</v>
      </c>
      <c r="AB109" s="589">
        <v>2039</v>
      </c>
      <c r="AC109" s="589">
        <v>3147</v>
      </c>
    </row>
    <row r="110" spans="1:29">
      <c r="A110" s="1215"/>
      <c r="B110" s="590" t="s">
        <v>229</v>
      </c>
      <c r="C110" s="346">
        <v>6</v>
      </c>
      <c r="D110" s="346">
        <v>2</v>
      </c>
      <c r="E110" s="346">
        <v>8</v>
      </c>
      <c r="F110" s="346">
        <v>0</v>
      </c>
      <c r="G110" s="346">
        <v>0</v>
      </c>
      <c r="H110" s="346">
        <v>0</v>
      </c>
      <c r="I110" s="346">
        <v>26</v>
      </c>
      <c r="J110" s="346">
        <v>28</v>
      </c>
      <c r="K110" s="346">
        <v>54</v>
      </c>
      <c r="L110" s="351">
        <v>798</v>
      </c>
      <c r="M110" s="346">
        <v>1746</v>
      </c>
      <c r="N110" s="346">
        <v>2544</v>
      </c>
      <c r="O110" s="346">
        <v>0</v>
      </c>
      <c r="P110" s="346">
        <v>0</v>
      </c>
      <c r="Q110" s="346">
        <v>0</v>
      </c>
      <c r="R110" s="346">
        <v>112</v>
      </c>
      <c r="S110" s="346">
        <v>24</v>
      </c>
      <c r="T110" s="346">
        <v>136</v>
      </c>
      <c r="U110" s="351">
        <v>0</v>
      </c>
      <c r="V110" s="346">
        <v>0</v>
      </c>
      <c r="W110" s="346">
        <v>0</v>
      </c>
      <c r="X110" s="346">
        <v>57</v>
      </c>
      <c r="Y110" s="346">
        <v>98</v>
      </c>
      <c r="Z110" s="346">
        <v>155</v>
      </c>
      <c r="AA110" s="352">
        <v>999</v>
      </c>
      <c r="AB110" s="352">
        <v>1898</v>
      </c>
      <c r="AC110" s="352">
        <v>2897</v>
      </c>
    </row>
    <row r="111" spans="1:29">
      <c r="A111" s="1202">
        <v>18</v>
      </c>
      <c r="B111" s="585" t="s">
        <v>32</v>
      </c>
      <c r="C111" s="586"/>
      <c r="D111" s="586"/>
      <c r="E111" s="586"/>
      <c r="F111" s="586"/>
      <c r="G111" s="586"/>
      <c r="H111" s="586"/>
      <c r="I111" s="586"/>
      <c r="J111" s="586"/>
      <c r="K111" s="587"/>
      <c r="L111" s="586"/>
      <c r="M111" s="586"/>
      <c r="N111" s="586"/>
      <c r="O111" s="586"/>
      <c r="P111" s="586"/>
      <c r="Q111" s="586"/>
      <c r="R111" s="586"/>
      <c r="S111" s="586"/>
      <c r="T111" s="587"/>
      <c r="U111" s="586"/>
      <c r="V111" s="586"/>
      <c r="W111" s="586"/>
      <c r="X111" s="586"/>
      <c r="Y111" s="586"/>
      <c r="Z111" s="586"/>
      <c r="AA111" s="586"/>
      <c r="AB111" s="586"/>
      <c r="AC111" s="587"/>
    </row>
    <row r="112" spans="1:29">
      <c r="A112" s="1202"/>
      <c r="B112" s="588" t="s">
        <v>919</v>
      </c>
      <c r="C112" s="586"/>
      <c r="D112" s="586"/>
      <c r="E112" s="586"/>
      <c r="F112" s="586"/>
      <c r="G112" s="586"/>
      <c r="H112" s="586"/>
      <c r="I112" s="586"/>
      <c r="J112" s="586"/>
      <c r="K112" s="587"/>
      <c r="L112" s="586">
        <v>14</v>
      </c>
      <c r="M112" s="586">
        <v>74</v>
      </c>
      <c r="N112" s="586">
        <v>88</v>
      </c>
      <c r="O112" s="586"/>
      <c r="P112" s="586"/>
      <c r="Q112" s="586"/>
      <c r="R112" s="586"/>
      <c r="S112" s="586"/>
      <c r="T112" s="587"/>
      <c r="U112" s="586"/>
      <c r="V112" s="586"/>
      <c r="W112" s="586"/>
      <c r="X112" s="586"/>
      <c r="Y112" s="586"/>
      <c r="Z112" s="586"/>
      <c r="AA112" s="586">
        <v>14</v>
      </c>
      <c r="AB112" s="586">
        <v>74</v>
      </c>
      <c r="AC112" s="587">
        <v>88</v>
      </c>
    </row>
    <row r="113" spans="1:29">
      <c r="A113" s="1202"/>
      <c r="B113" s="588" t="s">
        <v>876</v>
      </c>
      <c r="C113" s="589">
        <v>0</v>
      </c>
      <c r="D113" s="589">
        <v>0</v>
      </c>
      <c r="E113" s="589">
        <v>0</v>
      </c>
      <c r="F113" s="589">
        <v>0</v>
      </c>
      <c r="G113" s="589">
        <v>0</v>
      </c>
      <c r="H113" s="589">
        <v>0</v>
      </c>
      <c r="I113" s="589">
        <v>0</v>
      </c>
      <c r="J113" s="589">
        <v>26</v>
      </c>
      <c r="K113" s="589">
        <v>26</v>
      </c>
      <c r="L113" s="589">
        <v>133</v>
      </c>
      <c r="M113" s="589">
        <v>401</v>
      </c>
      <c r="N113" s="589">
        <v>534</v>
      </c>
      <c r="O113" s="589">
        <v>0</v>
      </c>
      <c r="P113" s="589">
        <v>0</v>
      </c>
      <c r="Q113" s="589">
        <v>0</v>
      </c>
      <c r="R113" s="589">
        <v>0</v>
      </c>
      <c r="S113" s="589">
        <v>0</v>
      </c>
      <c r="T113" s="589">
        <v>0</v>
      </c>
      <c r="U113" s="589">
        <v>0</v>
      </c>
      <c r="V113" s="589">
        <v>0</v>
      </c>
      <c r="W113" s="589">
        <v>0</v>
      </c>
      <c r="X113" s="589">
        <v>0</v>
      </c>
      <c r="Y113" s="589">
        <v>0</v>
      </c>
      <c r="Z113" s="589">
        <v>0</v>
      </c>
      <c r="AA113" s="589">
        <v>133</v>
      </c>
      <c r="AB113" s="589">
        <v>427</v>
      </c>
      <c r="AC113" s="589">
        <v>560</v>
      </c>
    </row>
    <row r="114" spans="1:29">
      <c r="A114" s="1202"/>
      <c r="B114" s="590" t="s">
        <v>229</v>
      </c>
      <c r="C114" s="346">
        <v>0</v>
      </c>
      <c r="D114" s="346">
        <v>0</v>
      </c>
      <c r="E114" s="346">
        <v>0</v>
      </c>
      <c r="F114" s="346">
        <v>0</v>
      </c>
      <c r="G114" s="346">
        <v>0</v>
      </c>
      <c r="H114" s="346">
        <v>0</v>
      </c>
      <c r="I114" s="346">
        <v>0</v>
      </c>
      <c r="J114" s="346">
        <v>26</v>
      </c>
      <c r="K114" s="346">
        <v>26</v>
      </c>
      <c r="L114" s="351">
        <v>133</v>
      </c>
      <c r="M114" s="346">
        <v>401</v>
      </c>
      <c r="N114" s="346">
        <v>534</v>
      </c>
      <c r="O114" s="346">
        <v>0</v>
      </c>
      <c r="P114" s="346">
        <v>0</v>
      </c>
      <c r="Q114" s="346">
        <v>0</v>
      </c>
      <c r="R114" s="346">
        <v>0</v>
      </c>
      <c r="S114" s="346">
        <v>0</v>
      </c>
      <c r="T114" s="346">
        <v>0</v>
      </c>
      <c r="U114" s="351">
        <v>0</v>
      </c>
      <c r="V114" s="346">
        <v>0</v>
      </c>
      <c r="W114" s="346">
        <v>0</v>
      </c>
      <c r="X114" s="346">
        <v>0</v>
      </c>
      <c r="Y114" s="346">
        <v>0</v>
      </c>
      <c r="Z114" s="346">
        <v>0</v>
      </c>
      <c r="AA114" s="352">
        <v>133</v>
      </c>
      <c r="AB114" s="352">
        <v>427</v>
      </c>
      <c r="AC114" s="352">
        <v>560</v>
      </c>
    </row>
    <row r="115" spans="1:29">
      <c r="A115" s="1202"/>
      <c r="B115" s="590" t="s">
        <v>228</v>
      </c>
      <c r="C115" s="551">
        <v>0</v>
      </c>
      <c r="D115" s="551">
        <v>0</v>
      </c>
      <c r="E115" s="551">
        <v>0</v>
      </c>
      <c r="F115" s="551">
        <v>0</v>
      </c>
      <c r="G115" s="551">
        <v>0</v>
      </c>
      <c r="H115" s="551">
        <v>0</v>
      </c>
      <c r="I115" s="551">
        <v>0</v>
      </c>
      <c r="J115" s="551">
        <v>26</v>
      </c>
      <c r="K115" s="551">
        <v>26</v>
      </c>
      <c r="L115" s="591">
        <v>127</v>
      </c>
      <c r="M115" s="551">
        <v>392</v>
      </c>
      <c r="N115" s="551">
        <v>519</v>
      </c>
      <c r="O115" s="551">
        <v>0</v>
      </c>
      <c r="P115" s="551">
        <v>0</v>
      </c>
      <c r="Q115" s="551">
        <v>0</v>
      </c>
      <c r="R115" s="551">
        <v>0</v>
      </c>
      <c r="S115" s="551">
        <v>0</v>
      </c>
      <c r="T115" s="551">
        <v>0</v>
      </c>
      <c r="U115" s="591">
        <v>0</v>
      </c>
      <c r="V115" s="551">
        <v>0</v>
      </c>
      <c r="W115" s="551">
        <v>0</v>
      </c>
      <c r="X115" s="551">
        <v>0</v>
      </c>
      <c r="Y115" s="551">
        <v>0</v>
      </c>
      <c r="Z115" s="551">
        <v>0</v>
      </c>
      <c r="AA115" s="551">
        <v>127</v>
      </c>
      <c r="AB115" s="551">
        <v>418</v>
      </c>
      <c r="AC115" s="551">
        <v>545</v>
      </c>
    </row>
    <row r="116" spans="1:29">
      <c r="A116" s="1202"/>
      <c r="B116" s="590" t="s">
        <v>227</v>
      </c>
      <c r="C116" s="348">
        <v>0</v>
      </c>
      <c r="D116" s="348">
        <v>0</v>
      </c>
      <c r="E116" s="348">
        <v>0</v>
      </c>
      <c r="F116" s="348">
        <v>0</v>
      </c>
      <c r="G116" s="348">
        <v>0</v>
      </c>
      <c r="H116" s="348">
        <v>0</v>
      </c>
      <c r="I116" s="348">
        <v>4</v>
      </c>
      <c r="J116" s="348">
        <v>33</v>
      </c>
      <c r="K116" s="348">
        <v>37</v>
      </c>
      <c r="L116" s="349">
        <v>112</v>
      </c>
      <c r="M116" s="348">
        <v>403</v>
      </c>
      <c r="N116" s="348">
        <v>515</v>
      </c>
      <c r="O116" s="348">
        <v>0</v>
      </c>
      <c r="P116" s="348">
        <v>0</v>
      </c>
      <c r="Q116" s="348">
        <v>0</v>
      </c>
      <c r="R116" s="348">
        <v>0</v>
      </c>
      <c r="S116" s="348">
        <v>0</v>
      </c>
      <c r="T116" s="348">
        <v>0</v>
      </c>
      <c r="U116" s="349">
        <v>0</v>
      </c>
      <c r="V116" s="348">
        <v>0</v>
      </c>
      <c r="W116" s="348">
        <v>0</v>
      </c>
      <c r="X116" s="348">
        <v>0</v>
      </c>
      <c r="Y116" s="348">
        <v>0</v>
      </c>
      <c r="Z116" s="348">
        <v>0</v>
      </c>
      <c r="AA116" s="350">
        <f t="shared" ref="AA116:AC116" si="14">C116+F116+I116+L116+O116+R116+U116+X116</f>
        <v>116</v>
      </c>
      <c r="AB116" s="350">
        <f t="shared" si="14"/>
        <v>436</v>
      </c>
      <c r="AC116" s="350">
        <f t="shared" si="14"/>
        <v>552</v>
      </c>
    </row>
    <row r="117" spans="1:29">
      <c r="A117" s="1202">
        <v>19</v>
      </c>
      <c r="B117" s="585" t="s">
        <v>33</v>
      </c>
      <c r="C117" s="586"/>
      <c r="D117" s="586"/>
      <c r="E117" s="586"/>
      <c r="F117" s="586"/>
      <c r="G117" s="586"/>
      <c r="H117" s="586"/>
      <c r="I117" s="586"/>
      <c r="J117" s="586"/>
      <c r="K117" s="587"/>
      <c r="L117" s="586"/>
      <c r="M117" s="586"/>
      <c r="N117" s="586"/>
      <c r="O117" s="586"/>
      <c r="P117" s="586"/>
      <c r="Q117" s="586"/>
      <c r="R117" s="586"/>
      <c r="S117" s="586"/>
      <c r="T117" s="587"/>
      <c r="U117" s="586"/>
      <c r="V117" s="586"/>
      <c r="W117" s="586"/>
      <c r="X117" s="586"/>
      <c r="Y117" s="586"/>
      <c r="Z117" s="586"/>
      <c r="AA117" s="586"/>
      <c r="AB117" s="586"/>
      <c r="AC117" s="587"/>
    </row>
    <row r="118" spans="1:29">
      <c r="A118" s="1202"/>
      <c r="B118" s="588" t="s">
        <v>919</v>
      </c>
      <c r="C118" s="586">
        <v>4283</v>
      </c>
      <c r="D118" s="586">
        <v>3571</v>
      </c>
      <c r="E118" s="586">
        <v>7854</v>
      </c>
      <c r="F118" s="586"/>
      <c r="G118" s="586">
        <v>16</v>
      </c>
      <c r="H118" s="586">
        <v>16</v>
      </c>
      <c r="I118" s="586">
        <v>201345</v>
      </c>
      <c r="J118" s="586">
        <v>239046</v>
      </c>
      <c r="K118" s="587">
        <v>440391</v>
      </c>
      <c r="L118" s="586">
        <v>1143205</v>
      </c>
      <c r="M118" s="586">
        <v>953119</v>
      </c>
      <c r="N118" s="586">
        <v>2096324</v>
      </c>
      <c r="O118" s="586">
        <v>21509</v>
      </c>
      <c r="P118" s="586">
        <v>20506</v>
      </c>
      <c r="Q118" s="586">
        <v>42015</v>
      </c>
      <c r="R118" s="586">
        <v>114323</v>
      </c>
      <c r="S118" s="586">
        <v>61488</v>
      </c>
      <c r="T118" s="587">
        <v>175811</v>
      </c>
      <c r="U118" s="586">
        <v>1563</v>
      </c>
      <c r="V118" s="586">
        <v>858</v>
      </c>
      <c r="W118" s="586">
        <v>2421</v>
      </c>
      <c r="X118" s="586">
        <v>19680</v>
      </c>
      <c r="Y118" s="586">
        <v>15653</v>
      </c>
      <c r="Z118" s="586">
        <v>35333</v>
      </c>
      <c r="AA118" s="586">
        <v>1505908</v>
      </c>
      <c r="AB118" s="586">
        <v>1294257</v>
      </c>
      <c r="AC118" s="587">
        <v>2800165</v>
      </c>
    </row>
    <row r="119" spans="1:29">
      <c r="A119" s="1202"/>
      <c r="B119" s="588" t="s">
        <v>876</v>
      </c>
      <c r="C119" s="589">
        <v>3676</v>
      </c>
      <c r="D119" s="589">
        <v>2477</v>
      </c>
      <c r="E119" s="589">
        <v>6153</v>
      </c>
      <c r="F119" s="589">
        <v>91</v>
      </c>
      <c r="G119" s="589">
        <v>58</v>
      </c>
      <c r="H119" s="589">
        <v>149</v>
      </c>
      <c r="I119" s="589">
        <v>159236</v>
      </c>
      <c r="J119" s="589">
        <v>184377</v>
      </c>
      <c r="K119" s="589">
        <v>343613</v>
      </c>
      <c r="L119" s="589">
        <v>1067537</v>
      </c>
      <c r="M119" s="589">
        <v>947070</v>
      </c>
      <c r="N119" s="589">
        <v>2014607</v>
      </c>
      <c r="O119" s="589">
        <v>21531</v>
      </c>
      <c r="P119" s="589">
        <v>19739</v>
      </c>
      <c r="Q119" s="589">
        <v>41270</v>
      </c>
      <c r="R119" s="589">
        <v>103265</v>
      </c>
      <c r="S119" s="589">
        <v>56449</v>
      </c>
      <c r="T119" s="589">
        <v>159714</v>
      </c>
      <c r="U119" s="589">
        <v>2298</v>
      </c>
      <c r="V119" s="589">
        <v>1272</v>
      </c>
      <c r="W119" s="589">
        <v>3570</v>
      </c>
      <c r="X119" s="589">
        <v>16402</v>
      </c>
      <c r="Y119" s="589">
        <v>13083</v>
      </c>
      <c r="Z119" s="589">
        <v>29485</v>
      </c>
      <c r="AA119" s="589">
        <v>1374036</v>
      </c>
      <c r="AB119" s="589">
        <v>1224525</v>
      </c>
      <c r="AC119" s="589">
        <v>2598561</v>
      </c>
    </row>
    <row r="120" spans="1:29">
      <c r="A120" s="1202"/>
      <c r="B120" s="590" t="s">
        <v>229</v>
      </c>
      <c r="C120" s="346">
        <v>3006</v>
      </c>
      <c r="D120" s="346">
        <v>2441</v>
      </c>
      <c r="E120" s="346">
        <v>5447</v>
      </c>
      <c r="F120" s="346">
        <v>427</v>
      </c>
      <c r="G120" s="346">
        <v>449</v>
      </c>
      <c r="H120" s="346">
        <v>876</v>
      </c>
      <c r="I120" s="346">
        <v>125638</v>
      </c>
      <c r="J120" s="346">
        <v>159465</v>
      </c>
      <c r="K120" s="346">
        <v>285103</v>
      </c>
      <c r="L120" s="351">
        <v>908857</v>
      </c>
      <c r="M120" s="346">
        <v>802319</v>
      </c>
      <c r="N120" s="346">
        <v>1711176</v>
      </c>
      <c r="O120" s="346">
        <v>18338</v>
      </c>
      <c r="P120" s="346">
        <v>20012</v>
      </c>
      <c r="Q120" s="346">
        <v>38350</v>
      </c>
      <c r="R120" s="346">
        <v>75946</v>
      </c>
      <c r="S120" s="346">
        <v>43555</v>
      </c>
      <c r="T120" s="346">
        <v>119501</v>
      </c>
      <c r="U120" s="351">
        <v>1866</v>
      </c>
      <c r="V120" s="346">
        <v>1011</v>
      </c>
      <c r="W120" s="346">
        <v>2877</v>
      </c>
      <c r="X120" s="346">
        <v>10498</v>
      </c>
      <c r="Y120" s="346">
        <v>8326</v>
      </c>
      <c r="Z120" s="346">
        <v>18824</v>
      </c>
      <c r="AA120" s="352">
        <v>1144576</v>
      </c>
      <c r="AB120" s="352">
        <v>1037578</v>
      </c>
      <c r="AC120" s="352">
        <v>2182154</v>
      </c>
    </row>
    <row r="121" spans="1:29">
      <c r="A121" s="1202"/>
      <c r="B121" s="590" t="s">
        <v>228</v>
      </c>
      <c r="C121" s="551">
        <v>2383</v>
      </c>
      <c r="D121" s="551">
        <v>1710</v>
      </c>
      <c r="E121" s="551">
        <v>4093</v>
      </c>
      <c r="F121" s="551">
        <v>264</v>
      </c>
      <c r="G121" s="551">
        <v>379</v>
      </c>
      <c r="H121" s="551">
        <v>643</v>
      </c>
      <c r="I121" s="551">
        <v>100896</v>
      </c>
      <c r="J121" s="551">
        <v>121265</v>
      </c>
      <c r="K121" s="551">
        <v>222161</v>
      </c>
      <c r="L121" s="591">
        <v>817593</v>
      </c>
      <c r="M121" s="551">
        <v>703775</v>
      </c>
      <c r="N121" s="551">
        <v>1521368</v>
      </c>
      <c r="O121" s="551">
        <v>20714</v>
      </c>
      <c r="P121" s="551">
        <v>21793</v>
      </c>
      <c r="Q121" s="551">
        <v>42507</v>
      </c>
      <c r="R121" s="551">
        <v>76043</v>
      </c>
      <c r="S121" s="551">
        <v>45751</v>
      </c>
      <c r="T121" s="551">
        <v>121794</v>
      </c>
      <c r="U121" s="591">
        <v>1545</v>
      </c>
      <c r="V121" s="551">
        <v>847</v>
      </c>
      <c r="W121" s="551">
        <v>2392</v>
      </c>
      <c r="X121" s="551">
        <v>8300</v>
      </c>
      <c r="Y121" s="551">
        <v>6086</v>
      </c>
      <c r="Z121" s="551">
        <v>14386</v>
      </c>
      <c r="AA121" s="551">
        <v>1027738</v>
      </c>
      <c r="AB121" s="551">
        <v>901606</v>
      </c>
      <c r="AC121" s="551">
        <v>1929344</v>
      </c>
    </row>
    <row r="122" spans="1:29">
      <c r="A122" s="1202"/>
      <c r="B122" s="590" t="s">
        <v>227</v>
      </c>
      <c r="C122" s="348">
        <v>2427</v>
      </c>
      <c r="D122" s="348">
        <v>1558</v>
      </c>
      <c r="E122" s="348">
        <v>3985</v>
      </c>
      <c r="F122" s="348">
        <v>299</v>
      </c>
      <c r="G122" s="348">
        <v>466</v>
      </c>
      <c r="H122" s="348">
        <v>765</v>
      </c>
      <c r="I122" s="348">
        <v>95922.90634232352</v>
      </c>
      <c r="J122" s="348">
        <v>110113.11616381344</v>
      </c>
      <c r="K122" s="348">
        <v>206036.02250613697</v>
      </c>
      <c r="L122" s="349">
        <v>790446.54182277003</v>
      </c>
      <c r="M122" s="348">
        <v>656610.29455067066</v>
      </c>
      <c r="N122" s="348">
        <v>1447056.8363734407</v>
      </c>
      <c r="O122" s="348">
        <v>27998</v>
      </c>
      <c r="P122" s="348">
        <v>31271</v>
      </c>
      <c r="Q122" s="348">
        <v>59269</v>
      </c>
      <c r="R122" s="348">
        <v>98060</v>
      </c>
      <c r="S122" s="348">
        <v>55851</v>
      </c>
      <c r="T122" s="348">
        <v>153911</v>
      </c>
      <c r="U122" s="349">
        <v>2147</v>
      </c>
      <c r="V122" s="348">
        <v>2332</v>
      </c>
      <c r="W122" s="348">
        <v>4479</v>
      </c>
      <c r="X122" s="348">
        <v>6118</v>
      </c>
      <c r="Y122" s="348">
        <v>3859</v>
      </c>
      <c r="Z122" s="348">
        <v>9977</v>
      </c>
      <c r="AA122" s="350">
        <f t="shared" ref="AA122:AC122" si="15">C122+F122+I122+L122+O122+R122+U122+X122</f>
        <v>1023418.4481650935</v>
      </c>
      <c r="AB122" s="350">
        <f t="shared" si="15"/>
        <v>862060.41071448405</v>
      </c>
      <c r="AC122" s="350">
        <f t="shared" si="15"/>
        <v>1885478.8588795776</v>
      </c>
    </row>
    <row r="123" spans="1:29">
      <c r="A123" s="1202">
        <v>20</v>
      </c>
      <c r="B123" s="585" t="s">
        <v>34</v>
      </c>
      <c r="C123" s="586"/>
      <c r="D123" s="586"/>
      <c r="E123" s="586"/>
      <c r="F123" s="586"/>
      <c r="G123" s="586"/>
      <c r="H123" s="586"/>
      <c r="I123" s="586"/>
      <c r="J123" s="586"/>
      <c r="K123" s="587"/>
      <c r="L123" s="586"/>
      <c r="M123" s="586"/>
      <c r="N123" s="586"/>
      <c r="O123" s="586"/>
      <c r="P123" s="586"/>
      <c r="Q123" s="586"/>
      <c r="R123" s="586"/>
      <c r="S123" s="586"/>
      <c r="T123" s="587"/>
      <c r="U123" s="586"/>
      <c r="V123" s="586"/>
      <c r="W123" s="586"/>
      <c r="X123" s="586"/>
      <c r="Y123" s="586"/>
      <c r="Z123" s="586"/>
      <c r="AA123" s="586"/>
      <c r="AB123" s="586"/>
      <c r="AC123" s="587"/>
    </row>
    <row r="124" spans="1:29">
      <c r="A124" s="1202"/>
      <c r="B124" s="588" t="s">
        <v>919</v>
      </c>
      <c r="C124" s="586">
        <v>10115</v>
      </c>
      <c r="D124" s="586">
        <v>7717</v>
      </c>
      <c r="E124" s="586">
        <v>17832</v>
      </c>
      <c r="F124" s="586">
        <v>121</v>
      </c>
      <c r="G124" s="586">
        <v>69</v>
      </c>
      <c r="H124" s="586">
        <v>190</v>
      </c>
      <c r="I124" s="586">
        <v>283304</v>
      </c>
      <c r="J124" s="586">
        <v>303894</v>
      </c>
      <c r="K124" s="587">
        <v>587198</v>
      </c>
      <c r="L124" s="586">
        <v>1968964</v>
      </c>
      <c r="M124" s="586">
        <v>1529764</v>
      </c>
      <c r="N124" s="586">
        <v>3498728</v>
      </c>
      <c r="O124" s="586">
        <v>25594</v>
      </c>
      <c r="P124" s="586">
        <v>21182</v>
      </c>
      <c r="Q124" s="586">
        <v>46776</v>
      </c>
      <c r="R124" s="586">
        <v>236517</v>
      </c>
      <c r="S124" s="586">
        <v>157882</v>
      </c>
      <c r="T124" s="587">
        <v>394399</v>
      </c>
      <c r="U124" s="586">
        <v>7580</v>
      </c>
      <c r="V124" s="586">
        <v>4905</v>
      </c>
      <c r="W124" s="586">
        <v>12485</v>
      </c>
      <c r="X124" s="586">
        <v>10636</v>
      </c>
      <c r="Y124" s="586">
        <v>9599</v>
      </c>
      <c r="Z124" s="586">
        <v>20235</v>
      </c>
      <c r="AA124" s="586">
        <v>2542831</v>
      </c>
      <c r="AB124" s="586">
        <v>2035012</v>
      </c>
      <c r="AC124" s="587">
        <v>4577843</v>
      </c>
    </row>
    <row r="125" spans="1:29">
      <c r="A125" s="1202"/>
      <c r="B125" s="588" t="s">
        <v>876</v>
      </c>
      <c r="C125" s="589">
        <v>9358</v>
      </c>
      <c r="D125" s="589">
        <v>6393</v>
      </c>
      <c r="E125" s="589">
        <v>15751</v>
      </c>
      <c r="F125" s="589">
        <v>385</v>
      </c>
      <c r="G125" s="589">
        <v>349</v>
      </c>
      <c r="H125" s="589">
        <v>734</v>
      </c>
      <c r="I125" s="589">
        <v>244931</v>
      </c>
      <c r="J125" s="589">
        <v>319628</v>
      </c>
      <c r="K125" s="589">
        <v>564559</v>
      </c>
      <c r="L125" s="589">
        <v>1955828</v>
      </c>
      <c r="M125" s="589">
        <v>1538148</v>
      </c>
      <c r="N125" s="589">
        <v>3493976</v>
      </c>
      <c r="O125" s="589">
        <v>14155</v>
      </c>
      <c r="P125" s="589">
        <v>10540</v>
      </c>
      <c r="Q125" s="589">
        <v>24695</v>
      </c>
      <c r="R125" s="589">
        <v>236423</v>
      </c>
      <c r="S125" s="589">
        <v>157788</v>
      </c>
      <c r="T125" s="589">
        <v>394211</v>
      </c>
      <c r="U125" s="589">
        <v>22503</v>
      </c>
      <c r="V125" s="589">
        <v>13879</v>
      </c>
      <c r="W125" s="589">
        <v>36382</v>
      </c>
      <c r="X125" s="589">
        <v>8314</v>
      </c>
      <c r="Y125" s="589">
        <v>7527</v>
      </c>
      <c r="Z125" s="589">
        <v>15841</v>
      </c>
      <c r="AA125" s="589">
        <v>2491897</v>
      </c>
      <c r="AB125" s="589">
        <v>2054252</v>
      </c>
      <c r="AC125" s="589">
        <v>4546149</v>
      </c>
    </row>
    <row r="126" spans="1:29">
      <c r="A126" s="1202"/>
      <c r="B126" s="590" t="s">
        <v>229</v>
      </c>
      <c r="C126" s="346">
        <v>7122</v>
      </c>
      <c r="D126" s="346">
        <v>4861</v>
      </c>
      <c r="E126" s="346">
        <v>11983</v>
      </c>
      <c r="F126" s="346">
        <v>760</v>
      </c>
      <c r="G126" s="346">
        <v>716</v>
      </c>
      <c r="H126" s="346">
        <v>1476</v>
      </c>
      <c r="I126" s="346">
        <v>225266</v>
      </c>
      <c r="J126" s="346">
        <v>253236</v>
      </c>
      <c r="K126" s="346">
        <v>478502</v>
      </c>
      <c r="L126" s="351">
        <v>1866422</v>
      </c>
      <c r="M126" s="346">
        <v>1526553</v>
      </c>
      <c r="N126" s="346">
        <v>3392975</v>
      </c>
      <c r="O126" s="346">
        <v>13295</v>
      </c>
      <c r="P126" s="346">
        <v>10337</v>
      </c>
      <c r="Q126" s="346">
        <v>23632</v>
      </c>
      <c r="R126" s="346">
        <v>183077</v>
      </c>
      <c r="S126" s="346">
        <v>140057</v>
      </c>
      <c r="T126" s="346">
        <v>323134</v>
      </c>
      <c r="U126" s="351">
        <v>9835</v>
      </c>
      <c r="V126" s="346">
        <v>8013</v>
      </c>
      <c r="W126" s="346">
        <v>17848</v>
      </c>
      <c r="X126" s="346">
        <v>8085</v>
      </c>
      <c r="Y126" s="346">
        <v>7837</v>
      </c>
      <c r="Z126" s="346">
        <v>15922</v>
      </c>
      <c r="AA126" s="352">
        <v>2313862</v>
      </c>
      <c r="AB126" s="352">
        <v>1951610</v>
      </c>
      <c r="AC126" s="352">
        <v>4265472</v>
      </c>
    </row>
    <row r="127" spans="1:29">
      <c r="A127" s="1202"/>
      <c r="B127" s="590" t="s">
        <v>228</v>
      </c>
      <c r="C127" s="551">
        <v>4923</v>
      </c>
      <c r="D127" s="551">
        <v>3873</v>
      </c>
      <c r="E127" s="551">
        <v>8796</v>
      </c>
      <c r="F127" s="551">
        <v>1007</v>
      </c>
      <c r="G127" s="551">
        <v>1165</v>
      </c>
      <c r="H127" s="551">
        <v>2172</v>
      </c>
      <c r="I127" s="551">
        <v>218561</v>
      </c>
      <c r="J127" s="551">
        <v>242682</v>
      </c>
      <c r="K127" s="551">
        <v>461243</v>
      </c>
      <c r="L127" s="591">
        <v>1855670</v>
      </c>
      <c r="M127" s="551">
        <v>1496019</v>
      </c>
      <c r="N127" s="551">
        <v>3351689</v>
      </c>
      <c r="O127" s="551">
        <v>11414</v>
      </c>
      <c r="P127" s="551">
        <v>8570</v>
      </c>
      <c r="Q127" s="551">
        <v>19984</v>
      </c>
      <c r="R127" s="551">
        <v>215778</v>
      </c>
      <c r="S127" s="551">
        <v>139431</v>
      </c>
      <c r="T127" s="551">
        <v>355209</v>
      </c>
      <c r="U127" s="591">
        <v>10018</v>
      </c>
      <c r="V127" s="551">
        <v>7692</v>
      </c>
      <c r="W127" s="551">
        <v>17710</v>
      </c>
      <c r="X127" s="551">
        <v>7053</v>
      </c>
      <c r="Y127" s="551">
        <v>6470</v>
      </c>
      <c r="Z127" s="551">
        <v>13523</v>
      </c>
      <c r="AA127" s="551">
        <v>2324424</v>
      </c>
      <c r="AB127" s="551">
        <v>1905902</v>
      </c>
      <c r="AC127" s="551">
        <v>4230326</v>
      </c>
    </row>
    <row r="128" spans="1:29">
      <c r="A128" s="1202"/>
      <c r="B128" s="590" t="s">
        <v>227</v>
      </c>
      <c r="C128" s="348">
        <v>5365</v>
      </c>
      <c r="D128" s="348">
        <v>3841</v>
      </c>
      <c r="E128" s="348">
        <v>9206</v>
      </c>
      <c r="F128" s="348">
        <v>1176</v>
      </c>
      <c r="G128" s="348">
        <v>1245</v>
      </c>
      <c r="H128" s="348">
        <v>2421</v>
      </c>
      <c r="I128" s="348">
        <v>214429.55704424754</v>
      </c>
      <c r="J128" s="348">
        <v>231353.06880900724</v>
      </c>
      <c r="K128" s="348">
        <v>445782.62585325481</v>
      </c>
      <c r="L128" s="349">
        <v>1831960.386085392</v>
      </c>
      <c r="M128" s="348">
        <v>1482950.6642717505</v>
      </c>
      <c r="N128" s="348">
        <v>3314911.0503571425</v>
      </c>
      <c r="O128" s="348">
        <v>11566</v>
      </c>
      <c r="P128" s="348">
        <v>8164</v>
      </c>
      <c r="Q128" s="348">
        <v>19730</v>
      </c>
      <c r="R128" s="348">
        <v>194153</v>
      </c>
      <c r="S128" s="348">
        <v>121758</v>
      </c>
      <c r="T128" s="348">
        <v>315911</v>
      </c>
      <c r="U128" s="349">
        <v>6352</v>
      </c>
      <c r="V128" s="348">
        <v>5499</v>
      </c>
      <c r="W128" s="348">
        <v>11851</v>
      </c>
      <c r="X128" s="348">
        <v>6076</v>
      </c>
      <c r="Y128" s="348">
        <v>5868</v>
      </c>
      <c r="Z128" s="348">
        <v>11944</v>
      </c>
      <c r="AA128" s="350">
        <f t="shared" ref="AA128:AC128" si="16">C128+F128+I128+L128+O128+R128+U128+X128</f>
        <v>2271077.9431296396</v>
      </c>
      <c r="AB128" s="350">
        <f t="shared" si="16"/>
        <v>1860678.7330807578</v>
      </c>
      <c r="AC128" s="350">
        <f t="shared" si="16"/>
        <v>4131756.6762103974</v>
      </c>
    </row>
    <row r="129" spans="1:29">
      <c r="A129" s="1202">
        <v>21</v>
      </c>
      <c r="B129" s="585" t="s">
        <v>35</v>
      </c>
      <c r="C129" s="586"/>
      <c r="D129" s="586"/>
      <c r="E129" s="586"/>
      <c r="F129" s="586"/>
      <c r="G129" s="586"/>
      <c r="H129" s="586"/>
      <c r="I129" s="586"/>
      <c r="J129" s="586"/>
      <c r="K129" s="587"/>
      <c r="L129" s="586"/>
      <c r="M129" s="586"/>
      <c r="N129" s="586"/>
      <c r="O129" s="586"/>
      <c r="P129" s="586"/>
      <c r="Q129" s="586"/>
      <c r="R129" s="586"/>
      <c r="S129" s="586"/>
      <c r="T129" s="587"/>
      <c r="U129" s="586"/>
      <c r="V129" s="586"/>
      <c r="W129" s="586"/>
      <c r="X129" s="586"/>
      <c r="Y129" s="586"/>
      <c r="Z129" s="586"/>
      <c r="AA129" s="586"/>
      <c r="AB129" s="586"/>
      <c r="AC129" s="587"/>
    </row>
    <row r="130" spans="1:29">
      <c r="A130" s="1202"/>
      <c r="B130" s="588" t="s">
        <v>919</v>
      </c>
      <c r="C130" s="586">
        <v>725</v>
      </c>
      <c r="D130" s="586">
        <v>723</v>
      </c>
      <c r="E130" s="586">
        <v>1448</v>
      </c>
      <c r="F130" s="586"/>
      <c r="G130" s="586">
        <v>6</v>
      </c>
      <c r="H130" s="586">
        <v>6</v>
      </c>
      <c r="I130" s="586">
        <v>4940</v>
      </c>
      <c r="J130" s="586">
        <v>5528</v>
      </c>
      <c r="K130" s="587">
        <v>10468</v>
      </c>
      <c r="L130" s="586">
        <v>58171</v>
      </c>
      <c r="M130" s="586">
        <v>54386</v>
      </c>
      <c r="N130" s="586">
        <v>112557</v>
      </c>
      <c r="O130" s="586">
        <v>555</v>
      </c>
      <c r="P130" s="586">
        <v>419</v>
      </c>
      <c r="Q130" s="586">
        <v>974</v>
      </c>
      <c r="R130" s="586">
        <v>1682</v>
      </c>
      <c r="S130" s="586">
        <v>2967</v>
      </c>
      <c r="T130" s="587">
        <v>4649</v>
      </c>
      <c r="U130" s="586">
        <v>161</v>
      </c>
      <c r="V130" s="586">
        <v>125</v>
      </c>
      <c r="W130" s="586">
        <v>286</v>
      </c>
      <c r="X130" s="586"/>
      <c r="Y130" s="586"/>
      <c r="Z130" s="586"/>
      <c r="AA130" s="586">
        <v>66234</v>
      </c>
      <c r="AB130" s="586">
        <v>64154</v>
      </c>
      <c r="AC130" s="587">
        <v>130388</v>
      </c>
    </row>
    <row r="131" spans="1:29">
      <c r="A131" s="1202"/>
      <c r="B131" s="588" t="s">
        <v>876</v>
      </c>
      <c r="C131" s="589">
        <v>624</v>
      </c>
      <c r="D131" s="589">
        <v>569</v>
      </c>
      <c r="E131" s="589">
        <v>1193</v>
      </c>
      <c r="F131" s="589">
        <v>0</v>
      </c>
      <c r="G131" s="589">
        <v>12</v>
      </c>
      <c r="H131" s="589">
        <v>12</v>
      </c>
      <c r="I131" s="589">
        <v>4813</v>
      </c>
      <c r="J131" s="589">
        <v>5649</v>
      </c>
      <c r="K131" s="589">
        <v>10462</v>
      </c>
      <c r="L131" s="589">
        <v>61246</v>
      </c>
      <c r="M131" s="589">
        <v>60261</v>
      </c>
      <c r="N131" s="589">
        <v>121507</v>
      </c>
      <c r="O131" s="589">
        <v>396</v>
      </c>
      <c r="P131" s="589">
        <v>269</v>
      </c>
      <c r="Q131" s="589">
        <v>665</v>
      </c>
      <c r="R131" s="589">
        <v>1637</v>
      </c>
      <c r="S131" s="589">
        <v>2607</v>
      </c>
      <c r="T131" s="589">
        <v>4244</v>
      </c>
      <c r="U131" s="589">
        <v>200</v>
      </c>
      <c r="V131" s="589">
        <v>216</v>
      </c>
      <c r="W131" s="589">
        <v>416</v>
      </c>
      <c r="X131" s="589">
        <v>0</v>
      </c>
      <c r="Y131" s="589">
        <v>0</v>
      </c>
      <c r="Z131" s="589">
        <v>0</v>
      </c>
      <c r="AA131" s="589">
        <v>68916</v>
      </c>
      <c r="AB131" s="589">
        <v>69583</v>
      </c>
      <c r="AC131" s="589">
        <v>138499</v>
      </c>
    </row>
    <row r="132" spans="1:29">
      <c r="A132" s="1202"/>
      <c r="B132" s="590" t="s">
        <v>229</v>
      </c>
      <c r="C132" s="346">
        <v>538</v>
      </c>
      <c r="D132" s="346">
        <v>507</v>
      </c>
      <c r="E132" s="346">
        <v>1045</v>
      </c>
      <c r="F132" s="346">
        <v>2</v>
      </c>
      <c r="G132" s="346">
        <v>10</v>
      </c>
      <c r="H132" s="346">
        <v>12</v>
      </c>
      <c r="I132" s="346">
        <v>4689</v>
      </c>
      <c r="J132" s="346">
        <v>5087</v>
      </c>
      <c r="K132" s="346">
        <v>9776</v>
      </c>
      <c r="L132" s="351">
        <v>54042</v>
      </c>
      <c r="M132" s="346">
        <v>55248</v>
      </c>
      <c r="N132" s="346">
        <v>109290</v>
      </c>
      <c r="O132" s="346">
        <v>187</v>
      </c>
      <c r="P132" s="346">
        <v>90</v>
      </c>
      <c r="Q132" s="346">
        <v>277</v>
      </c>
      <c r="R132" s="346">
        <v>1383</v>
      </c>
      <c r="S132" s="346">
        <v>2573</v>
      </c>
      <c r="T132" s="346">
        <v>3956</v>
      </c>
      <c r="U132" s="351">
        <v>77</v>
      </c>
      <c r="V132" s="346">
        <v>105</v>
      </c>
      <c r="W132" s="346">
        <v>182</v>
      </c>
      <c r="X132" s="346">
        <v>0</v>
      </c>
      <c r="Y132" s="346">
        <v>0</v>
      </c>
      <c r="Z132" s="346">
        <v>0</v>
      </c>
      <c r="AA132" s="352">
        <v>60918</v>
      </c>
      <c r="AB132" s="352">
        <v>63620</v>
      </c>
      <c r="AC132" s="352">
        <v>124538</v>
      </c>
    </row>
    <row r="133" spans="1:29">
      <c r="A133" s="1202"/>
      <c r="B133" s="590" t="s">
        <v>228</v>
      </c>
      <c r="C133" s="551">
        <v>601</v>
      </c>
      <c r="D133" s="551">
        <v>487</v>
      </c>
      <c r="E133" s="551">
        <v>1088</v>
      </c>
      <c r="F133" s="551">
        <v>1</v>
      </c>
      <c r="G133" s="551">
        <v>10</v>
      </c>
      <c r="H133" s="551">
        <v>11</v>
      </c>
      <c r="I133" s="551">
        <v>4143</v>
      </c>
      <c r="J133" s="551">
        <v>4296</v>
      </c>
      <c r="K133" s="551">
        <v>8439</v>
      </c>
      <c r="L133" s="591">
        <v>48415</v>
      </c>
      <c r="M133" s="551">
        <v>48928</v>
      </c>
      <c r="N133" s="551">
        <v>97343</v>
      </c>
      <c r="O133" s="551">
        <v>137</v>
      </c>
      <c r="P133" s="551">
        <v>93</v>
      </c>
      <c r="Q133" s="551">
        <v>230</v>
      </c>
      <c r="R133" s="551">
        <v>1288</v>
      </c>
      <c r="S133" s="551">
        <v>1788</v>
      </c>
      <c r="T133" s="551">
        <v>3076</v>
      </c>
      <c r="U133" s="591">
        <v>94</v>
      </c>
      <c r="V133" s="551">
        <v>96</v>
      </c>
      <c r="W133" s="551">
        <v>190</v>
      </c>
      <c r="X133" s="551">
        <v>0</v>
      </c>
      <c r="Y133" s="551">
        <v>0</v>
      </c>
      <c r="Z133" s="551">
        <v>0</v>
      </c>
      <c r="AA133" s="551">
        <v>54679</v>
      </c>
      <c r="AB133" s="551">
        <v>55698</v>
      </c>
      <c r="AC133" s="551">
        <v>110377</v>
      </c>
    </row>
    <row r="134" spans="1:29">
      <c r="A134" s="1202"/>
      <c r="B134" s="590" t="s">
        <v>227</v>
      </c>
      <c r="C134" s="348">
        <v>332</v>
      </c>
      <c r="D134" s="348">
        <v>314</v>
      </c>
      <c r="E134" s="348">
        <v>646</v>
      </c>
      <c r="F134" s="348">
        <v>0</v>
      </c>
      <c r="G134" s="348">
        <v>7</v>
      </c>
      <c r="H134" s="348">
        <v>7</v>
      </c>
      <c r="I134" s="348">
        <v>4467.0058442846948</v>
      </c>
      <c r="J134" s="348">
        <v>3667.6823511592738</v>
      </c>
      <c r="K134" s="348">
        <v>8134.6881954439687</v>
      </c>
      <c r="L134" s="349">
        <v>45380.869593728305</v>
      </c>
      <c r="M134" s="348">
        <v>48526.413332074699</v>
      </c>
      <c r="N134" s="348">
        <v>93907.282925803011</v>
      </c>
      <c r="O134" s="348">
        <v>127</v>
      </c>
      <c r="P134" s="348">
        <v>54</v>
      </c>
      <c r="Q134" s="348">
        <v>181</v>
      </c>
      <c r="R134" s="348">
        <v>964</v>
      </c>
      <c r="S134" s="348">
        <v>810</v>
      </c>
      <c r="T134" s="348">
        <v>1774</v>
      </c>
      <c r="U134" s="349">
        <v>0</v>
      </c>
      <c r="V134" s="348">
        <v>30</v>
      </c>
      <c r="W134" s="348">
        <v>30</v>
      </c>
      <c r="X134" s="348">
        <v>0</v>
      </c>
      <c r="Y134" s="348">
        <v>0</v>
      </c>
      <c r="Z134" s="348">
        <v>0</v>
      </c>
      <c r="AA134" s="350">
        <f t="shared" ref="AA134:AC134" si="17">C134+F134+I134+L134+O134+R134+U134+X134</f>
        <v>51270.875438012998</v>
      </c>
      <c r="AB134" s="350">
        <f t="shared" si="17"/>
        <v>53409.095683233973</v>
      </c>
      <c r="AC134" s="350">
        <f t="shared" si="17"/>
        <v>104679.97112124698</v>
      </c>
    </row>
    <row r="135" spans="1:29">
      <c r="A135" s="1202">
        <v>22</v>
      </c>
      <c r="B135" s="585" t="s">
        <v>36</v>
      </c>
      <c r="C135" s="586"/>
      <c r="D135" s="586"/>
      <c r="E135" s="586"/>
      <c r="F135" s="586"/>
      <c r="G135" s="586"/>
      <c r="H135" s="586"/>
      <c r="I135" s="586"/>
      <c r="J135" s="586"/>
      <c r="K135" s="587"/>
      <c r="L135" s="586"/>
      <c r="M135" s="586"/>
      <c r="N135" s="586"/>
      <c r="O135" s="586"/>
      <c r="P135" s="586"/>
      <c r="Q135" s="586"/>
      <c r="R135" s="586"/>
      <c r="S135" s="586"/>
      <c r="T135" s="587"/>
      <c r="U135" s="586"/>
      <c r="V135" s="586"/>
      <c r="W135" s="586"/>
      <c r="X135" s="586"/>
      <c r="Y135" s="586"/>
      <c r="Z135" s="586"/>
      <c r="AA135" s="586"/>
      <c r="AB135" s="586"/>
      <c r="AC135" s="587"/>
    </row>
    <row r="136" spans="1:29">
      <c r="A136" s="1202"/>
      <c r="B136" s="588" t="s">
        <v>919</v>
      </c>
      <c r="C136" s="586">
        <v>458</v>
      </c>
      <c r="D136" s="586">
        <v>331</v>
      </c>
      <c r="E136" s="586">
        <v>789</v>
      </c>
      <c r="F136" s="586">
        <v>1</v>
      </c>
      <c r="G136" s="586">
        <v>2</v>
      </c>
      <c r="H136" s="586">
        <v>3</v>
      </c>
      <c r="I136" s="586">
        <v>5673</v>
      </c>
      <c r="J136" s="586">
        <v>8432</v>
      </c>
      <c r="K136" s="587">
        <v>14105</v>
      </c>
      <c r="L136" s="586">
        <v>35954</v>
      </c>
      <c r="M136" s="586">
        <v>41489</v>
      </c>
      <c r="N136" s="586">
        <v>77443</v>
      </c>
      <c r="O136" s="586">
        <v>280</v>
      </c>
      <c r="P136" s="586">
        <v>363</v>
      </c>
      <c r="Q136" s="586">
        <v>643</v>
      </c>
      <c r="R136" s="586">
        <v>988</v>
      </c>
      <c r="S136" s="586">
        <v>2013</v>
      </c>
      <c r="T136" s="587">
        <v>3001</v>
      </c>
      <c r="U136" s="586">
        <v>31</v>
      </c>
      <c r="V136" s="586">
        <v>55</v>
      </c>
      <c r="W136" s="586">
        <v>86</v>
      </c>
      <c r="X136" s="586">
        <v>203</v>
      </c>
      <c r="Y136" s="586">
        <v>180</v>
      </c>
      <c r="Z136" s="586">
        <v>383</v>
      </c>
      <c r="AA136" s="586">
        <v>43588</v>
      </c>
      <c r="AB136" s="586">
        <v>52865</v>
      </c>
      <c r="AC136" s="587">
        <v>96453</v>
      </c>
    </row>
    <row r="137" spans="1:29">
      <c r="A137" s="1202"/>
      <c r="B137" s="588" t="s">
        <v>876</v>
      </c>
      <c r="C137" s="589">
        <v>469</v>
      </c>
      <c r="D137" s="589">
        <v>364</v>
      </c>
      <c r="E137" s="589">
        <v>833</v>
      </c>
      <c r="F137" s="589">
        <v>0</v>
      </c>
      <c r="G137" s="589">
        <v>0</v>
      </c>
      <c r="H137" s="589">
        <v>0</v>
      </c>
      <c r="I137" s="589">
        <v>4039</v>
      </c>
      <c r="J137" s="589">
        <v>6124</v>
      </c>
      <c r="K137" s="589">
        <v>10163</v>
      </c>
      <c r="L137" s="589">
        <v>36840</v>
      </c>
      <c r="M137" s="589">
        <v>45359</v>
      </c>
      <c r="N137" s="589">
        <v>82199</v>
      </c>
      <c r="O137" s="589">
        <v>177</v>
      </c>
      <c r="P137" s="589">
        <v>129</v>
      </c>
      <c r="Q137" s="589">
        <v>306</v>
      </c>
      <c r="R137" s="589">
        <v>1334</v>
      </c>
      <c r="S137" s="589">
        <v>2236</v>
      </c>
      <c r="T137" s="589">
        <v>3570</v>
      </c>
      <c r="U137" s="589">
        <v>172</v>
      </c>
      <c r="V137" s="589">
        <v>214</v>
      </c>
      <c r="W137" s="589">
        <v>386</v>
      </c>
      <c r="X137" s="589">
        <v>73</v>
      </c>
      <c r="Y137" s="589">
        <v>54</v>
      </c>
      <c r="Z137" s="589">
        <v>127</v>
      </c>
      <c r="AA137" s="589">
        <v>43104</v>
      </c>
      <c r="AB137" s="589">
        <v>54480</v>
      </c>
      <c r="AC137" s="589">
        <v>97584</v>
      </c>
    </row>
    <row r="138" spans="1:29">
      <c r="A138" s="1202"/>
      <c r="B138" s="590" t="s">
        <v>229</v>
      </c>
      <c r="C138" s="346">
        <v>492</v>
      </c>
      <c r="D138" s="346">
        <v>378</v>
      </c>
      <c r="E138" s="346">
        <v>870</v>
      </c>
      <c r="F138" s="346">
        <v>10</v>
      </c>
      <c r="G138" s="346">
        <v>23</v>
      </c>
      <c r="H138" s="346">
        <v>33</v>
      </c>
      <c r="I138" s="346">
        <v>4146</v>
      </c>
      <c r="J138" s="346">
        <v>6139</v>
      </c>
      <c r="K138" s="346">
        <v>10285</v>
      </c>
      <c r="L138" s="351">
        <v>33881</v>
      </c>
      <c r="M138" s="346">
        <v>39321</v>
      </c>
      <c r="N138" s="346">
        <v>73202</v>
      </c>
      <c r="O138" s="346">
        <v>114</v>
      </c>
      <c r="P138" s="346">
        <v>70</v>
      </c>
      <c r="Q138" s="346">
        <v>184</v>
      </c>
      <c r="R138" s="346">
        <v>1083</v>
      </c>
      <c r="S138" s="346">
        <v>1666</v>
      </c>
      <c r="T138" s="346">
        <v>2749</v>
      </c>
      <c r="U138" s="351">
        <v>48</v>
      </c>
      <c r="V138" s="346">
        <v>48</v>
      </c>
      <c r="W138" s="346">
        <v>96</v>
      </c>
      <c r="X138" s="346">
        <v>70</v>
      </c>
      <c r="Y138" s="346">
        <v>52</v>
      </c>
      <c r="Z138" s="346">
        <v>122</v>
      </c>
      <c r="AA138" s="352">
        <v>39844</v>
      </c>
      <c r="AB138" s="352">
        <v>47697</v>
      </c>
      <c r="AC138" s="352">
        <v>87541</v>
      </c>
    </row>
    <row r="139" spans="1:29">
      <c r="A139" s="1202"/>
      <c r="B139" s="590" t="s">
        <v>228</v>
      </c>
      <c r="C139" s="551">
        <v>475</v>
      </c>
      <c r="D139" s="551">
        <v>678</v>
      </c>
      <c r="E139" s="551">
        <v>1153</v>
      </c>
      <c r="F139" s="551">
        <v>29</v>
      </c>
      <c r="G139" s="551">
        <v>46</v>
      </c>
      <c r="H139" s="551">
        <v>75</v>
      </c>
      <c r="I139" s="551">
        <v>3760</v>
      </c>
      <c r="J139" s="551">
        <v>5817</v>
      </c>
      <c r="K139" s="551">
        <v>9577</v>
      </c>
      <c r="L139" s="591">
        <v>33868</v>
      </c>
      <c r="M139" s="551">
        <v>38949</v>
      </c>
      <c r="N139" s="551">
        <v>72817</v>
      </c>
      <c r="O139" s="551">
        <v>118</v>
      </c>
      <c r="P139" s="551">
        <v>85</v>
      </c>
      <c r="Q139" s="551">
        <v>203</v>
      </c>
      <c r="R139" s="551">
        <v>1159</v>
      </c>
      <c r="S139" s="551">
        <v>1853</v>
      </c>
      <c r="T139" s="551">
        <v>3012</v>
      </c>
      <c r="U139" s="591">
        <v>0</v>
      </c>
      <c r="V139" s="551">
        <v>0</v>
      </c>
      <c r="W139" s="551">
        <v>0</v>
      </c>
      <c r="X139" s="551">
        <v>52</v>
      </c>
      <c r="Y139" s="551">
        <v>42</v>
      </c>
      <c r="Z139" s="551">
        <v>94</v>
      </c>
      <c r="AA139" s="551">
        <v>39461</v>
      </c>
      <c r="AB139" s="551">
        <v>47470</v>
      </c>
      <c r="AC139" s="551">
        <v>86931</v>
      </c>
    </row>
    <row r="140" spans="1:29">
      <c r="A140" s="1202"/>
      <c r="B140" s="590" t="s">
        <v>227</v>
      </c>
      <c r="C140" s="348">
        <v>466</v>
      </c>
      <c r="D140" s="348">
        <v>513</v>
      </c>
      <c r="E140" s="348">
        <v>979</v>
      </c>
      <c r="F140" s="348">
        <v>29</v>
      </c>
      <c r="G140" s="348">
        <v>57</v>
      </c>
      <c r="H140" s="348">
        <v>86</v>
      </c>
      <c r="I140" s="348">
        <v>4534.6169960883171</v>
      </c>
      <c r="J140" s="348">
        <v>4906.526674096649</v>
      </c>
      <c r="K140" s="348">
        <v>9441.143670184967</v>
      </c>
      <c r="L140" s="349">
        <v>34233.096490820324</v>
      </c>
      <c r="M140" s="348">
        <v>36155.56319698006</v>
      </c>
      <c r="N140" s="348">
        <v>70388.659687800377</v>
      </c>
      <c r="O140" s="348">
        <v>122</v>
      </c>
      <c r="P140" s="348">
        <v>112</v>
      </c>
      <c r="Q140" s="348">
        <v>234</v>
      </c>
      <c r="R140" s="348">
        <v>890</v>
      </c>
      <c r="S140" s="348">
        <v>1482</v>
      </c>
      <c r="T140" s="348">
        <v>2372</v>
      </c>
      <c r="U140" s="349">
        <v>113</v>
      </c>
      <c r="V140" s="348">
        <v>141</v>
      </c>
      <c r="W140" s="348">
        <v>254</v>
      </c>
      <c r="X140" s="348">
        <v>40</v>
      </c>
      <c r="Y140" s="348">
        <v>27</v>
      </c>
      <c r="Z140" s="348">
        <v>67</v>
      </c>
      <c r="AA140" s="350">
        <f t="shared" ref="AA140:AC140" si="18">C140+F140+I140+L140+O140+R140+U140+X140</f>
        <v>40427.713486908644</v>
      </c>
      <c r="AB140" s="350">
        <f t="shared" si="18"/>
        <v>43394.089871076707</v>
      </c>
      <c r="AC140" s="350">
        <f t="shared" si="18"/>
        <v>83821.803357985336</v>
      </c>
    </row>
    <row r="141" spans="1:29">
      <c r="A141" s="1202">
        <v>23</v>
      </c>
      <c r="B141" s="585" t="s">
        <v>37</v>
      </c>
      <c r="C141" s="586"/>
      <c r="D141" s="586"/>
      <c r="E141" s="586"/>
      <c r="F141" s="586"/>
      <c r="G141" s="586"/>
      <c r="H141" s="586"/>
      <c r="I141" s="586"/>
      <c r="J141" s="586"/>
      <c r="K141" s="587"/>
      <c r="L141" s="586"/>
      <c r="M141" s="586"/>
      <c r="N141" s="586"/>
      <c r="O141" s="586"/>
      <c r="P141" s="586"/>
      <c r="Q141" s="586"/>
      <c r="R141" s="586"/>
      <c r="S141" s="586"/>
      <c r="T141" s="587"/>
      <c r="U141" s="586"/>
      <c r="V141" s="586"/>
      <c r="W141" s="586"/>
      <c r="X141" s="586"/>
      <c r="Y141" s="586"/>
      <c r="Z141" s="586"/>
      <c r="AA141" s="586"/>
      <c r="AB141" s="586"/>
      <c r="AC141" s="587"/>
    </row>
    <row r="142" spans="1:29">
      <c r="A142" s="1202"/>
      <c r="B142" s="588" t="s">
        <v>919</v>
      </c>
      <c r="C142" s="586">
        <v>634</v>
      </c>
      <c r="D142" s="586">
        <v>565</v>
      </c>
      <c r="E142" s="586">
        <v>1199</v>
      </c>
      <c r="F142" s="586"/>
      <c r="G142" s="586"/>
      <c r="H142" s="586"/>
      <c r="I142" s="586">
        <v>2398</v>
      </c>
      <c r="J142" s="586">
        <v>3210</v>
      </c>
      <c r="K142" s="587">
        <v>5608</v>
      </c>
      <c r="L142" s="586">
        <v>16905</v>
      </c>
      <c r="M142" s="586">
        <v>16249</v>
      </c>
      <c r="N142" s="586">
        <v>33154</v>
      </c>
      <c r="O142" s="586">
        <v>39</v>
      </c>
      <c r="P142" s="586">
        <v>16</v>
      </c>
      <c r="Q142" s="586">
        <v>55</v>
      </c>
      <c r="R142" s="586">
        <v>3200</v>
      </c>
      <c r="S142" s="586">
        <v>3530</v>
      </c>
      <c r="T142" s="587">
        <v>6730</v>
      </c>
      <c r="U142" s="586"/>
      <c r="V142" s="586"/>
      <c r="W142" s="586"/>
      <c r="X142" s="586">
        <v>15</v>
      </c>
      <c r="Y142" s="586">
        <v>10</v>
      </c>
      <c r="Z142" s="586">
        <v>25</v>
      </c>
      <c r="AA142" s="586">
        <v>23191</v>
      </c>
      <c r="AB142" s="586">
        <v>23580</v>
      </c>
      <c r="AC142" s="587">
        <v>46771</v>
      </c>
    </row>
    <row r="143" spans="1:29">
      <c r="A143" s="1202"/>
      <c r="B143" s="588" t="s">
        <v>876</v>
      </c>
      <c r="C143" s="589">
        <v>551</v>
      </c>
      <c r="D143" s="589">
        <v>436</v>
      </c>
      <c r="E143" s="589">
        <v>987</v>
      </c>
      <c r="F143" s="589">
        <v>56</v>
      </c>
      <c r="G143" s="589">
        <v>59</v>
      </c>
      <c r="H143" s="589">
        <v>115</v>
      </c>
      <c r="I143" s="589">
        <v>1992</v>
      </c>
      <c r="J143" s="589">
        <v>2478</v>
      </c>
      <c r="K143" s="589">
        <v>4470</v>
      </c>
      <c r="L143" s="589">
        <v>15802</v>
      </c>
      <c r="M143" s="589">
        <v>14971</v>
      </c>
      <c r="N143" s="589">
        <v>30773</v>
      </c>
      <c r="O143" s="589">
        <v>61</v>
      </c>
      <c r="P143" s="589">
        <v>42</v>
      </c>
      <c r="Q143" s="589">
        <v>103</v>
      </c>
      <c r="R143" s="589">
        <v>710</v>
      </c>
      <c r="S143" s="589">
        <v>1480</v>
      </c>
      <c r="T143" s="589">
        <v>2190</v>
      </c>
      <c r="U143" s="589">
        <v>0</v>
      </c>
      <c r="V143" s="589">
        <v>20</v>
      </c>
      <c r="W143" s="589">
        <v>20</v>
      </c>
      <c r="X143" s="589">
        <v>29</v>
      </c>
      <c r="Y143" s="589">
        <v>23</v>
      </c>
      <c r="Z143" s="589">
        <v>52</v>
      </c>
      <c r="AA143" s="589">
        <v>19201</v>
      </c>
      <c r="AB143" s="589">
        <v>19509</v>
      </c>
      <c r="AC143" s="589">
        <v>38710</v>
      </c>
    </row>
    <row r="144" spans="1:29">
      <c r="A144" s="1202"/>
      <c r="B144" s="590" t="s">
        <v>229</v>
      </c>
      <c r="C144" s="346">
        <v>479</v>
      </c>
      <c r="D144" s="346">
        <v>388</v>
      </c>
      <c r="E144" s="346">
        <v>867</v>
      </c>
      <c r="F144" s="346">
        <v>75</v>
      </c>
      <c r="G144" s="346">
        <v>77</v>
      </c>
      <c r="H144" s="346">
        <v>152</v>
      </c>
      <c r="I144" s="346">
        <v>1982</v>
      </c>
      <c r="J144" s="346">
        <v>2239</v>
      </c>
      <c r="K144" s="346">
        <v>4221</v>
      </c>
      <c r="L144" s="351">
        <v>13503</v>
      </c>
      <c r="M144" s="346">
        <v>11793</v>
      </c>
      <c r="N144" s="346">
        <v>25296</v>
      </c>
      <c r="O144" s="346">
        <v>90</v>
      </c>
      <c r="P144" s="346">
        <v>113</v>
      </c>
      <c r="Q144" s="346">
        <v>203</v>
      </c>
      <c r="R144" s="346">
        <v>676</v>
      </c>
      <c r="S144" s="346">
        <v>1285</v>
      </c>
      <c r="T144" s="346">
        <v>1961</v>
      </c>
      <c r="U144" s="351">
        <v>304</v>
      </c>
      <c r="V144" s="346">
        <v>159</v>
      </c>
      <c r="W144" s="346">
        <v>463</v>
      </c>
      <c r="X144" s="346">
        <v>47</v>
      </c>
      <c r="Y144" s="346">
        <v>26</v>
      </c>
      <c r="Z144" s="346">
        <v>73</v>
      </c>
      <c r="AA144" s="352">
        <v>17156</v>
      </c>
      <c r="AB144" s="352">
        <v>16080</v>
      </c>
      <c r="AC144" s="352">
        <v>33236</v>
      </c>
    </row>
    <row r="145" spans="1:29">
      <c r="A145" s="1202"/>
      <c r="B145" s="590" t="s">
        <v>228</v>
      </c>
      <c r="C145" s="551">
        <v>415</v>
      </c>
      <c r="D145" s="551">
        <v>368</v>
      </c>
      <c r="E145" s="551">
        <v>783</v>
      </c>
      <c r="F145" s="551">
        <v>77</v>
      </c>
      <c r="G145" s="551">
        <v>112</v>
      </c>
      <c r="H145" s="551">
        <v>189</v>
      </c>
      <c r="I145" s="551">
        <v>1919</v>
      </c>
      <c r="J145" s="551">
        <v>2096</v>
      </c>
      <c r="K145" s="551">
        <v>4015</v>
      </c>
      <c r="L145" s="591">
        <v>13095</v>
      </c>
      <c r="M145" s="551">
        <v>11475</v>
      </c>
      <c r="N145" s="551">
        <v>24570</v>
      </c>
      <c r="O145" s="551">
        <v>215</v>
      </c>
      <c r="P145" s="551">
        <v>255</v>
      </c>
      <c r="Q145" s="551">
        <v>470</v>
      </c>
      <c r="R145" s="551">
        <v>780</v>
      </c>
      <c r="S145" s="551">
        <v>1465</v>
      </c>
      <c r="T145" s="551">
        <v>2245</v>
      </c>
      <c r="U145" s="591">
        <v>285</v>
      </c>
      <c r="V145" s="551">
        <v>171</v>
      </c>
      <c r="W145" s="551">
        <v>456</v>
      </c>
      <c r="X145" s="551">
        <v>66</v>
      </c>
      <c r="Y145" s="551">
        <v>44</v>
      </c>
      <c r="Z145" s="551">
        <v>110</v>
      </c>
      <c r="AA145" s="551">
        <v>16852</v>
      </c>
      <c r="AB145" s="551">
        <v>15986</v>
      </c>
      <c r="AC145" s="551">
        <v>32838</v>
      </c>
    </row>
    <row r="146" spans="1:29">
      <c r="A146" s="1202"/>
      <c r="B146" s="590" t="s">
        <v>227</v>
      </c>
      <c r="C146" s="348">
        <v>347</v>
      </c>
      <c r="D146" s="348">
        <v>296</v>
      </c>
      <c r="E146" s="348">
        <v>643</v>
      </c>
      <c r="F146" s="348">
        <v>71</v>
      </c>
      <c r="G146" s="348">
        <v>75</v>
      </c>
      <c r="H146" s="348">
        <v>146</v>
      </c>
      <c r="I146" s="348">
        <v>2206</v>
      </c>
      <c r="J146" s="348">
        <v>1852</v>
      </c>
      <c r="K146" s="348">
        <v>4058</v>
      </c>
      <c r="L146" s="349">
        <v>12348</v>
      </c>
      <c r="M146" s="348">
        <v>10079</v>
      </c>
      <c r="N146" s="348">
        <v>22427</v>
      </c>
      <c r="O146" s="348">
        <v>20</v>
      </c>
      <c r="P146" s="348">
        <v>12</v>
      </c>
      <c r="Q146" s="348">
        <v>32</v>
      </c>
      <c r="R146" s="348">
        <v>613</v>
      </c>
      <c r="S146" s="348">
        <v>1140</v>
      </c>
      <c r="T146" s="348">
        <v>1753</v>
      </c>
      <c r="U146" s="349">
        <v>190</v>
      </c>
      <c r="V146" s="348">
        <v>143</v>
      </c>
      <c r="W146" s="348">
        <v>333</v>
      </c>
      <c r="X146" s="348">
        <v>66</v>
      </c>
      <c r="Y146" s="348">
        <v>37</v>
      </c>
      <c r="Z146" s="348">
        <v>103</v>
      </c>
      <c r="AA146" s="350">
        <f t="shared" ref="AA146:AC146" si="19">C146+F146+I146+L146+O146+R146+U146+X146</f>
        <v>15861</v>
      </c>
      <c r="AB146" s="350">
        <f t="shared" si="19"/>
        <v>13634</v>
      </c>
      <c r="AC146" s="350">
        <f t="shared" si="19"/>
        <v>29495</v>
      </c>
    </row>
    <row r="147" spans="1:29">
      <c r="A147" s="1202">
        <v>24</v>
      </c>
      <c r="B147" s="585" t="s">
        <v>38</v>
      </c>
      <c r="C147" s="586"/>
      <c r="D147" s="586"/>
      <c r="E147" s="586"/>
      <c r="F147" s="586"/>
      <c r="G147" s="586"/>
      <c r="H147" s="586"/>
      <c r="I147" s="586"/>
      <c r="J147" s="586"/>
      <c r="K147" s="587"/>
      <c r="L147" s="586"/>
      <c r="M147" s="586"/>
      <c r="N147" s="586"/>
      <c r="O147" s="586"/>
      <c r="P147" s="586"/>
      <c r="Q147" s="586"/>
      <c r="R147" s="586"/>
      <c r="S147" s="586"/>
      <c r="T147" s="587"/>
      <c r="U147" s="586"/>
      <c r="V147" s="586"/>
      <c r="W147" s="586"/>
      <c r="X147" s="586"/>
      <c r="Y147" s="586"/>
      <c r="Z147" s="586"/>
      <c r="AA147" s="586"/>
      <c r="AB147" s="586"/>
      <c r="AC147" s="587"/>
    </row>
    <row r="148" spans="1:29">
      <c r="A148" s="1202"/>
      <c r="B148" s="588" t="s">
        <v>919</v>
      </c>
      <c r="C148" s="586">
        <v>290</v>
      </c>
      <c r="D148" s="586">
        <v>330</v>
      </c>
      <c r="E148" s="586">
        <v>620</v>
      </c>
      <c r="F148" s="586">
        <v>12</v>
      </c>
      <c r="G148" s="586">
        <v>6</v>
      </c>
      <c r="H148" s="586">
        <v>18</v>
      </c>
      <c r="I148" s="586">
        <v>3276</v>
      </c>
      <c r="J148" s="586">
        <v>5178</v>
      </c>
      <c r="K148" s="587">
        <v>8454</v>
      </c>
      <c r="L148" s="586">
        <v>18770</v>
      </c>
      <c r="M148" s="586">
        <v>20444</v>
      </c>
      <c r="N148" s="586">
        <v>39214</v>
      </c>
      <c r="O148" s="586">
        <v>40</v>
      </c>
      <c r="P148" s="586">
        <v>89</v>
      </c>
      <c r="Q148" s="586">
        <v>129</v>
      </c>
      <c r="R148" s="586">
        <v>859</v>
      </c>
      <c r="S148" s="586">
        <v>1343</v>
      </c>
      <c r="T148" s="587">
        <v>2202</v>
      </c>
      <c r="U148" s="586">
        <v>310</v>
      </c>
      <c r="V148" s="586">
        <v>276</v>
      </c>
      <c r="W148" s="586">
        <v>586</v>
      </c>
      <c r="X148" s="586"/>
      <c r="Y148" s="586"/>
      <c r="Z148" s="586"/>
      <c r="AA148" s="586">
        <v>23557</v>
      </c>
      <c r="AB148" s="586">
        <v>27666</v>
      </c>
      <c r="AC148" s="587">
        <v>51223</v>
      </c>
    </row>
    <row r="149" spans="1:29">
      <c r="A149" s="1202"/>
      <c r="B149" s="588" t="s">
        <v>876</v>
      </c>
      <c r="C149" s="589">
        <v>279</v>
      </c>
      <c r="D149" s="589">
        <v>314</v>
      </c>
      <c r="E149" s="589">
        <v>593</v>
      </c>
      <c r="F149" s="589">
        <v>23</v>
      </c>
      <c r="G149" s="589">
        <v>30</v>
      </c>
      <c r="H149" s="589">
        <v>53</v>
      </c>
      <c r="I149" s="589">
        <v>2843</v>
      </c>
      <c r="J149" s="589">
        <v>4252</v>
      </c>
      <c r="K149" s="589">
        <v>7095</v>
      </c>
      <c r="L149" s="589">
        <v>17600</v>
      </c>
      <c r="M149" s="589">
        <v>19228</v>
      </c>
      <c r="N149" s="589">
        <v>36828</v>
      </c>
      <c r="O149" s="589">
        <v>42</v>
      </c>
      <c r="P149" s="589">
        <v>71</v>
      </c>
      <c r="Q149" s="589">
        <v>113</v>
      </c>
      <c r="R149" s="589">
        <v>859</v>
      </c>
      <c r="S149" s="589">
        <v>1210</v>
      </c>
      <c r="T149" s="589">
        <v>2069</v>
      </c>
      <c r="U149" s="589">
        <v>98</v>
      </c>
      <c r="V149" s="589">
        <v>99</v>
      </c>
      <c r="W149" s="589">
        <v>197</v>
      </c>
      <c r="X149" s="589">
        <v>6</v>
      </c>
      <c r="Y149" s="589">
        <v>0</v>
      </c>
      <c r="Z149" s="589">
        <v>6</v>
      </c>
      <c r="AA149" s="589">
        <v>21750</v>
      </c>
      <c r="AB149" s="589">
        <v>25204</v>
      </c>
      <c r="AC149" s="589">
        <v>46954</v>
      </c>
    </row>
    <row r="150" spans="1:29">
      <c r="A150" s="1202"/>
      <c r="B150" s="590" t="s">
        <v>229</v>
      </c>
      <c r="C150" s="346">
        <v>270</v>
      </c>
      <c r="D150" s="346">
        <v>307</v>
      </c>
      <c r="E150" s="346">
        <v>577</v>
      </c>
      <c r="F150" s="346">
        <v>10</v>
      </c>
      <c r="G150" s="346">
        <v>28</v>
      </c>
      <c r="H150" s="346">
        <v>38</v>
      </c>
      <c r="I150" s="346">
        <v>2063</v>
      </c>
      <c r="J150" s="346">
        <v>3503</v>
      </c>
      <c r="K150" s="346">
        <v>5566</v>
      </c>
      <c r="L150" s="351">
        <v>16982</v>
      </c>
      <c r="M150" s="346">
        <v>19252</v>
      </c>
      <c r="N150" s="346">
        <v>36234</v>
      </c>
      <c r="O150" s="346">
        <v>65</v>
      </c>
      <c r="P150" s="346">
        <v>168</v>
      </c>
      <c r="Q150" s="346">
        <v>233</v>
      </c>
      <c r="R150" s="346">
        <v>842</v>
      </c>
      <c r="S150" s="346">
        <v>1027</v>
      </c>
      <c r="T150" s="346">
        <v>1869</v>
      </c>
      <c r="U150" s="351">
        <v>17</v>
      </c>
      <c r="V150" s="346">
        <v>21</v>
      </c>
      <c r="W150" s="346">
        <v>38</v>
      </c>
      <c r="X150" s="346">
        <v>6</v>
      </c>
      <c r="Y150" s="346">
        <v>0</v>
      </c>
      <c r="Z150" s="346">
        <v>6</v>
      </c>
      <c r="AA150" s="352">
        <v>20255</v>
      </c>
      <c r="AB150" s="352">
        <v>24306</v>
      </c>
      <c r="AC150" s="352">
        <v>44561</v>
      </c>
    </row>
    <row r="151" spans="1:29">
      <c r="A151" s="1202"/>
      <c r="B151" s="590" t="s">
        <v>228</v>
      </c>
      <c r="C151" s="551">
        <v>235</v>
      </c>
      <c r="D151" s="551">
        <v>257</v>
      </c>
      <c r="E151" s="551">
        <v>492</v>
      </c>
      <c r="F151" s="551">
        <v>6</v>
      </c>
      <c r="G151" s="551">
        <v>12</v>
      </c>
      <c r="H151" s="551">
        <v>18</v>
      </c>
      <c r="I151" s="551">
        <v>2886</v>
      </c>
      <c r="J151" s="551">
        <v>3412</v>
      </c>
      <c r="K151" s="551">
        <v>6298</v>
      </c>
      <c r="L151" s="591">
        <v>17428</v>
      </c>
      <c r="M151" s="551">
        <v>18485</v>
      </c>
      <c r="N151" s="551">
        <v>35913</v>
      </c>
      <c r="O151" s="551">
        <v>86</v>
      </c>
      <c r="P151" s="551">
        <v>150</v>
      </c>
      <c r="Q151" s="551">
        <v>236</v>
      </c>
      <c r="R151" s="551">
        <v>1262</v>
      </c>
      <c r="S151" s="551">
        <v>1100</v>
      </c>
      <c r="T151" s="551">
        <v>2362</v>
      </c>
      <c r="U151" s="591">
        <v>69</v>
      </c>
      <c r="V151" s="551">
        <v>59</v>
      </c>
      <c r="W151" s="551">
        <v>128</v>
      </c>
      <c r="X151" s="551">
        <v>15</v>
      </c>
      <c r="Y151" s="551">
        <v>0</v>
      </c>
      <c r="Z151" s="551">
        <v>15</v>
      </c>
      <c r="AA151" s="551">
        <v>21987</v>
      </c>
      <c r="AB151" s="551">
        <v>23475</v>
      </c>
      <c r="AC151" s="551">
        <v>45462</v>
      </c>
    </row>
    <row r="152" spans="1:29">
      <c r="A152" s="1202"/>
      <c r="B152" s="590" t="s">
        <v>227</v>
      </c>
      <c r="C152" s="348">
        <v>222</v>
      </c>
      <c r="D152" s="348">
        <v>201</v>
      </c>
      <c r="E152" s="348">
        <v>423</v>
      </c>
      <c r="F152" s="348">
        <v>11</v>
      </c>
      <c r="G152" s="348">
        <v>23</v>
      </c>
      <c r="H152" s="348">
        <v>34</v>
      </c>
      <c r="I152" s="348">
        <v>3538</v>
      </c>
      <c r="J152" s="348">
        <v>2564</v>
      </c>
      <c r="K152" s="348">
        <v>6102</v>
      </c>
      <c r="L152" s="349">
        <v>17197</v>
      </c>
      <c r="M152" s="348">
        <v>17467</v>
      </c>
      <c r="N152" s="348">
        <v>34664</v>
      </c>
      <c r="O152" s="348">
        <v>39</v>
      </c>
      <c r="P152" s="348">
        <v>79</v>
      </c>
      <c r="Q152" s="348">
        <v>118</v>
      </c>
      <c r="R152" s="348">
        <v>1041</v>
      </c>
      <c r="S152" s="348">
        <v>1060</v>
      </c>
      <c r="T152" s="348">
        <v>2101</v>
      </c>
      <c r="U152" s="349">
        <v>55</v>
      </c>
      <c r="V152" s="348">
        <v>45</v>
      </c>
      <c r="W152" s="348">
        <v>100</v>
      </c>
      <c r="X152" s="348">
        <v>15</v>
      </c>
      <c r="Y152" s="348">
        <v>0</v>
      </c>
      <c r="Z152" s="348">
        <v>15</v>
      </c>
      <c r="AA152" s="350">
        <f>C152+F152+I152+L152+O152+R152+U152+X152</f>
        <v>22118</v>
      </c>
      <c r="AB152" s="350">
        <f>D152+G152+J152+M152+P152+S152+V152+Y152</f>
        <v>21439</v>
      </c>
      <c r="AC152" s="350">
        <f>E152+H152+K152+N152+Q152+T152+W152+Z152</f>
        <v>43557</v>
      </c>
    </row>
    <row r="153" spans="1:29">
      <c r="A153" s="1202">
        <v>25</v>
      </c>
      <c r="B153" s="585" t="s">
        <v>39</v>
      </c>
      <c r="C153" s="586"/>
      <c r="D153" s="586"/>
      <c r="E153" s="586"/>
      <c r="F153" s="586"/>
      <c r="G153" s="586"/>
      <c r="H153" s="586"/>
      <c r="I153" s="586"/>
      <c r="J153" s="586"/>
      <c r="K153" s="587"/>
      <c r="L153" s="586"/>
      <c r="M153" s="586"/>
      <c r="N153" s="586"/>
      <c r="O153" s="586"/>
      <c r="P153" s="586"/>
      <c r="Q153" s="586"/>
      <c r="R153" s="586"/>
      <c r="S153" s="586"/>
      <c r="T153" s="587"/>
      <c r="U153" s="586"/>
      <c r="V153" s="586"/>
      <c r="W153" s="586"/>
      <c r="X153" s="586"/>
      <c r="Y153" s="586"/>
      <c r="Z153" s="586"/>
      <c r="AA153" s="586"/>
      <c r="AB153" s="586"/>
      <c r="AC153" s="587"/>
    </row>
    <row r="154" spans="1:29">
      <c r="A154" s="1202"/>
      <c r="B154" s="588" t="s">
        <v>919</v>
      </c>
      <c r="C154" s="586">
        <v>2668</v>
      </c>
      <c r="D154" s="586">
        <v>1550</v>
      </c>
      <c r="E154" s="586">
        <v>4218</v>
      </c>
      <c r="F154" s="586">
        <v>269</v>
      </c>
      <c r="G154" s="586">
        <v>303</v>
      </c>
      <c r="H154" s="586">
        <v>572</v>
      </c>
      <c r="I154" s="586">
        <v>63227</v>
      </c>
      <c r="J154" s="586">
        <v>56471</v>
      </c>
      <c r="K154" s="587">
        <v>119698</v>
      </c>
      <c r="L154" s="586">
        <v>402899</v>
      </c>
      <c r="M154" s="586">
        <v>379256</v>
      </c>
      <c r="N154" s="586">
        <v>782155</v>
      </c>
      <c r="O154" s="586">
        <v>1920</v>
      </c>
      <c r="P154" s="586">
        <v>1165</v>
      </c>
      <c r="Q154" s="586">
        <v>3085</v>
      </c>
      <c r="R154" s="586">
        <v>103764</v>
      </c>
      <c r="S154" s="586">
        <v>47170</v>
      </c>
      <c r="T154" s="587">
        <v>150934</v>
      </c>
      <c r="U154" s="586">
        <v>651</v>
      </c>
      <c r="V154" s="586">
        <v>899</v>
      </c>
      <c r="W154" s="586">
        <v>1550</v>
      </c>
      <c r="X154" s="586">
        <v>5769</v>
      </c>
      <c r="Y154" s="586">
        <v>5898</v>
      </c>
      <c r="Z154" s="586">
        <v>11667</v>
      </c>
      <c r="AA154" s="586">
        <v>581167</v>
      </c>
      <c r="AB154" s="586">
        <v>492712</v>
      </c>
      <c r="AC154" s="587">
        <v>1073879</v>
      </c>
    </row>
    <row r="155" spans="1:29">
      <c r="A155" s="1202"/>
      <c r="B155" s="588" t="s">
        <v>876</v>
      </c>
      <c r="C155" s="589">
        <v>1955</v>
      </c>
      <c r="D155" s="589">
        <v>1326</v>
      </c>
      <c r="E155" s="589">
        <v>3281</v>
      </c>
      <c r="F155" s="589">
        <v>352</v>
      </c>
      <c r="G155" s="589">
        <v>378</v>
      </c>
      <c r="H155" s="589">
        <v>730</v>
      </c>
      <c r="I155" s="589">
        <v>48874</v>
      </c>
      <c r="J155" s="589">
        <v>50344</v>
      </c>
      <c r="K155" s="589">
        <v>99218</v>
      </c>
      <c r="L155" s="589">
        <v>370312</v>
      </c>
      <c r="M155" s="589">
        <v>368176</v>
      </c>
      <c r="N155" s="589">
        <v>738488</v>
      </c>
      <c r="O155" s="589">
        <v>2408</v>
      </c>
      <c r="P155" s="589">
        <v>1394</v>
      </c>
      <c r="Q155" s="589">
        <v>3802</v>
      </c>
      <c r="R155" s="589">
        <v>94732</v>
      </c>
      <c r="S155" s="589">
        <v>50884</v>
      </c>
      <c r="T155" s="589">
        <v>145616</v>
      </c>
      <c r="U155" s="589">
        <v>1321</v>
      </c>
      <c r="V155" s="589">
        <v>2268</v>
      </c>
      <c r="W155" s="589">
        <v>3589</v>
      </c>
      <c r="X155" s="589">
        <v>5929</v>
      </c>
      <c r="Y155" s="589">
        <v>6369</v>
      </c>
      <c r="Z155" s="589">
        <v>12298</v>
      </c>
      <c r="AA155" s="589">
        <v>525883</v>
      </c>
      <c r="AB155" s="589">
        <v>481139</v>
      </c>
      <c r="AC155" s="589">
        <v>1007022</v>
      </c>
    </row>
    <row r="156" spans="1:29">
      <c r="A156" s="1202"/>
      <c r="B156" s="590" t="s">
        <v>229</v>
      </c>
      <c r="C156" s="346">
        <v>1923</v>
      </c>
      <c r="D156" s="346">
        <v>1423</v>
      </c>
      <c r="E156" s="346">
        <v>3346</v>
      </c>
      <c r="F156" s="346">
        <v>419</v>
      </c>
      <c r="G156" s="346">
        <v>584</v>
      </c>
      <c r="H156" s="346">
        <v>1003</v>
      </c>
      <c r="I156" s="346">
        <v>47838</v>
      </c>
      <c r="J156" s="346">
        <v>50717</v>
      </c>
      <c r="K156" s="346">
        <v>98555</v>
      </c>
      <c r="L156" s="351">
        <v>379994</v>
      </c>
      <c r="M156" s="346">
        <v>367114</v>
      </c>
      <c r="N156" s="346">
        <v>747108</v>
      </c>
      <c r="O156" s="346">
        <v>1786</v>
      </c>
      <c r="P156" s="346">
        <v>947</v>
      </c>
      <c r="Q156" s="346">
        <v>2733</v>
      </c>
      <c r="R156" s="346">
        <v>89412</v>
      </c>
      <c r="S156" s="346">
        <v>34712</v>
      </c>
      <c r="T156" s="346">
        <v>124124</v>
      </c>
      <c r="U156" s="351">
        <v>3402</v>
      </c>
      <c r="V156" s="346">
        <v>5748</v>
      </c>
      <c r="W156" s="346">
        <v>9150</v>
      </c>
      <c r="X156" s="346">
        <v>4452</v>
      </c>
      <c r="Y156" s="346">
        <v>4458</v>
      </c>
      <c r="Z156" s="346">
        <v>8910</v>
      </c>
      <c r="AA156" s="352">
        <v>529226</v>
      </c>
      <c r="AB156" s="352">
        <v>465703</v>
      </c>
      <c r="AC156" s="352">
        <v>994929</v>
      </c>
    </row>
    <row r="157" spans="1:29">
      <c r="A157" s="1202"/>
      <c r="B157" s="590" t="s">
        <v>228</v>
      </c>
      <c r="C157" s="551">
        <v>2052</v>
      </c>
      <c r="D157" s="551">
        <v>1670</v>
      </c>
      <c r="E157" s="551">
        <v>3722</v>
      </c>
      <c r="F157" s="551">
        <v>523</v>
      </c>
      <c r="G157" s="551">
        <v>638</v>
      </c>
      <c r="H157" s="551">
        <v>1161</v>
      </c>
      <c r="I157" s="551">
        <v>40536</v>
      </c>
      <c r="J157" s="551">
        <v>42541</v>
      </c>
      <c r="K157" s="551">
        <v>83077</v>
      </c>
      <c r="L157" s="591">
        <v>409140</v>
      </c>
      <c r="M157" s="551">
        <v>371004</v>
      </c>
      <c r="N157" s="551">
        <v>780144</v>
      </c>
      <c r="O157" s="551">
        <v>2403</v>
      </c>
      <c r="P157" s="551">
        <v>1194</v>
      </c>
      <c r="Q157" s="551">
        <v>3597</v>
      </c>
      <c r="R157" s="551">
        <v>95576</v>
      </c>
      <c r="S157" s="551">
        <v>33942</v>
      </c>
      <c r="T157" s="551">
        <v>129518</v>
      </c>
      <c r="U157" s="591">
        <v>4329</v>
      </c>
      <c r="V157" s="551">
        <v>5894</v>
      </c>
      <c r="W157" s="551">
        <v>10223</v>
      </c>
      <c r="X157" s="551">
        <v>3805</v>
      </c>
      <c r="Y157" s="551">
        <v>3945</v>
      </c>
      <c r="Z157" s="551">
        <v>7750</v>
      </c>
      <c r="AA157" s="551">
        <v>558364</v>
      </c>
      <c r="AB157" s="551">
        <v>460828</v>
      </c>
      <c r="AC157" s="551">
        <v>1019192</v>
      </c>
    </row>
    <row r="158" spans="1:29">
      <c r="A158" s="1202"/>
      <c r="B158" s="590" t="s">
        <v>227</v>
      </c>
      <c r="C158" s="348">
        <v>1671</v>
      </c>
      <c r="D158" s="348">
        <v>1311</v>
      </c>
      <c r="E158" s="348">
        <v>2982</v>
      </c>
      <c r="F158" s="348">
        <v>404</v>
      </c>
      <c r="G158" s="348">
        <v>676</v>
      </c>
      <c r="H158" s="348">
        <v>1080</v>
      </c>
      <c r="I158" s="348">
        <v>37152.977446761455</v>
      </c>
      <c r="J158" s="348">
        <v>36080.310809879593</v>
      </c>
      <c r="K158" s="348">
        <v>73233.288256641055</v>
      </c>
      <c r="L158" s="349">
        <v>407713.06574580353</v>
      </c>
      <c r="M158" s="348">
        <v>385835.24935944739</v>
      </c>
      <c r="N158" s="348">
        <v>793548.31510525092</v>
      </c>
      <c r="O158" s="348">
        <v>2001</v>
      </c>
      <c r="P158" s="348">
        <v>999</v>
      </c>
      <c r="Q158" s="348">
        <v>3000</v>
      </c>
      <c r="R158" s="348">
        <v>93021</v>
      </c>
      <c r="S158" s="348">
        <v>32578</v>
      </c>
      <c r="T158" s="348">
        <v>125599</v>
      </c>
      <c r="U158" s="349">
        <v>4153</v>
      </c>
      <c r="V158" s="348">
        <v>5594</v>
      </c>
      <c r="W158" s="348">
        <v>9747</v>
      </c>
      <c r="X158" s="348">
        <v>3459</v>
      </c>
      <c r="Y158" s="348">
        <v>3128</v>
      </c>
      <c r="Z158" s="348">
        <v>6587</v>
      </c>
      <c r="AA158" s="350">
        <f t="shared" ref="AA158:AC158" si="20">C158+F158+I158+L158+O158+R158+U158+X158</f>
        <v>549575.04319256498</v>
      </c>
      <c r="AB158" s="350">
        <f t="shared" si="20"/>
        <v>466201.56016932696</v>
      </c>
      <c r="AC158" s="350">
        <f t="shared" si="20"/>
        <v>1015776.6033618919</v>
      </c>
    </row>
    <row r="159" spans="1:29">
      <c r="A159" s="1202">
        <v>26</v>
      </c>
      <c r="B159" s="585" t="s">
        <v>40</v>
      </c>
      <c r="C159" s="586"/>
      <c r="D159" s="586"/>
      <c r="E159" s="586"/>
      <c r="F159" s="586"/>
      <c r="G159" s="586"/>
      <c r="H159" s="586"/>
      <c r="I159" s="586"/>
      <c r="J159" s="586"/>
      <c r="K159" s="587"/>
      <c r="L159" s="586"/>
      <c r="M159" s="586"/>
      <c r="N159" s="586"/>
      <c r="O159" s="586"/>
      <c r="P159" s="586"/>
      <c r="Q159" s="586"/>
      <c r="R159" s="586"/>
      <c r="S159" s="586"/>
      <c r="T159" s="587"/>
      <c r="U159" s="586"/>
      <c r="V159" s="586"/>
      <c r="W159" s="586"/>
      <c r="X159" s="586"/>
      <c r="Y159" s="586"/>
      <c r="Z159" s="586"/>
      <c r="AA159" s="586"/>
      <c r="AB159" s="586"/>
      <c r="AC159" s="587"/>
    </row>
    <row r="160" spans="1:29">
      <c r="A160" s="1202"/>
      <c r="B160" s="588" t="s">
        <v>919</v>
      </c>
      <c r="C160" s="586">
        <v>325</v>
      </c>
      <c r="D160" s="586">
        <v>278</v>
      </c>
      <c r="E160" s="586">
        <v>603</v>
      </c>
      <c r="F160" s="586"/>
      <c r="G160" s="586"/>
      <c r="H160" s="586"/>
      <c r="I160" s="586">
        <v>13198</v>
      </c>
      <c r="J160" s="586">
        <v>13394</v>
      </c>
      <c r="K160" s="587">
        <v>26592</v>
      </c>
      <c r="L160" s="586">
        <v>28264</v>
      </c>
      <c r="M160" s="586">
        <v>33817</v>
      </c>
      <c r="N160" s="586">
        <v>62081</v>
      </c>
      <c r="O160" s="586">
        <v>29</v>
      </c>
      <c r="P160" s="586">
        <v>25</v>
      </c>
      <c r="Q160" s="586">
        <v>54</v>
      </c>
      <c r="R160" s="586">
        <v>2438</v>
      </c>
      <c r="S160" s="586">
        <v>1357</v>
      </c>
      <c r="T160" s="587">
        <v>3795</v>
      </c>
      <c r="U160" s="586">
        <v>11</v>
      </c>
      <c r="V160" s="586">
        <v>8</v>
      </c>
      <c r="W160" s="586">
        <v>19</v>
      </c>
      <c r="X160" s="586">
        <v>556</v>
      </c>
      <c r="Y160" s="586">
        <v>943</v>
      </c>
      <c r="Z160" s="586">
        <v>1499</v>
      </c>
      <c r="AA160" s="586">
        <v>44821</v>
      </c>
      <c r="AB160" s="586">
        <v>49822</v>
      </c>
      <c r="AC160" s="587">
        <v>94643</v>
      </c>
    </row>
    <row r="161" spans="1:29">
      <c r="A161" s="1202"/>
      <c r="B161" s="588" t="s">
        <v>876</v>
      </c>
      <c r="C161" s="589">
        <v>271</v>
      </c>
      <c r="D161" s="589">
        <v>325</v>
      </c>
      <c r="E161" s="589">
        <v>596</v>
      </c>
      <c r="F161" s="589">
        <v>0</v>
      </c>
      <c r="G161" s="589">
        <v>2</v>
      </c>
      <c r="H161" s="589">
        <v>2</v>
      </c>
      <c r="I161" s="589">
        <v>12865</v>
      </c>
      <c r="J161" s="589">
        <v>13359</v>
      </c>
      <c r="K161" s="589">
        <v>26224</v>
      </c>
      <c r="L161" s="589">
        <v>26875</v>
      </c>
      <c r="M161" s="589">
        <v>32921</v>
      </c>
      <c r="N161" s="589">
        <v>59796</v>
      </c>
      <c r="O161" s="589">
        <v>15</v>
      </c>
      <c r="P161" s="589">
        <v>16</v>
      </c>
      <c r="Q161" s="589">
        <v>31</v>
      </c>
      <c r="R161" s="589">
        <v>2806</v>
      </c>
      <c r="S161" s="589">
        <v>1056</v>
      </c>
      <c r="T161" s="589">
        <v>3862</v>
      </c>
      <c r="U161" s="589">
        <v>1</v>
      </c>
      <c r="V161" s="589">
        <v>6</v>
      </c>
      <c r="W161" s="589">
        <v>7</v>
      </c>
      <c r="X161" s="589">
        <v>354</v>
      </c>
      <c r="Y161" s="589">
        <v>381</v>
      </c>
      <c r="Z161" s="589">
        <v>735</v>
      </c>
      <c r="AA161" s="589">
        <v>43187</v>
      </c>
      <c r="AB161" s="589">
        <v>48066</v>
      </c>
      <c r="AC161" s="589">
        <v>91253</v>
      </c>
    </row>
    <row r="162" spans="1:29">
      <c r="A162" s="1202"/>
      <c r="B162" s="590" t="s">
        <v>229</v>
      </c>
      <c r="C162" s="346">
        <v>291</v>
      </c>
      <c r="D162" s="346">
        <v>217</v>
      </c>
      <c r="E162" s="346">
        <v>508</v>
      </c>
      <c r="F162" s="346">
        <v>21</v>
      </c>
      <c r="G162" s="346">
        <v>46</v>
      </c>
      <c r="H162" s="346">
        <v>67</v>
      </c>
      <c r="I162" s="346">
        <v>11531</v>
      </c>
      <c r="J162" s="346">
        <v>11728</v>
      </c>
      <c r="K162" s="346">
        <v>23259</v>
      </c>
      <c r="L162" s="351">
        <v>22863</v>
      </c>
      <c r="M162" s="346">
        <v>28309</v>
      </c>
      <c r="N162" s="346">
        <v>51172</v>
      </c>
      <c r="O162" s="346">
        <v>52</v>
      </c>
      <c r="P162" s="346">
        <v>54</v>
      </c>
      <c r="Q162" s="346">
        <v>106</v>
      </c>
      <c r="R162" s="346">
        <v>2866</v>
      </c>
      <c r="S162" s="346">
        <v>1122</v>
      </c>
      <c r="T162" s="346">
        <v>3988</v>
      </c>
      <c r="U162" s="351">
        <v>0</v>
      </c>
      <c r="V162" s="346">
        <v>0</v>
      </c>
      <c r="W162" s="346">
        <v>0</v>
      </c>
      <c r="X162" s="346">
        <v>532</v>
      </c>
      <c r="Y162" s="346">
        <v>492</v>
      </c>
      <c r="Z162" s="346">
        <v>1024</v>
      </c>
      <c r="AA162" s="352">
        <v>38156</v>
      </c>
      <c r="AB162" s="352">
        <v>41968</v>
      </c>
      <c r="AC162" s="352">
        <v>80124</v>
      </c>
    </row>
    <row r="163" spans="1:29">
      <c r="A163" s="1202"/>
      <c r="B163" s="590" t="s">
        <v>228</v>
      </c>
      <c r="C163" s="551">
        <v>510</v>
      </c>
      <c r="D163" s="551">
        <v>292</v>
      </c>
      <c r="E163" s="551">
        <v>802</v>
      </c>
      <c r="F163" s="551">
        <v>12</v>
      </c>
      <c r="G163" s="551">
        <v>54</v>
      </c>
      <c r="H163" s="551">
        <v>66</v>
      </c>
      <c r="I163" s="551">
        <v>9375</v>
      </c>
      <c r="J163" s="551">
        <v>10261</v>
      </c>
      <c r="K163" s="551">
        <v>19636</v>
      </c>
      <c r="L163" s="591">
        <v>23585</v>
      </c>
      <c r="M163" s="551">
        <v>28067</v>
      </c>
      <c r="N163" s="551">
        <v>51652</v>
      </c>
      <c r="O163" s="551">
        <v>97</v>
      </c>
      <c r="P163" s="551">
        <v>71</v>
      </c>
      <c r="Q163" s="551">
        <v>168</v>
      </c>
      <c r="R163" s="551">
        <v>2803</v>
      </c>
      <c r="S163" s="551">
        <v>1239</v>
      </c>
      <c r="T163" s="551">
        <v>4042</v>
      </c>
      <c r="U163" s="591">
        <v>7</v>
      </c>
      <c r="V163" s="551">
        <v>6</v>
      </c>
      <c r="W163" s="551">
        <v>13</v>
      </c>
      <c r="X163" s="551">
        <v>505</v>
      </c>
      <c r="Y163" s="551">
        <v>458</v>
      </c>
      <c r="Z163" s="551">
        <v>963</v>
      </c>
      <c r="AA163" s="551">
        <v>36894</v>
      </c>
      <c r="AB163" s="551">
        <v>40448</v>
      </c>
      <c r="AC163" s="551">
        <v>77342</v>
      </c>
    </row>
    <row r="164" spans="1:29">
      <c r="A164" s="1202"/>
      <c r="B164" s="590" t="s">
        <v>227</v>
      </c>
      <c r="C164" s="348">
        <v>522</v>
      </c>
      <c r="D164" s="348">
        <v>254</v>
      </c>
      <c r="E164" s="348">
        <v>776</v>
      </c>
      <c r="F164" s="348">
        <v>13</v>
      </c>
      <c r="G164" s="348">
        <v>53</v>
      </c>
      <c r="H164" s="348">
        <v>66</v>
      </c>
      <c r="I164" s="348">
        <v>11168.621575920626</v>
      </c>
      <c r="J164" s="348">
        <v>9434.3965023965957</v>
      </c>
      <c r="K164" s="348">
        <v>20603.018078317222</v>
      </c>
      <c r="L164" s="349">
        <v>20536.263168610643</v>
      </c>
      <c r="M164" s="348">
        <v>25219.343273479575</v>
      </c>
      <c r="N164" s="348">
        <v>45755.606442090218</v>
      </c>
      <c r="O164" s="348">
        <v>63</v>
      </c>
      <c r="P164" s="348">
        <v>58</v>
      </c>
      <c r="Q164" s="348">
        <v>121</v>
      </c>
      <c r="R164" s="348">
        <v>3121</v>
      </c>
      <c r="S164" s="348">
        <v>1355</v>
      </c>
      <c r="T164" s="348">
        <v>4476</v>
      </c>
      <c r="U164" s="349">
        <v>14</v>
      </c>
      <c r="V164" s="348">
        <v>12</v>
      </c>
      <c r="W164" s="348">
        <v>26</v>
      </c>
      <c r="X164" s="348">
        <v>656</v>
      </c>
      <c r="Y164" s="348">
        <v>581</v>
      </c>
      <c r="Z164" s="348">
        <v>1237</v>
      </c>
      <c r="AA164" s="350">
        <f t="shared" ref="AA164:AC164" si="21">C164+F164+I164+L164+O164+R164+U164+X164</f>
        <v>36093.884744531271</v>
      </c>
      <c r="AB164" s="350">
        <f t="shared" si="21"/>
        <v>36966.739775876173</v>
      </c>
      <c r="AC164" s="350">
        <f t="shared" si="21"/>
        <v>73060.624520407437</v>
      </c>
    </row>
    <row r="165" spans="1:29">
      <c r="A165" s="1202">
        <v>27</v>
      </c>
      <c r="B165" s="585" t="s">
        <v>41</v>
      </c>
      <c r="C165" s="586"/>
      <c r="D165" s="586"/>
      <c r="E165" s="586"/>
      <c r="F165" s="586"/>
      <c r="G165" s="586"/>
      <c r="H165" s="586"/>
      <c r="I165" s="586"/>
      <c r="J165" s="586"/>
      <c r="K165" s="587"/>
      <c r="L165" s="586"/>
      <c r="M165" s="586"/>
      <c r="N165" s="586"/>
      <c r="O165" s="586"/>
      <c r="P165" s="586"/>
      <c r="Q165" s="586"/>
      <c r="R165" s="586"/>
      <c r="S165" s="586"/>
      <c r="T165" s="587"/>
      <c r="U165" s="586"/>
      <c r="V165" s="586"/>
      <c r="W165" s="586"/>
      <c r="X165" s="586"/>
      <c r="Y165" s="586"/>
      <c r="Z165" s="586"/>
      <c r="AA165" s="586"/>
      <c r="AB165" s="586"/>
      <c r="AC165" s="587"/>
    </row>
    <row r="166" spans="1:29">
      <c r="A166" s="1202"/>
      <c r="B166" s="588" t="s">
        <v>919</v>
      </c>
      <c r="C166" s="586">
        <v>4946</v>
      </c>
      <c r="D166" s="586">
        <v>5379</v>
      </c>
      <c r="E166" s="586">
        <v>10325</v>
      </c>
      <c r="F166" s="586">
        <v>28</v>
      </c>
      <c r="G166" s="586">
        <v>41</v>
      </c>
      <c r="H166" s="586">
        <v>69</v>
      </c>
      <c r="I166" s="586">
        <v>46929</v>
      </c>
      <c r="J166" s="586">
        <v>63149</v>
      </c>
      <c r="K166" s="587">
        <v>110078</v>
      </c>
      <c r="L166" s="586">
        <v>321099</v>
      </c>
      <c r="M166" s="586">
        <v>292462</v>
      </c>
      <c r="N166" s="586">
        <v>613561</v>
      </c>
      <c r="O166" s="586">
        <v>2631</v>
      </c>
      <c r="P166" s="586">
        <v>3183</v>
      </c>
      <c r="Q166" s="586">
        <v>5814</v>
      </c>
      <c r="R166" s="586">
        <v>48756</v>
      </c>
      <c r="S166" s="586">
        <v>47416</v>
      </c>
      <c r="T166" s="587">
        <v>96172</v>
      </c>
      <c r="U166" s="586">
        <v>748</v>
      </c>
      <c r="V166" s="586">
        <v>952</v>
      </c>
      <c r="W166" s="586">
        <v>1700</v>
      </c>
      <c r="X166" s="586">
        <v>9479</v>
      </c>
      <c r="Y166" s="586">
        <v>11546</v>
      </c>
      <c r="Z166" s="586">
        <v>21025</v>
      </c>
      <c r="AA166" s="586">
        <v>434616</v>
      </c>
      <c r="AB166" s="586">
        <v>424128</v>
      </c>
      <c r="AC166" s="587">
        <v>858744</v>
      </c>
    </row>
    <row r="167" spans="1:29">
      <c r="A167" s="1202"/>
      <c r="B167" s="588" t="s">
        <v>876</v>
      </c>
      <c r="C167" s="589">
        <v>4628</v>
      </c>
      <c r="D167" s="589">
        <v>4938</v>
      </c>
      <c r="E167" s="589">
        <v>9566</v>
      </c>
      <c r="F167" s="589">
        <v>142</v>
      </c>
      <c r="G167" s="589">
        <v>169</v>
      </c>
      <c r="H167" s="589">
        <v>311</v>
      </c>
      <c r="I167" s="589">
        <v>43610</v>
      </c>
      <c r="J167" s="589">
        <v>60696</v>
      </c>
      <c r="K167" s="589">
        <v>104306</v>
      </c>
      <c r="L167" s="589">
        <v>302634</v>
      </c>
      <c r="M167" s="589">
        <v>284359</v>
      </c>
      <c r="N167" s="589">
        <v>586993</v>
      </c>
      <c r="O167" s="589">
        <v>1905</v>
      </c>
      <c r="P167" s="589">
        <v>2394</v>
      </c>
      <c r="Q167" s="589">
        <v>4299</v>
      </c>
      <c r="R167" s="589">
        <v>56209</v>
      </c>
      <c r="S167" s="589">
        <v>52491</v>
      </c>
      <c r="T167" s="589">
        <v>108700</v>
      </c>
      <c r="U167" s="589">
        <v>617</v>
      </c>
      <c r="V167" s="589">
        <v>696</v>
      </c>
      <c r="W167" s="589">
        <v>1313</v>
      </c>
      <c r="X167" s="589">
        <v>8499</v>
      </c>
      <c r="Y167" s="589">
        <v>9348</v>
      </c>
      <c r="Z167" s="589">
        <v>17847</v>
      </c>
      <c r="AA167" s="589">
        <v>418244</v>
      </c>
      <c r="AB167" s="589">
        <v>415091</v>
      </c>
      <c r="AC167" s="589">
        <v>833335</v>
      </c>
    </row>
    <row r="168" spans="1:29">
      <c r="A168" s="1202"/>
      <c r="B168" s="590" t="s">
        <v>229</v>
      </c>
      <c r="C168" s="346">
        <v>4111</v>
      </c>
      <c r="D168" s="346">
        <v>4888</v>
      </c>
      <c r="E168" s="346">
        <v>8999</v>
      </c>
      <c r="F168" s="346">
        <v>307</v>
      </c>
      <c r="G168" s="346">
        <v>315</v>
      </c>
      <c r="H168" s="346">
        <v>622</v>
      </c>
      <c r="I168" s="346">
        <v>39950</v>
      </c>
      <c r="J168" s="346">
        <v>68143</v>
      </c>
      <c r="K168" s="346">
        <v>108093</v>
      </c>
      <c r="L168" s="351">
        <v>308617</v>
      </c>
      <c r="M168" s="346">
        <v>312191</v>
      </c>
      <c r="N168" s="346">
        <v>620808</v>
      </c>
      <c r="O168" s="346">
        <v>2866</v>
      </c>
      <c r="P168" s="346">
        <v>3692</v>
      </c>
      <c r="Q168" s="346">
        <v>6558</v>
      </c>
      <c r="R168" s="346">
        <v>62421</v>
      </c>
      <c r="S168" s="346">
        <v>46930</v>
      </c>
      <c r="T168" s="346">
        <v>109351</v>
      </c>
      <c r="U168" s="351">
        <v>600</v>
      </c>
      <c r="V168" s="346">
        <v>948</v>
      </c>
      <c r="W168" s="346">
        <v>1548</v>
      </c>
      <c r="X168" s="346">
        <v>6459</v>
      </c>
      <c r="Y168" s="346">
        <v>7025</v>
      </c>
      <c r="Z168" s="346">
        <v>13484</v>
      </c>
      <c r="AA168" s="352">
        <v>425331</v>
      </c>
      <c r="AB168" s="352">
        <v>444132</v>
      </c>
      <c r="AC168" s="352">
        <v>869463</v>
      </c>
    </row>
    <row r="169" spans="1:29">
      <c r="A169" s="1202"/>
      <c r="B169" s="590" t="s">
        <v>228</v>
      </c>
      <c r="C169" s="551">
        <v>4382</v>
      </c>
      <c r="D169" s="551">
        <v>4713</v>
      </c>
      <c r="E169" s="551">
        <v>9095</v>
      </c>
      <c r="F169" s="551">
        <v>369</v>
      </c>
      <c r="G169" s="551">
        <v>367</v>
      </c>
      <c r="H169" s="551">
        <v>736</v>
      </c>
      <c r="I169" s="551">
        <v>36272</v>
      </c>
      <c r="J169" s="551">
        <v>69660</v>
      </c>
      <c r="K169" s="551">
        <v>105932</v>
      </c>
      <c r="L169" s="591">
        <v>320967</v>
      </c>
      <c r="M169" s="551">
        <v>359648</v>
      </c>
      <c r="N169" s="551">
        <v>680615</v>
      </c>
      <c r="O169" s="551">
        <v>2747</v>
      </c>
      <c r="P169" s="551">
        <v>3760</v>
      </c>
      <c r="Q169" s="551">
        <v>6507</v>
      </c>
      <c r="R169" s="551">
        <v>65061</v>
      </c>
      <c r="S169" s="551">
        <v>38109</v>
      </c>
      <c r="T169" s="551">
        <v>103170</v>
      </c>
      <c r="U169" s="591">
        <v>578</v>
      </c>
      <c r="V169" s="551">
        <v>986</v>
      </c>
      <c r="W169" s="551">
        <v>1564</v>
      </c>
      <c r="X169" s="551">
        <v>6354</v>
      </c>
      <c r="Y169" s="551">
        <v>5603</v>
      </c>
      <c r="Z169" s="551">
        <v>11957</v>
      </c>
      <c r="AA169" s="551">
        <v>436730</v>
      </c>
      <c r="AB169" s="551">
        <v>482846</v>
      </c>
      <c r="AC169" s="551">
        <v>919576</v>
      </c>
    </row>
    <row r="170" spans="1:29">
      <c r="A170" s="1202"/>
      <c r="B170" s="590" t="s">
        <v>227</v>
      </c>
      <c r="C170" s="348">
        <v>3054</v>
      </c>
      <c r="D170" s="348">
        <v>3823</v>
      </c>
      <c r="E170" s="348">
        <v>6877</v>
      </c>
      <c r="F170" s="348">
        <v>389</v>
      </c>
      <c r="G170" s="348">
        <v>513</v>
      </c>
      <c r="H170" s="348">
        <v>902</v>
      </c>
      <c r="I170" s="348">
        <v>39503.826149717264</v>
      </c>
      <c r="J170" s="348">
        <v>78005.528931813053</v>
      </c>
      <c r="K170" s="348">
        <v>117509.3550815303</v>
      </c>
      <c r="L170" s="349">
        <v>345398.71957293572</v>
      </c>
      <c r="M170" s="348">
        <v>343377.93994120578</v>
      </c>
      <c r="N170" s="348">
        <v>688776.6595141415</v>
      </c>
      <c r="O170" s="348">
        <v>3306</v>
      </c>
      <c r="P170" s="348">
        <v>4125</v>
      </c>
      <c r="Q170" s="348">
        <v>7431</v>
      </c>
      <c r="R170" s="348">
        <v>81647</v>
      </c>
      <c r="S170" s="348">
        <v>45198</v>
      </c>
      <c r="T170" s="348">
        <v>126845</v>
      </c>
      <c r="U170" s="349">
        <v>391</v>
      </c>
      <c r="V170" s="348">
        <v>893</v>
      </c>
      <c r="W170" s="348">
        <v>1284</v>
      </c>
      <c r="X170" s="348">
        <v>5416</v>
      </c>
      <c r="Y170" s="348">
        <v>4495</v>
      </c>
      <c r="Z170" s="348">
        <v>9911</v>
      </c>
      <c r="AA170" s="350">
        <f t="shared" ref="AA170:AC170" si="22">C170+F170+I170+L170+O170+R170+U170+X170</f>
        <v>479105.54572265298</v>
      </c>
      <c r="AB170" s="350">
        <f t="shared" si="22"/>
        <v>480430.46887301886</v>
      </c>
      <c r="AC170" s="350">
        <f t="shared" si="22"/>
        <v>959536.01459567179</v>
      </c>
    </row>
    <row r="171" spans="1:29">
      <c r="A171" s="1202">
        <v>28</v>
      </c>
      <c r="B171" s="585" t="s">
        <v>42</v>
      </c>
      <c r="C171" s="586"/>
      <c r="D171" s="586"/>
      <c r="E171" s="586"/>
      <c r="F171" s="586"/>
      <c r="G171" s="586"/>
      <c r="H171" s="586"/>
      <c r="I171" s="586"/>
      <c r="J171" s="586"/>
      <c r="K171" s="587"/>
      <c r="L171" s="586"/>
      <c r="M171" s="586"/>
      <c r="N171" s="586"/>
      <c r="O171" s="586"/>
      <c r="P171" s="586"/>
      <c r="Q171" s="586"/>
      <c r="R171" s="586"/>
      <c r="S171" s="586"/>
      <c r="T171" s="587"/>
      <c r="U171" s="586"/>
      <c r="V171" s="586"/>
      <c r="W171" s="586"/>
      <c r="X171" s="586"/>
      <c r="Y171" s="586"/>
      <c r="Z171" s="586"/>
      <c r="AA171" s="586"/>
      <c r="AB171" s="586"/>
      <c r="AC171" s="587"/>
    </row>
    <row r="172" spans="1:29">
      <c r="A172" s="1202"/>
      <c r="B172" s="588" t="s">
        <v>919</v>
      </c>
      <c r="C172" s="586">
        <v>6913</v>
      </c>
      <c r="D172" s="586">
        <v>6915</v>
      </c>
      <c r="E172" s="586">
        <v>13828</v>
      </c>
      <c r="F172" s="586">
        <v>145</v>
      </c>
      <c r="G172" s="586">
        <v>161</v>
      </c>
      <c r="H172" s="586">
        <v>306</v>
      </c>
      <c r="I172" s="586">
        <v>140674</v>
      </c>
      <c r="J172" s="586">
        <v>169589</v>
      </c>
      <c r="K172" s="587">
        <v>310263</v>
      </c>
      <c r="L172" s="586">
        <v>1124079</v>
      </c>
      <c r="M172" s="586">
        <v>978715</v>
      </c>
      <c r="N172" s="586">
        <v>2102794</v>
      </c>
      <c r="O172" s="586">
        <v>5357</v>
      </c>
      <c r="P172" s="586">
        <v>3332</v>
      </c>
      <c r="Q172" s="586">
        <v>8689</v>
      </c>
      <c r="R172" s="586">
        <v>86322</v>
      </c>
      <c r="S172" s="586">
        <v>37439</v>
      </c>
      <c r="T172" s="587">
        <v>123761</v>
      </c>
      <c r="U172" s="586">
        <v>1869</v>
      </c>
      <c r="V172" s="586">
        <v>1868</v>
      </c>
      <c r="W172" s="586">
        <v>3737</v>
      </c>
      <c r="X172" s="586">
        <v>64924</v>
      </c>
      <c r="Y172" s="586">
        <v>61038</v>
      </c>
      <c r="Z172" s="586">
        <v>125962</v>
      </c>
      <c r="AA172" s="586">
        <v>1430283</v>
      </c>
      <c r="AB172" s="586">
        <v>1259057</v>
      </c>
      <c r="AC172" s="587">
        <v>2689340</v>
      </c>
    </row>
    <row r="173" spans="1:29">
      <c r="A173" s="1202"/>
      <c r="B173" s="588" t="s">
        <v>876</v>
      </c>
      <c r="C173" s="589">
        <v>6588</v>
      </c>
      <c r="D173" s="589">
        <v>6379</v>
      </c>
      <c r="E173" s="589">
        <v>12967</v>
      </c>
      <c r="F173" s="589">
        <v>166</v>
      </c>
      <c r="G173" s="589">
        <v>104</v>
      </c>
      <c r="H173" s="589">
        <v>270</v>
      </c>
      <c r="I173" s="589">
        <v>113499</v>
      </c>
      <c r="J173" s="589">
        <v>134819</v>
      </c>
      <c r="K173" s="589">
        <v>248318</v>
      </c>
      <c r="L173" s="589">
        <v>1014468</v>
      </c>
      <c r="M173" s="589">
        <v>924253</v>
      </c>
      <c r="N173" s="589">
        <v>1938721</v>
      </c>
      <c r="O173" s="589">
        <v>7736</v>
      </c>
      <c r="P173" s="589">
        <v>4554</v>
      </c>
      <c r="Q173" s="589">
        <v>12290</v>
      </c>
      <c r="R173" s="589">
        <v>82769</v>
      </c>
      <c r="S173" s="589">
        <v>36538</v>
      </c>
      <c r="T173" s="589">
        <v>119307</v>
      </c>
      <c r="U173" s="589">
        <v>3930</v>
      </c>
      <c r="V173" s="589">
        <v>3916</v>
      </c>
      <c r="W173" s="589">
        <v>7846</v>
      </c>
      <c r="X173" s="589">
        <v>49148</v>
      </c>
      <c r="Y173" s="589">
        <v>43923</v>
      </c>
      <c r="Z173" s="589">
        <v>93071</v>
      </c>
      <c r="AA173" s="589">
        <v>1278304</v>
      </c>
      <c r="AB173" s="589">
        <v>1154486</v>
      </c>
      <c r="AC173" s="589">
        <v>2432790</v>
      </c>
    </row>
    <row r="174" spans="1:29">
      <c r="A174" s="1202"/>
      <c r="B174" s="590" t="s">
        <v>229</v>
      </c>
      <c r="C174" s="346">
        <v>5478</v>
      </c>
      <c r="D174" s="346">
        <v>5372</v>
      </c>
      <c r="E174" s="346">
        <v>10850</v>
      </c>
      <c r="F174" s="346">
        <v>261</v>
      </c>
      <c r="G174" s="346">
        <v>203</v>
      </c>
      <c r="H174" s="346">
        <v>464</v>
      </c>
      <c r="I174" s="346">
        <v>115851</v>
      </c>
      <c r="J174" s="346">
        <v>130222</v>
      </c>
      <c r="K174" s="346">
        <v>246073</v>
      </c>
      <c r="L174" s="351">
        <v>907391</v>
      </c>
      <c r="M174" s="346">
        <v>853674</v>
      </c>
      <c r="N174" s="346">
        <v>1761065</v>
      </c>
      <c r="O174" s="346">
        <v>5382</v>
      </c>
      <c r="P174" s="346">
        <v>3845</v>
      </c>
      <c r="Q174" s="346">
        <v>9227</v>
      </c>
      <c r="R174" s="346">
        <v>80436</v>
      </c>
      <c r="S174" s="346">
        <v>30826</v>
      </c>
      <c r="T174" s="346">
        <v>111262</v>
      </c>
      <c r="U174" s="351">
        <v>6419</v>
      </c>
      <c r="V174" s="346">
        <v>6578</v>
      </c>
      <c r="W174" s="346">
        <v>12997</v>
      </c>
      <c r="X174" s="346">
        <v>29968</v>
      </c>
      <c r="Y174" s="346">
        <v>24611</v>
      </c>
      <c r="Z174" s="346">
        <v>54579</v>
      </c>
      <c r="AA174" s="352">
        <v>1151186</v>
      </c>
      <c r="AB174" s="352">
        <v>1055331</v>
      </c>
      <c r="AC174" s="352">
        <v>2206517</v>
      </c>
    </row>
    <row r="175" spans="1:29">
      <c r="A175" s="1202"/>
      <c r="B175" s="590" t="s">
        <v>228</v>
      </c>
      <c r="C175" s="551">
        <v>5296</v>
      </c>
      <c r="D175" s="551">
        <v>5145</v>
      </c>
      <c r="E175" s="551">
        <v>10441</v>
      </c>
      <c r="F175" s="551">
        <v>116</v>
      </c>
      <c r="G175" s="551">
        <v>160</v>
      </c>
      <c r="H175" s="551">
        <v>276</v>
      </c>
      <c r="I175" s="551">
        <v>84372</v>
      </c>
      <c r="J175" s="551">
        <v>106455</v>
      </c>
      <c r="K175" s="551">
        <v>190827</v>
      </c>
      <c r="L175" s="591">
        <v>886191</v>
      </c>
      <c r="M175" s="551">
        <v>843108</v>
      </c>
      <c r="N175" s="551">
        <v>1729299</v>
      </c>
      <c r="O175" s="551">
        <v>7179</v>
      </c>
      <c r="P175" s="551">
        <v>3756</v>
      </c>
      <c r="Q175" s="551">
        <v>10935</v>
      </c>
      <c r="R175" s="551">
        <v>77667</v>
      </c>
      <c r="S175" s="551">
        <v>25025</v>
      </c>
      <c r="T175" s="551">
        <v>102692</v>
      </c>
      <c r="U175" s="591">
        <v>5540</v>
      </c>
      <c r="V175" s="551">
        <v>5983</v>
      </c>
      <c r="W175" s="551">
        <v>11523</v>
      </c>
      <c r="X175" s="551">
        <v>16105</v>
      </c>
      <c r="Y175" s="551">
        <v>12315</v>
      </c>
      <c r="Z175" s="551">
        <v>28420</v>
      </c>
      <c r="AA175" s="551">
        <v>1082466</v>
      </c>
      <c r="AB175" s="551">
        <v>1001947</v>
      </c>
      <c r="AC175" s="551">
        <v>2084413</v>
      </c>
    </row>
    <row r="176" spans="1:29">
      <c r="A176" s="1202"/>
      <c r="B176" s="590" t="s">
        <v>227</v>
      </c>
      <c r="C176" s="348">
        <v>3925</v>
      </c>
      <c r="D176" s="348">
        <v>4054</v>
      </c>
      <c r="E176" s="348">
        <v>7979</v>
      </c>
      <c r="F176" s="348">
        <v>173</v>
      </c>
      <c r="G176" s="348">
        <v>182</v>
      </c>
      <c r="H176" s="348">
        <v>355</v>
      </c>
      <c r="I176" s="348">
        <v>106170.37170514696</v>
      </c>
      <c r="J176" s="348">
        <v>107050.69007486115</v>
      </c>
      <c r="K176" s="348">
        <v>213221.06178000811</v>
      </c>
      <c r="L176" s="349">
        <v>836893.31903304509</v>
      </c>
      <c r="M176" s="348">
        <v>732446.61857225199</v>
      </c>
      <c r="N176" s="348">
        <v>1569339.9376052972</v>
      </c>
      <c r="O176" s="348">
        <v>7771</v>
      </c>
      <c r="P176" s="348">
        <v>3782</v>
      </c>
      <c r="Q176" s="348">
        <v>11553</v>
      </c>
      <c r="R176" s="348">
        <v>86431</v>
      </c>
      <c r="S176" s="348">
        <v>22570</v>
      </c>
      <c r="T176" s="348">
        <v>109001</v>
      </c>
      <c r="U176" s="349">
        <v>5667</v>
      </c>
      <c r="V176" s="348">
        <v>6016</v>
      </c>
      <c r="W176" s="348">
        <v>11683</v>
      </c>
      <c r="X176" s="348">
        <v>7480</v>
      </c>
      <c r="Y176" s="348">
        <v>5592</v>
      </c>
      <c r="Z176" s="348">
        <v>13072</v>
      </c>
      <c r="AA176" s="350">
        <f t="shared" ref="AA176:AC176" si="23">C176+F176+I176+L176+O176+R176+U176+X176</f>
        <v>1054510.6907381921</v>
      </c>
      <c r="AB176" s="350">
        <f t="shared" si="23"/>
        <v>881693.30864711315</v>
      </c>
      <c r="AC176" s="350">
        <f t="shared" si="23"/>
        <v>1936203.9993853052</v>
      </c>
    </row>
    <row r="177" spans="1:29">
      <c r="A177" s="1202">
        <v>29</v>
      </c>
      <c r="B177" s="585" t="s">
        <v>43</v>
      </c>
      <c r="C177" s="586"/>
      <c r="D177" s="586"/>
      <c r="E177" s="586"/>
      <c r="F177" s="586"/>
      <c r="G177" s="586"/>
      <c r="H177" s="586"/>
      <c r="I177" s="586"/>
      <c r="J177" s="586"/>
      <c r="K177" s="587"/>
      <c r="L177" s="586"/>
      <c r="M177" s="586"/>
      <c r="N177" s="586"/>
      <c r="O177" s="586"/>
      <c r="P177" s="586"/>
      <c r="Q177" s="586"/>
      <c r="R177" s="586"/>
      <c r="S177" s="586"/>
      <c r="T177" s="587"/>
      <c r="U177" s="586"/>
      <c r="V177" s="586"/>
      <c r="W177" s="586"/>
      <c r="X177" s="586"/>
      <c r="Y177" s="586"/>
      <c r="Z177" s="586"/>
      <c r="AA177" s="586"/>
      <c r="AB177" s="586"/>
      <c r="AC177" s="587"/>
    </row>
    <row r="178" spans="1:29">
      <c r="A178" s="1202"/>
      <c r="B178" s="588" t="s">
        <v>919</v>
      </c>
      <c r="C178" s="586">
        <v>337</v>
      </c>
      <c r="D178" s="586">
        <v>315</v>
      </c>
      <c r="E178" s="586">
        <v>652</v>
      </c>
      <c r="F178" s="586">
        <v>18</v>
      </c>
      <c r="G178" s="586">
        <v>25</v>
      </c>
      <c r="H178" s="586">
        <v>43</v>
      </c>
      <c r="I178" s="586">
        <v>2421</v>
      </c>
      <c r="J178" s="586">
        <v>3565</v>
      </c>
      <c r="K178" s="587">
        <v>5986</v>
      </c>
      <c r="L178" s="586">
        <v>12268</v>
      </c>
      <c r="M178" s="586">
        <v>12538</v>
      </c>
      <c r="N178" s="586">
        <v>24806</v>
      </c>
      <c r="O178" s="586">
        <v>18</v>
      </c>
      <c r="P178" s="586">
        <v>11</v>
      </c>
      <c r="Q178" s="586">
        <v>29</v>
      </c>
      <c r="R178" s="586">
        <v>994</v>
      </c>
      <c r="S178" s="586">
        <v>777</v>
      </c>
      <c r="T178" s="587">
        <v>1771</v>
      </c>
      <c r="U178" s="586">
        <v>50</v>
      </c>
      <c r="V178" s="586">
        <v>5</v>
      </c>
      <c r="W178" s="586">
        <v>55</v>
      </c>
      <c r="X178" s="586">
        <v>168</v>
      </c>
      <c r="Y178" s="586">
        <v>251</v>
      </c>
      <c r="Z178" s="586">
        <v>419</v>
      </c>
      <c r="AA178" s="586">
        <v>16274</v>
      </c>
      <c r="AB178" s="586">
        <v>17487</v>
      </c>
      <c r="AC178" s="587">
        <v>33761</v>
      </c>
    </row>
    <row r="179" spans="1:29">
      <c r="A179" s="1202"/>
      <c r="B179" s="588" t="s">
        <v>876</v>
      </c>
      <c r="C179" s="589">
        <v>115</v>
      </c>
      <c r="D179" s="589">
        <v>80</v>
      </c>
      <c r="E179" s="589">
        <v>195</v>
      </c>
      <c r="F179" s="589">
        <v>34</v>
      </c>
      <c r="G179" s="589">
        <v>30</v>
      </c>
      <c r="H179" s="589">
        <v>64</v>
      </c>
      <c r="I179" s="589">
        <v>2929</v>
      </c>
      <c r="J179" s="589">
        <v>4001</v>
      </c>
      <c r="K179" s="589">
        <v>6930</v>
      </c>
      <c r="L179" s="589">
        <v>12295</v>
      </c>
      <c r="M179" s="589">
        <v>12533</v>
      </c>
      <c r="N179" s="589">
        <v>24828</v>
      </c>
      <c r="O179" s="589">
        <v>32</v>
      </c>
      <c r="P179" s="589">
        <v>11</v>
      </c>
      <c r="Q179" s="589">
        <v>43</v>
      </c>
      <c r="R179" s="589">
        <v>1088</v>
      </c>
      <c r="S179" s="589">
        <v>1179</v>
      </c>
      <c r="T179" s="589">
        <v>2267</v>
      </c>
      <c r="U179" s="589">
        <v>61</v>
      </c>
      <c r="V179" s="589">
        <v>11</v>
      </c>
      <c r="W179" s="589">
        <v>72</v>
      </c>
      <c r="X179" s="589">
        <v>153</v>
      </c>
      <c r="Y179" s="589">
        <v>222</v>
      </c>
      <c r="Z179" s="589">
        <v>375</v>
      </c>
      <c r="AA179" s="589">
        <v>16707</v>
      </c>
      <c r="AB179" s="589">
        <v>18067</v>
      </c>
      <c r="AC179" s="589">
        <v>34774</v>
      </c>
    </row>
    <row r="180" spans="1:29">
      <c r="A180" s="1202"/>
      <c r="B180" s="590" t="s">
        <v>229</v>
      </c>
      <c r="C180" s="346">
        <v>215</v>
      </c>
      <c r="D180" s="346">
        <v>195</v>
      </c>
      <c r="E180" s="346">
        <v>410</v>
      </c>
      <c r="F180" s="346">
        <v>43</v>
      </c>
      <c r="G180" s="346">
        <v>44</v>
      </c>
      <c r="H180" s="346">
        <v>87</v>
      </c>
      <c r="I180" s="346">
        <v>17445</v>
      </c>
      <c r="J180" s="346">
        <v>10667</v>
      </c>
      <c r="K180" s="346">
        <v>28112</v>
      </c>
      <c r="L180" s="351">
        <v>14134</v>
      </c>
      <c r="M180" s="346">
        <v>12730</v>
      </c>
      <c r="N180" s="346">
        <v>26864</v>
      </c>
      <c r="O180" s="346">
        <v>23</v>
      </c>
      <c r="P180" s="346">
        <v>18</v>
      </c>
      <c r="Q180" s="346">
        <v>41</v>
      </c>
      <c r="R180" s="346">
        <v>1035</v>
      </c>
      <c r="S180" s="346">
        <v>1164</v>
      </c>
      <c r="T180" s="346">
        <v>2199</v>
      </c>
      <c r="U180" s="346">
        <v>34</v>
      </c>
      <c r="V180" s="346">
        <v>6</v>
      </c>
      <c r="W180" s="346">
        <v>40</v>
      </c>
      <c r="X180" s="346">
        <v>120</v>
      </c>
      <c r="Y180" s="346">
        <v>198</v>
      </c>
      <c r="Z180" s="346">
        <v>318</v>
      </c>
      <c r="AA180" s="352">
        <v>33049</v>
      </c>
      <c r="AB180" s="352">
        <v>25022</v>
      </c>
      <c r="AC180" s="352">
        <v>58071</v>
      </c>
    </row>
    <row r="181" spans="1:29">
      <c r="A181" s="1202"/>
      <c r="B181" s="590" t="s">
        <v>228</v>
      </c>
      <c r="C181" s="551">
        <v>211</v>
      </c>
      <c r="D181" s="551">
        <v>188</v>
      </c>
      <c r="E181" s="551">
        <v>399</v>
      </c>
      <c r="F181" s="551">
        <v>37</v>
      </c>
      <c r="G181" s="551">
        <v>42</v>
      </c>
      <c r="H181" s="551">
        <v>79</v>
      </c>
      <c r="I181" s="551">
        <v>8508</v>
      </c>
      <c r="J181" s="551">
        <v>6515</v>
      </c>
      <c r="K181" s="551">
        <v>15023</v>
      </c>
      <c r="L181" s="591">
        <v>11531</v>
      </c>
      <c r="M181" s="551">
        <v>12039</v>
      </c>
      <c r="N181" s="551">
        <v>23570</v>
      </c>
      <c r="O181" s="551">
        <v>22</v>
      </c>
      <c r="P181" s="551">
        <v>34</v>
      </c>
      <c r="Q181" s="551">
        <v>56</v>
      </c>
      <c r="R181" s="551">
        <v>1033</v>
      </c>
      <c r="S181" s="551">
        <v>1070</v>
      </c>
      <c r="T181" s="551">
        <v>2103</v>
      </c>
      <c r="U181" s="551">
        <v>37</v>
      </c>
      <c r="V181" s="551">
        <v>10</v>
      </c>
      <c r="W181" s="551">
        <v>47</v>
      </c>
      <c r="X181" s="551">
        <v>110</v>
      </c>
      <c r="Y181" s="551">
        <v>185</v>
      </c>
      <c r="Z181" s="551">
        <v>295</v>
      </c>
      <c r="AA181" s="551">
        <v>21489</v>
      </c>
      <c r="AB181" s="551">
        <v>20083</v>
      </c>
      <c r="AC181" s="551">
        <v>41572</v>
      </c>
    </row>
    <row r="182" spans="1:29">
      <c r="A182" s="1202"/>
      <c r="B182" s="590" t="s">
        <v>227</v>
      </c>
      <c r="C182" s="348">
        <v>77</v>
      </c>
      <c r="D182" s="348">
        <v>53</v>
      </c>
      <c r="E182" s="348">
        <v>130</v>
      </c>
      <c r="F182" s="348">
        <v>9</v>
      </c>
      <c r="G182" s="348">
        <v>17</v>
      </c>
      <c r="H182" s="348">
        <v>26</v>
      </c>
      <c r="I182" s="348">
        <v>3759.5255862399313</v>
      </c>
      <c r="J182" s="348">
        <v>3863.1687979276207</v>
      </c>
      <c r="K182" s="348">
        <v>7622.694384167552</v>
      </c>
      <c r="L182" s="349">
        <v>8697.2705217815437</v>
      </c>
      <c r="M182" s="348">
        <v>10304.41023975084</v>
      </c>
      <c r="N182" s="348">
        <v>19001.680761532381</v>
      </c>
      <c r="O182" s="348">
        <v>16</v>
      </c>
      <c r="P182" s="348">
        <v>18</v>
      </c>
      <c r="Q182" s="348">
        <v>34</v>
      </c>
      <c r="R182" s="348">
        <v>906</v>
      </c>
      <c r="S182" s="348">
        <v>966</v>
      </c>
      <c r="T182" s="348">
        <v>1872</v>
      </c>
      <c r="U182" s="348">
        <v>6</v>
      </c>
      <c r="V182" s="348">
        <v>14</v>
      </c>
      <c r="W182" s="348">
        <v>20</v>
      </c>
      <c r="X182" s="348">
        <v>117</v>
      </c>
      <c r="Y182" s="348">
        <v>177</v>
      </c>
      <c r="Z182" s="348">
        <v>294</v>
      </c>
      <c r="AA182" s="350">
        <f t="shared" ref="AA182:AC182" si="24">C182+F182+I182+L182+O182+R182+U182+X182</f>
        <v>13587.796108021475</v>
      </c>
      <c r="AB182" s="350">
        <f t="shared" si="24"/>
        <v>15412.579037678461</v>
      </c>
      <c r="AC182" s="350">
        <f t="shared" si="24"/>
        <v>29000.375145699934</v>
      </c>
    </row>
    <row r="183" spans="1:29">
      <c r="A183" s="1202">
        <v>30</v>
      </c>
      <c r="B183" s="585" t="s">
        <v>44</v>
      </c>
      <c r="C183" s="586"/>
      <c r="D183" s="586"/>
      <c r="E183" s="586"/>
      <c r="F183" s="586"/>
      <c r="G183" s="586"/>
      <c r="H183" s="586"/>
      <c r="I183" s="586"/>
      <c r="J183" s="586"/>
      <c r="K183" s="587"/>
      <c r="L183" s="586"/>
      <c r="M183" s="586"/>
      <c r="N183" s="586"/>
      <c r="O183" s="586"/>
      <c r="P183" s="586"/>
      <c r="Q183" s="586"/>
      <c r="R183" s="586"/>
      <c r="S183" s="586"/>
      <c r="T183" s="587"/>
      <c r="U183" s="586"/>
      <c r="V183" s="586"/>
      <c r="W183" s="586"/>
      <c r="X183" s="586"/>
      <c r="Y183" s="586"/>
      <c r="Z183" s="586"/>
      <c r="AA183" s="586"/>
      <c r="AB183" s="586"/>
      <c r="AC183" s="587"/>
    </row>
    <row r="184" spans="1:29">
      <c r="A184" s="1202"/>
      <c r="B184" s="588" t="s">
        <v>919</v>
      </c>
      <c r="C184" s="586">
        <v>13457</v>
      </c>
      <c r="D184" s="586">
        <v>15410</v>
      </c>
      <c r="E184" s="586">
        <v>28867</v>
      </c>
      <c r="F184" s="586">
        <v>925</v>
      </c>
      <c r="G184" s="586">
        <v>3116</v>
      </c>
      <c r="H184" s="586">
        <v>4041</v>
      </c>
      <c r="I184" s="586">
        <v>198013</v>
      </c>
      <c r="J184" s="586">
        <v>266073</v>
      </c>
      <c r="K184" s="587">
        <v>464086</v>
      </c>
      <c r="L184" s="586">
        <v>1243667</v>
      </c>
      <c r="M184" s="586">
        <v>1248155</v>
      </c>
      <c r="N184" s="586">
        <v>2491822</v>
      </c>
      <c r="O184" s="586">
        <v>8126</v>
      </c>
      <c r="P184" s="586">
        <v>6603</v>
      </c>
      <c r="Q184" s="586">
        <v>14729</v>
      </c>
      <c r="R184" s="586">
        <v>213546</v>
      </c>
      <c r="S184" s="586">
        <v>49168</v>
      </c>
      <c r="T184" s="587">
        <v>262714</v>
      </c>
      <c r="U184" s="586">
        <v>7290</v>
      </c>
      <c r="V184" s="586">
        <v>9324</v>
      </c>
      <c r="W184" s="586">
        <v>16614</v>
      </c>
      <c r="X184" s="586">
        <v>13088</v>
      </c>
      <c r="Y184" s="586">
        <v>13366</v>
      </c>
      <c r="Z184" s="586">
        <v>26454</v>
      </c>
      <c r="AA184" s="586">
        <v>1698112</v>
      </c>
      <c r="AB184" s="586">
        <v>1611215</v>
      </c>
      <c r="AC184" s="587">
        <v>3309327</v>
      </c>
    </row>
    <row r="185" spans="1:29">
      <c r="A185" s="1202"/>
      <c r="B185" s="588" t="s">
        <v>876</v>
      </c>
      <c r="C185" s="589">
        <v>17443</v>
      </c>
      <c r="D185" s="589">
        <v>16968</v>
      </c>
      <c r="E185" s="589">
        <v>34411</v>
      </c>
      <c r="F185" s="589">
        <v>1696</v>
      </c>
      <c r="G185" s="589">
        <v>5007</v>
      </c>
      <c r="H185" s="589">
        <v>6703</v>
      </c>
      <c r="I185" s="589">
        <v>185725</v>
      </c>
      <c r="J185" s="589">
        <v>278930</v>
      </c>
      <c r="K185" s="589">
        <v>464655</v>
      </c>
      <c r="L185" s="589">
        <v>1182067</v>
      </c>
      <c r="M185" s="589">
        <v>1280466</v>
      </c>
      <c r="N185" s="589">
        <v>2462533</v>
      </c>
      <c r="O185" s="589">
        <v>9155</v>
      </c>
      <c r="P185" s="589">
        <v>6392</v>
      </c>
      <c r="Q185" s="589">
        <v>15547</v>
      </c>
      <c r="R185" s="589">
        <v>247335</v>
      </c>
      <c r="S185" s="589">
        <v>61174</v>
      </c>
      <c r="T185" s="589">
        <v>308509</v>
      </c>
      <c r="U185" s="589">
        <v>6676</v>
      </c>
      <c r="V185" s="589">
        <v>14108</v>
      </c>
      <c r="W185" s="589">
        <v>20784</v>
      </c>
      <c r="X185" s="589">
        <v>12056</v>
      </c>
      <c r="Y185" s="589">
        <v>11241</v>
      </c>
      <c r="Z185" s="589">
        <v>23297</v>
      </c>
      <c r="AA185" s="589">
        <v>1662153</v>
      </c>
      <c r="AB185" s="589">
        <v>1674286</v>
      </c>
      <c r="AC185" s="589">
        <v>3336439</v>
      </c>
    </row>
    <row r="186" spans="1:29">
      <c r="A186" s="1202"/>
      <c r="B186" s="590" t="s">
        <v>229</v>
      </c>
      <c r="C186" s="346">
        <v>15828</v>
      </c>
      <c r="D186" s="346">
        <v>14832</v>
      </c>
      <c r="E186" s="346">
        <v>30660</v>
      </c>
      <c r="F186" s="346">
        <v>2470</v>
      </c>
      <c r="G186" s="346">
        <v>7309</v>
      </c>
      <c r="H186" s="346">
        <v>9779</v>
      </c>
      <c r="I186" s="346">
        <v>184265</v>
      </c>
      <c r="J186" s="346">
        <v>295673</v>
      </c>
      <c r="K186" s="346">
        <v>479938</v>
      </c>
      <c r="L186" s="351">
        <v>1260037</v>
      </c>
      <c r="M186" s="346">
        <v>1330973</v>
      </c>
      <c r="N186" s="346">
        <v>2591010</v>
      </c>
      <c r="O186" s="346">
        <v>9095</v>
      </c>
      <c r="P186" s="346">
        <v>6817</v>
      </c>
      <c r="Q186" s="346">
        <v>15912</v>
      </c>
      <c r="R186" s="346">
        <v>284382</v>
      </c>
      <c r="S186" s="346">
        <v>63535</v>
      </c>
      <c r="T186" s="346">
        <v>347917</v>
      </c>
      <c r="U186" s="346">
        <v>10615</v>
      </c>
      <c r="V186" s="346">
        <v>12496</v>
      </c>
      <c r="W186" s="346">
        <v>23111</v>
      </c>
      <c r="X186" s="346">
        <v>11494</v>
      </c>
      <c r="Y186" s="346">
        <v>10490</v>
      </c>
      <c r="Z186" s="346">
        <v>21984</v>
      </c>
      <c r="AA186" s="352">
        <v>1778186</v>
      </c>
      <c r="AB186" s="352">
        <v>1742125</v>
      </c>
      <c r="AC186" s="352">
        <v>3520311</v>
      </c>
    </row>
    <row r="187" spans="1:29">
      <c r="A187" s="1202"/>
      <c r="B187" s="590" t="s">
        <v>228</v>
      </c>
      <c r="C187" s="551">
        <v>13699</v>
      </c>
      <c r="D187" s="551">
        <v>12121</v>
      </c>
      <c r="E187" s="551">
        <v>25820</v>
      </c>
      <c r="F187" s="551">
        <v>3281</v>
      </c>
      <c r="G187" s="551">
        <v>9144</v>
      </c>
      <c r="H187" s="551">
        <v>12425</v>
      </c>
      <c r="I187" s="551">
        <v>169812</v>
      </c>
      <c r="J187" s="551">
        <v>274576</v>
      </c>
      <c r="K187" s="551">
        <v>444388</v>
      </c>
      <c r="L187" s="591">
        <v>1206721</v>
      </c>
      <c r="M187" s="551">
        <v>1287997</v>
      </c>
      <c r="N187" s="551">
        <v>2494718</v>
      </c>
      <c r="O187" s="551">
        <v>7406</v>
      </c>
      <c r="P187" s="551">
        <v>5383</v>
      </c>
      <c r="Q187" s="551">
        <v>12789</v>
      </c>
      <c r="R187" s="551">
        <v>314888</v>
      </c>
      <c r="S187" s="551">
        <v>62697</v>
      </c>
      <c r="T187" s="551">
        <v>377585</v>
      </c>
      <c r="U187" s="551">
        <v>9959</v>
      </c>
      <c r="V187" s="551">
        <v>15892</v>
      </c>
      <c r="W187" s="551">
        <v>25851</v>
      </c>
      <c r="X187" s="551">
        <v>11104</v>
      </c>
      <c r="Y187" s="551">
        <v>9516</v>
      </c>
      <c r="Z187" s="551">
        <v>20620</v>
      </c>
      <c r="AA187" s="551">
        <v>1736870</v>
      </c>
      <c r="AB187" s="551">
        <v>1677326</v>
      </c>
      <c r="AC187" s="551">
        <v>3414196</v>
      </c>
    </row>
    <row r="188" spans="1:29">
      <c r="A188" s="1202"/>
      <c r="B188" s="590" t="s">
        <v>227</v>
      </c>
      <c r="C188" s="348">
        <v>16267</v>
      </c>
      <c r="D188" s="348">
        <v>13511</v>
      </c>
      <c r="E188" s="348">
        <v>29778</v>
      </c>
      <c r="F188" s="348">
        <v>4424</v>
      </c>
      <c r="G188" s="348">
        <v>12755</v>
      </c>
      <c r="H188" s="348">
        <v>17179</v>
      </c>
      <c r="I188" s="348">
        <v>175011.63527593345</v>
      </c>
      <c r="J188" s="348">
        <v>263873.97833341575</v>
      </c>
      <c r="K188" s="348">
        <v>438885.61360934924</v>
      </c>
      <c r="L188" s="349">
        <v>1189690.2952759322</v>
      </c>
      <c r="M188" s="348">
        <v>1302087.0367209937</v>
      </c>
      <c r="N188" s="348">
        <v>2491777.3319969256</v>
      </c>
      <c r="O188" s="348">
        <v>9594</v>
      </c>
      <c r="P188" s="348">
        <v>8245</v>
      </c>
      <c r="Q188" s="348">
        <v>17839</v>
      </c>
      <c r="R188" s="348">
        <v>321101</v>
      </c>
      <c r="S188" s="348">
        <v>66605</v>
      </c>
      <c r="T188" s="348">
        <v>387706</v>
      </c>
      <c r="U188" s="348">
        <v>13852</v>
      </c>
      <c r="V188" s="348">
        <v>26641</v>
      </c>
      <c r="W188" s="348">
        <v>40493</v>
      </c>
      <c r="X188" s="348">
        <v>9375</v>
      </c>
      <c r="Y188" s="348">
        <v>7912</v>
      </c>
      <c r="Z188" s="348">
        <v>17287</v>
      </c>
      <c r="AA188" s="350">
        <f t="shared" ref="AA188:AC188" si="25">C188+F188+I188+L188+O188+R188+U188+X188</f>
        <v>1739314.9305518656</v>
      </c>
      <c r="AB188" s="350">
        <f t="shared" si="25"/>
        <v>1701630.0150544094</v>
      </c>
      <c r="AC188" s="350">
        <f t="shared" si="25"/>
        <v>3440944.945606275</v>
      </c>
    </row>
    <row r="189" spans="1:29">
      <c r="A189" s="1202">
        <v>31</v>
      </c>
      <c r="B189" s="585" t="s">
        <v>131</v>
      </c>
      <c r="C189" s="586"/>
      <c r="D189" s="586"/>
      <c r="E189" s="586"/>
      <c r="F189" s="586"/>
      <c r="G189" s="586"/>
      <c r="H189" s="586"/>
      <c r="I189" s="586"/>
      <c r="J189" s="586"/>
      <c r="K189" s="587"/>
      <c r="L189" s="586"/>
      <c r="M189" s="586"/>
      <c r="N189" s="586"/>
      <c r="O189" s="586"/>
      <c r="P189" s="586"/>
      <c r="Q189" s="586"/>
      <c r="R189" s="586"/>
      <c r="S189" s="586"/>
      <c r="T189" s="587"/>
      <c r="U189" s="586"/>
      <c r="V189" s="586"/>
      <c r="W189" s="586"/>
      <c r="X189" s="586"/>
      <c r="Y189" s="586"/>
      <c r="Z189" s="586"/>
      <c r="AA189" s="586"/>
      <c r="AB189" s="586"/>
      <c r="AC189" s="587"/>
    </row>
    <row r="190" spans="1:29">
      <c r="A190" s="1202"/>
      <c r="B190" s="588" t="s">
        <v>919</v>
      </c>
      <c r="C190" s="586">
        <v>4442</v>
      </c>
      <c r="D190" s="586">
        <v>2525</v>
      </c>
      <c r="E190" s="586">
        <v>6967</v>
      </c>
      <c r="F190" s="586">
        <v>57</v>
      </c>
      <c r="G190" s="586">
        <v>43</v>
      </c>
      <c r="H190" s="586">
        <v>100</v>
      </c>
      <c r="I190" s="586">
        <v>89767</v>
      </c>
      <c r="J190" s="586">
        <v>117315</v>
      </c>
      <c r="K190" s="587">
        <v>207082</v>
      </c>
      <c r="L190" s="586">
        <v>638370</v>
      </c>
      <c r="M190" s="586">
        <v>633953</v>
      </c>
      <c r="N190" s="586">
        <v>1272323</v>
      </c>
      <c r="O190" s="586">
        <v>4386</v>
      </c>
      <c r="P190" s="586">
        <v>3529</v>
      </c>
      <c r="Q190" s="586">
        <v>7915</v>
      </c>
      <c r="R190" s="586">
        <v>50261</v>
      </c>
      <c r="S190" s="586">
        <v>41291</v>
      </c>
      <c r="T190" s="587">
        <v>91552</v>
      </c>
      <c r="U190" s="586">
        <v>1532</v>
      </c>
      <c r="V190" s="586">
        <v>1590</v>
      </c>
      <c r="W190" s="586">
        <v>3122</v>
      </c>
      <c r="X190" s="586">
        <v>4538</v>
      </c>
      <c r="Y190" s="586">
        <v>3081</v>
      </c>
      <c r="Z190" s="586">
        <v>7619</v>
      </c>
      <c r="AA190" s="586">
        <v>793353</v>
      </c>
      <c r="AB190" s="586">
        <v>803327</v>
      </c>
      <c r="AC190" s="587">
        <v>1596680</v>
      </c>
    </row>
    <row r="191" spans="1:29">
      <c r="A191" s="1202"/>
      <c r="B191" s="588" t="s">
        <v>876</v>
      </c>
      <c r="C191" s="589">
        <v>4228</v>
      </c>
      <c r="D191" s="589">
        <v>2487</v>
      </c>
      <c r="E191" s="589">
        <v>6715</v>
      </c>
      <c r="F191" s="589">
        <v>106</v>
      </c>
      <c r="G191" s="589">
        <v>74</v>
      </c>
      <c r="H191" s="589">
        <v>180</v>
      </c>
      <c r="I191" s="589">
        <v>86425</v>
      </c>
      <c r="J191" s="589">
        <v>109813</v>
      </c>
      <c r="K191" s="589">
        <v>196238</v>
      </c>
      <c r="L191" s="589">
        <v>617563</v>
      </c>
      <c r="M191" s="589">
        <v>634298</v>
      </c>
      <c r="N191" s="589">
        <v>1251861</v>
      </c>
      <c r="O191" s="589">
        <v>4791</v>
      </c>
      <c r="P191" s="589">
        <v>3180</v>
      </c>
      <c r="Q191" s="589">
        <v>7971</v>
      </c>
      <c r="R191" s="589">
        <v>56054</v>
      </c>
      <c r="S191" s="589">
        <v>43630</v>
      </c>
      <c r="T191" s="589">
        <v>99684</v>
      </c>
      <c r="U191" s="589">
        <v>2276</v>
      </c>
      <c r="V191" s="589">
        <v>2203</v>
      </c>
      <c r="W191" s="589">
        <v>4479</v>
      </c>
      <c r="X191" s="589">
        <v>3866</v>
      </c>
      <c r="Y191" s="589">
        <v>2792</v>
      </c>
      <c r="Z191" s="589">
        <v>6658</v>
      </c>
      <c r="AA191" s="589">
        <v>775309</v>
      </c>
      <c r="AB191" s="589">
        <v>798477</v>
      </c>
      <c r="AC191" s="589">
        <v>1573786</v>
      </c>
    </row>
    <row r="192" spans="1:29">
      <c r="A192" s="1202"/>
      <c r="B192" s="590" t="s">
        <v>229</v>
      </c>
      <c r="C192" s="346">
        <v>3507</v>
      </c>
      <c r="D192" s="346">
        <v>2001</v>
      </c>
      <c r="E192" s="346">
        <v>5508</v>
      </c>
      <c r="F192" s="346">
        <v>203</v>
      </c>
      <c r="G192" s="346">
        <v>170</v>
      </c>
      <c r="H192" s="346">
        <v>373</v>
      </c>
      <c r="I192" s="346">
        <v>81042</v>
      </c>
      <c r="J192" s="346">
        <v>103478</v>
      </c>
      <c r="K192" s="346">
        <v>184520</v>
      </c>
      <c r="L192" s="351">
        <v>519501</v>
      </c>
      <c r="M192" s="346">
        <v>559280</v>
      </c>
      <c r="N192" s="346">
        <v>1078781</v>
      </c>
      <c r="O192" s="346">
        <v>3310</v>
      </c>
      <c r="P192" s="346">
        <v>2292</v>
      </c>
      <c r="Q192" s="346">
        <v>5602</v>
      </c>
      <c r="R192" s="346">
        <v>60653</v>
      </c>
      <c r="S192" s="346">
        <v>45728</v>
      </c>
      <c r="T192" s="346">
        <v>106381</v>
      </c>
      <c r="U192" s="346">
        <v>923</v>
      </c>
      <c r="V192" s="346">
        <v>1290</v>
      </c>
      <c r="W192" s="346">
        <v>2213</v>
      </c>
      <c r="X192" s="346">
        <v>3629</v>
      </c>
      <c r="Y192" s="346">
        <v>2601</v>
      </c>
      <c r="Z192" s="346">
        <v>6230</v>
      </c>
      <c r="AA192" s="352">
        <v>672768</v>
      </c>
      <c r="AB192" s="352">
        <v>716840</v>
      </c>
      <c r="AC192" s="352">
        <v>1389608</v>
      </c>
    </row>
    <row r="193" spans="1:29">
      <c r="A193" s="1202"/>
      <c r="B193" s="590" t="s">
        <v>228</v>
      </c>
      <c r="C193" s="551">
        <v>2191</v>
      </c>
      <c r="D193" s="551">
        <v>1239</v>
      </c>
      <c r="E193" s="551">
        <v>3430</v>
      </c>
      <c r="F193" s="551">
        <v>106</v>
      </c>
      <c r="G193" s="551">
        <v>123</v>
      </c>
      <c r="H193" s="551">
        <v>229</v>
      </c>
      <c r="I193" s="551">
        <v>83964</v>
      </c>
      <c r="J193" s="551">
        <v>104787</v>
      </c>
      <c r="K193" s="551">
        <v>188751</v>
      </c>
      <c r="L193" s="591">
        <v>536108</v>
      </c>
      <c r="M193" s="551">
        <v>565609</v>
      </c>
      <c r="N193" s="551">
        <v>1101717</v>
      </c>
      <c r="O193" s="551">
        <v>3247</v>
      </c>
      <c r="P193" s="551">
        <v>2187</v>
      </c>
      <c r="Q193" s="551">
        <v>5434</v>
      </c>
      <c r="R193" s="551">
        <v>71055</v>
      </c>
      <c r="S193" s="551">
        <v>48142</v>
      </c>
      <c r="T193" s="551">
        <v>119197</v>
      </c>
      <c r="U193" s="551">
        <v>1445</v>
      </c>
      <c r="V193" s="551">
        <v>1078</v>
      </c>
      <c r="W193" s="551">
        <v>2523</v>
      </c>
      <c r="X193" s="551">
        <v>3113</v>
      </c>
      <c r="Y193" s="551">
        <v>2067</v>
      </c>
      <c r="Z193" s="551">
        <v>5180</v>
      </c>
      <c r="AA193" s="551">
        <v>701229</v>
      </c>
      <c r="AB193" s="551">
        <v>725232</v>
      </c>
      <c r="AC193" s="551">
        <v>1426461</v>
      </c>
    </row>
    <row r="194" spans="1:29">
      <c r="A194" s="1202"/>
      <c r="B194" s="590" t="s">
        <v>227</v>
      </c>
      <c r="C194" s="348">
        <v>3252</v>
      </c>
      <c r="D194" s="348">
        <v>1632</v>
      </c>
      <c r="E194" s="348">
        <v>4884</v>
      </c>
      <c r="F194" s="348">
        <v>454</v>
      </c>
      <c r="G194" s="348">
        <v>340</v>
      </c>
      <c r="H194" s="348">
        <v>794</v>
      </c>
      <c r="I194" s="348">
        <v>91044.159475908527</v>
      </c>
      <c r="J194" s="348">
        <v>103754.3533932948</v>
      </c>
      <c r="K194" s="348">
        <v>194798.51286920335</v>
      </c>
      <c r="L194" s="349">
        <v>555992.48245251458</v>
      </c>
      <c r="M194" s="348">
        <v>523346.00452087668</v>
      </c>
      <c r="N194" s="348">
        <v>1079338.4869733914</v>
      </c>
      <c r="O194" s="348">
        <v>2786</v>
      </c>
      <c r="P194" s="348">
        <v>1913</v>
      </c>
      <c r="Q194" s="348">
        <v>4699</v>
      </c>
      <c r="R194" s="348">
        <v>78198</v>
      </c>
      <c r="S194" s="348">
        <v>49810</v>
      </c>
      <c r="T194" s="348">
        <v>128008</v>
      </c>
      <c r="U194" s="348">
        <v>661</v>
      </c>
      <c r="V194" s="348">
        <v>1174</v>
      </c>
      <c r="W194" s="348">
        <v>1835</v>
      </c>
      <c r="X194" s="348">
        <v>2945</v>
      </c>
      <c r="Y194" s="348">
        <v>2005</v>
      </c>
      <c r="Z194" s="348">
        <v>4950</v>
      </c>
      <c r="AA194" s="350">
        <f t="shared" ref="AA194:AC194" si="26">C194+F194+I194+L194+O194+R194+U194+X194</f>
        <v>735332.64192842308</v>
      </c>
      <c r="AB194" s="350">
        <f t="shared" si="26"/>
        <v>683974.35791417153</v>
      </c>
      <c r="AC194" s="350">
        <f t="shared" si="26"/>
        <v>1419306.9998425948</v>
      </c>
    </row>
    <row r="195" spans="1:29" ht="28.5">
      <c r="A195" s="1202">
        <v>32</v>
      </c>
      <c r="B195" s="595" t="s">
        <v>1062</v>
      </c>
      <c r="C195" s="354"/>
      <c r="D195" s="354"/>
      <c r="E195" s="355"/>
      <c r="F195" s="354"/>
      <c r="G195" s="354"/>
      <c r="H195" s="355"/>
      <c r="I195" s="354"/>
      <c r="J195" s="354"/>
      <c r="K195" s="356"/>
      <c r="L195" s="354"/>
      <c r="M195" s="354"/>
      <c r="N195" s="355"/>
      <c r="O195" s="354"/>
      <c r="P195" s="354"/>
      <c r="Q195" s="355"/>
      <c r="R195" s="354"/>
      <c r="S195" s="354"/>
      <c r="T195" s="356"/>
      <c r="U195" s="354"/>
      <c r="V195" s="354"/>
      <c r="W195" s="355"/>
      <c r="X195" s="354"/>
      <c r="Y195" s="354"/>
      <c r="Z195" s="355"/>
      <c r="AA195" s="355"/>
      <c r="AB195" s="355"/>
      <c r="AC195" s="356"/>
    </row>
    <row r="196" spans="1:29">
      <c r="A196" s="1202"/>
      <c r="B196" s="588" t="s">
        <v>919</v>
      </c>
      <c r="C196" s="354"/>
      <c r="D196" s="354"/>
      <c r="E196" s="355"/>
      <c r="F196" s="354"/>
      <c r="G196" s="354"/>
      <c r="H196" s="355"/>
      <c r="I196" s="354">
        <v>305</v>
      </c>
      <c r="J196" s="354">
        <v>543</v>
      </c>
      <c r="K196" s="356">
        <v>848</v>
      </c>
      <c r="L196" s="354">
        <v>4656</v>
      </c>
      <c r="M196" s="354">
        <v>5103</v>
      </c>
      <c r="N196" s="355">
        <v>9759</v>
      </c>
      <c r="O196" s="354"/>
      <c r="P196" s="354"/>
      <c r="Q196" s="355"/>
      <c r="R196" s="354">
        <v>1686</v>
      </c>
      <c r="S196" s="354">
        <v>422</v>
      </c>
      <c r="T196" s="356">
        <v>2108</v>
      </c>
      <c r="U196" s="354"/>
      <c r="V196" s="354"/>
      <c r="W196" s="355"/>
      <c r="X196" s="354">
        <v>36</v>
      </c>
      <c r="Y196" s="354">
        <v>54</v>
      </c>
      <c r="Z196" s="355">
        <v>90</v>
      </c>
      <c r="AA196" s="355">
        <v>6683</v>
      </c>
      <c r="AB196" s="355">
        <v>6122</v>
      </c>
      <c r="AC196" s="356">
        <v>12805</v>
      </c>
    </row>
    <row r="197" spans="1:29">
      <c r="A197" s="1202"/>
      <c r="B197" s="588" t="s">
        <v>876</v>
      </c>
      <c r="C197" s="357">
        <v>0</v>
      </c>
      <c r="D197" s="357">
        <v>0</v>
      </c>
      <c r="E197" s="286">
        <v>0</v>
      </c>
      <c r="F197" s="357">
        <v>0</v>
      </c>
      <c r="G197" s="357">
        <v>0</v>
      </c>
      <c r="H197" s="286">
        <v>0</v>
      </c>
      <c r="I197" s="357">
        <v>259</v>
      </c>
      <c r="J197" s="357">
        <v>508</v>
      </c>
      <c r="K197" s="286">
        <v>767</v>
      </c>
      <c r="L197" s="357">
        <v>4020</v>
      </c>
      <c r="M197" s="357">
        <v>4681</v>
      </c>
      <c r="N197" s="286">
        <v>8701</v>
      </c>
      <c r="O197" s="357">
        <v>0</v>
      </c>
      <c r="P197" s="357">
        <v>0</v>
      </c>
      <c r="Q197" s="286">
        <v>0</v>
      </c>
      <c r="R197" s="357">
        <v>1647</v>
      </c>
      <c r="S197" s="357">
        <v>397</v>
      </c>
      <c r="T197" s="286">
        <v>2044</v>
      </c>
      <c r="U197" s="357">
        <v>0</v>
      </c>
      <c r="V197" s="357">
        <v>0</v>
      </c>
      <c r="W197" s="286">
        <v>0</v>
      </c>
      <c r="X197" s="357">
        <v>22</v>
      </c>
      <c r="Y197" s="357">
        <v>36</v>
      </c>
      <c r="Z197" s="286">
        <v>58</v>
      </c>
      <c r="AA197" s="286">
        <v>5948</v>
      </c>
      <c r="AB197" s="286">
        <v>5622</v>
      </c>
      <c r="AC197" s="286">
        <v>11570</v>
      </c>
    </row>
    <row r="198" spans="1:29">
      <c r="A198" s="1202"/>
      <c r="B198" s="590" t="s">
        <v>229</v>
      </c>
      <c r="C198" s="357">
        <v>0</v>
      </c>
      <c r="D198" s="357">
        <v>0</v>
      </c>
      <c r="E198" s="286">
        <v>0</v>
      </c>
      <c r="F198" s="357">
        <v>0</v>
      </c>
      <c r="G198" s="357">
        <v>0</v>
      </c>
      <c r="H198" s="286">
        <v>0</v>
      </c>
      <c r="I198" s="357">
        <v>188</v>
      </c>
      <c r="J198" s="357">
        <v>433</v>
      </c>
      <c r="K198" s="286">
        <v>621</v>
      </c>
      <c r="L198" s="357">
        <v>3436</v>
      </c>
      <c r="M198" s="357">
        <v>4165</v>
      </c>
      <c r="N198" s="286">
        <v>7601</v>
      </c>
      <c r="O198" s="357">
        <v>0</v>
      </c>
      <c r="P198" s="357">
        <v>0</v>
      </c>
      <c r="Q198" s="286">
        <v>0</v>
      </c>
      <c r="R198" s="357">
        <v>1685</v>
      </c>
      <c r="S198" s="357">
        <v>381</v>
      </c>
      <c r="T198" s="286">
        <v>2066</v>
      </c>
      <c r="U198" s="357">
        <v>0</v>
      </c>
      <c r="V198" s="357">
        <v>0</v>
      </c>
      <c r="W198" s="286">
        <v>0</v>
      </c>
      <c r="X198" s="357">
        <v>11</v>
      </c>
      <c r="Y198" s="357">
        <v>26</v>
      </c>
      <c r="Z198" s="286">
        <v>37</v>
      </c>
      <c r="AA198" s="286">
        <v>5320</v>
      </c>
      <c r="AB198" s="286">
        <v>5005</v>
      </c>
      <c r="AC198" s="286">
        <v>10325</v>
      </c>
    </row>
    <row r="199" spans="1:29">
      <c r="A199" s="1202"/>
      <c r="B199" s="590" t="s">
        <v>228</v>
      </c>
      <c r="C199" s="357">
        <v>0</v>
      </c>
      <c r="D199" s="357">
        <v>0</v>
      </c>
      <c r="E199" s="286">
        <v>0</v>
      </c>
      <c r="F199" s="357">
        <v>0</v>
      </c>
      <c r="G199" s="357">
        <v>0</v>
      </c>
      <c r="H199" s="286">
        <v>0</v>
      </c>
      <c r="I199" s="357">
        <v>175</v>
      </c>
      <c r="J199" s="357">
        <v>308</v>
      </c>
      <c r="K199" s="286">
        <v>483</v>
      </c>
      <c r="L199" s="357">
        <v>3127</v>
      </c>
      <c r="M199" s="357">
        <v>3834</v>
      </c>
      <c r="N199" s="286">
        <v>6961</v>
      </c>
      <c r="O199" s="357">
        <v>0</v>
      </c>
      <c r="P199" s="357">
        <v>0</v>
      </c>
      <c r="Q199" s="286">
        <v>0</v>
      </c>
      <c r="R199" s="357">
        <v>1686</v>
      </c>
      <c r="S199" s="357">
        <v>355</v>
      </c>
      <c r="T199" s="286">
        <v>2041</v>
      </c>
      <c r="U199" s="357">
        <v>0</v>
      </c>
      <c r="V199" s="357">
        <v>0</v>
      </c>
      <c r="W199" s="286">
        <v>0</v>
      </c>
      <c r="X199" s="357">
        <v>6</v>
      </c>
      <c r="Y199" s="357">
        <v>14</v>
      </c>
      <c r="Z199" s="286">
        <v>20</v>
      </c>
      <c r="AA199" s="286">
        <v>4994</v>
      </c>
      <c r="AB199" s="286">
        <v>4511</v>
      </c>
      <c r="AC199" s="286">
        <v>9505</v>
      </c>
    </row>
    <row r="200" spans="1:29">
      <c r="A200" s="1202"/>
      <c r="B200" s="590" t="s">
        <v>227</v>
      </c>
      <c r="C200" s="357">
        <v>0</v>
      </c>
      <c r="D200" s="357">
        <v>0</v>
      </c>
      <c r="E200" s="286">
        <v>0</v>
      </c>
      <c r="F200" s="357">
        <v>0</v>
      </c>
      <c r="G200" s="357">
        <v>0</v>
      </c>
      <c r="H200" s="286">
        <v>0</v>
      </c>
      <c r="I200" s="357">
        <v>126</v>
      </c>
      <c r="J200" s="357">
        <v>198</v>
      </c>
      <c r="K200" s="286">
        <v>324</v>
      </c>
      <c r="L200" s="357">
        <v>2707</v>
      </c>
      <c r="M200" s="357">
        <v>3689</v>
      </c>
      <c r="N200" s="286">
        <v>6396</v>
      </c>
      <c r="O200" s="357">
        <v>0</v>
      </c>
      <c r="P200" s="357">
        <v>0</v>
      </c>
      <c r="Q200" s="286">
        <v>0</v>
      </c>
      <c r="R200" s="357">
        <v>1821</v>
      </c>
      <c r="S200" s="357">
        <v>319</v>
      </c>
      <c r="T200" s="286">
        <v>2140</v>
      </c>
      <c r="U200" s="357">
        <v>0</v>
      </c>
      <c r="V200" s="357">
        <v>0</v>
      </c>
      <c r="W200" s="286">
        <v>0</v>
      </c>
      <c r="X200" s="357">
        <v>4</v>
      </c>
      <c r="Y200" s="357">
        <v>2</v>
      </c>
      <c r="Z200" s="286">
        <v>6</v>
      </c>
      <c r="AA200" s="286">
        <v>4658</v>
      </c>
      <c r="AB200" s="286">
        <v>4208</v>
      </c>
      <c r="AC200" s="286">
        <v>8866</v>
      </c>
    </row>
    <row r="201" spans="1:29">
      <c r="A201" s="1202">
        <v>33</v>
      </c>
      <c r="B201" s="585" t="s">
        <v>45</v>
      </c>
      <c r="C201" s="586"/>
      <c r="D201" s="586"/>
      <c r="E201" s="586"/>
      <c r="F201" s="586"/>
      <c r="G201" s="586"/>
      <c r="H201" s="586"/>
      <c r="I201" s="586"/>
      <c r="J201" s="586"/>
      <c r="K201" s="587"/>
      <c r="L201" s="586"/>
      <c r="M201" s="586"/>
      <c r="N201" s="586"/>
      <c r="O201" s="586"/>
      <c r="P201" s="586"/>
      <c r="Q201" s="586"/>
      <c r="R201" s="586"/>
      <c r="S201" s="586"/>
      <c r="T201" s="587"/>
      <c r="U201" s="586"/>
      <c r="V201" s="586"/>
      <c r="W201" s="586"/>
      <c r="X201" s="586"/>
      <c r="Y201" s="586"/>
      <c r="Z201" s="586"/>
      <c r="AA201" s="586"/>
      <c r="AB201" s="586"/>
      <c r="AC201" s="587"/>
    </row>
    <row r="202" spans="1:29">
      <c r="A202" s="1202"/>
      <c r="B202" s="588" t="s">
        <v>919</v>
      </c>
      <c r="C202" s="586">
        <v>286</v>
      </c>
      <c r="D202" s="586">
        <v>173</v>
      </c>
      <c r="E202" s="586">
        <v>459</v>
      </c>
      <c r="F202" s="586">
        <v>2</v>
      </c>
      <c r="G202" s="586">
        <v>10</v>
      </c>
      <c r="H202" s="586">
        <v>12</v>
      </c>
      <c r="I202" s="586">
        <v>5209</v>
      </c>
      <c r="J202" s="586">
        <v>5840</v>
      </c>
      <c r="K202" s="587">
        <v>11049</v>
      </c>
      <c r="L202" s="586">
        <v>44432</v>
      </c>
      <c r="M202" s="586">
        <v>37731</v>
      </c>
      <c r="N202" s="586">
        <v>82163</v>
      </c>
      <c r="O202" s="586">
        <v>76</v>
      </c>
      <c r="P202" s="586">
        <v>59</v>
      </c>
      <c r="Q202" s="586">
        <v>135</v>
      </c>
      <c r="R202" s="586">
        <v>2409</v>
      </c>
      <c r="S202" s="586">
        <v>2297</v>
      </c>
      <c r="T202" s="587">
        <v>4706</v>
      </c>
      <c r="U202" s="586">
        <v>18</v>
      </c>
      <c r="V202" s="586">
        <v>18</v>
      </c>
      <c r="W202" s="586">
        <v>36</v>
      </c>
      <c r="X202" s="586">
        <v>1106</v>
      </c>
      <c r="Y202" s="586">
        <v>885</v>
      </c>
      <c r="Z202" s="586">
        <v>1991</v>
      </c>
      <c r="AA202" s="586">
        <v>53538</v>
      </c>
      <c r="AB202" s="586">
        <v>47013</v>
      </c>
      <c r="AC202" s="587">
        <v>100551</v>
      </c>
    </row>
    <row r="203" spans="1:29">
      <c r="A203" s="1202"/>
      <c r="B203" s="588" t="s">
        <v>876</v>
      </c>
      <c r="C203" s="589">
        <v>452</v>
      </c>
      <c r="D203" s="589">
        <v>220</v>
      </c>
      <c r="E203" s="589">
        <v>672</v>
      </c>
      <c r="F203" s="589">
        <v>2</v>
      </c>
      <c r="G203" s="589">
        <v>10</v>
      </c>
      <c r="H203" s="589">
        <v>12</v>
      </c>
      <c r="I203" s="589">
        <v>5919</v>
      </c>
      <c r="J203" s="589">
        <v>6287</v>
      </c>
      <c r="K203" s="589">
        <v>12206</v>
      </c>
      <c r="L203" s="589">
        <v>38810</v>
      </c>
      <c r="M203" s="589">
        <v>34214</v>
      </c>
      <c r="N203" s="589">
        <v>73024</v>
      </c>
      <c r="O203" s="589">
        <v>116</v>
      </c>
      <c r="P203" s="589">
        <v>133</v>
      </c>
      <c r="Q203" s="589">
        <v>249</v>
      </c>
      <c r="R203" s="589">
        <v>2243</v>
      </c>
      <c r="S203" s="589">
        <v>2632</v>
      </c>
      <c r="T203" s="589">
        <v>4875</v>
      </c>
      <c r="U203" s="589">
        <v>15</v>
      </c>
      <c r="V203" s="589">
        <v>13</v>
      </c>
      <c r="W203" s="589">
        <v>28</v>
      </c>
      <c r="X203" s="589">
        <v>871</v>
      </c>
      <c r="Y203" s="589">
        <v>723</v>
      </c>
      <c r="Z203" s="589">
        <v>1594</v>
      </c>
      <c r="AA203" s="589">
        <v>48428</v>
      </c>
      <c r="AB203" s="589">
        <v>44232</v>
      </c>
      <c r="AC203" s="589">
        <v>92660</v>
      </c>
    </row>
    <row r="204" spans="1:29">
      <c r="A204" s="1202"/>
      <c r="B204" s="590" t="s">
        <v>229</v>
      </c>
      <c r="C204" s="346">
        <v>388</v>
      </c>
      <c r="D204" s="346">
        <v>227</v>
      </c>
      <c r="E204" s="346">
        <v>615</v>
      </c>
      <c r="F204" s="346">
        <v>0</v>
      </c>
      <c r="G204" s="346">
        <v>0</v>
      </c>
      <c r="H204" s="346">
        <v>0</v>
      </c>
      <c r="I204" s="346">
        <v>5941</v>
      </c>
      <c r="J204" s="346">
        <v>5877</v>
      </c>
      <c r="K204" s="346">
        <v>11818</v>
      </c>
      <c r="L204" s="351">
        <v>37816</v>
      </c>
      <c r="M204" s="346">
        <v>30459</v>
      </c>
      <c r="N204" s="346">
        <v>68275</v>
      </c>
      <c r="O204" s="346">
        <v>67</v>
      </c>
      <c r="P204" s="346">
        <v>64</v>
      </c>
      <c r="Q204" s="346">
        <v>131</v>
      </c>
      <c r="R204" s="346">
        <v>2274</v>
      </c>
      <c r="S204" s="346">
        <v>2126</v>
      </c>
      <c r="T204" s="346">
        <v>4400</v>
      </c>
      <c r="U204" s="346">
        <v>149</v>
      </c>
      <c r="V204" s="346">
        <v>221</v>
      </c>
      <c r="W204" s="346">
        <v>370</v>
      </c>
      <c r="X204" s="346">
        <v>396</v>
      </c>
      <c r="Y204" s="346">
        <v>242</v>
      </c>
      <c r="Z204" s="346">
        <v>638</v>
      </c>
      <c r="AA204" s="352">
        <v>47031</v>
      </c>
      <c r="AB204" s="352">
        <v>39216</v>
      </c>
      <c r="AC204" s="352">
        <v>86247</v>
      </c>
    </row>
    <row r="205" spans="1:29">
      <c r="A205" s="1202"/>
      <c r="B205" s="590" t="s">
        <v>228</v>
      </c>
      <c r="C205" s="551">
        <v>147</v>
      </c>
      <c r="D205" s="551">
        <v>79</v>
      </c>
      <c r="E205" s="551">
        <v>226</v>
      </c>
      <c r="F205" s="551">
        <v>0</v>
      </c>
      <c r="G205" s="551">
        <v>0</v>
      </c>
      <c r="H205" s="551">
        <v>0</v>
      </c>
      <c r="I205" s="551">
        <v>6452</v>
      </c>
      <c r="J205" s="551">
        <v>5691</v>
      </c>
      <c r="K205" s="551">
        <v>12143</v>
      </c>
      <c r="L205" s="591">
        <v>34528</v>
      </c>
      <c r="M205" s="551">
        <v>29821</v>
      </c>
      <c r="N205" s="551">
        <v>64349</v>
      </c>
      <c r="O205" s="551">
        <v>117</v>
      </c>
      <c r="P205" s="551">
        <v>125</v>
      </c>
      <c r="Q205" s="551">
        <v>242</v>
      </c>
      <c r="R205" s="551">
        <v>2443</v>
      </c>
      <c r="S205" s="551">
        <v>1992</v>
      </c>
      <c r="T205" s="551">
        <v>4435</v>
      </c>
      <c r="U205" s="551">
        <v>68</v>
      </c>
      <c r="V205" s="551">
        <v>112</v>
      </c>
      <c r="W205" s="551">
        <v>180</v>
      </c>
      <c r="X205" s="551">
        <v>701</v>
      </c>
      <c r="Y205" s="551">
        <v>427</v>
      </c>
      <c r="Z205" s="551">
        <v>1128</v>
      </c>
      <c r="AA205" s="551">
        <v>44456</v>
      </c>
      <c r="AB205" s="551">
        <v>38247</v>
      </c>
      <c r="AC205" s="551">
        <v>82703</v>
      </c>
    </row>
    <row r="206" spans="1:29">
      <c r="A206" s="1202"/>
      <c r="B206" s="590" t="s">
        <v>227</v>
      </c>
      <c r="C206" s="348">
        <v>75</v>
      </c>
      <c r="D206" s="348">
        <v>44</v>
      </c>
      <c r="E206" s="348">
        <v>119</v>
      </c>
      <c r="F206" s="348">
        <v>0</v>
      </c>
      <c r="G206" s="348">
        <v>0</v>
      </c>
      <c r="H206" s="348">
        <v>0</v>
      </c>
      <c r="I206" s="348">
        <v>6474.1709863507785</v>
      </c>
      <c r="J206" s="348">
        <v>4734.4273890851073</v>
      </c>
      <c r="K206" s="348">
        <v>11208.598375435886</v>
      </c>
      <c r="L206" s="349">
        <v>37026.451037284685</v>
      </c>
      <c r="M206" s="348">
        <v>32829.342280968711</v>
      </c>
      <c r="N206" s="348">
        <v>69855.793318253389</v>
      </c>
      <c r="O206" s="348">
        <v>143</v>
      </c>
      <c r="P206" s="348">
        <v>104</v>
      </c>
      <c r="Q206" s="348">
        <v>247</v>
      </c>
      <c r="R206" s="348">
        <v>5851</v>
      </c>
      <c r="S206" s="348">
        <v>3293</v>
      </c>
      <c r="T206" s="348">
        <v>9144</v>
      </c>
      <c r="U206" s="348">
        <v>114</v>
      </c>
      <c r="V206" s="348">
        <v>108</v>
      </c>
      <c r="W206" s="348">
        <v>222</v>
      </c>
      <c r="X206" s="348">
        <v>563</v>
      </c>
      <c r="Y206" s="348">
        <v>322</v>
      </c>
      <c r="Z206" s="348">
        <v>885</v>
      </c>
      <c r="AA206" s="350">
        <f t="shared" ref="AA206:AC206" si="27">C206+F206+I206+L206+O206+R206+U206+X206</f>
        <v>50246.622023635464</v>
      </c>
      <c r="AB206" s="350">
        <f t="shared" si="27"/>
        <v>41434.769670053822</v>
      </c>
      <c r="AC206" s="350">
        <f t="shared" si="27"/>
        <v>91681.391693689278</v>
      </c>
    </row>
    <row r="207" spans="1:29">
      <c r="A207" s="1202">
        <v>34</v>
      </c>
      <c r="B207" s="585" t="s">
        <v>47</v>
      </c>
      <c r="C207" s="586"/>
      <c r="D207" s="586"/>
      <c r="E207" s="586"/>
      <c r="F207" s="586"/>
      <c r="G207" s="586"/>
      <c r="H207" s="586"/>
      <c r="I207" s="586"/>
      <c r="J207" s="586"/>
      <c r="K207" s="587"/>
      <c r="L207" s="586"/>
      <c r="M207" s="586"/>
      <c r="N207" s="586"/>
      <c r="O207" s="586"/>
      <c r="P207" s="586"/>
      <c r="Q207" s="586"/>
      <c r="R207" s="586"/>
      <c r="S207" s="586"/>
      <c r="T207" s="587"/>
      <c r="U207" s="586"/>
      <c r="V207" s="586"/>
      <c r="W207" s="586"/>
      <c r="X207" s="586"/>
      <c r="Y207" s="586"/>
      <c r="Z207" s="586"/>
      <c r="AA207" s="586"/>
      <c r="AB207" s="586"/>
      <c r="AC207" s="587"/>
    </row>
    <row r="208" spans="1:29">
      <c r="A208" s="1202"/>
      <c r="B208" s="588" t="s">
        <v>919</v>
      </c>
      <c r="C208" s="586">
        <v>11988</v>
      </c>
      <c r="D208" s="586">
        <v>9725</v>
      </c>
      <c r="E208" s="586">
        <v>21713</v>
      </c>
      <c r="F208" s="586">
        <v>15</v>
      </c>
      <c r="G208" s="586">
        <v>62</v>
      </c>
      <c r="H208" s="586">
        <v>77</v>
      </c>
      <c r="I208" s="586">
        <v>348726</v>
      </c>
      <c r="J208" s="586">
        <v>411389</v>
      </c>
      <c r="K208" s="587">
        <v>760115</v>
      </c>
      <c r="L208" s="586">
        <v>3033329</v>
      </c>
      <c r="M208" s="586">
        <v>2745769</v>
      </c>
      <c r="N208" s="586">
        <v>5779098</v>
      </c>
      <c r="O208" s="586">
        <v>17801</v>
      </c>
      <c r="P208" s="586">
        <v>9432</v>
      </c>
      <c r="Q208" s="586">
        <v>27233</v>
      </c>
      <c r="R208" s="586">
        <v>217394</v>
      </c>
      <c r="S208" s="586">
        <v>103605</v>
      </c>
      <c r="T208" s="587">
        <v>320999</v>
      </c>
      <c r="U208" s="586">
        <v>3435</v>
      </c>
      <c r="V208" s="586">
        <v>2854</v>
      </c>
      <c r="W208" s="586">
        <v>6289</v>
      </c>
      <c r="X208" s="586">
        <v>36630</v>
      </c>
      <c r="Y208" s="586">
        <v>21270</v>
      </c>
      <c r="Z208" s="586">
        <v>57900</v>
      </c>
      <c r="AA208" s="586">
        <v>3669318</v>
      </c>
      <c r="AB208" s="586">
        <v>3304106</v>
      </c>
      <c r="AC208" s="587">
        <v>6973424</v>
      </c>
    </row>
    <row r="209" spans="1:29">
      <c r="A209" s="1202"/>
      <c r="B209" s="588" t="s">
        <v>876</v>
      </c>
      <c r="C209" s="589">
        <v>11560</v>
      </c>
      <c r="D209" s="589">
        <v>8246</v>
      </c>
      <c r="E209" s="589">
        <v>19806</v>
      </c>
      <c r="F209" s="589">
        <v>234</v>
      </c>
      <c r="G209" s="589">
        <v>381</v>
      </c>
      <c r="H209" s="589">
        <v>615</v>
      </c>
      <c r="I209" s="589">
        <v>278090</v>
      </c>
      <c r="J209" s="589">
        <v>353448</v>
      </c>
      <c r="K209" s="589">
        <v>631538</v>
      </c>
      <c r="L209" s="589">
        <v>2820340</v>
      </c>
      <c r="M209" s="589">
        <v>2727844</v>
      </c>
      <c r="N209" s="589">
        <v>5548184</v>
      </c>
      <c r="O209" s="589">
        <v>30530</v>
      </c>
      <c r="P209" s="589">
        <v>23307</v>
      </c>
      <c r="Q209" s="589">
        <v>53837</v>
      </c>
      <c r="R209" s="589">
        <v>215020</v>
      </c>
      <c r="S209" s="589">
        <v>112030</v>
      </c>
      <c r="T209" s="589">
        <v>327050</v>
      </c>
      <c r="U209" s="589">
        <v>8672</v>
      </c>
      <c r="V209" s="589">
        <v>9459</v>
      </c>
      <c r="W209" s="589">
        <v>18131</v>
      </c>
      <c r="X209" s="589">
        <v>32566</v>
      </c>
      <c r="Y209" s="589">
        <v>19340</v>
      </c>
      <c r="Z209" s="589">
        <v>51906</v>
      </c>
      <c r="AA209" s="589">
        <v>3397012</v>
      </c>
      <c r="AB209" s="589">
        <v>3254055</v>
      </c>
      <c r="AC209" s="589">
        <v>6651067</v>
      </c>
    </row>
    <row r="210" spans="1:29">
      <c r="A210" s="1202"/>
      <c r="B210" s="590" t="s">
        <v>229</v>
      </c>
      <c r="C210" s="346">
        <v>13693</v>
      </c>
      <c r="D210" s="346">
        <v>10071</v>
      </c>
      <c r="E210" s="346">
        <v>23764</v>
      </c>
      <c r="F210" s="346">
        <v>217</v>
      </c>
      <c r="G210" s="346">
        <v>320</v>
      </c>
      <c r="H210" s="346">
        <v>537</v>
      </c>
      <c r="I210" s="346">
        <v>237350</v>
      </c>
      <c r="J210" s="346">
        <v>331801</v>
      </c>
      <c r="K210" s="346">
        <v>569151</v>
      </c>
      <c r="L210" s="351">
        <v>2636040</v>
      </c>
      <c r="M210" s="346">
        <v>2765496</v>
      </c>
      <c r="N210" s="346">
        <v>5401536</v>
      </c>
      <c r="O210" s="346">
        <v>13318</v>
      </c>
      <c r="P210" s="346">
        <v>11152</v>
      </c>
      <c r="Q210" s="346">
        <v>24470</v>
      </c>
      <c r="R210" s="346">
        <v>198868</v>
      </c>
      <c r="S210" s="346">
        <v>103325</v>
      </c>
      <c r="T210" s="346">
        <v>302193</v>
      </c>
      <c r="U210" s="346">
        <v>10660</v>
      </c>
      <c r="V210" s="346">
        <v>14266</v>
      </c>
      <c r="W210" s="346">
        <v>24926</v>
      </c>
      <c r="X210" s="346">
        <v>26504</v>
      </c>
      <c r="Y210" s="346">
        <v>15133</v>
      </c>
      <c r="Z210" s="346">
        <v>41637</v>
      </c>
      <c r="AA210" s="352">
        <v>3136650</v>
      </c>
      <c r="AB210" s="352">
        <v>3251564</v>
      </c>
      <c r="AC210" s="352">
        <v>6388214</v>
      </c>
    </row>
    <row r="211" spans="1:29">
      <c r="A211" s="1202"/>
      <c r="B211" s="590" t="s">
        <v>228</v>
      </c>
      <c r="C211" s="551">
        <v>11715</v>
      </c>
      <c r="D211" s="551">
        <v>7404</v>
      </c>
      <c r="E211" s="551">
        <v>19119</v>
      </c>
      <c r="F211" s="551">
        <v>326</v>
      </c>
      <c r="G211" s="551">
        <v>431</v>
      </c>
      <c r="H211" s="551">
        <v>757</v>
      </c>
      <c r="I211" s="551">
        <v>260167</v>
      </c>
      <c r="J211" s="551">
        <v>336882</v>
      </c>
      <c r="K211" s="551">
        <v>597049</v>
      </c>
      <c r="L211" s="591">
        <v>2675777</v>
      </c>
      <c r="M211" s="551">
        <v>2791519</v>
      </c>
      <c r="N211" s="551">
        <v>5467296</v>
      </c>
      <c r="O211" s="551">
        <v>20411</v>
      </c>
      <c r="P211" s="551">
        <v>16930</v>
      </c>
      <c r="Q211" s="551">
        <v>37341</v>
      </c>
      <c r="R211" s="551">
        <v>181658</v>
      </c>
      <c r="S211" s="551">
        <v>95328</v>
      </c>
      <c r="T211" s="551">
        <v>276986</v>
      </c>
      <c r="U211" s="551">
        <v>17599</v>
      </c>
      <c r="V211" s="551">
        <v>19016</v>
      </c>
      <c r="W211" s="551">
        <v>36615</v>
      </c>
      <c r="X211" s="551">
        <v>21867</v>
      </c>
      <c r="Y211" s="551">
        <v>12337</v>
      </c>
      <c r="Z211" s="551">
        <v>34204</v>
      </c>
      <c r="AA211" s="551">
        <v>3189520</v>
      </c>
      <c r="AB211" s="551">
        <v>3279847</v>
      </c>
      <c r="AC211" s="551">
        <v>6469367</v>
      </c>
    </row>
    <row r="212" spans="1:29">
      <c r="A212" s="1202"/>
      <c r="B212" s="590" t="s">
        <v>227</v>
      </c>
      <c r="C212" s="348">
        <v>10069</v>
      </c>
      <c r="D212" s="348">
        <v>5339</v>
      </c>
      <c r="E212" s="348">
        <v>15408</v>
      </c>
      <c r="F212" s="348">
        <v>350</v>
      </c>
      <c r="G212" s="348">
        <v>510</v>
      </c>
      <c r="H212" s="348">
        <v>860</v>
      </c>
      <c r="I212" s="348">
        <v>281754.92901018076</v>
      </c>
      <c r="J212" s="348">
        <v>355717.953279012</v>
      </c>
      <c r="K212" s="348">
        <v>637472.88228919276</v>
      </c>
      <c r="L212" s="349">
        <v>2785329.527862024</v>
      </c>
      <c r="M212" s="348">
        <v>2661438.9824966588</v>
      </c>
      <c r="N212" s="348">
        <v>5446768.5103586828</v>
      </c>
      <c r="O212" s="348">
        <v>11691</v>
      </c>
      <c r="P212" s="348">
        <v>7930</v>
      </c>
      <c r="Q212" s="348">
        <v>19621</v>
      </c>
      <c r="R212" s="348">
        <v>178531</v>
      </c>
      <c r="S212" s="348">
        <v>82016</v>
      </c>
      <c r="T212" s="348">
        <v>260547</v>
      </c>
      <c r="U212" s="348">
        <v>20258</v>
      </c>
      <c r="V212" s="348">
        <v>22560</v>
      </c>
      <c r="W212" s="348">
        <v>42818</v>
      </c>
      <c r="X212" s="348">
        <v>20331</v>
      </c>
      <c r="Y212" s="348">
        <v>11549</v>
      </c>
      <c r="Z212" s="348">
        <v>31880</v>
      </c>
      <c r="AA212" s="350">
        <f t="shared" ref="AA212:AC212" si="28">C212+F212+I212+L212+O212+R212+U212+X212</f>
        <v>3308314.4568722048</v>
      </c>
      <c r="AB212" s="350">
        <f t="shared" si="28"/>
        <v>3147060.9357756707</v>
      </c>
      <c r="AC212" s="350">
        <f t="shared" si="28"/>
        <v>6455375.3926478755</v>
      </c>
    </row>
    <row r="213" spans="1:29">
      <c r="A213" s="1202">
        <v>35</v>
      </c>
      <c r="B213" s="585" t="s">
        <v>46</v>
      </c>
      <c r="C213" s="586"/>
      <c r="D213" s="586"/>
      <c r="E213" s="586"/>
      <c r="F213" s="586"/>
      <c r="G213" s="586"/>
      <c r="H213" s="586"/>
      <c r="I213" s="586"/>
      <c r="J213" s="586"/>
      <c r="K213" s="587"/>
      <c r="L213" s="586"/>
      <c r="M213" s="586"/>
      <c r="N213" s="586"/>
      <c r="O213" s="586"/>
      <c r="P213" s="586"/>
      <c r="Q213" s="586"/>
      <c r="R213" s="586"/>
      <c r="S213" s="586"/>
      <c r="T213" s="587"/>
      <c r="U213" s="586"/>
      <c r="V213" s="586"/>
      <c r="W213" s="586"/>
      <c r="X213" s="586"/>
      <c r="Y213" s="586"/>
      <c r="Z213" s="586"/>
      <c r="AA213" s="586"/>
      <c r="AB213" s="586"/>
      <c r="AC213" s="587"/>
    </row>
    <row r="214" spans="1:29">
      <c r="A214" s="1202"/>
      <c r="B214" s="588" t="s">
        <v>919</v>
      </c>
      <c r="C214" s="586">
        <v>2573</v>
      </c>
      <c r="D214" s="586">
        <v>1900</v>
      </c>
      <c r="E214" s="586">
        <v>4473</v>
      </c>
      <c r="F214" s="586">
        <v>5</v>
      </c>
      <c r="G214" s="586"/>
      <c r="H214" s="586">
        <v>5</v>
      </c>
      <c r="I214" s="586">
        <v>41134</v>
      </c>
      <c r="J214" s="586">
        <v>53023</v>
      </c>
      <c r="K214" s="587">
        <v>94157</v>
      </c>
      <c r="L214" s="586">
        <v>217701</v>
      </c>
      <c r="M214" s="586">
        <v>216121</v>
      </c>
      <c r="N214" s="586">
        <v>433822</v>
      </c>
      <c r="O214" s="586">
        <v>560</v>
      </c>
      <c r="P214" s="586">
        <v>419</v>
      </c>
      <c r="Q214" s="586">
        <v>979</v>
      </c>
      <c r="R214" s="586">
        <v>20403</v>
      </c>
      <c r="S214" s="586">
        <v>7638</v>
      </c>
      <c r="T214" s="587">
        <v>28041</v>
      </c>
      <c r="U214" s="586">
        <v>218</v>
      </c>
      <c r="V214" s="586">
        <v>64</v>
      </c>
      <c r="W214" s="586">
        <v>282</v>
      </c>
      <c r="X214" s="586">
        <v>3555</v>
      </c>
      <c r="Y214" s="586">
        <v>2390</v>
      </c>
      <c r="Z214" s="586">
        <v>5945</v>
      </c>
      <c r="AA214" s="586">
        <v>286149</v>
      </c>
      <c r="AB214" s="586">
        <v>281555</v>
      </c>
      <c r="AC214" s="587">
        <v>567704</v>
      </c>
    </row>
    <row r="215" spans="1:29">
      <c r="A215" s="1202"/>
      <c r="B215" s="588" t="s">
        <v>876</v>
      </c>
      <c r="C215" s="589">
        <v>4099</v>
      </c>
      <c r="D215" s="589">
        <v>2533</v>
      </c>
      <c r="E215" s="589">
        <v>6632</v>
      </c>
      <c r="F215" s="589">
        <v>4</v>
      </c>
      <c r="G215" s="589">
        <v>1</v>
      </c>
      <c r="H215" s="589">
        <v>5</v>
      </c>
      <c r="I215" s="589">
        <v>46493</v>
      </c>
      <c r="J215" s="589">
        <v>61555</v>
      </c>
      <c r="K215" s="589">
        <v>108048</v>
      </c>
      <c r="L215" s="589">
        <v>227696</v>
      </c>
      <c r="M215" s="589">
        <v>239419</v>
      </c>
      <c r="N215" s="589">
        <v>467115</v>
      </c>
      <c r="O215" s="589">
        <v>1231</v>
      </c>
      <c r="P215" s="589">
        <v>1122</v>
      </c>
      <c r="Q215" s="589">
        <v>2353</v>
      </c>
      <c r="R215" s="589">
        <v>20926</v>
      </c>
      <c r="S215" s="589">
        <v>7946</v>
      </c>
      <c r="T215" s="589">
        <v>28872</v>
      </c>
      <c r="U215" s="589">
        <v>450</v>
      </c>
      <c r="V215" s="589">
        <v>176</v>
      </c>
      <c r="W215" s="589">
        <v>626</v>
      </c>
      <c r="X215" s="589">
        <v>3951</v>
      </c>
      <c r="Y215" s="589">
        <v>2549</v>
      </c>
      <c r="Z215" s="589">
        <v>6500</v>
      </c>
      <c r="AA215" s="589">
        <v>304850</v>
      </c>
      <c r="AB215" s="589">
        <v>315301</v>
      </c>
      <c r="AC215" s="589">
        <v>620151</v>
      </c>
    </row>
    <row r="216" spans="1:29">
      <c r="A216" s="1202"/>
      <c r="B216" s="590" t="s">
        <v>229</v>
      </c>
      <c r="C216" s="346">
        <v>3449</v>
      </c>
      <c r="D216" s="346">
        <v>2019</v>
      </c>
      <c r="E216" s="346">
        <v>5468</v>
      </c>
      <c r="F216" s="346">
        <v>21</v>
      </c>
      <c r="G216" s="346">
        <v>13</v>
      </c>
      <c r="H216" s="346">
        <v>34</v>
      </c>
      <c r="I216" s="346">
        <v>34137</v>
      </c>
      <c r="J216" s="346">
        <v>45833</v>
      </c>
      <c r="K216" s="346">
        <v>79970</v>
      </c>
      <c r="L216" s="351">
        <v>184770</v>
      </c>
      <c r="M216" s="346">
        <v>185154</v>
      </c>
      <c r="N216" s="346">
        <v>369924</v>
      </c>
      <c r="O216" s="346">
        <v>1096</v>
      </c>
      <c r="P216" s="346">
        <v>1078</v>
      </c>
      <c r="Q216" s="346">
        <v>2174</v>
      </c>
      <c r="R216" s="346">
        <v>21760</v>
      </c>
      <c r="S216" s="346">
        <v>7924</v>
      </c>
      <c r="T216" s="346">
        <v>29684</v>
      </c>
      <c r="U216" s="346">
        <v>294</v>
      </c>
      <c r="V216" s="346">
        <v>79</v>
      </c>
      <c r="W216" s="346">
        <v>373</v>
      </c>
      <c r="X216" s="346">
        <v>3366</v>
      </c>
      <c r="Y216" s="346">
        <v>2286</v>
      </c>
      <c r="Z216" s="346">
        <v>5652</v>
      </c>
      <c r="AA216" s="352">
        <v>248893</v>
      </c>
      <c r="AB216" s="352">
        <v>244386</v>
      </c>
      <c r="AC216" s="352">
        <v>493279</v>
      </c>
    </row>
    <row r="217" spans="1:29">
      <c r="A217" s="1202"/>
      <c r="B217" s="590" t="s">
        <v>228</v>
      </c>
      <c r="C217" s="551">
        <v>2903</v>
      </c>
      <c r="D217" s="551">
        <v>1759</v>
      </c>
      <c r="E217" s="551">
        <v>4662</v>
      </c>
      <c r="F217" s="551">
        <v>18</v>
      </c>
      <c r="G217" s="551">
        <v>9</v>
      </c>
      <c r="H217" s="551">
        <v>27</v>
      </c>
      <c r="I217" s="551">
        <v>32342</v>
      </c>
      <c r="J217" s="551">
        <v>39584</v>
      </c>
      <c r="K217" s="551">
        <v>71926</v>
      </c>
      <c r="L217" s="591">
        <v>177767</v>
      </c>
      <c r="M217" s="551">
        <v>174137</v>
      </c>
      <c r="N217" s="551">
        <v>351904</v>
      </c>
      <c r="O217" s="551">
        <v>1174</v>
      </c>
      <c r="P217" s="551">
        <v>1105</v>
      </c>
      <c r="Q217" s="551">
        <v>2279</v>
      </c>
      <c r="R217" s="551">
        <v>23572</v>
      </c>
      <c r="S217" s="551">
        <v>8585</v>
      </c>
      <c r="T217" s="551">
        <v>32157</v>
      </c>
      <c r="U217" s="551">
        <v>215</v>
      </c>
      <c r="V217" s="551">
        <v>70</v>
      </c>
      <c r="W217" s="551">
        <v>285</v>
      </c>
      <c r="X217" s="551">
        <v>3092</v>
      </c>
      <c r="Y217" s="551">
        <v>1923</v>
      </c>
      <c r="Z217" s="551">
        <v>5015</v>
      </c>
      <c r="AA217" s="551">
        <v>241083</v>
      </c>
      <c r="AB217" s="551">
        <v>227172</v>
      </c>
      <c r="AC217" s="551">
        <v>468255</v>
      </c>
    </row>
    <row r="218" spans="1:29">
      <c r="A218" s="1202"/>
      <c r="B218" s="590" t="s">
        <v>227</v>
      </c>
      <c r="C218" s="348">
        <v>2419</v>
      </c>
      <c r="D218" s="348">
        <v>1489</v>
      </c>
      <c r="E218" s="348">
        <v>3908</v>
      </c>
      <c r="F218" s="348">
        <v>11</v>
      </c>
      <c r="G218" s="348">
        <v>5</v>
      </c>
      <c r="H218" s="348">
        <v>16</v>
      </c>
      <c r="I218" s="348">
        <v>32756.180005101087</v>
      </c>
      <c r="J218" s="348">
        <v>38386.191689038154</v>
      </c>
      <c r="K218" s="348">
        <v>71142.371694139249</v>
      </c>
      <c r="L218" s="349">
        <v>159414.69341997942</v>
      </c>
      <c r="M218" s="348">
        <v>160459.32996324659</v>
      </c>
      <c r="N218" s="348">
        <v>319874.02338322601</v>
      </c>
      <c r="O218" s="348">
        <v>1285</v>
      </c>
      <c r="P218" s="348">
        <v>920</v>
      </c>
      <c r="Q218" s="348">
        <v>2205</v>
      </c>
      <c r="R218" s="348">
        <v>25849</v>
      </c>
      <c r="S218" s="348">
        <v>9529</v>
      </c>
      <c r="T218" s="348">
        <v>35378</v>
      </c>
      <c r="U218" s="348">
        <v>235</v>
      </c>
      <c r="V218" s="348">
        <v>99</v>
      </c>
      <c r="W218" s="348">
        <v>334</v>
      </c>
      <c r="X218" s="348">
        <v>2638</v>
      </c>
      <c r="Y218" s="348">
        <v>1655</v>
      </c>
      <c r="Z218" s="348">
        <v>4293</v>
      </c>
      <c r="AA218" s="350">
        <f t="shared" ref="AA218:AC218" si="29">C218+F218+I218+L218+O218+R218+U218+X218</f>
        <v>224607.8734250805</v>
      </c>
      <c r="AB218" s="350">
        <f t="shared" si="29"/>
        <v>212542.52165228475</v>
      </c>
      <c r="AC218" s="350">
        <f t="shared" si="29"/>
        <v>437150.39507736528</v>
      </c>
    </row>
    <row r="219" spans="1:29">
      <c r="A219" s="1202">
        <v>36</v>
      </c>
      <c r="B219" s="585" t="s">
        <v>48</v>
      </c>
      <c r="C219" s="586"/>
      <c r="D219" s="586"/>
      <c r="E219" s="586"/>
      <c r="F219" s="586"/>
      <c r="G219" s="586"/>
      <c r="H219" s="586"/>
      <c r="I219" s="586"/>
      <c r="J219" s="586"/>
      <c r="K219" s="587"/>
      <c r="L219" s="586"/>
      <c r="M219" s="586"/>
      <c r="N219" s="586"/>
      <c r="O219" s="586"/>
      <c r="P219" s="586"/>
      <c r="Q219" s="586"/>
      <c r="R219" s="586"/>
      <c r="S219" s="586"/>
      <c r="T219" s="587"/>
      <c r="U219" s="586"/>
      <c r="V219" s="586"/>
      <c r="W219" s="586"/>
      <c r="X219" s="586"/>
      <c r="Y219" s="586"/>
      <c r="Z219" s="586"/>
      <c r="AA219" s="586"/>
      <c r="AB219" s="586"/>
      <c r="AC219" s="587"/>
    </row>
    <row r="220" spans="1:29">
      <c r="A220" s="1202"/>
      <c r="B220" s="588" t="s">
        <v>919</v>
      </c>
      <c r="C220" s="586">
        <v>8683</v>
      </c>
      <c r="D220" s="586">
        <v>5103</v>
      </c>
      <c r="E220" s="586">
        <v>13786</v>
      </c>
      <c r="F220" s="586">
        <v>688</v>
      </c>
      <c r="G220" s="586">
        <v>614</v>
      </c>
      <c r="H220" s="586">
        <v>1302</v>
      </c>
      <c r="I220" s="586">
        <v>126244</v>
      </c>
      <c r="J220" s="586">
        <v>177120</v>
      </c>
      <c r="K220" s="587">
        <v>303364</v>
      </c>
      <c r="L220" s="586">
        <v>1106488</v>
      </c>
      <c r="M220" s="586">
        <v>1080500</v>
      </c>
      <c r="N220" s="586">
        <v>2186988</v>
      </c>
      <c r="O220" s="586">
        <v>3130</v>
      </c>
      <c r="P220" s="586">
        <v>2013</v>
      </c>
      <c r="Q220" s="586">
        <v>5143</v>
      </c>
      <c r="R220" s="586">
        <v>117513</v>
      </c>
      <c r="S220" s="586">
        <v>72433</v>
      </c>
      <c r="T220" s="587">
        <v>189946</v>
      </c>
      <c r="U220" s="586">
        <v>3291</v>
      </c>
      <c r="V220" s="586">
        <v>2115</v>
      </c>
      <c r="W220" s="586">
        <v>5406</v>
      </c>
      <c r="X220" s="586">
        <v>9590</v>
      </c>
      <c r="Y220" s="586">
        <v>6626</v>
      </c>
      <c r="Z220" s="586">
        <v>16216</v>
      </c>
      <c r="AA220" s="586">
        <v>1375627</v>
      </c>
      <c r="AB220" s="586">
        <v>1346524</v>
      </c>
      <c r="AC220" s="587">
        <v>2722151</v>
      </c>
    </row>
    <row r="221" spans="1:29">
      <c r="A221" s="1202"/>
      <c r="B221" s="588" t="s">
        <v>876</v>
      </c>
      <c r="C221" s="589">
        <v>8757</v>
      </c>
      <c r="D221" s="589">
        <v>5173</v>
      </c>
      <c r="E221" s="589">
        <v>13930</v>
      </c>
      <c r="F221" s="589">
        <v>1003</v>
      </c>
      <c r="G221" s="589">
        <v>963</v>
      </c>
      <c r="H221" s="589">
        <v>1966</v>
      </c>
      <c r="I221" s="589">
        <v>79405</v>
      </c>
      <c r="J221" s="589">
        <v>108051</v>
      </c>
      <c r="K221" s="589">
        <v>187456</v>
      </c>
      <c r="L221" s="589">
        <v>863390</v>
      </c>
      <c r="M221" s="589">
        <v>929778</v>
      </c>
      <c r="N221" s="589">
        <v>1793168</v>
      </c>
      <c r="O221" s="589">
        <v>3440</v>
      </c>
      <c r="P221" s="589">
        <v>2372</v>
      </c>
      <c r="Q221" s="589">
        <v>5812</v>
      </c>
      <c r="R221" s="589">
        <v>116868</v>
      </c>
      <c r="S221" s="589">
        <v>74479</v>
      </c>
      <c r="T221" s="589">
        <v>191347</v>
      </c>
      <c r="U221" s="589">
        <v>3381</v>
      </c>
      <c r="V221" s="589">
        <v>3119</v>
      </c>
      <c r="W221" s="589">
        <v>6500</v>
      </c>
      <c r="X221" s="589">
        <v>9939</v>
      </c>
      <c r="Y221" s="589">
        <v>5418</v>
      </c>
      <c r="Z221" s="589">
        <v>15357</v>
      </c>
      <c r="AA221" s="589">
        <v>1086183</v>
      </c>
      <c r="AB221" s="589">
        <v>1129353</v>
      </c>
      <c r="AC221" s="589">
        <v>2215536</v>
      </c>
    </row>
    <row r="222" spans="1:29">
      <c r="A222" s="1202"/>
      <c r="B222" s="590" t="s">
        <v>229</v>
      </c>
      <c r="C222" s="346">
        <v>8063</v>
      </c>
      <c r="D222" s="346">
        <v>4773</v>
      </c>
      <c r="E222" s="346">
        <v>12836</v>
      </c>
      <c r="F222" s="346">
        <v>1195</v>
      </c>
      <c r="G222" s="346">
        <v>983</v>
      </c>
      <c r="H222" s="346">
        <v>2178</v>
      </c>
      <c r="I222" s="346">
        <v>62665</v>
      </c>
      <c r="J222" s="346">
        <v>90360</v>
      </c>
      <c r="K222" s="346">
        <v>153025</v>
      </c>
      <c r="L222" s="351">
        <v>865130</v>
      </c>
      <c r="M222" s="346">
        <v>924953</v>
      </c>
      <c r="N222" s="346">
        <v>1790083</v>
      </c>
      <c r="O222" s="346">
        <v>3390</v>
      </c>
      <c r="P222" s="346">
        <v>2129</v>
      </c>
      <c r="Q222" s="346">
        <v>5519</v>
      </c>
      <c r="R222" s="346">
        <v>114991</v>
      </c>
      <c r="S222" s="346">
        <v>58776</v>
      </c>
      <c r="T222" s="346">
        <v>173767</v>
      </c>
      <c r="U222" s="346">
        <v>4859</v>
      </c>
      <c r="V222" s="346">
        <v>3695</v>
      </c>
      <c r="W222" s="346">
        <v>8554</v>
      </c>
      <c r="X222" s="346">
        <v>9336</v>
      </c>
      <c r="Y222" s="346">
        <v>5595</v>
      </c>
      <c r="Z222" s="346">
        <v>14931</v>
      </c>
      <c r="AA222" s="352">
        <v>1069629</v>
      </c>
      <c r="AB222" s="352">
        <v>1091264</v>
      </c>
      <c r="AC222" s="352">
        <v>2160893</v>
      </c>
    </row>
    <row r="223" spans="1:29">
      <c r="A223" s="1202"/>
      <c r="B223" s="590" t="s">
        <v>228</v>
      </c>
      <c r="C223" s="551">
        <v>7161</v>
      </c>
      <c r="D223" s="551">
        <v>4570</v>
      </c>
      <c r="E223" s="551">
        <v>11731</v>
      </c>
      <c r="F223" s="551">
        <v>959</v>
      </c>
      <c r="G223" s="551">
        <v>803</v>
      </c>
      <c r="H223" s="551">
        <v>1762</v>
      </c>
      <c r="I223" s="551">
        <v>66871</v>
      </c>
      <c r="J223" s="551">
        <v>94793</v>
      </c>
      <c r="K223" s="551">
        <v>161664</v>
      </c>
      <c r="L223" s="591">
        <v>851156</v>
      </c>
      <c r="M223" s="551">
        <v>874504</v>
      </c>
      <c r="N223" s="551">
        <v>1725660</v>
      </c>
      <c r="O223" s="551">
        <v>3120</v>
      </c>
      <c r="P223" s="551">
        <v>2437</v>
      </c>
      <c r="Q223" s="551">
        <v>5557</v>
      </c>
      <c r="R223" s="551">
        <v>113292</v>
      </c>
      <c r="S223" s="551">
        <v>55408</v>
      </c>
      <c r="T223" s="551">
        <v>168700</v>
      </c>
      <c r="U223" s="551">
        <v>4808</v>
      </c>
      <c r="V223" s="551">
        <v>3628</v>
      </c>
      <c r="W223" s="551">
        <v>8436</v>
      </c>
      <c r="X223" s="551">
        <v>9144</v>
      </c>
      <c r="Y223" s="551">
        <v>4756</v>
      </c>
      <c r="Z223" s="551">
        <v>13900</v>
      </c>
      <c r="AA223" s="551">
        <v>1056511</v>
      </c>
      <c r="AB223" s="551">
        <v>1040899</v>
      </c>
      <c r="AC223" s="551">
        <v>2097410</v>
      </c>
    </row>
    <row r="224" spans="1:29">
      <c r="A224" s="1202"/>
      <c r="B224" s="590" t="s">
        <v>227</v>
      </c>
      <c r="C224" s="348">
        <v>4690</v>
      </c>
      <c r="D224" s="348">
        <v>2255</v>
      </c>
      <c r="E224" s="348">
        <v>6945</v>
      </c>
      <c r="F224" s="348">
        <v>952</v>
      </c>
      <c r="G224" s="348">
        <v>724</v>
      </c>
      <c r="H224" s="348">
        <v>1676</v>
      </c>
      <c r="I224" s="348">
        <v>96056</v>
      </c>
      <c r="J224" s="348">
        <v>91414</v>
      </c>
      <c r="K224" s="348">
        <v>187470</v>
      </c>
      <c r="L224" s="349">
        <v>842222</v>
      </c>
      <c r="M224" s="348">
        <v>824266</v>
      </c>
      <c r="N224" s="348">
        <v>1666488</v>
      </c>
      <c r="O224" s="348">
        <v>3979</v>
      </c>
      <c r="P224" s="348">
        <v>2626</v>
      </c>
      <c r="Q224" s="348">
        <v>6605</v>
      </c>
      <c r="R224" s="348">
        <v>101570</v>
      </c>
      <c r="S224" s="348">
        <v>46965</v>
      </c>
      <c r="T224" s="348">
        <v>148535</v>
      </c>
      <c r="U224" s="348">
        <v>4962</v>
      </c>
      <c r="V224" s="348">
        <v>3086</v>
      </c>
      <c r="W224" s="348">
        <v>8048</v>
      </c>
      <c r="X224" s="348">
        <v>7089</v>
      </c>
      <c r="Y224" s="348">
        <v>3125</v>
      </c>
      <c r="Z224" s="348">
        <v>10214</v>
      </c>
      <c r="AA224" s="350">
        <f t="shared" ref="AA224:AC224" si="30">C224+F224+I224+L224+O224+R224+U224+X224</f>
        <v>1061520</v>
      </c>
      <c r="AB224" s="350">
        <f t="shared" si="30"/>
        <v>974461</v>
      </c>
      <c r="AC224" s="350">
        <f t="shared" si="30"/>
        <v>2035981</v>
      </c>
    </row>
  </sheetData>
  <mergeCells count="48">
    <mergeCell ref="I2:K2"/>
    <mergeCell ref="L2:N2"/>
    <mergeCell ref="A5:A10"/>
    <mergeCell ref="A2:A3"/>
    <mergeCell ref="B2:B3"/>
    <mergeCell ref="C2:E2"/>
    <mergeCell ref="F2:H2"/>
    <mergeCell ref="O2:Q2"/>
    <mergeCell ref="R2:T2"/>
    <mergeCell ref="U2:W2"/>
    <mergeCell ref="X2:Z2"/>
    <mergeCell ref="AA2:AC2"/>
    <mergeCell ref="A77:A82"/>
    <mergeCell ref="A11:A16"/>
    <mergeCell ref="A17:A22"/>
    <mergeCell ref="A23:A28"/>
    <mergeCell ref="A29:A34"/>
    <mergeCell ref="A35:A40"/>
    <mergeCell ref="A41:A46"/>
    <mergeCell ref="A47:A52"/>
    <mergeCell ref="A53:A58"/>
    <mergeCell ref="A59:A64"/>
    <mergeCell ref="A65:A70"/>
    <mergeCell ref="A71:A76"/>
    <mergeCell ref="A147:A152"/>
    <mergeCell ref="A83:A88"/>
    <mergeCell ref="A89:A94"/>
    <mergeCell ref="A95:A100"/>
    <mergeCell ref="A101:A106"/>
    <mergeCell ref="A107:A110"/>
    <mergeCell ref="A111:A116"/>
    <mergeCell ref="A117:A122"/>
    <mergeCell ref="A123:A128"/>
    <mergeCell ref="A129:A134"/>
    <mergeCell ref="A135:A140"/>
    <mergeCell ref="A141:A146"/>
    <mergeCell ref="A219:A224"/>
    <mergeCell ref="A153:A158"/>
    <mergeCell ref="A159:A164"/>
    <mergeCell ref="A165:A170"/>
    <mergeCell ref="A171:A176"/>
    <mergeCell ref="A177:A182"/>
    <mergeCell ref="A183:A188"/>
    <mergeCell ref="A189:A194"/>
    <mergeCell ref="A195:A200"/>
    <mergeCell ref="A201:A206"/>
    <mergeCell ref="A207:A212"/>
    <mergeCell ref="A213:A218"/>
  </mergeCells>
  <printOptions horizontalCentered="1"/>
  <pageMargins left="0.39370078740157483" right="0.22" top="0.51181102362204722" bottom="0.39370078740157483" header="0.15748031496062992" footer="0.23622047244094491"/>
  <pageSetup paperSize="9" scale="75" firstPageNumber="2" pageOrder="overThenDown" orientation="portrait" useFirstPageNumber="1" r:id="rId1"/>
  <headerFooter alignWithMargins="0">
    <oddFooter>&amp;LAISHE 2021-22&amp;CT-43</oddFooter>
  </headerFooter>
  <rowBreaks count="3" manualBreakCount="3">
    <brk id="64" max="16383" man="1"/>
    <brk id="122" max="16383" man="1"/>
    <brk id="182" max="16383" man="1"/>
  </rowBreaks>
  <colBreaks count="2" manualBreakCount="2">
    <brk id="11" max="1048575" man="1"/>
    <brk id="20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74BF-DDAF-4930-ABA5-E70EE52AA11D}">
  <sheetPr>
    <tabColor rgb="FF00B050"/>
  </sheetPr>
  <dimension ref="A1:AC224"/>
  <sheetViews>
    <sheetView showZeros="0" view="pageBreakPreview" zoomScaleSheetLayoutView="100" workbookViewId="0">
      <pane xSplit="2" ySplit="3" topLeftCell="C4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"/>
  <cols>
    <col min="1" max="1" width="7.42578125" style="542" customWidth="1"/>
    <col min="2" max="2" width="31" style="543" customWidth="1"/>
    <col min="3" max="29" width="10.7109375" style="543" customWidth="1"/>
    <col min="30" max="30" width="16.5703125" style="543" customWidth="1"/>
    <col min="31" max="32" width="9" style="543" bestFit="1" customWidth="1"/>
    <col min="33" max="33" width="19.28515625" style="543" customWidth="1"/>
    <col min="34" max="34" width="9" style="543" customWidth="1"/>
    <col min="35" max="35" width="11.7109375" style="543" customWidth="1"/>
    <col min="36" max="36" width="10.7109375" style="543" customWidth="1"/>
    <col min="37" max="16384" width="9.28515625" style="543"/>
  </cols>
  <sheetData>
    <row r="1" spans="1:29" s="572" customFormat="1" ht="18.600000000000001" customHeight="1">
      <c r="A1" s="542"/>
      <c r="B1" s="596" t="s">
        <v>237</v>
      </c>
      <c r="C1" s="1219" t="s">
        <v>238</v>
      </c>
      <c r="D1" s="1219"/>
      <c r="E1" s="1219"/>
      <c r="F1" s="1219"/>
      <c r="G1" s="1219"/>
      <c r="H1" s="1219"/>
      <c r="I1" s="1219"/>
      <c r="J1" s="1219"/>
      <c r="K1" s="1219"/>
      <c r="L1" s="1219" t="str">
        <f>C1</f>
        <v>Student Enrolment at various levels through Regular mode during last 5 years</v>
      </c>
      <c r="M1" s="1219"/>
      <c r="N1" s="1219"/>
      <c r="O1" s="1219"/>
      <c r="P1" s="1219"/>
      <c r="Q1" s="1219"/>
      <c r="R1" s="1219"/>
      <c r="S1" s="1219"/>
      <c r="T1" s="1219"/>
      <c r="U1" s="1219" t="str">
        <f>L1</f>
        <v>Student Enrolment at various levels through Regular mode during last 5 years</v>
      </c>
      <c r="V1" s="1219"/>
      <c r="W1" s="1219"/>
      <c r="X1" s="1219"/>
      <c r="Y1" s="1219"/>
      <c r="Z1" s="1219"/>
      <c r="AA1" s="1219"/>
      <c r="AB1" s="1219"/>
      <c r="AC1" s="1219"/>
    </row>
    <row r="2" spans="1:29" s="597" customFormat="1" ht="14.65" customHeight="1">
      <c r="A2" s="1208" t="s">
        <v>988</v>
      </c>
      <c r="B2" s="1218" t="s">
        <v>168</v>
      </c>
      <c r="C2" s="1216" t="s">
        <v>89</v>
      </c>
      <c r="D2" s="1217"/>
      <c r="E2" s="1217"/>
      <c r="F2" s="1216" t="s">
        <v>90</v>
      </c>
      <c r="G2" s="1217"/>
      <c r="H2" s="1217"/>
      <c r="I2" s="1216" t="s">
        <v>85</v>
      </c>
      <c r="J2" s="1217"/>
      <c r="K2" s="1217"/>
      <c r="L2" s="1216" t="s">
        <v>86</v>
      </c>
      <c r="M2" s="1217"/>
      <c r="N2" s="1217"/>
      <c r="O2" s="1216" t="s">
        <v>91</v>
      </c>
      <c r="P2" s="1217"/>
      <c r="Q2" s="1217"/>
      <c r="R2" s="1216" t="s">
        <v>92</v>
      </c>
      <c r="S2" s="1217"/>
      <c r="T2" s="1217"/>
      <c r="U2" s="1216" t="s">
        <v>93</v>
      </c>
      <c r="V2" s="1217"/>
      <c r="W2" s="1217"/>
      <c r="X2" s="1216" t="s">
        <v>94</v>
      </c>
      <c r="Y2" s="1217"/>
      <c r="Z2" s="1217"/>
      <c r="AA2" s="1216" t="s">
        <v>60</v>
      </c>
      <c r="AB2" s="1217"/>
      <c r="AC2" s="1217"/>
    </row>
    <row r="3" spans="1:29" s="597" customFormat="1" ht="18" customHeight="1">
      <c r="A3" s="1209"/>
      <c r="B3" s="1218"/>
      <c r="C3" s="581" t="s">
        <v>87</v>
      </c>
      <c r="D3" s="581" t="s">
        <v>88</v>
      </c>
      <c r="E3" s="581" t="s">
        <v>236</v>
      </c>
      <c r="F3" s="581" t="s">
        <v>87</v>
      </c>
      <c r="G3" s="581" t="s">
        <v>88</v>
      </c>
      <c r="H3" s="581" t="s">
        <v>236</v>
      </c>
      <c r="I3" s="581" t="s">
        <v>87</v>
      </c>
      <c r="J3" s="581" t="s">
        <v>88</v>
      </c>
      <c r="K3" s="581" t="s">
        <v>236</v>
      </c>
      <c r="L3" s="581" t="s">
        <v>87</v>
      </c>
      <c r="M3" s="581" t="s">
        <v>88</v>
      </c>
      <c r="N3" s="581" t="s">
        <v>236</v>
      </c>
      <c r="O3" s="581" t="s">
        <v>87</v>
      </c>
      <c r="P3" s="581" t="s">
        <v>88</v>
      </c>
      <c r="Q3" s="581" t="s">
        <v>236</v>
      </c>
      <c r="R3" s="581" t="s">
        <v>87</v>
      </c>
      <c r="S3" s="581" t="s">
        <v>88</v>
      </c>
      <c r="T3" s="581" t="s">
        <v>236</v>
      </c>
      <c r="U3" s="581" t="s">
        <v>87</v>
      </c>
      <c r="V3" s="581" t="s">
        <v>88</v>
      </c>
      <c r="W3" s="581" t="s">
        <v>236</v>
      </c>
      <c r="X3" s="581" t="s">
        <v>87</v>
      </c>
      <c r="Y3" s="581" t="s">
        <v>88</v>
      </c>
      <c r="Z3" s="581" t="s">
        <v>236</v>
      </c>
      <c r="AA3" s="581" t="s">
        <v>87</v>
      </c>
      <c r="AB3" s="581" t="s">
        <v>88</v>
      </c>
      <c r="AC3" s="581" t="s">
        <v>236</v>
      </c>
    </row>
    <row r="4" spans="1:29" s="597" customFormat="1" ht="11.25" customHeight="1">
      <c r="A4" s="598">
        <v>1</v>
      </c>
      <c r="B4" s="547">
        <v>2</v>
      </c>
      <c r="C4" s="547">
        <v>3</v>
      </c>
      <c r="D4" s="598">
        <v>4</v>
      </c>
      <c r="E4" s="547">
        <v>5</v>
      </c>
      <c r="F4" s="547">
        <v>6</v>
      </c>
      <c r="G4" s="598">
        <v>7</v>
      </c>
      <c r="H4" s="547">
        <v>8</v>
      </c>
      <c r="I4" s="547">
        <v>9</v>
      </c>
      <c r="J4" s="598">
        <v>10</v>
      </c>
      <c r="K4" s="547">
        <v>11</v>
      </c>
      <c r="L4" s="547">
        <v>12</v>
      </c>
      <c r="M4" s="598">
        <v>13</v>
      </c>
      <c r="N4" s="547">
        <v>14</v>
      </c>
      <c r="O4" s="547">
        <v>15</v>
      </c>
      <c r="P4" s="598">
        <v>16</v>
      </c>
      <c r="Q4" s="547">
        <v>17</v>
      </c>
      <c r="R4" s="547">
        <v>18</v>
      </c>
      <c r="S4" s="598">
        <v>19</v>
      </c>
      <c r="T4" s="547">
        <v>20</v>
      </c>
      <c r="U4" s="547">
        <v>21</v>
      </c>
      <c r="V4" s="598">
        <v>22</v>
      </c>
      <c r="W4" s="547">
        <v>23</v>
      </c>
      <c r="X4" s="547">
        <v>24</v>
      </c>
      <c r="Y4" s="598">
        <v>25</v>
      </c>
      <c r="Z4" s="547">
        <v>26</v>
      </c>
      <c r="AA4" s="547">
        <v>27</v>
      </c>
      <c r="AB4" s="598">
        <v>28</v>
      </c>
      <c r="AC4" s="598">
        <v>29</v>
      </c>
    </row>
    <row r="5" spans="1:29">
      <c r="A5" s="1204"/>
      <c r="B5" s="599" t="s">
        <v>230</v>
      </c>
      <c r="C5" s="600"/>
      <c r="D5" s="601"/>
      <c r="E5" s="601"/>
      <c r="F5" s="601"/>
      <c r="G5" s="601"/>
      <c r="H5" s="601"/>
      <c r="I5" s="601"/>
      <c r="J5" s="601"/>
      <c r="K5" s="602"/>
      <c r="L5" s="600"/>
      <c r="M5" s="601"/>
      <c r="N5" s="601"/>
      <c r="O5" s="601"/>
      <c r="P5" s="601"/>
      <c r="Q5" s="601"/>
      <c r="R5" s="601"/>
      <c r="S5" s="601"/>
      <c r="T5" s="602"/>
      <c r="U5" s="600"/>
      <c r="V5" s="601"/>
      <c r="W5" s="601"/>
      <c r="X5" s="601"/>
      <c r="Y5" s="601"/>
      <c r="Z5" s="601"/>
      <c r="AA5" s="601"/>
      <c r="AB5" s="601"/>
      <c r="AC5" s="602"/>
    </row>
    <row r="6" spans="1:29">
      <c r="A6" s="1204"/>
      <c r="B6" s="590" t="s">
        <v>919</v>
      </c>
      <c r="C6" s="600">
        <v>113902</v>
      </c>
      <c r="D6" s="601">
        <v>98620</v>
      </c>
      <c r="E6" s="601">
        <v>212522</v>
      </c>
      <c r="F6" s="601">
        <v>3373</v>
      </c>
      <c r="G6" s="601">
        <v>6118</v>
      </c>
      <c r="H6" s="601">
        <v>9491</v>
      </c>
      <c r="I6" s="601">
        <v>1646130</v>
      </c>
      <c r="J6" s="601">
        <v>2108957</v>
      </c>
      <c r="K6" s="602">
        <v>3755087</v>
      </c>
      <c r="L6" s="600">
        <v>15807973</v>
      </c>
      <c r="M6" s="601">
        <v>14895250</v>
      </c>
      <c r="N6" s="601">
        <v>30703223</v>
      </c>
      <c r="O6" s="601">
        <v>74052</v>
      </c>
      <c r="P6" s="601">
        <v>65255</v>
      </c>
      <c r="Q6" s="601">
        <v>139307</v>
      </c>
      <c r="R6" s="601">
        <v>1811927</v>
      </c>
      <c r="S6" s="601">
        <v>1002038</v>
      </c>
      <c r="T6" s="602">
        <v>2813965</v>
      </c>
      <c r="U6" s="600">
        <v>27509</v>
      </c>
      <c r="V6" s="601">
        <v>25635</v>
      </c>
      <c r="W6" s="601">
        <v>53144</v>
      </c>
      <c r="X6" s="601">
        <v>248416</v>
      </c>
      <c r="Y6" s="601">
        <v>211932</v>
      </c>
      <c r="Z6" s="601">
        <v>460348</v>
      </c>
      <c r="AA6" s="601">
        <v>19733282</v>
      </c>
      <c r="AB6" s="601">
        <v>18413805</v>
      </c>
      <c r="AC6" s="602">
        <v>38147087</v>
      </c>
    </row>
    <row r="7" spans="1:29">
      <c r="A7" s="1204"/>
      <c r="B7" s="590" t="s">
        <v>876</v>
      </c>
      <c r="C7" s="551">
        <v>116756</v>
      </c>
      <c r="D7" s="551">
        <v>95086</v>
      </c>
      <c r="E7" s="551">
        <v>211842</v>
      </c>
      <c r="F7" s="551">
        <v>6345</v>
      </c>
      <c r="G7" s="551">
        <v>10399</v>
      </c>
      <c r="H7" s="551">
        <v>16744</v>
      </c>
      <c r="I7" s="551">
        <v>1496213</v>
      </c>
      <c r="J7" s="551">
        <v>1955015</v>
      </c>
      <c r="K7" s="551">
        <v>3451228</v>
      </c>
      <c r="L7" s="551">
        <v>15009256</v>
      </c>
      <c r="M7" s="551">
        <v>14687217</v>
      </c>
      <c r="N7" s="551">
        <v>29696473</v>
      </c>
      <c r="O7" s="551">
        <v>69158</v>
      </c>
      <c r="P7" s="551">
        <v>60147</v>
      </c>
      <c r="Q7" s="551">
        <v>129305</v>
      </c>
      <c r="R7" s="551">
        <v>1797136</v>
      </c>
      <c r="S7" s="551">
        <v>1021519</v>
      </c>
      <c r="T7" s="551">
        <v>2818655</v>
      </c>
      <c r="U7" s="551">
        <v>52362</v>
      </c>
      <c r="V7" s="551">
        <v>47042</v>
      </c>
      <c r="W7" s="551">
        <v>99404</v>
      </c>
      <c r="X7" s="551">
        <v>211932</v>
      </c>
      <c r="Y7" s="551">
        <v>173256</v>
      </c>
      <c r="Z7" s="551">
        <v>385188</v>
      </c>
      <c r="AA7" s="551">
        <v>18759158</v>
      </c>
      <c r="AB7" s="551">
        <v>18049681</v>
      </c>
      <c r="AC7" s="551">
        <v>36808839</v>
      </c>
    </row>
    <row r="8" spans="1:29">
      <c r="A8" s="1204"/>
      <c r="B8" s="590" t="s">
        <v>229</v>
      </c>
      <c r="C8" s="341">
        <v>111400</v>
      </c>
      <c r="D8" s="341">
        <v>91049</v>
      </c>
      <c r="E8" s="341">
        <v>202449</v>
      </c>
      <c r="F8" s="341">
        <v>9010</v>
      </c>
      <c r="G8" s="341">
        <v>14855</v>
      </c>
      <c r="H8" s="341">
        <v>23865</v>
      </c>
      <c r="I8" s="341">
        <v>1355452</v>
      </c>
      <c r="J8" s="341">
        <v>1835637</v>
      </c>
      <c r="K8" s="341">
        <v>3191089</v>
      </c>
      <c r="L8" s="341">
        <v>13817639</v>
      </c>
      <c r="M8" s="341">
        <v>13911801</v>
      </c>
      <c r="N8" s="341">
        <v>27729440</v>
      </c>
      <c r="O8" s="341">
        <v>65483</v>
      </c>
      <c r="P8" s="341">
        <v>62800</v>
      </c>
      <c r="Q8" s="341">
        <v>128283</v>
      </c>
      <c r="R8" s="341">
        <v>1681882</v>
      </c>
      <c r="S8" s="341">
        <v>870620</v>
      </c>
      <c r="T8" s="341">
        <v>2552502</v>
      </c>
      <c r="U8" s="341">
        <v>55369</v>
      </c>
      <c r="V8" s="341">
        <v>69754</v>
      </c>
      <c r="W8" s="341">
        <v>125123</v>
      </c>
      <c r="X8" s="341">
        <v>167938</v>
      </c>
      <c r="Y8" s="341">
        <v>128748</v>
      </c>
      <c r="Z8" s="341">
        <v>296686</v>
      </c>
      <c r="AA8" s="341">
        <v>17264173</v>
      </c>
      <c r="AB8" s="341">
        <v>16985264</v>
      </c>
      <c r="AC8" s="341">
        <v>34249437</v>
      </c>
    </row>
    <row r="9" spans="1:29">
      <c r="A9" s="1204"/>
      <c r="B9" s="590" t="s">
        <v>228</v>
      </c>
      <c r="C9" s="551">
        <v>95015</v>
      </c>
      <c r="D9" s="551">
        <v>74102</v>
      </c>
      <c r="E9" s="551">
        <v>169117</v>
      </c>
      <c r="F9" s="551">
        <v>11623</v>
      </c>
      <c r="G9" s="551">
        <v>19069</v>
      </c>
      <c r="H9" s="551">
        <v>30692</v>
      </c>
      <c r="I9" s="551">
        <v>1306690</v>
      </c>
      <c r="J9" s="551">
        <v>1736745</v>
      </c>
      <c r="K9" s="551">
        <v>3043435</v>
      </c>
      <c r="L9" s="551">
        <v>13586745</v>
      </c>
      <c r="M9" s="551">
        <v>13542118</v>
      </c>
      <c r="N9" s="551">
        <v>27128863</v>
      </c>
      <c r="O9" s="551">
        <v>64495</v>
      </c>
      <c r="P9" s="551">
        <v>60825</v>
      </c>
      <c r="Q9" s="551">
        <v>125320</v>
      </c>
      <c r="R9" s="551">
        <v>1732260</v>
      </c>
      <c r="S9" s="551">
        <v>836941</v>
      </c>
      <c r="T9" s="551">
        <v>2569201</v>
      </c>
      <c r="U9" s="551">
        <v>55074</v>
      </c>
      <c r="V9" s="551">
        <v>64805</v>
      </c>
      <c r="W9" s="551">
        <v>119879</v>
      </c>
      <c r="X9" s="551">
        <v>138422</v>
      </c>
      <c r="Y9" s="551">
        <v>102391</v>
      </c>
      <c r="Z9" s="551">
        <v>240813</v>
      </c>
      <c r="AA9" s="551">
        <v>16990324</v>
      </c>
      <c r="AB9" s="551">
        <v>16436996</v>
      </c>
      <c r="AC9" s="551">
        <v>33427320</v>
      </c>
    </row>
    <row r="10" spans="1:29">
      <c r="A10" s="1204"/>
      <c r="B10" s="590" t="s">
        <v>227</v>
      </c>
      <c r="C10" s="341">
        <v>92570</v>
      </c>
      <c r="D10" s="341">
        <v>68842</v>
      </c>
      <c r="E10" s="341">
        <v>161412</v>
      </c>
      <c r="F10" s="341">
        <v>12287</v>
      </c>
      <c r="G10" s="341">
        <v>21822</v>
      </c>
      <c r="H10" s="341">
        <v>34109</v>
      </c>
      <c r="I10" s="350">
        <v>1278164.7673861892</v>
      </c>
      <c r="J10" s="350">
        <v>1657638.0743189431</v>
      </c>
      <c r="K10" s="350">
        <v>2935802.8417051323</v>
      </c>
      <c r="L10" s="350">
        <v>13484766.146459209</v>
      </c>
      <c r="M10" s="350">
        <v>12977172.595048957</v>
      </c>
      <c r="N10" s="350">
        <v>26461938.741508167</v>
      </c>
      <c r="O10" s="341">
        <v>75195</v>
      </c>
      <c r="P10" s="341">
        <v>69989</v>
      </c>
      <c r="Q10" s="341">
        <v>145184</v>
      </c>
      <c r="R10" s="341">
        <v>1765994</v>
      </c>
      <c r="S10" s="341">
        <v>819196</v>
      </c>
      <c r="T10" s="341">
        <v>2585190</v>
      </c>
      <c r="U10" s="341">
        <v>40649</v>
      </c>
      <c r="V10" s="341">
        <v>50972</v>
      </c>
      <c r="W10" s="341">
        <v>91621</v>
      </c>
      <c r="X10" s="341">
        <v>114233</v>
      </c>
      <c r="Y10" s="341">
        <v>81293</v>
      </c>
      <c r="Z10" s="341">
        <v>195526</v>
      </c>
      <c r="AA10" s="350">
        <v>16863858.913845398</v>
      </c>
      <c r="AB10" s="350">
        <v>15746924.669367902</v>
      </c>
      <c r="AC10" s="350">
        <v>32610783.583213303</v>
      </c>
    </row>
    <row r="11" spans="1:29">
      <c r="A11" s="1202">
        <v>1</v>
      </c>
      <c r="B11" s="599" t="s">
        <v>1061</v>
      </c>
      <c r="C11" s="600"/>
      <c r="D11" s="601"/>
      <c r="E11" s="601"/>
      <c r="F11" s="601"/>
      <c r="G11" s="601"/>
      <c r="H11" s="601"/>
      <c r="I11" s="601"/>
      <c r="J11" s="601"/>
      <c r="K11" s="602"/>
      <c r="L11" s="600"/>
      <c r="M11" s="601"/>
      <c r="N11" s="601"/>
      <c r="O11" s="601"/>
      <c r="P11" s="601"/>
      <c r="Q11" s="601"/>
      <c r="R11" s="601"/>
      <c r="S11" s="601"/>
      <c r="T11" s="602"/>
      <c r="U11" s="600"/>
      <c r="V11" s="601"/>
      <c r="W11" s="601"/>
      <c r="X11" s="601"/>
      <c r="Y11" s="601"/>
      <c r="Z11" s="601"/>
      <c r="AA11" s="601"/>
      <c r="AB11" s="601"/>
      <c r="AC11" s="602"/>
    </row>
    <row r="12" spans="1:29">
      <c r="A12" s="1202"/>
      <c r="B12" s="590" t="s">
        <v>919</v>
      </c>
      <c r="C12" s="600">
        <v>5</v>
      </c>
      <c r="D12" s="601">
        <v>9</v>
      </c>
      <c r="E12" s="601">
        <v>14</v>
      </c>
      <c r="F12" s="601"/>
      <c r="G12" s="601"/>
      <c r="H12" s="601"/>
      <c r="I12" s="601">
        <v>69</v>
      </c>
      <c r="J12" s="601">
        <v>283</v>
      </c>
      <c r="K12" s="602">
        <v>352</v>
      </c>
      <c r="L12" s="600">
        <v>2259</v>
      </c>
      <c r="M12" s="601">
        <v>3231</v>
      </c>
      <c r="N12" s="601">
        <v>5490</v>
      </c>
      <c r="O12" s="601"/>
      <c r="P12" s="601"/>
      <c r="Q12" s="601"/>
      <c r="R12" s="601">
        <v>544</v>
      </c>
      <c r="S12" s="601">
        <v>377</v>
      </c>
      <c r="T12" s="602">
        <v>921</v>
      </c>
      <c r="U12" s="600">
        <v>39</v>
      </c>
      <c r="V12" s="601">
        <v>33</v>
      </c>
      <c r="W12" s="601">
        <v>72</v>
      </c>
      <c r="X12" s="601">
        <v>193</v>
      </c>
      <c r="Y12" s="601">
        <v>355</v>
      </c>
      <c r="Z12" s="601">
        <v>548</v>
      </c>
      <c r="AA12" s="601">
        <v>3109</v>
      </c>
      <c r="AB12" s="601">
        <v>4288</v>
      </c>
      <c r="AC12" s="602">
        <v>7397</v>
      </c>
    </row>
    <row r="13" spans="1:29">
      <c r="A13" s="1202"/>
      <c r="B13" s="590" t="s">
        <v>876</v>
      </c>
      <c r="C13" s="551">
        <v>7</v>
      </c>
      <c r="D13" s="551">
        <v>12</v>
      </c>
      <c r="E13" s="551">
        <v>19</v>
      </c>
      <c r="F13" s="551">
        <v>0</v>
      </c>
      <c r="G13" s="551">
        <v>0</v>
      </c>
      <c r="H13" s="551">
        <v>0</v>
      </c>
      <c r="I13" s="551">
        <v>69</v>
      </c>
      <c r="J13" s="551">
        <v>283</v>
      </c>
      <c r="K13" s="551">
        <v>352</v>
      </c>
      <c r="L13" s="551">
        <v>2473</v>
      </c>
      <c r="M13" s="551">
        <v>3423</v>
      </c>
      <c r="N13" s="551">
        <v>5896</v>
      </c>
      <c r="O13" s="551">
        <v>14</v>
      </c>
      <c r="P13" s="551">
        <v>0</v>
      </c>
      <c r="Q13" s="551">
        <v>14</v>
      </c>
      <c r="R13" s="551">
        <v>601</v>
      </c>
      <c r="S13" s="551">
        <v>414</v>
      </c>
      <c r="T13" s="551">
        <v>1015</v>
      </c>
      <c r="U13" s="551">
        <v>39</v>
      </c>
      <c r="V13" s="551">
        <v>33</v>
      </c>
      <c r="W13" s="551">
        <v>72</v>
      </c>
      <c r="X13" s="551">
        <v>145</v>
      </c>
      <c r="Y13" s="551">
        <v>224</v>
      </c>
      <c r="Z13" s="551">
        <v>369</v>
      </c>
      <c r="AA13" s="551">
        <v>3348</v>
      </c>
      <c r="AB13" s="551">
        <v>4389</v>
      </c>
      <c r="AC13" s="551">
        <v>7737</v>
      </c>
    </row>
    <row r="14" spans="1:29">
      <c r="A14" s="1202"/>
      <c r="B14" s="590" t="s">
        <v>229</v>
      </c>
      <c r="C14" s="346">
        <v>5</v>
      </c>
      <c r="D14" s="346">
        <v>9</v>
      </c>
      <c r="E14" s="346">
        <v>14</v>
      </c>
      <c r="F14" s="346">
        <v>0</v>
      </c>
      <c r="G14" s="346">
        <v>0</v>
      </c>
      <c r="H14" s="346">
        <v>0</v>
      </c>
      <c r="I14" s="346">
        <v>69</v>
      </c>
      <c r="J14" s="346">
        <v>283</v>
      </c>
      <c r="K14" s="346">
        <v>352</v>
      </c>
      <c r="L14" s="346">
        <v>1933</v>
      </c>
      <c r="M14" s="346">
        <v>2757</v>
      </c>
      <c r="N14" s="346">
        <v>4690</v>
      </c>
      <c r="O14" s="346">
        <v>0</v>
      </c>
      <c r="P14" s="346">
        <v>0</v>
      </c>
      <c r="Q14" s="346">
        <v>0</v>
      </c>
      <c r="R14" s="346">
        <v>293</v>
      </c>
      <c r="S14" s="346">
        <v>231</v>
      </c>
      <c r="T14" s="346">
        <v>524</v>
      </c>
      <c r="U14" s="346">
        <v>46</v>
      </c>
      <c r="V14" s="346">
        <v>36</v>
      </c>
      <c r="W14" s="346">
        <v>82</v>
      </c>
      <c r="X14" s="346">
        <v>145</v>
      </c>
      <c r="Y14" s="346">
        <v>224</v>
      </c>
      <c r="Z14" s="346">
        <v>369</v>
      </c>
      <c r="AA14" s="346">
        <v>2491</v>
      </c>
      <c r="AB14" s="346">
        <v>3540</v>
      </c>
      <c r="AC14" s="346">
        <v>6031</v>
      </c>
    </row>
    <row r="15" spans="1:29">
      <c r="A15" s="1202"/>
      <c r="B15" s="590" t="s">
        <v>228</v>
      </c>
      <c r="C15" s="551">
        <v>44</v>
      </c>
      <c r="D15" s="551">
        <v>23</v>
      </c>
      <c r="E15" s="551">
        <v>67</v>
      </c>
      <c r="F15" s="551">
        <v>0</v>
      </c>
      <c r="G15" s="551">
        <v>0</v>
      </c>
      <c r="H15" s="551">
        <v>0</v>
      </c>
      <c r="I15" s="551">
        <v>133</v>
      </c>
      <c r="J15" s="551">
        <v>322</v>
      </c>
      <c r="K15" s="551">
        <v>455</v>
      </c>
      <c r="L15" s="551">
        <v>2322</v>
      </c>
      <c r="M15" s="551">
        <v>3573</v>
      </c>
      <c r="N15" s="551">
        <v>5895</v>
      </c>
      <c r="O15" s="551">
        <v>0</v>
      </c>
      <c r="P15" s="551">
        <v>0</v>
      </c>
      <c r="Q15" s="551">
        <v>0</v>
      </c>
      <c r="R15" s="551">
        <v>525</v>
      </c>
      <c r="S15" s="551">
        <v>325</v>
      </c>
      <c r="T15" s="551">
        <v>850</v>
      </c>
      <c r="U15" s="551">
        <v>0</v>
      </c>
      <c r="V15" s="551">
        <v>0</v>
      </c>
      <c r="W15" s="551">
        <v>0</v>
      </c>
      <c r="X15" s="551">
        <v>46</v>
      </c>
      <c r="Y15" s="551">
        <v>142</v>
      </c>
      <c r="Z15" s="551">
        <v>188</v>
      </c>
      <c r="AA15" s="551">
        <v>3070</v>
      </c>
      <c r="AB15" s="551">
        <v>4385</v>
      </c>
      <c r="AC15" s="551">
        <v>7455</v>
      </c>
    </row>
    <row r="16" spans="1:29">
      <c r="A16" s="1202"/>
      <c r="B16" s="590" t="s">
        <v>227</v>
      </c>
      <c r="C16" s="339">
        <v>42</v>
      </c>
      <c r="D16" s="339">
        <v>26</v>
      </c>
      <c r="E16" s="358">
        <v>68</v>
      </c>
      <c r="F16" s="339">
        <v>0</v>
      </c>
      <c r="G16" s="339">
        <v>0</v>
      </c>
      <c r="H16" s="358">
        <v>0</v>
      </c>
      <c r="I16" s="339">
        <v>125</v>
      </c>
      <c r="J16" s="339">
        <v>313</v>
      </c>
      <c r="K16" s="358">
        <v>438</v>
      </c>
      <c r="L16" s="339">
        <v>2178</v>
      </c>
      <c r="M16" s="339">
        <v>3145</v>
      </c>
      <c r="N16" s="358">
        <v>5323</v>
      </c>
      <c r="O16" s="339">
        <v>0</v>
      </c>
      <c r="P16" s="339">
        <v>0</v>
      </c>
      <c r="Q16" s="358">
        <v>0</v>
      </c>
      <c r="R16" s="339">
        <v>416</v>
      </c>
      <c r="S16" s="339">
        <v>257</v>
      </c>
      <c r="T16" s="358">
        <v>673</v>
      </c>
      <c r="U16" s="339">
        <v>0</v>
      </c>
      <c r="V16" s="339">
        <v>0</v>
      </c>
      <c r="W16" s="358">
        <v>0</v>
      </c>
      <c r="X16" s="339">
        <v>26</v>
      </c>
      <c r="Y16" s="339">
        <v>91</v>
      </c>
      <c r="Z16" s="358">
        <v>117</v>
      </c>
      <c r="AA16" s="341">
        <v>2787</v>
      </c>
      <c r="AB16" s="341">
        <v>3832</v>
      </c>
      <c r="AC16" s="358">
        <v>6619</v>
      </c>
    </row>
    <row r="17" spans="1:29">
      <c r="A17" s="1202">
        <v>2</v>
      </c>
      <c r="B17" s="599" t="s">
        <v>15</v>
      </c>
      <c r="C17" s="600"/>
      <c r="D17" s="601"/>
      <c r="E17" s="601"/>
      <c r="F17" s="601"/>
      <c r="G17" s="601"/>
      <c r="H17" s="601"/>
      <c r="I17" s="601"/>
      <c r="J17" s="601"/>
      <c r="K17" s="602"/>
      <c r="L17" s="600"/>
      <c r="M17" s="601"/>
      <c r="N17" s="601"/>
      <c r="O17" s="601"/>
      <c r="P17" s="601"/>
      <c r="Q17" s="601"/>
      <c r="R17" s="601"/>
      <c r="S17" s="601"/>
      <c r="T17" s="602"/>
      <c r="U17" s="600"/>
      <c r="V17" s="601"/>
      <c r="W17" s="601"/>
      <c r="X17" s="601"/>
      <c r="Y17" s="601"/>
      <c r="Z17" s="601"/>
      <c r="AA17" s="601"/>
      <c r="AB17" s="601"/>
      <c r="AC17" s="602"/>
    </row>
    <row r="18" spans="1:29">
      <c r="A18" s="1202"/>
      <c r="B18" s="590" t="s">
        <v>919</v>
      </c>
      <c r="C18" s="600">
        <v>3237</v>
      </c>
      <c r="D18" s="601">
        <v>2346</v>
      </c>
      <c r="E18" s="601">
        <v>5583</v>
      </c>
      <c r="F18" s="601">
        <v>7</v>
      </c>
      <c r="G18" s="601">
        <v>16</v>
      </c>
      <c r="H18" s="601">
        <v>23</v>
      </c>
      <c r="I18" s="601">
        <v>74588</v>
      </c>
      <c r="J18" s="601">
        <v>75554</v>
      </c>
      <c r="K18" s="602">
        <v>150142</v>
      </c>
      <c r="L18" s="600">
        <v>732340</v>
      </c>
      <c r="M18" s="601">
        <v>671641</v>
      </c>
      <c r="N18" s="601">
        <v>1403981</v>
      </c>
      <c r="O18" s="601">
        <v>268</v>
      </c>
      <c r="P18" s="601">
        <v>165</v>
      </c>
      <c r="Q18" s="601">
        <v>433</v>
      </c>
      <c r="R18" s="601">
        <v>95018</v>
      </c>
      <c r="S18" s="601">
        <v>61430</v>
      </c>
      <c r="T18" s="602">
        <v>156448</v>
      </c>
      <c r="U18" s="600">
        <v>185</v>
      </c>
      <c r="V18" s="601">
        <v>47</v>
      </c>
      <c r="W18" s="601">
        <v>232</v>
      </c>
      <c r="X18" s="601">
        <v>6754</v>
      </c>
      <c r="Y18" s="601">
        <v>3762</v>
      </c>
      <c r="Z18" s="601">
        <v>10516</v>
      </c>
      <c r="AA18" s="601">
        <v>912397</v>
      </c>
      <c r="AB18" s="601">
        <v>814961</v>
      </c>
      <c r="AC18" s="602">
        <v>1727358</v>
      </c>
    </row>
    <row r="19" spans="1:29">
      <c r="A19" s="1202"/>
      <c r="B19" s="590" t="s">
        <v>876</v>
      </c>
      <c r="C19" s="551">
        <v>4283</v>
      </c>
      <c r="D19" s="551">
        <v>2708</v>
      </c>
      <c r="E19" s="551">
        <v>6991</v>
      </c>
      <c r="F19" s="551">
        <v>70</v>
      </c>
      <c r="G19" s="551">
        <v>48</v>
      </c>
      <c r="H19" s="551">
        <v>118</v>
      </c>
      <c r="I19" s="551">
        <v>89655</v>
      </c>
      <c r="J19" s="551">
        <v>91447</v>
      </c>
      <c r="K19" s="551">
        <v>181102</v>
      </c>
      <c r="L19" s="551">
        <v>765880</v>
      </c>
      <c r="M19" s="551">
        <v>704221</v>
      </c>
      <c r="N19" s="551">
        <v>1470101</v>
      </c>
      <c r="O19" s="551">
        <v>187</v>
      </c>
      <c r="P19" s="551">
        <v>135</v>
      </c>
      <c r="Q19" s="551">
        <v>322</v>
      </c>
      <c r="R19" s="551">
        <v>96256</v>
      </c>
      <c r="S19" s="551">
        <v>66003</v>
      </c>
      <c r="T19" s="551">
        <v>162259</v>
      </c>
      <c r="U19" s="551">
        <v>356</v>
      </c>
      <c r="V19" s="551">
        <v>442</v>
      </c>
      <c r="W19" s="551">
        <v>798</v>
      </c>
      <c r="X19" s="551">
        <v>8429</v>
      </c>
      <c r="Y19" s="551">
        <v>4528</v>
      </c>
      <c r="Z19" s="551">
        <v>12957</v>
      </c>
      <c r="AA19" s="551">
        <v>965116</v>
      </c>
      <c r="AB19" s="551">
        <v>869532</v>
      </c>
      <c r="AC19" s="551">
        <v>1834648</v>
      </c>
    </row>
    <row r="20" spans="1:29">
      <c r="A20" s="1202"/>
      <c r="B20" s="590" t="s">
        <v>229</v>
      </c>
      <c r="C20" s="346">
        <v>3837</v>
      </c>
      <c r="D20" s="346">
        <v>2879</v>
      </c>
      <c r="E20" s="346">
        <v>6716</v>
      </c>
      <c r="F20" s="346">
        <v>175</v>
      </c>
      <c r="G20" s="346">
        <v>102</v>
      </c>
      <c r="H20" s="346">
        <v>277</v>
      </c>
      <c r="I20" s="346">
        <v>88923</v>
      </c>
      <c r="J20" s="346">
        <v>85176</v>
      </c>
      <c r="K20" s="346">
        <v>174099</v>
      </c>
      <c r="L20" s="346">
        <v>671286</v>
      </c>
      <c r="M20" s="346">
        <v>602648</v>
      </c>
      <c r="N20" s="346">
        <v>1273934</v>
      </c>
      <c r="O20" s="346">
        <v>792</v>
      </c>
      <c r="P20" s="346">
        <v>468</v>
      </c>
      <c r="Q20" s="346">
        <v>1260</v>
      </c>
      <c r="R20" s="346">
        <v>92704</v>
      </c>
      <c r="S20" s="346">
        <v>59683</v>
      </c>
      <c r="T20" s="346">
        <v>152387</v>
      </c>
      <c r="U20" s="346">
        <v>3921</v>
      </c>
      <c r="V20" s="346">
        <v>6903</v>
      </c>
      <c r="W20" s="346">
        <v>10824</v>
      </c>
      <c r="X20" s="346">
        <v>8650</v>
      </c>
      <c r="Y20" s="346">
        <v>4362</v>
      </c>
      <c r="Z20" s="346">
        <v>13012</v>
      </c>
      <c r="AA20" s="346">
        <v>870288</v>
      </c>
      <c r="AB20" s="346">
        <v>762221</v>
      </c>
      <c r="AC20" s="346">
        <v>1632509</v>
      </c>
    </row>
    <row r="21" spans="1:29">
      <c r="A21" s="1202"/>
      <c r="B21" s="590" t="s">
        <v>228</v>
      </c>
      <c r="C21" s="551">
        <v>3054</v>
      </c>
      <c r="D21" s="551">
        <v>1927</v>
      </c>
      <c r="E21" s="551">
        <v>4981</v>
      </c>
      <c r="F21" s="551">
        <v>249</v>
      </c>
      <c r="G21" s="551">
        <v>182</v>
      </c>
      <c r="H21" s="551">
        <v>431</v>
      </c>
      <c r="I21" s="551">
        <v>93827</v>
      </c>
      <c r="J21" s="551">
        <v>82209</v>
      </c>
      <c r="K21" s="551">
        <v>176036</v>
      </c>
      <c r="L21" s="551">
        <v>653301</v>
      </c>
      <c r="M21" s="551">
        <v>567063</v>
      </c>
      <c r="N21" s="551">
        <v>1220364</v>
      </c>
      <c r="O21" s="551">
        <v>837</v>
      </c>
      <c r="P21" s="551">
        <v>498</v>
      </c>
      <c r="Q21" s="551">
        <v>1335</v>
      </c>
      <c r="R21" s="551">
        <v>97199</v>
      </c>
      <c r="S21" s="551">
        <v>63905</v>
      </c>
      <c r="T21" s="551">
        <v>161104</v>
      </c>
      <c r="U21" s="551">
        <v>327</v>
      </c>
      <c r="V21" s="551">
        <v>636</v>
      </c>
      <c r="W21" s="551">
        <v>963</v>
      </c>
      <c r="X21" s="551">
        <v>7389</v>
      </c>
      <c r="Y21" s="551">
        <v>3578</v>
      </c>
      <c r="Z21" s="551">
        <v>10967</v>
      </c>
      <c r="AA21" s="551">
        <v>856183</v>
      </c>
      <c r="AB21" s="551">
        <v>719998</v>
      </c>
      <c r="AC21" s="551">
        <v>1576181</v>
      </c>
    </row>
    <row r="22" spans="1:29">
      <c r="A22" s="1202"/>
      <c r="B22" s="590" t="s">
        <v>227</v>
      </c>
      <c r="C22" s="339">
        <v>4007</v>
      </c>
      <c r="D22" s="339">
        <v>2282</v>
      </c>
      <c r="E22" s="358">
        <v>6289</v>
      </c>
      <c r="F22" s="339">
        <v>555</v>
      </c>
      <c r="G22" s="339">
        <v>342</v>
      </c>
      <c r="H22" s="358">
        <v>897</v>
      </c>
      <c r="I22" s="348">
        <v>103187.38457744679</v>
      </c>
      <c r="J22" s="348">
        <v>85390.577628071362</v>
      </c>
      <c r="K22" s="359">
        <v>188577.96220551815</v>
      </c>
      <c r="L22" s="348">
        <v>660999.13217008556</v>
      </c>
      <c r="M22" s="348">
        <v>549686.87024372909</v>
      </c>
      <c r="N22" s="358">
        <v>1210686.0024138147</v>
      </c>
      <c r="O22" s="339">
        <v>996</v>
      </c>
      <c r="P22" s="339">
        <v>533</v>
      </c>
      <c r="Q22" s="358">
        <v>1529</v>
      </c>
      <c r="R22" s="339">
        <v>100748</v>
      </c>
      <c r="S22" s="339">
        <v>66008</v>
      </c>
      <c r="T22" s="358">
        <v>166756</v>
      </c>
      <c r="U22" s="339">
        <v>258</v>
      </c>
      <c r="V22" s="339">
        <v>529</v>
      </c>
      <c r="W22" s="358">
        <v>787</v>
      </c>
      <c r="X22" s="339">
        <v>7132</v>
      </c>
      <c r="Y22" s="339">
        <v>2900</v>
      </c>
      <c r="Z22" s="358">
        <v>10032</v>
      </c>
      <c r="AA22" s="350">
        <v>877882.51674753241</v>
      </c>
      <c r="AB22" s="350">
        <v>707671.44787180051</v>
      </c>
      <c r="AC22" s="359">
        <v>1585553.9646193329</v>
      </c>
    </row>
    <row r="23" spans="1:29">
      <c r="A23" s="1202">
        <v>3</v>
      </c>
      <c r="B23" s="599" t="s">
        <v>16</v>
      </c>
      <c r="C23" s="600"/>
      <c r="D23" s="601"/>
      <c r="E23" s="601"/>
      <c r="F23" s="601"/>
      <c r="G23" s="601"/>
      <c r="H23" s="601"/>
      <c r="I23" s="601"/>
      <c r="J23" s="601"/>
      <c r="K23" s="602"/>
      <c r="L23" s="600"/>
      <c r="M23" s="601"/>
      <c r="N23" s="601"/>
      <c r="O23" s="601"/>
      <c r="P23" s="601"/>
      <c r="Q23" s="601"/>
      <c r="R23" s="601"/>
      <c r="S23" s="601"/>
      <c r="T23" s="602"/>
      <c r="U23" s="600"/>
      <c r="V23" s="601"/>
      <c r="W23" s="601"/>
      <c r="X23" s="601"/>
      <c r="Y23" s="601"/>
      <c r="Z23" s="601"/>
      <c r="AA23" s="601"/>
      <c r="AB23" s="601"/>
      <c r="AC23" s="602"/>
    </row>
    <row r="24" spans="1:29">
      <c r="A24" s="1202"/>
      <c r="B24" s="590" t="s">
        <v>919</v>
      </c>
      <c r="C24" s="600">
        <v>441</v>
      </c>
      <c r="D24" s="601">
        <v>240</v>
      </c>
      <c r="E24" s="601">
        <v>681</v>
      </c>
      <c r="F24" s="601"/>
      <c r="G24" s="601"/>
      <c r="H24" s="601"/>
      <c r="I24" s="601">
        <v>4482</v>
      </c>
      <c r="J24" s="601">
        <v>3399</v>
      </c>
      <c r="K24" s="602">
        <v>7881</v>
      </c>
      <c r="L24" s="600">
        <v>22113</v>
      </c>
      <c r="M24" s="601">
        <v>17705</v>
      </c>
      <c r="N24" s="601">
        <v>39818</v>
      </c>
      <c r="O24" s="601">
        <v>126</v>
      </c>
      <c r="P24" s="601">
        <v>80</v>
      </c>
      <c r="Q24" s="601">
        <v>206</v>
      </c>
      <c r="R24" s="601">
        <v>1315</v>
      </c>
      <c r="S24" s="601">
        <v>1224</v>
      </c>
      <c r="T24" s="602">
        <v>2539</v>
      </c>
      <c r="U24" s="600">
        <v>329</v>
      </c>
      <c r="V24" s="601">
        <v>163</v>
      </c>
      <c r="W24" s="601">
        <v>492</v>
      </c>
      <c r="X24" s="601">
        <v>1163</v>
      </c>
      <c r="Y24" s="601">
        <v>715</v>
      </c>
      <c r="Z24" s="601">
        <v>1878</v>
      </c>
      <c r="AA24" s="601">
        <v>29969</v>
      </c>
      <c r="AB24" s="601">
        <v>23526</v>
      </c>
      <c r="AC24" s="602">
        <v>53495</v>
      </c>
    </row>
    <row r="25" spans="1:29">
      <c r="A25" s="1202"/>
      <c r="B25" s="590" t="s">
        <v>876</v>
      </c>
      <c r="C25" s="551">
        <v>470</v>
      </c>
      <c r="D25" s="551">
        <v>258</v>
      </c>
      <c r="E25" s="551">
        <v>728</v>
      </c>
      <c r="F25" s="551">
        <v>56</v>
      </c>
      <c r="G25" s="551">
        <v>74</v>
      </c>
      <c r="H25" s="551">
        <v>130</v>
      </c>
      <c r="I25" s="551">
        <v>4281</v>
      </c>
      <c r="J25" s="551">
        <v>3678</v>
      </c>
      <c r="K25" s="551">
        <v>7959</v>
      </c>
      <c r="L25" s="551">
        <v>19091</v>
      </c>
      <c r="M25" s="551">
        <v>15895</v>
      </c>
      <c r="N25" s="551">
        <v>34986</v>
      </c>
      <c r="O25" s="551">
        <v>87</v>
      </c>
      <c r="P25" s="551">
        <v>68</v>
      </c>
      <c r="Q25" s="551">
        <v>155</v>
      </c>
      <c r="R25" s="551">
        <v>1370</v>
      </c>
      <c r="S25" s="551">
        <v>1081</v>
      </c>
      <c r="T25" s="551">
        <v>2451</v>
      </c>
      <c r="U25" s="551">
        <v>310</v>
      </c>
      <c r="V25" s="551">
        <v>162</v>
      </c>
      <c r="W25" s="551">
        <v>472</v>
      </c>
      <c r="X25" s="551">
        <v>1196</v>
      </c>
      <c r="Y25" s="551">
        <v>726</v>
      </c>
      <c r="Z25" s="551">
        <v>1922</v>
      </c>
      <c r="AA25" s="551">
        <v>26861</v>
      </c>
      <c r="AB25" s="551">
        <v>21942</v>
      </c>
      <c r="AC25" s="551">
        <v>48803</v>
      </c>
    </row>
    <row r="26" spans="1:29">
      <c r="A26" s="1202"/>
      <c r="B26" s="590" t="s">
        <v>229</v>
      </c>
      <c r="C26" s="346">
        <v>565</v>
      </c>
      <c r="D26" s="346">
        <v>421</v>
      </c>
      <c r="E26" s="346">
        <v>986</v>
      </c>
      <c r="F26" s="346">
        <v>57</v>
      </c>
      <c r="G26" s="346">
        <v>88</v>
      </c>
      <c r="H26" s="346">
        <v>145</v>
      </c>
      <c r="I26" s="346">
        <v>2874</v>
      </c>
      <c r="J26" s="346">
        <v>2296</v>
      </c>
      <c r="K26" s="346">
        <v>5170</v>
      </c>
      <c r="L26" s="346">
        <v>16058</v>
      </c>
      <c r="M26" s="346">
        <v>13373</v>
      </c>
      <c r="N26" s="346">
        <v>29431</v>
      </c>
      <c r="O26" s="346">
        <v>59</v>
      </c>
      <c r="P26" s="346">
        <v>59</v>
      </c>
      <c r="Q26" s="346">
        <v>118</v>
      </c>
      <c r="R26" s="346">
        <v>1263</v>
      </c>
      <c r="S26" s="346">
        <v>583</v>
      </c>
      <c r="T26" s="346">
        <v>1846</v>
      </c>
      <c r="U26" s="346">
        <v>299</v>
      </c>
      <c r="V26" s="346">
        <v>119</v>
      </c>
      <c r="W26" s="346">
        <v>418</v>
      </c>
      <c r="X26" s="346">
        <v>1015</v>
      </c>
      <c r="Y26" s="346">
        <v>628</v>
      </c>
      <c r="Z26" s="346">
        <v>1643</v>
      </c>
      <c r="AA26" s="346">
        <v>22190</v>
      </c>
      <c r="AB26" s="346">
        <v>17567</v>
      </c>
      <c r="AC26" s="346">
        <v>39757</v>
      </c>
    </row>
    <row r="27" spans="1:29">
      <c r="A27" s="1202"/>
      <c r="B27" s="590" t="s">
        <v>228</v>
      </c>
      <c r="C27" s="551">
        <v>396</v>
      </c>
      <c r="D27" s="551">
        <v>280</v>
      </c>
      <c r="E27" s="551">
        <v>676</v>
      </c>
      <c r="F27" s="551">
        <v>47</v>
      </c>
      <c r="G27" s="551">
        <v>77</v>
      </c>
      <c r="H27" s="551">
        <v>124</v>
      </c>
      <c r="I27" s="551">
        <v>2158</v>
      </c>
      <c r="J27" s="551">
        <v>1635</v>
      </c>
      <c r="K27" s="551">
        <v>3793</v>
      </c>
      <c r="L27" s="551">
        <v>14019</v>
      </c>
      <c r="M27" s="551">
        <v>12954</v>
      </c>
      <c r="N27" s="551">
        <v>26973</v>
      </c>
      <c r="O27" s="551">
        <v>73</v>
      </c>
      <c r="P27" s="551">
        <v>40</v>
      </c>
      <c r="Q27" s="551">
        <v>113</v>
      </c>
      <c r="R27" s="551">
        <v>814</v>
      </c>
      <c r="S27" s="551">
        <v>554</v>
      </c>
      <c r="T27" s="551">
        <v>1368</v>
      </c>
      <c r="U27" s="551">
        <v>265</v>
      </c>
      <c r="V27" s="551">
        <v>84</v>
      </c>
      <c r="W27" s="551">
        <v>349</v>
      </c>
      <c r="X27" s="551">
        <v>308</v>
      </c>
      <c r="Y27" s="551">
        <v>94</v>
      </c>
      <c r="Z27" s="551">
        <v>402</v>
      </c>
      <c r="AA27" s="551">
        <v>18080</v>
      </c>
      <c r="AB27" s="551">
        <v>15718</v>
      </c>
      <c r="AC27" s="551">
        <v>33798</v>
      </c>
    </row>
    <row r="28" spans="1:29">
      <c r="A28" s="1202"/>
      <c r="B28" s="590" t="s">
        <v>227</v>
      </c>
      <c r="C28" s="339">
        <v>397</v>
      </c>
      <c r="D28" s="339">
        <v>247</v>
      </c>
      <c r="E28" s="358">
        <v>644</v>
      </c>
      <c r="F28" s="339">
        <v>43</v>
      </c>
      <c r="G28" s="339">
        <v>67</v>
      </c>
      <c r="H28" s="358">
        <v>110</v>
      </c>
      <c r="I28" s="348">
        <v>1659.0670025145218</v>
      </c>
      <c r="J28" s="348">
        <v>1520.7752973164288</v>
      </c>
      <c r="K28" s="359">
        <v>3179.8422998309507</v>
      </c>
      <c r="L28" s="348">
        <v>13539.047202461981</v>
      </c>
      <c r="M28" s="348">
        <v>12774.980349528741</v>
      </c>
      <c r="N28" s="359">
        <v>26314.027551990723</v>
      </c>
      <c r="O28" s="339">
        <v>45</v>
      </c>
      <c r="P28" s="339">
        <v>30</v>
      </c>
      <c r="Q28" s="358">
        <v>75</v>
      </c>
      <c r="R28" s="339">
        <v>1188</v>
      </c>
      <c r="S28" s="339">
        <v>648</v>
      </c>
      <c r="T28" s="358">
        <v>1836</v>
      </c>
      <c r="U28" s="339">
        <v>246</v>
      </c>
      <c r="V28" s="339">
        <v>79</v>
      </c>
      <c r="W28" s="358">
        <v>325</v>
      </c>
      <c r="X28" s="339">
        <v>177</v>
      </c>
      <c r="Y28" s="339">
        <v>49</v>
      </c>
      <c r="Z28" s="358">
        <v>226</v>
      </c>
      <c r="AA28" s="350">
        <v>17294.114204976504</v>
      </c>
      <c r="AB28" s="350">
        <v>15415.755646845169</v>
      </c>
      <c r="AC28" s="359">
        <v>32709.86985182167</v>
      </c>
    </row>
    <row r="29" spans="1:29">
      <c r="A29" s="1202">
        <v>4</v>
      </c>
      <c r="B29" s="599" t="s">
        <v>17</v>
      </c>
      <c r="C29" s="600"/>
      <c r="D29" s="601"/>
      <c r="E29" s="601"/>
      <c r="F29" s="601"/>
      <c r="G29" s="601"/>
      <c r="H29" s="601"/>
      <c r="I29" s="601"/>
      <c r="J29" s="601"/>
      <c r="K29" s="602"/>
      <c r="L29" s="600"/>
      <c r="M29" s="601"/>
      <c r="N29" s="601"/>
      <c r="O29" s="601"/>
      <c r="P29" s="601"/>
      <c r="Q29" s="601"/>
      <c r="R29" s="601"/>
      <c r="S29" s="601"/>
      <c r="T29" s="602"/>
      <c r="U29" s="600"/>
      <c r="V29" s="601"/>
      <c r="W29" s="601"/>
      <c r="X29" s="601"/>
      <c r="Y29" s="601"/>
      <c r="Z29" s="601"/>
      <c r="AA29" s="601"/>
      <c r="AB29" s="601"/>
      <c r="AC29" s="602"/>
    </row>
    <row r="30" spans="1:29">
      <c r="A30" s="1202"/>
      <c r="B30" s="590" t="s">
        <v>919</v>
      </c>
      <c r="C30" s="600">
        <v>3140</v>
      </c>
      <c r="D30" s="601">
        <v>2230</v>
      </c>
      <c r="E30" s="601">
        <v>5370</v>
      </c>
      <c r="F30" s="601">
        <v>82</v>
      </c>
      <c r="G30" s="601">
        <v>132</v>
      </c>
      <c r="H30" s="601">
        <v>214</v>
      </c>
      <c r="I30" s="601">
        <v>13937</v>
      </c>
      <c r="J30" s="601">
        <v>21079</v>
      </c>
      <c r="K30" s="602">
        <v>35016</v>
      </c>
      <c r="L30" s="600">
        <v>273527</v>
      </c>
      <c r="M30" s="601">
        <v>281870</v>
      </c>
      <c r="N30" s="601">
        <v>555397</v>
      </c>
      <c r="O30" s="601">
        <v>344</v>
      </c>
      <c r="P30" s="601">
        <v>596</v>
      </c>
      <c r="Q30" s="601">
        <v>940</v>
      </c>
      <c r="R30" s="601">
        <v>12540</v>
      </c>
      <c r="S30" s="601">
        <v>9134</v>
      </c>
      <c r="T30" s="602">
        <v>21674</v>
      </c>
      <c r="U30" s="600">
        <v>82</v>
      </c>
      <c r="V30" s="601">
        <v>671</v>
      </c>
      <c r="W30" s="601">
        <v>753</v>
      </c>
      <c r="X30" s="601">
        <v>2571</v>
      </c>
      <c r="Y30" s="601">
        <v>2913</v>
      </c>
      <c r="Z30" s="601">
        <v>5484</v>
      </c>
      <c r="AA30" s="601">
        <v>306223</v>
      </c>
      <c r="AB30" s="601">
        <v>318625</v>
      </c>
      <c r="AC30" s="602">
        <v>624848</v>
      </c>
    </row>
    <row r="31" spans="1:29">
      <c r="A31" s="1202"/>
      <c r="B31" s="590" t="s">
        <v>876</v>
      </c>
      <c r="C31" s="551">
        <v>3648</v>
      </c>
      <c r="D31" s="551">
        <v>2356</v>
      </c>
      <c r="E31" s="551">
        <v>6004</v>
      </c>
      <c r="F31" s="551">
        <v>126</v>
      </c>
      <c r="G31" s="551">
        <v>180</v>
      </c>
      <c r="H31" s="551">
        <v>306</v>
      </c>
      <c r="I31" s="551">
        <v>13634</v>
      </c>
      <c r="J31" s="551">
        <v>20125</v>
      </c>
      <c r="K31" s="551">
        <v>33759</v>
      </c>
      <c r="L31" s="551">
        <v>282547</v>
      </c>
      <c r="M31" s="551">
        <v>295148</v>
      </c>
      <c r="N31" s="551">
        <v>577695</v>
      </c>
      <c r="O31" s="551">
        <v>389</v>
      </c>
      <c r="P31" s="551">
        <v>630</v>
      </c>
      <c r="Q31" s="551">
        <v>1019</v>
      </c>
      <c r="R31" s="551">
        <v>12627</v>
      </c>
      <c r="S31" s="551">
        <v>9364</v>
      </c>
      <c r="T31" s="551">
        <v>21991</v>
      </c>
      <c r="U31" s="551">
        <v>387</v>
      </c>
      <c r="V31" s="551">
        <v>785</v>
      </c>
      <c r="W31" s="551">
        <v>1172</v>
      </c>
      <c r="X31" s="551">
        <v>2459</v>
      </c>
      <c r="Y31" s="551">
        <v>2783</v>
      </c>
      <c r="Z31" s="551">
        <v>5242</v>
      </c>
      <c r="AA31" s="551">
        <v>315817</v>
      </c>
      <c r="AB31" s="551">
        <v>331371</v>
      </c>
      <c r="AC31" s="551">
        <v>647188</v>
      </c>
    </row>
    <row r="32" spans="1:29">
      <c r="A32" s="1202"/>
      <c r="B32" s="590" t="s">
        <v>229</v>
      </c>
      <c r="C32" s="346">
        <v>3214</v>
      </c>
      <c r="D32" s="346">
        <v>2413</v>
      </c>
      <c r="E32" s="346">
        <v>5627</v>
      </c>
      <c r="F32" s="346">
        <v>245</v>
      </c>
      <c r="G32" s="346">
        <v>371</v>
      </c>
      <c r="H32" s="346">
        <v>616</v>
      </c>
      <c r="I32" s="346">
        <v>12716</v>
      </c>
      <c r="J32" s="346">
        <v>17995</v>
      </c>
      <c r="K32" s="346">
        <v>30711</v>
      </c>
      <c r="L32" s="346">
        <v>241521</v>
      </c>
      <c r="M32" s="346">
        <v>259643</v>
      </c>
      <c r="N32" s="346">
        <v>501164</v>
      </c>
      <c r="O32" s="346">
        <v>473</v>
      </c>
      <c r="P32" s="346">
        <v>576</v>
      </c>
      <c r="Q32" s="346">
        <v>1049</v>
      </c>
      <c r="R32" s="346">
        <v>10655</v>
      </c>
      <c r="S32" s="346">
        <v>7374</v>
      </c>
      <c r="T32" s="346">
        <v>18029</v>
      </c>
      <c r="U32" s="346">
        <v>739</v>
      </c>
      <c r="V32" s="346">
        <v>1165</v>
      </c>
      <c r="W32" s="346">
        <v>1904</v>
      </c>
      <c r="X32" s="346">
        <v>2446</v>
      </c>
      <c r="Y32" s="346">
        <v>2247</v>
      </c>
      <c r="Z32" s="346">
        <v>4693</v>
      </c>
      <c r="AA32" s="346">
        <v>272009</v>
      </c>
      <c r="AB32" s="346">
        <v>291784</v>
      </c>
      <c r="AC32" s="346">
        <v>563793</v>
      </c>
    </row>
    <row r="33" spans="1:29">
      <c r="A33" s="1202"/>
      <c r="B33" s="590" t="s">
        <v>228</v>
      </c>
      <c r="C33" s="551">
        <v>2970</v>
      </c>
      <c r="D33" s="553">
        <v>1970</v>
      </c>
      <c r="E33" s="551">
        <v>4940</v>
      </c>
      <c r="F33" s="551">
        <v>192</v>
      </c>
      <c r="G33" s="551">
        <v>272</v>
      </c>
      <c r="H33" s="551">
        <v>464</v>
      </c>
      <c r="I33" s="551">
        <v>13127</v>
      </c>
      <c r="J33" s="551">
        <v>17545</v>
      </c>
      <c r="K33" s="551">
        <v>30672</v>
      </c>
      <c r="L33" s="551">
        <v>265072</v>
      </c>
      <c r="M33" s="551">
        <v>276843</v>
      </c>
      <c r="N33" s="551">
        <v>541915</v>
      </c>
      <c r="O33" s="551">
        <v>681</v>
      </c>
      <c r="P33" s="551">
        <v>737</v>
      </c>
      <c r="Q33" s="551">
        <v>1418</v>
      </c>
      <c r="R33" s="551">
        <v>8613</v>
      </c>
      <c r="S33" s="551">
        <v>5531</v>
      </c>
      <c r="T33" s="551">
        <v>14144</v>
      </c>
      <c r="U33" s="551">
        <v>753</v>
      </c>
      <c r="V33" s="551">
        <v>1025</v>
      </c>
      <c r="W33" s="551">
        <v>1778</v>
      </c>
      <c r="X33" s="551">
        <v>2377</v>
      </c>
      <c r="Y33" s="551">
        <v>2172</v>
      </c>
      <c r="Z33" s="551">
        <v>4549</v>
      </c>
      <c r="AA33" s="551">
        <v>293785</v>
      </c>
      <c r="AB33" s="551">
        <v>306095</v>
      </c>
      <c r="AC33" s="551">
        <v>599880</v>
      </c>
    </row>
    <row r="34" spans="1:29">
      <c r="A34" s="1202"/>
      <c r="B34" s="590" t="s">
        <v>227</v>
      </c>
      <c r="C34" s="339">
        <v>2633</v>
      </c>
      <c r="D34" s="339">
        <v>1704</v>
      </c>
      <c r="E34" s="358">
        <v>4337</v>
      </c>
      <c r="F34" s="339">
        <v>129</v>
      </c>
      <c r="G34" s="339">
        <v>224</v>
      </c>
      <c r="H34" s="358">
        <v>353</v>
      </c>
      <c r="I34" s="348">
        <v>12125.581104964018</v>
      </c>
      <c r="J34" s="348">
        <v>15971.65349222636</v>
      </c>
      <c r="K34" s="359">
        <v>28097.234597190385</v>
      </c>
      <c r="L34" s="348">
        <v>251898.10512203502</v>
      </c>
      <c r="M34" s="348">
        <v>263822.19171424501</v>
      </c>
      <c r="N34" s="359">
        <v>515720.29683628003</v>
      </c>
      <c r="O34" s="339">
        <v>686</v>
      </c>
      <c r="P34" s="339">
        <v>733</v>
      </c>
      <c r="Q34" s="358">
        <v>1419</v>
      </c>
      <c r="R34" s="339">
        <v>6877</v>
      </c>
      <c r="S34" s="339">
        <v>4815</v>
      </c>
      <c r="T34" s="358">
        <v>11692</v>
      </c>
      <c r="U34" s="339">
        <v>1077</v>
      </c>
      <c r="V34" s="339">
        <v>1352</v>
      </c>
      <c r="W34" s="358">
        <v>2429</v>
      </c>
      <c r="X34" s="339">
        <v>2630</v>
      </c>
      <c r="Y34" s="339">
        <v>2651</v>
      </c>
      <c r="Z34" s="358">
        <v>5281</v>
      </c>
      <c r="AA34" s="350">
        <v>278055.68622699904</v>
      </c>
      <c r="AB34" s="350">
        <v>291272.84520647139</v>
      </c>
      <c r="AC34" s="359">
        <v>569328.53143347043</v>
      </c>
    </row>
    <row r="35" spans="1:29">
      <c r="A35" s="1202">
        <v>5</v>
      </c>
      <c r="B35" s="599" t="s">
        <v>18</v>
      </c>
      <c r="C35" s="600"/>
      <c r="D35" s="601"/>
      <c r="E35" s="601"/>
      <c r="F35" s="601"/>
      <c r="G35" s="601"/>
      <c r="H35" s="601"/>
      <c r="I35" s="601"/>
      <c r="J35" s="601"/>
      <c r="K35" s="602"/>
      <c r="L35" s="600"/>
      <c r="M35" s="601"/>
      <c r="N35" s="601"/>
      <c r="O35" s="601"/>
      <c r="P35" s="601"/>
      <c r="Q35" s="601"/>
      <c r="R35" s="601"/>
      <c r="S35" s="601"/>
      <c r="T35" s="602"/>
      <c r="U35" s="600"/>
      <c r="V35" s="601"/>
      <c r="W35" s="601"/>
      <c r="X35" s="601"/>
      <c r="Y35" s="601"/>
      <c r="Z35" s="601"/>
      <c r="AA35" s="601"/>
      <c r="AB35" s="601"/>
      <c r="AC35" s="602"/>
    </row>
    <row r="36" spans="1:29">
      <c r="A36" s="1202"/>
      <c r="B36" s="590" t="s">
        <v>919</v>
      </c>
      <c r="C36" s="600">
        <v>3720</v>
      </c>
      <c r="D36" s="601">
        <v>1854</v>
      </c>
      <c r="E36" s="601">
        <v>5574</v>
      </c>
      <c r="F36" s="601"/>
      <c r="G36" s="601"/>
      <c r="H36" s="601"/>
      <c r="I36" s="601">
        <v>55008</v>
      </c>
      <c r="J36" s="601">
        <v>51023</v>
      </c>
      <c r="K36" s="602">
        <v>106031</v>
      </c>
      <c r="L36" s="600">
        <v>1215443</v>
      </c>
      <c r="M36" s="601">
        <v>995154</v>
      </c>
      <c r="N36" s="601">
        <v>2210597</v>
      </c>
      <c r="O36" s="601">
        <v>853</v>
      </c>
      <c r="P36" s="601">
        <v>388</v>
      </c>
      <c r="Q36" s="601">
        <v>1241</v>
      </c>
      <c r="R36" s="601">
        <v>65340</v>
      </c>
      <c r="S36" s="601">
        <v>53248</v>
      </c>
      <c r="T36" s="602">
        <v>118588</v>
      </c>
      <c r="U36" s="600">
        <v>1417</v>
      </c>
      <c r="V36" s="601">
        <v>1292</v>
      </c>
      <c r="W36" s="601">
        <v>2709</v>
      </c>
      <c r="X36" s="601">
        <v>2809</v>
      </c>
      <c r="Y36" s="601">
        <v>1640</v>
      </c>
      <c r="Z36" s="601">
        <v>4449</v>
      </c>
      <c r="AA36" s="601">
        <v>1344590</v>
      </c>
      <c r="AB36" s="601">
        <v>1104599</v>
      </c>
      <c r="AC36" s="602">
        <v>2449189</v>
      </c>
    </row>
    <row r="37" spans="1:29">
      <c r="A37" s="1202"/>
      <c r="B37" s="590" t="s">
        <v>876</v>
      </c>
      <c r="C37" s="551">
        <v>2625</v>
      </c>
      <c r="D37" s="551">
        <v>1183</v>
      </c>
      <c r="E37" s="551">
        <v>3808</v>
      </c>
      <c r="F37" s="551">
        <v>50</v>
      </c>
      <c r="G37" s="551">
        <v>23</v>
      </c>
      <c r="H37" s="551">
        <v>73</v>
      </c>
      <c r="I37" s="551">
        <v>50051</v>
      </c>
      <c r="J37" s="551">
        <v>48189</v>
      </c>
      <c r="K37" s="551">
        <v>98240</v>
      </c>
      <c r="L37" s="551">
        <v>1057661</v>
      </c>
      <c r="M37" s="551">
        <v>864953</v>
      </c>
      <c r="N37" s="551">
        <v>1922614</v>
      </c>
      <c r="O37" s="551">
        <v>886</v>
      </c>
      <c r="P37" s="551">
        <v>459</v>
      </c>
      <c r="Q37" s="551">
        <v>1345</v>
      </c>
      <c r="R37" s="551">
        <v>56644</v>
      </c>
      <c r="S37" s="551">
        <v>48657</v>
      </c>
      <c r="T37" s="551">
        <v>105301</v>
      </c>
      <c r="U37" s="551">
        <v>3264</v>
      </c>
      <c r="V37" s="551">
        <v>2885</v>
      </c>
      <c r="W37" s="551">
        <v>6149</v>
      </c>
      <c r="X37" s="551">
        <v>2592</v>
      </c>
      <c r="Y37" s="551">
        <v>1333</v>
      </c>
      <c r="Z37" s="551">
        <v>3925</v>
      </c>
      <c r="AA37" s="551">
        <v>1173773</v>
      </c>
      <c r="AB37" s="551">
        <v>967682</v>
      </c>
      <c r="AC37" s="551">
        <v>2141455</v>
      </c>
    </row>
    <row r="38" spans="1:29">
      <c r="A38" s="1202"/>
      <c r="B38" s="590" t="s">
        <v>229</v>
      </c>
      <c r="C38" s="346">
        <v>1665</v>
      </c>
      <c r="D38" s="346">
        <v>1034</v>
      </c>
      <c r="E38" s="346">
        <v>2699</v>
      </c>
      <c r="F38" s="346">
        <v>55</v>
      </c>
      <c r="G38" s="346">
        <v>15</v>
      </c>
      <c r="H38" s="346">
        <v>70</v>
      </c>
      <c r="I38" s="346">
        <v>37369</v>
      </c>
      <c r="J38" s="346">
        <v>35886</v>
      </c>
      <c r="K38" s="346">
        <v>73255</v>
      </c>
      <c r="L38" s="346">
        <v>801196</v>
      </c>
      <c r="M38" s="346">
        <v>647494</v>
      </c>
      <c r="N38" s="346">
        <v>1448690</v>
      </c>
      <c r="O38" s="346">
        <v>788</v>
      </c>
      <c r="P38" s="346">
        <v>401</v>
      </c>
      <c r="Q38" s="346">
        <v>1189</v>
      </c>
      <c r="R38" s="346">
        <v>42497</v>
      </c>
      <c r="S38" s="346">
        <v>25277</v>
      </c>
      <c r="T38" s="346">
        <v>67774</v>
      </c>
      <c r="U38" s="346">
        <v>4024</v>
      </c>
      <c r="V38" s="346">
        <v>2562</v>
      </c>
      <c r="W38" s="346">
        <v>6586</v>
      </c>
      <c r="X38" s="346">
        <v>2258</v>
      </c>
      <c r="Y38" s="346">
        <v>1026</v>
      </c>
      <c r="Z38" s="346">
        <v>3284</v>
      </c>
      <c r="AA38" s="346">
        <v>889852</v>
      </c>
      <c r="AB38" s="346">
        <v>713695</v>
      </c>
      <c r="AC38" s="346">
        <v>1603547</v>
      </c>
    </row>
    <row r="39" spans="1:29">
      <c r="A39" s="1202"/>
      <c r="B39" s="590" t="s">
        <v>228</v>
      </c>
      <c r="C39" s="551">
        <v>2239</v>
      </c>
      <c r="D39" s="551">
        <v>1123</v>
      </c>
      <c r="E39" s="551">
        <v>3362</v>
      </c>
      <c r="F39" s="551">
        <v>0</v>
      </c>
      <c r="G39" s="551">
        <v>0</v>
      </c>
      <c r="H39" s="551">
        <v>0</v>
      </c>
      <c r="I39" s="551">
        <v>49296</v>
      </c>
      <c r="J39" s="551">
        <v>40098</v>
      </c>
      <c r="K39" s="551">
        <v>89394</v>
      </c>
      <c r="L39" s="551">
        <v>760584</v>
      </c>
      <c r="M39" s="551">
        <v>580133</v>
      </c>
      <c r="N39" s="551">
        <v>1340717</v>
      </c>
      <c r="O39" s="551">
        <v>749</v>
      </c>
      <c r="P39" s="551">
        <v>373</v>
      </c>
      <c r="Q39" s="551">
        <v>1122</v>
      </c>
      <c r="R39" s="551">
        <v>34380</v>
      </c>
      <c r="S39" s="551">
        <v>17715</v>
      </c>
      <c r="T39" s="551">
        <v>52095</v>
      </c>
      <c r="U39" s="551">
        <v>2705</v>
      </c>
      <c r="V39" s="551">
        <v>1439</v>
      </c>
      <c r="W39" s="551">
        <v>4144</v>
      </c>
      <c r="X39" s="551">
        <v>1952</v>
      </c>
      <c r="Y39" s="551">
        <v>896</v>
      </c>
      <c r="Z39" s="551">
        <v>2848</v>
      </c>
      <c r="AA39" s="551">
        <v>851905</v>
      </c>
      <c r="AB39" s="551">
        <v>641777</v>
      </c>
      <c r="AC39" s="551">
        <v>1493682</v>
      </c>
    </row>
    <row r="40" spans="1:29">
      <c r="A40" s="1202"/>
      <c r="B40" s="590" t="s">
        <v>227</v>
      </c>
      <c r="C40" s="339">
        <v>1902</v>
      </c>
      <c r="D40" s="339">
        <v>954</v>
      </c>
      <c r="E40" s="360">
        <v>2856</v>
      </c>
      <c r="F40" s="339">
        <v>0</v>
      </c>
      <c r="G40" s="339">
        <v>0</v>
      </c>
      <c r="H40" s="360">
        <v>0</v>
      </c>
      <c r="I40" s="339">
        <v>37001</v>
      </c>
      <c r="J40" s="339">
        <v>32460</v>
      </c>
      <c r="K40" s="360">
        <v>69461</v>
      </c>
      <c r="L40" s="339">
        <v>723821</v>
      </c>
      <c r="M40" s="339">
        <v>550366</v>
      </c>
      <c r="N40" s="360">
        <v>1274187</v>
      </c>
      <c r="O40" s="339">
        <v>681</v>
      </c>
      <c r="P40" s="339">
        <v>272</v>
      </c>
      <c r="Q40" s="360">
        <v>953</v>
      </c>
      <c r="R40" s="339">
        <v>27280</v>
      </c>
      <c r="S40" s="339">
        <v>11228</v>
      </c>
      <c r="T40" s="360">
        <v>38508</v>
      </c>
      <c r="U40" s="339">
        <v>2336</v>
      </c>
      <c r="V40" s="339">
        <v>1075</v>
      </c>
      <c r="W40" s="360">
        <v>3411</v>
      </c>
      <c r="X40" s="339">
        <v>1512</v>
      </c>
      <c r="Y40" s="339">
        <v>788</v>
      </c>
      <c r="Z40" s="360">
        <v>2300</v>
      </c>
      <c r="AA40" s="341">
        <v>794533</v>
      </c>
      <c r="AB40" s="341">
        <v>597143</v>
      </c>
      <c r="AC40" s="360">
        <v>1391676</v>
      </c>
    </row>
    <row r="41" spans="1:29">
      <c r="A41" s="1202">
        <v>6</v>
      </c>
      <c r="B41" s="599" t="s">
        <v>19</v>
      </c>
      <c r="C41" s="600"/>
      <c r="D41" s="601"/>
      <c r="E41" s="601"/>
      <c r="F41" s="601"/>
      <c r="G41" s="601"/>
      <c r="H41" s="601"/>
      <c r="I41" s="601"/>
      <c r="J41" s="601"/>
      <c r="K41" s="602"/>
      <c r="L41" s="600"/>
      <c r="M41" s="601"/>
      <c r="N41" s="601"/>
      <c r="O41" s="601"/>
      <c r="P41" s="601"/>
      <c r="Q41" s="601"/>
      <c r="R41" s="601"/>
      <c r="S41" s="601"/>
      <c r="T41" s="602"/>
      <c r="U41" s="600"/>
      <c r="V41" s="601"/>
      <c r="W41" s="601"/>
      <c r="X41" s="601"/>
      <c r="Y41" s="601"/>
      <c r="Z41" s="601"/>
      <c r="AA41" s="601"/>
      <c r="AB41" s="601"/>
      <c r="AC41" s="602"/>
    </row>
    <row r="42" spans="1:29">
      <c r="A42" s="1202"/>
      <c r="B42" s="590" t="s">
        <v>919</v>
      </c>
      <c r="C42" s="600">
        <v>343</v>
      </c>
      <c r="D42" s="601">
        <v>454</v>
      </c>
      <c r="E42" s="601">
        <v>797</v>
      </c>
      <c r="F42" s="601">
        <v>19</v>
      </c>
      <c r="G42" s="601">
        <v>25</v>
      </c>
      <c r="H42" s="601">
        <v>44</v>
      </c>
      <c r="I42" s="601">
        <v>4632</v>
      </c>
      <c r="J42" s="601">
        <v>8047</v>
      </c>
      <c r="K42" s="602">
        <v>12679</v>
      </c>
      <c r="L42" s="600">
        <v>25943</v>
      </c>
      <c r="M42" s="601">
        <v>28584</v>
      </c>
      <c r="N42" s="601">
        <v>54527</v>
      </c>
      <c r="O42" s="601">
        <v>243</v>
      </c>
      <c r="P42" s="601">
        <v>397</v>
      </c>
      <c r="Q42" s="601">
        <v>640</v>
      </c>
      <c r="R42" s="601">
        <v>1745</v>
      </c>
      <c r="S42" s="601">
        <v>1367</v>
      </c>
      <c r="T42" s="602">
        <v>3112</v>
      </c>
      <c r="U42" s="600">
        <v>306</v>
      </c>
      <c r="V42" s="601">
        <v>276</v>
      </c>
      <c r="W42" s="601">
        <v>582</v>
      </c>
      <c r="X42" s="601">
        <v>1123</v>
      </c>
      <c r="Y42" s="601">
        <v>1418</v>
      </c>
      <c r="Z42" s="601">
        <v>2541</v>
      </c>
      <c r="AA42" s="601">
        <v>34354</v>
      </c>
      <c r="AB42" s="601">
        <v>40568</v>
      </c>
      <c r="AC42" s="602">
        <v>74922</v>
      </c>
    </row>
    <row r="43" spans="1:29">
      <c r="A43" s="1202"/>
      <c r="B43" s="590" t="s">
        <v>876</v>
      </c>
      <c r="C43" s="551">
        <v>323</v>
      </c>
      <c r="D43" s="551">
        <v>427</v>
      </c>
      <c r="E43" s="551">
        <v>750</v>
      </c>
      <c r="F43" s="551">
        <v>158</v>
      </c>
      <c r="G43" s="551">
        <v>29</v>
      </c>
      <c r="H43" s="551">
        <v>187</v>
      </c>
      <c r="I43" s="551">
        <v>4244</v>
      </c>
      <c r="J43" s="551">
        <v>8142</v>
      </c>
      <c r="K43" s="551">
        <v>12386</v>
      </c>
      <c r="L43" s="551">
        <v>26105</v>
      </c>
      <c r="M43" s="551">
        <v>28727</v>
      </c>
      <c r="N43" s="551">
        <v>54832</v>
      </c>
      <c r="O43" s="551">
        <v>175</v>
      </c>
      <c r="P43" s="551">
        <v>419</v>
      </c>
      <c r="Q43" s="551">
        <v>594</v>
      </c>
      <c r="R43" s="551">
        <v>1824</v>
      </c>
      <c r="S43" s="551">
        <v>1260</v>
      </c>
      <c r="T43" s="551">
        <v>3084</v>
      </c>
      <c r="U43" s="551">
        <v>222</v>
      </c>
      <c r="V43" s="551">
        <v>222</v>
      </c>
      <c r="W43" s="551">
        <v>444</v>
      </c>
      <c r="X43" s="551">
        <v>883</v>
      </c>
      <c r="Y43" s="551">
        <v>1087</v>
      </c>
      <c r="Z43" s="551">
        <v>1970</v>
      </c>
      <c r="AA43" s="551">
        <v>33934</v>
      </c>
      <c r="AB43" s="551">
        <v>40313</v>
      </c>
      <c r="AC43" s="551">
        <v>74247</v>
      </c>
    </row>
    <row r="44" spans="1:29">
      <c r="A44" s="1202"/>
      <c r="B44" s="590" t="s">
        <v>229</v>
      </c>
      <c r="C44" s="346">
        <v>409</v>
      </c>
      <c r="D44" s="346">
        <v>550</v>
      </c>
      <c r="E44" s="346">
        <v>959</v>
      </c>
      <c r="F44" s="346">
        <v>140</v>
      </c>
      <c r="G44" s="346">
        <v>48</v>
      </c>
      <c r="H44" s="346">
        <v>188</v>
      </c>
      <c r="I44" s="346">
        <v>4482</v>
      </c>
      <c r="J44" s="346">
        <v>8372</v>
      </c>
      <c r="K44" s="346">
        <v>12854</v>
      </c>
      <c r="L44" s="346">
        <v>26617</v>
      </c>
      <c r="M44" s="346">
        <v>28722</v>
      </c>
      <c r="N44" s="346">
        <v>55339</v>
      </c>
      <c r="O44" s="346">
        <v>264</v>
      </c>
      <c r="P44" s="346">
        <v>437</v>
      </c>
      <c r="Q44" s="346">
        <v>701</v>
      </c>
      <c r="R44" s="346">
        <v>2047</v>
      </c>
      <c r="S44" s="346">
        <v>1223</v>
      </c>
      <c r="T44" s="346">
        <v>3270</v>
      </c>
      <c r="U44" s="346">
        <v>409</v>
      </c>
      <c r="V44" s="346">
        <v>259</v>
      </c>
      <c r="W44" s="346">
        <v>668</v>
      </c>
      <c r="X44" s="346">
        <v>1139</v>
      </c>
      <c r="Y44" s="346">
        <v>1290</v>
      </c>
      <c r="Z44" s="346">
        <v>2429</v>
      </c>
      <c r="AA44" s="346">
        <v>35507</v>
      </c>
      <c r="AB44" s="346">
        <v>40901</v>
      </c>
      <c r="AC44" s="346">
        <v>76408</v>
      </c>
    </row>
    <row r="45" spans="1:29">
      <c r="A45" s="1202"/>
      <c r="B45" s="590" t="s">
        <v>228</v>
      </c>
      <c r="C45" s="551">
        <v>353</v>
      </c>
      <c r="D45" s="551">
        <v>508</v>
      </c>
      <c r="E45" s="551">
        <v>861</v>
      </c>
      <c r="F45" s="551">
        <v>145</v>
      </c>
      <c r="G45" s="551">
        <v>43</v>
      </c>
      <c r="H45" s="551">
        <v>188</v>
      </c>
      <c r="I45" s="551">
        <v>4184</v>
      </c>
      <c r="J45" s="551">
        <v>8052</v>
      </c>
      <c r="K45" s="551">
        <v>12236</v>
      </c>
      <c r="L45" s="551">
        <v>26406</v>
      </c>
      <c r="M45" s="551">
        <v>28567</v>
      </c>
      <c r="N45" s="551">
        <v>54973</v>
      </c>
      <c r="O45" s="551">
        <v>257</v>
      </c>
      <c r="P45" s="551">
        <v>428</v>
      </c>
      <c r="Q45" s="551">
        <v>685</v>
      </c>
      <c r="R45" s="551">
        <v>1391</v>
      </c>
      <c r="S45" s="551">
        <v>1214</v>
      </c>
      <c r="T45" s="551">
        <v>2605</v>
      </c>
      <c r="U45" s="551">
        <v>549</v>
      </c>
      <c r="V45" s="551">
        <v>204</v>
      </c>
      <c r="W45" s="551">
        <v>753</v>
      </c>
      <c r="X45" s="551">
        <v>1111</v>
      </c>
      <c r="Y45" s="551">
        <v>1091</v>
      </c>
      <c r="Z45" s="551">
        <v>2202</v>
      </c>
      <c r="AA45" s="551">
        <v>34396</v>
      </c>
      <c r="AB45" s="551">
        <v>40107</v>
      </c>
      <c r="AC45" s="551">
        <v>74503</v>
      </c>
    </row>
    <row r="46" spans="1:29">
      <c r="A46" s="1202"/>
      <c r="B46" s="590" t="s">
        <v>227</v>
      </c>
      <c r="C46" s="339">
        <v>472</v>
      </c>
      <c r="D46" s="339">
        <v>415</v>
      </c>
      <c r="E46" s="360">
        <v>887</v>
      </c>
      <c r="F46" s="339">
        <v>168</v>
      </c>
      <c r="G46" s="339">
        <v>67</v>
      </c>
      <c r="H46" s="360">
        <v>235</v>
      </c>
      <c r="I46" s="348">
        <v>4853.8463378402666</v>
      </c>
      <c r="J46" s="348">
        <v>8340.1839662067541</v>
      </c>
      <c r="K46" s="361">
        <v>13194.030304047021</v>
      </c>
      <c r="L46" s="348">
        <v>26275.809648325136</v>
      </c>
      <c r="M46" s="348">
        <v>29049.608451791282</v>
      </c>
      <c r="N46" s="361">
        <v>55325.418100116411</v>
      </c>
      <c r="O46" s="339">
        <v>243</v>
      </c>
      <c r="P46" s="339">
        <v>350</v>
      </c>
      <c r="Q46" s="360">
        <v>593</v>
      </c>
      <c r="R46" s="339">
        <v>1438</v>
      </c>
      <c r="S46" s="339">
        <v>1201</v>
      </c>
      <c r="T46" s="360">
        <v>2639</v>
      </c>
      <c r="U46" s="339">
        <v>456</v>
      </c>
      <c r="V46" s="339">
        <v>244</v>
      </c>
      <c r="W46" s="360">
        <v>700</v>
      </c>
      <c r="X46" s="339">
        <v>1058</v>
      </c>
      <c r="Y46" s="339">
        <v>1133</v>
      </c>
      <c r="Z46" s="360">
        <v>2191</v>
      </c>
      <c r="AA46" s="350">
        <v>34964.655986165402</v>
      </c>
      <c r="AB46" s="350">
        <v>40799.792417998033</v>
      </c>
      <c r="AC46" s="361">
        <v>75764.448404163428</v>
      </c>
    </row>
    <row r="47" spans="1:29">
      <c r="A47" s="1202">
        <v>7</v>
      </c>
      <c r="B47" s="599" t="s">
        <v>20</v>
      </c>
      <c r="C47" s="600"/>
      <c r="D47" s="601"/>
      <c r="E47" s="601"/>
      <c r="F47" s="601"/>
      <c r="G47" s="601"/>
      <c r="H47" s="601"/>
      <c r="I47" s="601"/>
      <c r="J47" s="601"/>
      <c r="K47" s="602"/>
      <c r="L47" s="600"/>
      <c r="M47" s="601"/>
      <c r="N47" s="601"/>
      <c r="O47" s="601"/>
      <c r="P47" s="601"/>
      <c r="Q47" s="601"/>
      <c r="R47" s="601"/>
      <c r="S47" s="601"/>
      <c r="T47" s="602"/>
      <c r="U47" s="600"/>
      <c r="V47" s="601"/>
      <c r="W47" s="601"/>
      <c r="X47" s="601"/>
      <c r="Y47" s="601"/>
      <c r="Z47" s="601"/>
      <c r="AA47" s="601"/>
      <c r="AB47" s="601"/>
      <c r="AC47" s="602"/>
    </row>
    <row r="48" spans="1:29">
      <c r="A48" s="1202"/>
      <c r="B48" s="590" t="s">
        <v>919</v>
      </c>
      <c r="C48" s="600">
        <v>920</v>
      </c>
      <c r="D48" s="601">
        <v>917</v>
      </c>
      <c r="E48" s="601">
        <v>1837</v>
      </c>
      <c r="F48" s="601">
        <v>4</v>
      </c>
      <c r="G48" s="601">
        <v>8</v>
      </c>
      <c r="H48" s="601">
        <v>12</v>
      </c>
      <c r="I48" s="601">
        <v>27658</v>
      </c>
      <c r="J48" s="601">
        <v>44742</v>
      </c>
      <c r="K48" s="602">
        <v>72400</v>
      </c>
      <c r="L48" s="600">
        <v>215787</v>
      </c>
      <c r="M48" s="601">
        <v>267762</v>
      </c>
      <c r="N48" s="601">
        <v>483549</v>
      </c>
      <c r="O48" s="601">
        <v>5742</v>
      </c>
      <c r="P48" s="601">
        <v>6344</v>
      </c>
      <c r="Q48" s="601">
        <v>12086</v>
      </c>
      <c r="R48" s="601">
        <v>21386</v>
      </c>
      <c r="S48" s="601">
        <v>15254</v>
      </c>
      <c r="T48" s="602">
        <v>36640</v>
      </c>
      <c r="U48" s="600">
        <v>226</v>
      </c>
      <c r="V48" s="601">
        <v>428</v>
      </c>
      <c r="W48" s="601">
        <v>654</v>
      </c>
      <c r="X48" s="601">
        <v>2690</v>
      </c>
      <c r="Y48" s="601">
        <v>2409</v>
      </c>
      <c r="Z48" s="601">
        <v>5099</v>
      </c>
      <c r="AA48" s="601">
        <v>274413</v>
      </c>
      <c r="AB48" s="601">
        <v>337864</v>
      </c>
      <c r="AC48" s="602">
        <v>612277</v>
      </c>
    </row>
    <row r="49" spans="1:29">
      <c r="A49" s="1202"/>
      <c r="B49" s="590" t="s">
        <v>876</v>
      </c>
      <c r="C49" s="551">
        <v>910</v>
      </c>
      <c r="D49" s="551">
        <v>744</v>
      </c>
      <c r="E49" s="551">
        <v>1654</v>
      </c>
      <c r="F49" s="551">
        <v>36</v>
      </c>
      <c r="G49" s="551">
        <v>22</v>
      </c>
      <c r="H49" s="551">
        <v>58</v>
      </c>
      <c r="I49" s="551">
        <v>25566</v>
      </c>
      <c r="J49" s="551">
        <v>39663</v>
      </c>
      <c r="K49" s="551">
        <v>65229</v>
      </c>
      <c r="L49" s="551">
        <v>203718</v>
      </c>
      <c r="M49" s="551">
        <v>251446</v>
      </c>
      <c r="N49" s="551">
        <v>455164</v>
      </c>
      <c r="O49" s="551">
        <v>4450</v>
      </c>
      <c r="P49" s="551">
        <v>4591</v>
      </c>
      <c r="Q49" s="551">
        <v>9041</v>
      </c>
      <c r="R49" s="551">
        <v>21367</v>
      </c>
      <c r="S49" s="551">
        <v>15337</v>
      </c>
      <c r="T49" s="551">
        <v>36704</v>
      </c>
      <c r="U49" s="551">
        <v>269</v>
      </c>
      <c r="V49" s="551">
        <v>424</v>
      </c>
      <c r="W49" s="551">
        <v>693</v>
      </c>
      <c r="X49" s="551">
        <v>1542</v>
      </c>
      <c r="Y49" s="551">
        <v>1540</v>
      </c>
      <c r="Z49" s="551">
        <v>3082</v>
      </c>
      <c r="AA49" s="551">
        <v>257858</v>
      </c>
      <c r="AB49" s="551">
        <v>313767</v>
      </c>
      <c r="AC49" s="551">
        <v>571625</v>
      </c>
    </row>
    <row r="50" spans="1:29">
      <c r="A50" s="1202"/>
      <c r="B50" s="590" t="s">
        <v>229</v>
      </c>
      <c r="C50" s="346">
        <v>824</v>
      </c>
      <c r="D50" s="346">
        <v>691</v>
      </c>
      <c r="E50" s="346">
        <v>1515</v>
      </c>
      <c r="F50" s="346">
        <v>109</v>
      </c>
      <c r="G50" s="346">
        <v>89</v>
      </c>
      <c r="H50" s="346">
        <v>198</v>
      </c>
      <c r="I50" s="346">
        <v>23040</v>
      </c>
      <c r="J50" s="346">
        <v>34523</v>
      </c>
      <c r="K50" s="346">
        <v>57563</v>
      </c>
      <c r="L50" s="346">
        <v>173403</v>
      </c>
      <c r="M50" s="346">
        <v>219635</v>
      </c>
      <c r="N50" s="346">
        <v>393038</v>
      </c>
      <c r="O50" s="346">
        <v>4672</v>
      </c>
      <c r="P50" s="346">
        <v>5099</v>
      </c>
      <c r="Q50" s="346">
        <v>9771</v>
      </c>
      <c r="R50" s="346">
        <v>22197</v>
      </c>
      <c r="S50" s="346">
        <v>15478</v>
      </c>
      <c r="T50" s="346">
        <v>37675</v>
      </c>
      <c r="U50" s="346">
        <v>210</v>
      </c>
      <c r="V50" s="346">
        <v>335</v>
      </c>
      <c r="W50" s="346">
        <v>545</v>
      </c>
      <c r="X50" s="346">
        <v>1882</v>
      </c>
      <c r="Y50" s="346">
        <v>1848</v>
      </c>
      <c r="Z50" s="346">
        <v>3730</v>
      </c>
      <c r="AA50" s="346">
        <v>226337</v>
      </c>
      <c r="AB50" s="346">
        <v>277698</v>
      </c>
      <c r="AC50" s="346">
        <v>504035</v>
      </c>
    </row>
    <row r="51" spans="1:29">
      <c r="A51" s="1202"/>
      <c r="B51" s="590" t="s">
        <v>228</v>
      </c>
      <c r="C51" s="551">
        <v>965</v>
      </c>
      <c r="D51" s="551">
        <v>509</v>
      </c>
      <c r="E51" s="551">
        <v>1474</v>
      </c>
      <c r="F51" s="551">
        <v>193</v>
      </c>
      <c r="G51" s="551">
        <v>151</v>
      </c>
      <c r="H51" s="551">
        <v>344</v>
      </c>
      <c r="I51" s="551">
        <v>22060</v>
      </c>
      <c r="J51" s="551">
        <v>30531</v>
      </c>
      <c r="K51" s="551">
        <v>52591</v>
      </c>
      <c r="L51" s="551">
        <v>171481</v>
      </c>
      <c r="M51" s="551">
        <v>204922</v>
      </c>
      <c r="N51" s="551">
        <v>376403</v>
      </c>
      <c r="O51" s="551">
        <v>4491</v>
      </c>
      <c r="P51" s="551">
        <v>4916</v>
      </c>
      <c r="Q51" s="551">
        <v>9407</v>
      </c>
      <c r="R51" s="551">
        <v>23015</v>
      </c>
      <c r="S51" s="551">
        <v>15902</v>
      </c>
      <c r="T51" s="551">
        <v>38917</v>
      </c>
      <c r="U51" s="551">
        <v>190</v>
      </c>
      <c r="V51" s="551">
        <v>365</v>
      </c>
      <c r="W51" s="551">
        <v>555</v>
      </c>
      <c r="X51" s="551">
        <v>1357</v>
      </c>
      <c r="Y51" s="551">
        <v>1444</v>
      </c>
      <c r="Z51" s="551">
        <v>2801</v>
      </c>
      <c r="AA51" s="551">
        <v>223752</v>
      </c>
      <c r="AB51" s="551">
        <v>258740</v>
      </c>
      <c r="AC51" s="551">
        <v>482492</v>
      </c>
    </row>
    <row r="52" spans="1:29">
      <c r="A52" s="1202"/>
      <c r="B52" s="590" t="s">
        <v>227</v>
      </c>
      <c r="C52" s="339">
        <v>740</v>
      </c>
      <c r="D52" s="339">
        <v>425</v>
      </c>
      <c r="E52" s="360">
        <v>1165</v>
      </c>
      <c r="F52" s="339">
        <v>149</v>
      </c>
      <c r="G52" s="339">
        <v>150</v>
      </c>
      <c r="H52" s="360">
        <v>299</v>
      </c>
      <c r="I52" s="339">
        <v>19804</v>
      </c>
      <c r="J52" s="339">
        <v>27619</v>
      </c>
      <c r="K52" s="360">
        <v>47423</v>
      </c>
      <c r="L52" s="339">
        <v>166217</v>
      </c>
      <c r="M52" s="339">
        <v>188330</v>
      </c>
      <c r="N52" s="360">
        <v>354547</v>
      </c>
      <c r="O52" s="339">
        <v>4163</v>
      </c>
      <c r="P52" s="339">
        <v>4377</v>
      </c>
      <c r="Q52" s="360">
        <v>8540</v>
      </c>
      <c r="R52" s="339">
        <v>23120</v>
      </c>
      <c r="S52" s="339">
        <v>16310</v>
      </c>
      <c r="T52" s="360">
        <v>39430</v>
      </c>
      <c r="U52" s="339">
        <v>211</v>
      </c>
      <c r="V52" s="339">
        <v>313</v>
      </c>
      <c r="W52" s="360">
        <v>524</v>
      </c>
      <c r="X52" s="339">
        <v>1014</v>
      </c>
      <c r="Y52" s="339">
        <v>1005</v>
      </c>
      <c r="Z52" s="360">
        <v>2019</v>
      </c>
      <c r="AA52" s="341">
        <v>215418</v>
      </c>
      <c r="AB52" s="341">
        <v>238529</v>
      </c>
      <c r="AC52" s="360">
        <v>453947</v>
      </c>
    </row>
    <row r="53" spans="1:29">
      <c r="A53" s="1202">
        <v>8</v>
      </c>
      <c r="B53" s="599" t="s">
        <v>23</v>
      </c>
      <c r="C53" s="600"/>
      <c r="D53" s="601"/>
      <c r="E53" s="601"/>
      <c r="F53" s="601"/>
      <c r="G53" s="601"/>
      <c r="H53" s="601"/>
      <c r="I53" s="601"/>
      <c r="J53" s="601"/>
      <c r="K53" s="602"/>
      <c r="L53" s="600"/>
      <c r="M53" s="601"/>
      <c r="N53" s="601"/>
      <c r="O53" s="601"/>
      <c r="P53" s="601"/>
      <c r="Q53" s="601"/>
      <c r="R53" s="601"/>
      <c r="S53" s="601"/>
      <c r="T53" s="602"/>
      <c r="U53" s="600"/>
      <c r="V53" s="601"/>
      <c r="W53" s="601"/>
      <c r="X53" s="601"/>
      <c r="Y53" s="601"/>
      <c r="Z53" s="601"/>
      <c r="AA53" s="601"/>
      <c r="AB53" s="601"/>
      <c r="AC53" s="602"/>
    </row>
    <row r="54" spans="1:29">
      <c r="A54" s="1202"/>
      <c r="B54" s="590" t="s">
        <v>919</v>
      </c>
      <c r="C54" s="600">
        <v>7533</v>
      </c>
      <c r="D54" s="601">
        <v>6561</v>
      </c>
      <c r="E54" s="601">
        <v>14094</v>
      </c>
      <c r="F54" s="601">
        <v>716</v>
      </c>
      <c r="G54" s="601">
        <v>761</v>
      </c>
      <c r="H54" s="601">
        <v>1477</v>
      </c>
      <c r="I54" s="601">
        <v>22132</v>
      </c>
      <c r="J54" s="601">
        <v>22665</v>
      </c>
      <c r="K54" s="602">
        <v>44797</v>
      </c>
      <c r="L54" s="600">
        <v>179180</v>
      </c>
      <c r="M54" s="601">
        <v>197718</v>
      </c>
      <c r="N54" s="601">
        <v>376898</v>
      </c>
      <c r="O54" s="601">
        <v>3763</v>
      </c>
      <c r="P54" s="601">
        <v>2519</v>
      </c>
      <c r="Q54" s="601">
        <v>6282</v>
      </c>
      <c r="R54" s="601">
        <v>14930</v>
      </c>
      <c r="S54" s="601">
        <v>11747</v>
      </c>
      <c r="T54" s="602">
        <v>26677</v>
      </c>
      <c r="U54" s="600">
        <v>1311</v>
      </c>
      <c r="V54" s="601">
        <v>1066</v>
      </c>
      <c r="W54" s="601">
        <v>2377</v>
      </c>
      <c r="X54" s="601">
        <v>3785</v>
      </c>
      <c r="Y54" s="601">
        <v>2349</v>
      </c>
      <c r="Z54" s="601">
        <v>6134</v>
      </c>
      <c r="AA54" s="601">
        <v>233350</v>
      </c>
      <c r="AB54" s="601">
        <v>245386</v>
      </c>
      <c r="AC54" s="602">
        <v>478736</v>
      </c>
    </row>
    <row r="55" spans="1:29">
      <c r="A55" s="1202"/>
      <c r="B55" s="590" t="s">
        <v>876</v>
      </c>
      <c r="C55" s="551">
        <v>8112</v>
      </c>
      <c r="D55" s="551">
        <v>7332</v>
      </c>
      <c r="E55" s="551">
        <v>15444</v>
      </c>
      <c r="F55" s="551">
        <v>772</v>
      </c>
      <c r="G55" s="551">
        <v>764</v>
      </c>
      <c r="H55" s="551">
        <v>1536</v>
      </c>
      <c r="I55" s="551">
        <v>20904</v>
      </c>
      <c r="J55" s="551">
        <v>21417</v>
      </c>
      <c r="K55" s="551">
        <v>42321</v>
      </c>
      <c r="L55" s="551">
        <v>167197</v>
      </c>
      <c r="M55" s="551">
        <v>185508</v>
      </c>
      <c r="N55" s="551">
        <v>352705</v>
      </c>
      <c r="O55" s="551">
        <v>4076</v>
      </c>
      <c r="P55" s="551">
        <v>2979</v>
      </c>
      <c r="Q55" s="551">
        <v>7055</v>
      </c>
      <c r="R55" s="551">
        <v>15220</v>
      </c>
      <c r="S55" s="551">
        <v>12709</v>
      </c>
      <c r="T55" s="551">
        <v>27929</v>
      </c>
      <c r="U55" s="551">
        <v>1415</v>
      </c>
      <c r="V55" s="551">
        <v>1143</v>
      </c>
      <c r="W55" s="551">
        <v>2558</v>
      </c>
      <c r="X55" s="551">
        <v>3735</v>
      </c>
      <c r="Y55" s="551">
        <v>2228</v>
      </c>
      <c r="Z55" s="551">
        <v>5963</v>
      </c>
      <c r="AA55" s="551">
        <v>221431</v>
      </c>
      <c r="AB55" s="551">
        <v>234080</v>
      </c>
      <c r="AC55" s="551">
        <v>455511</v>
      </c>
    </row>
    <row r="56" spans="1:29">
      <c r="A56" s="1202"/>
      <c r="B56" s="590" t="s">
        <v>229</v>
      </c>
      <c r="C56" s="346">
        <v>8812</v>
      </c>
      <c r="D56" s="346">
        <v>7458</v>
      </c>
      <c r="E56" s="346">
        <v>16270</v>
      </c>
      <c r="F56" s="346">
        <v>650</v>
      </c>
      <c r="G56" s="346">
        <v>672</v>
      </c>
      <c r="H56" s="346">
        <v>1322</v>
      </c>
      <c r="I56" s="346">
        <v>24635</v>
      </c>
      <c r="J56" s="346">
        <v>24080</v>
      </c>
      <c r="K56" s="346">
        <v>48715</v>
      </c>
      <c r="L56" s="346">
        <v>162498</v>
      </c>
      <c r="M56" s="346">
        <v>178598</v>
      </c>
      <c r="N56" s="346">
        <v>341096</v>
      </c>
      <c r="O56" s="346">
        <v>2692</v>
      </c>
      <c r="P56" s="346">
        <v>2215</v>
      </c>
      <c r="Q56" s="346">
        <v>4907</v>
      </c>
      <c r="R56" s="346">
        <v>17816</v>
      </c>
      <c r="S56" s="346">
        <v>12949</v>
      </c>
      <c r="T56" s="346">
        <v>30765</v>
      </c>
      <c r="U56" s="346">
        <v>2340</v>
      </c>
      <c r="V56" s="346">
        <v>1627</v>
      </c>
      <c r="W56" s="346">
        <v>3967</v>
      </c>
      <c r="X56" s="346">
        <v>2999</v>
      </c>
      <c r="Y56" s="346">
        <v>1497</v>
      </c>
      <c r="Z56" s="346">
        <v>4496</v>
      </c>
      <c r="AA56" s="346">
        <v>222442</v>
      </c>
      <c r="AB56" s="346">
        <v>229096</v>
      </c>
      <c r="AC56" s="346">
        <v>451538</v>
      </c>
    </row>
    <row r="57" spans="1:29">
      <c r="A57" s="1202"/>
      <c r="B57" s="590" t="s">
        <v>228</v>
      </c>
      <c r="C57" s="551">
        <v>4918</v>
      </c>
      <c r="D57" s="551">
        <v>4493</v>
      </c>
      <c r="E57" s="551">
        <v>9411</v>
      </c>
      <c r="F57" s="551">
        <v>2402</v>
      </c>
      <c r="G57" s="551">
        <v>2684</v>
      </c>
      <c r="H57" s="551">
        <v>5086</v>
      </c>
      <c r="I57" s="551">
        <v>25115</v>
      </c>
      <c r="J57" s="551">
        <v>24578</v>
      </c>
      <c r="K57" s="551">
        <v>49693</v>
      </c>
      <c r="L57" s="551">
        <v>159224</v>
      </c>
      <c r="M57" s="551">
        <v>169739</v>
      </c>
      <c r="N57" s="551">
        <v>328963</v>
      </c>
      <c r="O57" s="551">
        <v>1933</v>
      </c>
      <c r="P57" s="551">
        <v>1797</v>
      </c>
      <c r="Q57" s="551">
        <v>3730</v>
      </c>
      <c r="R57" s="551">
        <v>16697</v>
      </c>
      <c r="S57" s="551">
        <v>12316</v>
      </c>
      <c r="T57" s="551">
        <v>29013</v>
      </c>
      <c r="U57" s="551">
        <v>2348</v>
      </c>
      <c r="V57" s="551">
        <v>1656</v>
      </c>
      <c r="W57" s="551">
        <v>4004</v>
      </c>
      <c r="X57" s="551">
        <v>3189</v>
      </c>
      <c r="Y57" s="551">
        <v>1882</v>
      </c>
      <c r="Z57" s="551">
        <v>5071</v>
      </c>
      <c r="AA57" s="551">
        <v>215826</v>
      </c>
      <c r="AB57" s="551">
        <v>219145</v>
      </c>
      <c r="AC57" s="551">
        <v>434971</v>
      </c>
    </row>
    <row r="58" spans="1:29">
      <c r="A58" s="1202"/>
      <c r="B58" s="590" t="s">
        <v>227</v>
      </c>
      <c r="C58" s="339">
        <v>7580</v>
      </c>
      <c r="D58" s="339">
        <v>7132</v>
      </c>
      <c r="E58" s="358">
        <v>14712</v>
      </c>
      <c r="F58" s="339">
        <v>1243</v>
      </c>
      <c r="G58" s="339">
        <v>1380</v>
      </c>
      <c r="H58" s="358">
        <v>2623</v>
      </c>
      <c r="I58" s="348">
        <v>24109.452372635584</v>
      </c>
      <c r="J58" s="348">
        <v>24492.275494269546</v>
      </c>
      <c r="K58" s="359">
        <v>48601.72786690513</v>
      </c>
      <c r="L58" s="348">
        <v>157782.12838086154</v>
      </c>
      <c r="M58" s="348">
        <v>164764.03819226782</v>
      </c>
      <c r="N58" s="359">
        <v>322546.16657312936</v>
      </c>
      <c r="O58" s="339">
        <v>2468</v>
      </c>
      <c r="P58" s="339">
        <v>1714</v>
      </c>
      <c r="Q58" s="358">
        <v>4182</v>
      </c>
      <c r="R58" s="339">
        <v>17060</v>
      </c>
      <c r="S58" s="339">
        <v>11596</v>
      </c>
      <c r="T58" s="358">
        <v>28656</v>
      </c>
      <c r="U58" s="339">
        <v>2257</v>
      </c>
      <c r="V58" s="339">
        <v>1471</v>
      </c>
      <c r="W58" s="358">
        <v>3728</v>
      </c>
      <c r="X58" s="339">
        <v>2126</v>
      </c>
      <c r="Y58" s="339">
        <v>1019</v>
      </c>
      <c r="Z58" s="358">
        <v>3145</v>
      </c>
      <c r="AA58" s="350">
        <v>214625.58075349708</v>
      </c>
      <c r="AB58" s="350">
        <v>213568.31368653738</v>
      </c>
      <c r="AC58" s="359">
        <v>428193.8944400344</v>
      </c>
    </row>
    <row r="59" spans="1:29">
      <c r="A59" s="1202">
        <v>9</v>
      </c>
      <c r="B59" s="599" t="s">
        <v>24</v>
      </c>
      <c r="C59" s="600"/>
      <c r="D59" s="601"/>
      <c r="E59" s="601"/>
      <c r="F59" s="601"/>
      <c r="G59" s="601"/>
      <c r="H59" s="601"/>
      <c r="I59" s="601"/>
      <c r="J59" s="601"/>
      <c r="K59" s="602"/>
      <c r="L59" s="600"/>
      <c r="M59" s="601"/>
      <c r="N59" s="601"/>
      <c r="O59" s="601"/>
      <c r="P59" s="601"/>
      <c r="Q59" s="601"/>
      <c r="R59" s="601"/>
      <c r="S59" s="601"/>
      <c r="T59" s="602"/>
      <c r="U59" s="600"/>
      <c r="V59" s="601"/>
      <c r="W59" s="601"/>
      <c r="X59" s="601"/>
      <c r="Y59" s="601"/>
      <c r="Z59" s="601"/>
      <c r="AA59" s="601"/>
      <c r="AB59" s="601"/>
      <c r="AC59" s="602"/>
    </row>
    <row r="60" spans="1:29">
      <c r="A60" s="1202"/>
      <c r="B60" s="590" t="s">
        <v>919</v>
      </c>
      <c r="C60" s="600">
        <v>494</v>
      </c>
      <c r="D60" s="601">
        <v>407</v>
      </c>
      <c r="E60" s="601">
        <v>901</v>
      </c>
      <c r="F60" s="601">
        <v>10</v>
      </c>
      <c r="G60" s="601"/>
      <c r="H60" s="601">
        <v>10</v>
      </c>
      <c r="I60" s="601">
        <v>2710</v>
      </c>
      <c r="J60" s="601">
        <v>3680</v>
      </c>
      <c r="K60" s="602">
        <v>6390</v>
      </c>
      <c r="L60" s="600">
        <v>20831</v>
      </c>
      <c r="M60" s="601">
        <v>21355</v>
      </c>
      <c r="N60" s="601">
        <v>42186</v>
      </c>
      <c r="O60" s="601">
        <v>48</v>
      </c>
      <c r="P60" s="601">
        <v>56</v>
      </c>
      <c r="Q60" s="601">
        <v>104</v>
      </c>
      <c r="R60" s="601">
        <v>6490</v>
      </c>
      <c r="S60" s="601">
        <v>945</v>
      </c>
      <c r="T60" s="602">
        <v>7435</v>
      </c>
      <c r="U60" s="600">
        <v>12</v>
      </c>
      <c r="V60" s="601"/>
      <c r="W60" s="601">
        <v>12</v>
      </c>
      <c r="X60" s="601">
        <v>1581</v>
      </c>
      <c r="Y60" s="601">
        <v>1221</v>
      </c>
      <c r="Z60" s="601">
        <v>2802</v>
      </c>
      <c r="AA60" s="601">
        <v>32176</v>
      </c>
      <c r="AB60" s="601">
        <v>27664</v>
      </c>
      <c r="AC60" s="602">
        <v>59840</v>
      </c>
    </row>
    <row r="61" spans="1:29">
      <c r="A61" s="1202"/>
      <c r="B61" s="590" t="s">
        <v>876</v>
      </c>
      <c r="C61" s="551">
        <v>276</v>
      </c>
      <c r="D61" s="551">
        <v>340</v>
      </c>
      <c r="E61" s="551">
        <v>616</v>
      </c>
      <c r="F61" s="551">
        <v>6</v>
      </c>
      <c r="G61" s="551">
        <v>2</v>
      </c>
      <c r="H61" s="551">
        <v>8</v>
      </c>
      <c r="I61" s="551">
        <v>2169</v>
      </c>
      <c r="J61" s="551">
        <v>3376</v>
      </c>
      <c r="K61" s="551">
        <v>5545</v>
      </c>
      <c r="L61" s="551">
        <v>17717</v>
      </c>
      <c r="M61" s="551">
        <v>21797</v>
      </c>
      <c r="N61" s="551">
        <v>39514</v>
      </c>
      <c r="O61" s="551">
        <v>24</v>
      </c>
      <c r="P61" s="551">
        <v>71</v>
      </c>
      <c r="Q61" s="551">
        <v>95</v>
      </c>
      <c r="R61" s="551">
        <v>4656</v>
      </c>
      <c r="S61" s="551">
        <v>1534</v>
      </c>
      <c r="T61" s="551">
        <v>6190</v>
      </c>
      <c r="U61" s="551">
        <v>17</v>
      </c>
      <c r="V61" s="551">
        <v>14</v>
      </c>
      <c r="W61" s="551">
        <v>31</v>
      </c>
      <c r="X61" s="551">
        <v>422</v>
      </c>
      <c r="Y61" s="551">
        <v>923</v>
      </c>
      <c r="Z61" s="551">
        <v>1345</v>
      </c>
      <c r="AA61" s="551">
        <v>25287</v>
      </c>
      <c r="AB61" s="551">
        <v>28057</v>
      </c>
      <c r="AC61" s="551">
        <v>53344</v>
      </c>
    </row>
    <row r="62" spans="1:29">
      <c r="A62" s="1202"/>
      <c r="B62" s="590" t="s">
        <v>229</v>
      </c>
      <c r="C62" s="346">
        <v>217</v>
      </c>
      <c r="D62" s="346">
        <v>216</v>
      </c>
      <c r="E62" s="346">
        <v>433</v>
      </c>
      <c r="F62" s="346">
        <v>1</v>
      </c>
      <c r="G62" s="346">
        <v>4</v>
      </c>
      <c r="H62" s="346">
        <v>5</v>
      </c>
      <c r="I62" s="346">
        <v>1799</v>
      </c>
      <c r="J62" s="346">
        <v>3139</v>
      </c>
      <c r="K62" s="346">
        <v>4938</v>
      </c>
      <c r="L62" s="346">
        <v>15641</v>
      </c>
      <c r="M62" s="346">
        <v>20727</v>
      </c>
      <c r="N62" s="346">
        <v>36368</v>
      </c>
      <c r="O62" s="346">
        <v>39</v>
      </c>
      <c r="P62" s="346">
        <v>52</v>
      </c>
      <c r="Q62" s="346">
        <v>91</v>
      </c>
      <c r="R62" s="346">
        <v>4412</v>
      </c>
      <c r="S62" s="346">
        <v>872</v>
      </c>
      <c r="T62" s="346">
        <v>5284</v>
      </c>
      <c r="U62" s="346">
        <v>20</v>
      </c>
      <c r="V62" s="346">
        <v>4</v>
      </c>
      <c r="W62" s="346">
        <v>24</v>
      </c>
      <c r="X62" s="346">
        <v>196</v>
      </c>
      <c r="Y62" s="346">
        <v>528</v>
      </c>
      <c r="Z62" s="346">
        <v>724</v>
      </c>
      <c r="AA62" s="346">
        <v>22325</v>
      </c>
      <c r="AB62" s="346">
        <v>25542</v>
      </c>
      <c r="AC62" s="346">
        <v>47867</v>
      </c>
    </row>
    <row r="63" spans="1:29">
      <c r="A63" s="1202"/>
      <c r="B63" s="590" t="s">
        <v>228</v>
      </c>
      <c r="C63" s="551">
        <v>167</v>
      </c>
      <c r="D63" s="551">
        <v>129</v>
      </c>
      <c r="E63" s="551">
        <v>296</v>
      </c>
      <c r="F63" s="551">
        <v>0</v>
      </c>
      <c r="G63" s="551">
        <v>0</v>
      </c>
      <c r="H63" s="551">
        <v>0</v>
      </c>
      <c r="I63" s="551">
        <v>1615</v>
      </c>
      <c r="J63" s="551">
        <v>2846</v>
      </c>
      <c r="K63" s="551">
        <v>4461</v>
      </c>
      <c r="L63" s="551">
        <v>16567</v>
      </c>
      <c r="M63" s="551">
        <v>21225</v>
      </c>
      <c r="N63" s="551">
        <v>37792</v>
      </c>
      <c r="O63" s="551">
        <v>37</v>
      </c>
      <c r="P63" s="551">
        <v>29</v>
      </c>
      <c r="Q63" s="551">
        <v>66</v>
      </c>
      <c r="R63" s="551">
        <v>5566</v>
      </c>
      <c r="S63" s="551">
        <v>751</v>
      </c>
      <c r="T63" s="551">
        <v>6317</v>
      </c>
      <c r="U63" s="551">
        <v>11</v>
      </c>
      <c r="V63" s="551">
        <v>0</v>
      </c>
      <c r="W63" s="551">
        <v>11</v>
      </c>
      <c r="X63" s="551">
        <v>213</v>
      </c>
      <c r="Y63" s="551">
        <v>479</v>
      </c>
      <c r="Z63" s="551">
        <v>692</v>
      </c>
      <c r="AA63" s="551">
        <v>24176</v>
      </c>
      <c r="AB63" s="551">
        <v>25459</v>
      </c>
      <c r="AC63" s="551">
        <v>49635</v>
      </c>
    </row>
    <row r="64" spans="1:29">
      <c r="A64" s="1202"/>
      <c r="B64" s="590" t="s">
        <v>227</v>
      </c>
      <c r="C64" s="339">
        <v>71</v>
      </c>
      <c r="D64" s="339">
        <v>41</v>
      </c>
      <c r="E64" s="358">
        <v>112</v>
      </c>
      <c r="F64" s="339">
        <v>0</v>
      </c>
      <c r="G64" s="339">
        <v>0</v>
      </c>
      <c r="H64" s="358">
        <v>0</v>
      </c>
      <c r="I64" s="348">
        <v>1435.6060566671986</v>
      </c>
      <c r="J64" s="348">
        <v>2562.6443697007871</v>
      </c>
      <c r="K64" s="359">
        <v>3998.2504263679857</v>
      </c>
      <c r="L64" s="348">
        <v>13378.713183328669</v>
      </c>
      <c r="M64" s="348">
        <v>19031.159220925842</v>
      </c>
      <c r="N64" s="359">
        <v>32409.872404254507</v>
      </c>
      <c r="O64" s="339">
        <v>43</v>
      </c>
      <c r="P64" s="339">
        <v>37</v>
      </c>
      <c r="Q64" s="358">
        <v>80</v>
      </c>
      <c r="R64" s="339">
        <v>5924</v>
      </c>
      <c r="S64" s="339">
        <v>782</v>
      </c>
      <c r="T64" s="358">
        <v>6706</v>
      </c>
      <c r="U64" s="339">
        <v>12</v>
      </c>
      <c r="V64" s="339">
        <v>0</v>
      </c>
      <c r="W64" s="358">
        <v>12</v>
      </c>
      <c r="X64" s="339">
        <v>198</v>
      </c>
      <c r="Y64" s="339">
        <v>376</v>
      </c>
      <c r="Z64" s="358">
        <v>574</v>
      </c>
      <c r="AA64" s="350">
        <v>21062.319239995868</v>
      </c>
      <c r="AB64" s="350">
        <v>22829.80359062663</v>
      </c>
      <c r="AC64" s="359">
        <v>43892.122830622495</v>
      </c>
    </row>
    <row r="65" spans="1:29">
      <c r="A65" s="1202">
        <v>10</v>
      </c>
      <c r="B65" s="599" t="s">
        <v>25</v>
      </c>
      <c r="C65" s="600"/>
      <c r="D65" s="601"/>
      <c r="E65" s="601"/>
      <c r="F65" s="601"/>
      <c r="G65" s="601"/>
      <c r="H65" s="601"/>
      <c r="I65" s="601"/>
      <c r="J65" s="601"/>
      <c r="K65" s="602"/>
      <c r="L65" s="600"/>
      <c r="M65" s="601"/>
      <c r="N65" s="601"/>
      <c r="O65" s="601"/>
      <c r="P65" s="601"/>
      <c r="Q65" s="601"/>
      <c r="R65" s="601"/>
      <c r="S65" s="601"/>
      <c r="T65" s="602"/>
      <c r="U65" s="600"/>
      <c r="V65" s="601"/>
      <c r="W65" s="601"/>
      <c r="X65" s="601"/>
      <c r="Y65" s="601"/>
      <c r="Z65" s="601"/>
      <c r="AA65" s="601"/>
      <c r="AB65" s="601"/>
      <c r="AC65" s="602"/>
    </row>
    <row r="66" spans="1:29">
      <c r="A66" s="1202"/>
      <c r="B66" s="590" t="s">
        <v>919</v>
      </c>
      <c r="C66" s="600">
        <v>4799</v>
      </c>
      <c r="D66" s="601">
        <v>3734</v>
      </c>
      <c r="E66" s="601">
        <v>8533</v>
      </c>
      <c r="F66" s="601">
        <v>35</v>
      </c>
      <c r="G66" s="601">
        <v>29</v>
      </c>
      <c r="H66" s="601">
        <v>64</v>
      </c>
      <c r="I66" s="601">
        <v>85479</v>
      </c>
      <c r="J66" s="601">
        <v>98232</v>
      </c>
      <c r="K66" s="602">
        <v>183711</v>
      </c>
      <c r="L66" s="600">
        <v>718541</v>
      </c>
      <c r="M66" s="601">
        <v>555620</v>
      </c>
      <c r="N66" s="601">
        <v>1274161</v>
      </c>
      <c r="O66" s="601">
        <v>3499</v>
      </c>
      <c r="P66" s="601">
        <v>3585</v>
      </c>
      <c r="Q66" s="601">
        <v>7084</v>
      </c>
      <c r="R66" s="601">
        <v>109442</v>
      </c>
      <c r="S66" s="601">
        <v>54406</v>
      </c>
      <c r="T66" s="602">
        <v>163848</v>
      </c>
      <c r="U66" s="600">
        <v>3245</v>
      </c>
      <c r="V66" s="601">
        <v>2666</v>
      </c>
      <c r="W66" s="601">
        <v>5911</v>
      </c>
      <c r="X66" s="601">
        <v>12359</v>
      </c>
      <c r="Y66" s="601">
        <v>10484</v>
      </c>
      <c r="Z66" s="601">
        <v>22843</v>
      </c>
      <c r="AA66" s="601">
        <v>937399</v>
      </c>
      <c r="AB66" s="601">
        <v>728756</v>
      </c>
      <c r="AC66" s="602">
        <v>1666155</v>
      </c>
    </row>
    <row r="67" spans="1:29">
      <c r="A67" s="1202"/>
      <c r="B67" s="590" t="s">
        <v>876</v>
      </c>
      <c r="C67" s="551">
        <v>4819</v>
      </c>
      <c r="D67" s="551">
        <v>3202</v>
      </c>
      <c r="E67" s="551">
        <v>8021</v>
      </c>
      <c r="F67" s="551">
        <v>135</v>
      </c>
      <c r="G67" s="551">
        <v>177</v>
      </c>
      <c r="H67" s="551">
        <v>312</v>
      </c>
      <c r="I67" s="551">
        <v>79326</v>
      </c>
      <c r="J67" s="551">
        <v>91062</v>
      </c>
      <c r="K67" s="551">
        <v>170388</v>
      </c>
      <c r="L67" s="551">
        <v>675468</v>
      </c>
      <c r="M67" s="551">
        <v>523944</v>
      </c>
      <c r="N67" s="551">
        <v>1199412</v>
      </c>
      <c r="O67" s="551">
        <v>2645</v>
      </c>
      <c r="P67" s="551">
        <v>2541</v>
      </c>
      <c r="Q67" s="551">
        <v>5186</v>
      </c>
      <c r="R67" s="551">
        <v>100057</v>
      </c>
      <c r="S67" s="551">
        <v>49305</v>
      </c>
      <c r="T67" s="551">
        <v>149362</v>
      </c>
      <c r="U67" s="551">
        <v>13273</v>
      </c>
      <c r="V67" s="551">
        <v>2943</v>
      </c>
      <c r="W67" s="551">
        <v>16216</v>
      </c>
      <c r="X67" s="551">
        <v>9405</v>
      </c>
      <c r="Y67" s="551">
        <v>7575</v>
      </c>
      <c r="Z67" s="551">
        <v>16980</v>
      </c>
      <c r="AA67" s="551">
        <v>885128</v>
      </c>
      <c r="AB67" s="551">
        <v>680749</v>
      </c>
      <c r="AC67" s="551">
        <v>1565877</v>
      </c>
    </row>
    <row r="68" spans="1:29">
      <c r="A68" s="1202"/>
      <c r="B68" s="590" t="s">
        <v>229</v>
      </c>
      <c r="C68" s="346">
        <v>4380</v>
      </c>
      <c r="D68" s="346">
        <v>3050</v>
      </c>
      <c r="E68" s="346">
        <v>7430</v>
      </c>
      <c r="F68" s="346">
        <v>468</v>
      </c>
      <c r="G68" s="346">
        <v>469</v>
      </c>
      <c r="H68" s="346">
        <v>937</v>
      </c>
      <c r="I68" s="346">
        <v>62682</v>
      </c>
      <c r="J68" s="346">
        <v>81184</v>
      </c>
      <c r="K68" s="346">
        <v>143866</v>
      </c>
      <c r="L68" s="346">
        <v>652694</v>
      </c>
      <c r="M68" s="346">
        <v>509260</v>
      </c>
      <c r="N68" s="346">
        <v>1161954</v>
      </c>
      <c r="O68" s="346">
        <v>3055</v>
      </c>
      <c r="P68" s="346">
        <v>3009</v>
      </c>
      <c r="Q68" s="346">
        <v>6064</v>
      </c>
      <c r="R68" s="346">
        <v>94354</v>
      </c>
      <c r="S68" s="346">
        <v>44466</v>
      </c>
      <c r="T68" s="346">
        <v>138820</v>
      </c>
      <c r="U68" s="346">
        <v>3719</v>
      </c>
      <c r="V68" s="346">
        <v>4424</v>
      </c>
      <c r="W68" s="346">
        <v>8143</v>
      </c>
      <c r="X68" s="346">
        <v>7635</v>
      </c>
      <c r="Y68" s="346">
        <v>6880</v>
      </c>
      <c r="Z68" s="346">
        <v>14515</v>
      </c>
      <c r="AA68" s="346">
        <v>828987</v>
      </c>
      <c r="AB68" s="346">
        <v>652742</v>
      </c>
      <c r="AC68" s="346">
        <v>1481729</v>
      </c>
    </row>
    <row r="69" spans="1:29">
      <c r="A69" s="1202"/>
      <c r="B69" s="590" t="s">
        <v>228</v>
      </c>
      <c r="C69" s="551">
        <v>3589</v>
      </c>
      <c r="D69" s="551">
        <v>2328</v>
      </c>
      <c r="E69" s="551">
        <v>5917</v>
      </c>
      <c r="F69" s="551">
        <v>470</v>
      </c>
      <c r="G69" s="551">
        <v>414</v>
      </c>
      <c r="H69" s="551">
        <v>884</v>
      </c>
      <c r="I69" s="551">
        <v>57767</v>
      </c>
      <c r="J69" s="551">
        <v>76620</v>
      </c>
      <c r="K69" s="551">
        <v>134387</v>
      </c>
      <c r="L69" s="551">
        <v>619723</v>
      </c>
      <c r="M69" s="551">
        <v>479352</v>
      </c>
      <c r="N69" s="551">
        <v>1099075</v>
      </c>
      <c r="O69" s="551">
        <v>2891</v>
      </c>
      <c r="P69" s="551">
        <v>2993</v>
      </c>
      <c r="Q69" s="551">
        <v>5884</v>
      </c>
      <c r="R69" s="551">
        <v>97310</v>
      </c>
      <c r="S69" s="551">
        <v>40022</v>
      </c>
      <c r="T69" s="551">
        <v>137332</v>
      </c>
      <c r="U69" s="551">
        <v>3217</v>
      </c>
      <c r="V69" s="551">
        <v>4378</v>
      </c>
      <c r="W69" s="551">
        <v>7595</v>
      </c>
      <c r="X69" s="551">
        <v>7727</v>
      </c>
      <c r="Y69" s="551">
        <v>7389</v>
      </c>
      <c r="Z69" s="551">
        <v>15116</v>
      </c>
      <c r="AA69" s="551">
        <v>792694</v>
      </c>
      <c r="AB69" s="551">
        <v>613496</v>
      </c>
      <c r="AC69" s="551">
        <v>1406190</v>
      </c>
    </row>
    <row r="70" spans="1:29">
      <c r="A70" s="1202"/>
      <c r="B70" s="590" t="s">
        <v>227</v>
      </c>
      <c r="C70" s="339">
        <v>3256</v>
      </c>
      <c r="D70" s="339">
        <v>1995</v>
      </c>
      <c r="E70" s="358">
        <v>5251</v>
      </c>
      <c r="F70" s="339">
        <v>306</v>
      </c>
      <c r="G70" s="339">
        <v>291</v>
      </c>
      <c r="H70" s="358">
        <v>597</v>
      </c>
      <c r="I70" s="339">
        <v>55820</v>
      </c>
      <c r="J70" s="339">
        <v>71116</v>
      </c>
      <c r="K70" s="358">
        <v>126936</v>
      </c>
      <c r="L70" s="339">
        <v>615711</v>
      </c>
      <c r="M70" s="339">
        <v>471275</v>
      </c>
      <c r="N70" s="358">
        <v>1086986</v>
      </c>
      <c r="O70" s="339">
        <v>2859</v>
      </c>
      <c r="P70" s="339">
        <v>3007</v>
      </c>
      <c r="Q70" s="358">
        <v>5866</v>
      </c>
      <c r="R70" s="339">
        <v>102583</v>
      </c>
      <c r="S70" s="339">
        <v>37803</v>
      </c>
      <c r="T70" s="358">
        <v>140386</v>
      </c>
      <c r="U70" s="339">
        <v>3288</v>
      </c>
      <c r="V70" s="339">
        <v>4239</v>
      </c>
      <c r="W70" s="358">
        <v>7527</v>
      </c>
      <c r="X70" s="339">
        <v>7115</v>
      </c>
      <c r="Y70" s="339">
        <v>7290</v>
      </c>
      <c r="Z70" s="358">
        <v>14405</v>
      </c>
      <c r="AA70" s="341">
        <v>790938</v>
      </c>
      <c r="AB70" s="341">
        <v>597016</v>
      </c>
      <c r="AC70" s="358">
        <v>1387954</v>
      </c>
    </row>
    <row r="71" spans="1:29">
      <c r="A71" s="1202">
        <v>11</v>
      </c>
      <c r="B71" s="599" t="s">
        <v>26</v>
      </c>
      <c r="C71" s="600"/>
      <c r="D71" s="601"/>
      <c r="E71" s="601"/>
      <c r="F71" s="601"/>
      <c r="G71" s="601"/>
      <c r="H71" s="601"/>
      <c r="I71" s="601"/>
      <c r="J71" s="601"/>
      <c r="K71" s="602"/>
      <c r="L71" s="600"/>
      <c r="M71" s="601"/>
      <c r="N71" s="601"/>
      <c r="O71" s="601"/>
      <c r="P71" s="601"/>
      <c r="Q71" s="601"/>
      <c r="R71" s="601"/>
      <c r="S71" s="601"/>
      <c r="T71" s="602"/>
      <c r="U71" s="600"/>
      <c r="V71" s="601"/>
      <c r="W71" s="601"/>
      <c r="X71" s="601"/>
      <c r="Y71" s="601"/>
      <c r="Z71" s="601"/>
      <c r="AA71" s="601"/>
      <c r="AB71" s="601"/>
      <c r="AC71" s="602"/>
    </row>
    <row r="72" spans="1:29">
      <c r="A72" s="1202"/>
      <c r="B72" s="590" t="s">
        <v>919</v>
      </c>
      <c r="C72" s="600">
        <v>1784</v>
      </c>
      <c r="D72" s="601">
        <v>2385</v>
      </c>
      <c r="E72" s="601">
        <v>4169</v>
      </c>
      <c r="F72" s="601">
        <v>16</v>
      </c>
      <c r="G72" s="601">
        <v>32</v>
      </c>
      <c r="H72" s="601">
        <v>48</v>
      </c>
      <c r="I72" s="601">
        <v>36383</v>
      </c>
      <c r="J72" s="601">
        <v>65311</v>
      </c>
      <c r="K72" s="602">
        <v>101694</v>
      </c>
      <c r="L72" s="600">
        <v>325470</v>
      </c>
      <c r="M72" s="601">
        <v>359870</v>
      </c>
      <c r="N72" s="601">
        <v>685340</v>
      </c>
      <c r="O72" s="601">
        <v>1282</v>
      </c>
      <c r="P72" s="601">
        <v>1407</v>
      </c>
      <c r="Q72" s="601">
        <v>2689</v>
      </c>
      <c r="R72" s="601">
        <v>63214</v>
      </c>
      <c r="S72" s="601">
        <v>29622</v>
      </c>
      <c r="T72" s="602">
        <v>92836</v>
      </c>
      <c r="U72" s="600">
        <v>277</v>
      </c>
      <c r="V72" s="601">
        <v>511</v>
      </c>
      <c r="W72" s="601">
        <v>788</v>
      </c>
      <c r="X72" s="601">
        <v>11781</v>
      </c>
      <c r="Y72" s="601">
        <v>9648</v>
      </c>
      <c r="Z72" s="601">
        <v>21429</v>
      </c>
      <c r="AA72" s="601">
        <v>440207</v>
      </c>
      <c r="AB72" s="601">
        <v>468786</v>
      </c>
      <c r="AC72" s="602">
        <v>908993</v>
      </c>
    </row>
    <row r="73" spans="1:29">
      <c r="A73" s="1202"/>
      <c r="B73" s="590" t="s">
        <v>876</v>
      </c>
      <c r="C73" s="551">
        <v>2046</v>
      </c>
      <c r="D73" s="551">
        <v>2502</v>
      </c>
      <c r="E73" s="551">
        <v>4548</v>
      </c>
      <c r="F73" s="551">
        <v>104</v>
      </c>
      <c r="G73" s="551">
        <v>142</v>
      </c>
      <c r="H73" s="551">
        <v>246</v>
      </c>
      <c r="I73" s="551">
        <v>31622</v>
      </c>
      <c r="J73" s="551">
        <v>57938</v>
      </c>
      <c r="K73" s="551">
        <v>89560</v>
      </c>
      <c r="L73" s="551">
        <v>305577</v>
      </c>
      <c r="M73" s="551">
        <v>349690</v>
      </c>
      <c r="N73" s="551">
        <v>655267</v>
      </c>
      <c r="O73" s="551">
        <v>1089</v>
      </c>
      <c r="P73" s="551">
        <v>1109</v>
      </c>
      <c r="Q73" s="551">
        <v>2198</v>
      </c>
      <c r="R73" s="551">
        <v>59805</v>
      </c>
      <c r="S73" s="551">
        <v>26628</v>
      </c>
      <c r="T73" s="551">
        <v>86433</v>
      </c>
      <c r="U73" s="551">
        <v>659</v>
      </c>
      <c r="V73" s="551">
        <v>984</v>
      </c>
      <c r="W73" s="551">
        <v>1643</v>
      </c>
      <c r="X73" s="551">
        <v>9775</v>
      </c>
      <c r="Y73" s="551">
        <v>7662</v>
      </c>
      <c r="Z73" s="551">
        <v>17437</v>
      </c>
      <c r="AA73" s="551">
        <v>410677</v>
      </c>
      <c r="AB73" s="551">
        <v>446655</v>
      </c>
      <c r="AC73" s="551">
        <v>857332</v>
      </c>
    </row>
    <row r="74" spans="1:29">
      <c r="A74" s="1202"/>
      <c r="B74" s="590" t="s">
        <v>229</v>
      </c>
      <c r="C74" s="346">
        <v>1810</v>
      </c>
      <c r="D74" s="346">
        <v>2356</v>
      </c>
      <c r="E74" s="346">
        <v>4166</v>
      </c>
      <c r="F74" s="346">
        <v>80</v>
      </c>
      <c r="G74" s="346">
        <v>230</v>
      </c>
      <c r="H74" s="346">
        <v>310</v>
      </c>
      <c r="I74" s="346">
        <v>28328</v>
      </c>
      <c r="J74" s="346">
        <v>52669</v>
      </c>
      <c r="K74" s="346">
        <v>80997</v>
      </c>
      <c r="L74" s="346">
        <v>282926</v>
      </c>
      <c r="M74" s="346">
        <v>333714</v>
      </c>
      <c r="N74" s="346">
        <v>616640</v>
      </c>
      <c r="O74" s="346">
        <v>1372</v>
      </c>
      <c r="P74" s="346">
        <v>1360</v>
      </c>
      <c r="Q74" s="346">
        <v>2732</v>
      </c>
      <c r="R74" s="346">
        <v>49268</v>
      </c>
      <c r="S74" s="346">
        <v>21295</v>
      </c>
      <c r="T74" s="346">
        <v>70563</v>
      </c>
      <c r="U74" s="346">
        <v>1621</v>
      </c>
      <c r="V74" s="346">
        <v>1778</v>
      </c>
      <c r="W74" s="346">
        <v>3399</v>
      </c>
      <c r="X74" s="346">
        <v>8715</v>
      </c>
      <c r="Y74" s="346">
        <v>4334</v>
      </c>
      <c r="Z74" s="346">
        <v>13049</v>
      </c>
      <c r="AA74" s="346">
        <v>374120</v>
      </c>
      <c r="AB74" s="346">
        <v>417736</v>
      </c>
      <c r="AC74" s="346">
        <v>791856</v>
      </c>
    </row>
    <row r="75" spans="1:29">
      <c r="A75" s="1202"/>
      <c r="B75" s="590" t="s">
        <v>228</v>
      </c>
      <c r="C75" s="551">
        <v>1827</v>
      </c>
      <c r="D75" s="551">
        <v>1966</v>
      </c>
      <c r="E75" s="551">
        <v>3793</v>
      </c>
      <c r="F75" s="551">
        <v>154</v>
      </c>
      <c r="G75" s="551">
        <v>287</v>
      </c>
      <c r="H75" s="551">
        <v>441</v>
      </c>
      <c r="I75" s="551">
        <v>28449</v>
      </c>
      <c r="J75" s="551">
        <v>52423</v>
      </c>
      <c r="K75" s="551">
        <v>80872</v>
      </c>
      <c r="L75" s="551">
        <v>297161</v>
      </c>
      <c r="M75" s="551">
        <v>339410</v>
      </c>
      <c r="N75" s="551">
        <v>636571</v>
      </c>
      <c r="O75" s="551">
        <v>1062</v>
      </c>
      <c r="P75" s="551">
        <v>1097</v>
      </c>
      <c r="Q75" s="551">
        <v>2159</v>
      </c>
      <c r="R75" s="551">
        <v>49547</v>
      </c>
      <c r="S75" s="551">
        <v>21885</v>
      </c>
      <c r="T75" s="551">
        <v>71432</v>
      </c>
      <c r="U75" s="551">
        <v>1175</v>
      </c>
      <c r="V75" s="551">
        <v>1577</v>
      </c>
      <c r="W75" s="551">
        <v>2752</v>
      </c>
      <c r="X75" s="551">
        <v>8489</v>
      </c>
      <c r="Y75" s="551">
        <v>5960</v>
      </c>
      <c r="Z75" s="551">
        <v>14449</v>
      </c>
      <c r="AA75" s="551">
        <v>387276</v>
      </c>
      <c r="AB75" s="551">
        <v>421757</v>
      </c>
      <c r="AC75" s="551">
        <v>809033</v>
      </c>
    </row>
    <row r="76" spans="1:29">
      <c r="A76" s="1202"/>
      <c r="B76" s="590" t="s">
        <v>227</v>
      </c>
      <c r="C76" s="339">
        <v>1632</v>
      </c>
      <c r="D76" s="339">
        <v>1696</v>
      </c>
      <c r="E76" s="358">
        <v>3328</v>
      </c>
      <c r="F76" s="339">
        <v>170</v>
      </c>
      <c r="G76" s="339">
        <v>270</v>
      </c>
      <c r="H76" s="358">
        <v>440</v>
      </c>
      <c r="I76" s="348">
        <v>26862.360389324749</v>
      </c>
      <c r="J76" s="348">
        <v>49009.467817951023</v>
      </c>
      <c r="K76" s="359">
        <v>75871.828207275787</v>
      </c>
      <c r="L76" s="348">
        <v>306411.02289604669</v>
      </c>
      <c r="M76" s="348">
        <v>304134.36593495507</v>
      </c>
      <c r="N76" s="359">
        <v>610545.38883100171</v>
      </c>
      <c r="O76" s="339">
        <v>1199</v>
      </c>
      <c r="P76" s="339">
        <v>896</v>
      </c>
      <c r="Q76" s="358">
        <v>2095</v>
      </c>
      <c r="R76" s="339">
        <v>45327</v>
      </c>
      <c r="S76" s="339">
        <v>20664</v>
      </c>
      <c r="T76" s="358">
        <v>65991</v>
      </c>
      <c r="U76" s="339">
        <v>1241</v>
      </c>
      <c r="V76" s="339">
        <v>1831</v>
      </c>
      <c r="W76" s="358">
        <v>3072</v>
      </c>
      <c r="X76" s="339">
        <v>8294</v>
      </c>
      <c r="Y76" s="339">
        <v>4858</v>
      </c>
      <c r="Z76" s="358">
        <v>13152</v>
      </c>
      <c r="AA76" s="350">
        <v>391136.38328537147</v>
      </c>
      <c r="AB76" s="350">
        <v>383358.83375290607</v>
      </c>
      <c r="AC76" s="359">
        <v>774495.21703827754</v>
      </c>
    </row>
    <row r="77" spans="1:29">
      <c r="A77" s="1202">
        <v>12</v>
      </c>
      <c r="B77" s="599" t="s">
        <v>27</v>
      </c>
      <c r="C77" s="600"/>
      <c r="D77" s="601"/>
      <c r="E77" s="601"/>
      <c r="F77" s="601"/>
      <c r="G77" s="601"/>
      <c r="H77" s="601"/>
      <c r="I77" s="601"/>
      <c r="J77" s="601"/>
      <c r="K77" s="602"/>
      <c r="L77" s="600"/>
      <c r="M77" s="601"/>
      <c r="N77" s="601"/>
      <c r="O77" s="601"/>
      <c r="P77" s="601"/>
      <c r="Q77" s="601"/>
      <c r="R77" s="601"/>
      <c r="S77" s="601"/>
      <c r="T77" s="602"/>
      <c r="U77" s="600"/>
      <c r="V77" s="601"/>
      <c r="W77" s="601"/>
      <c r="X77" s="601"/>
      <c r="Y77" s="601"/>
      <c r="Z77" s="601"/>
      <c r="AA77" s="601"/>
      <c r="AB77" s="601"/>
      <c r="AC77" s="602"/>
    </row>
    <row r="78" spans="1:29">
      <c r="A78" s="1202"/>
      <c r="B78" s="590" t="s">
        <v>919</v>
      </c>
      <c r="C78" s="600">
        <v>1028</v>
      </c>
      <c r="D78" s="601">
        <v>1055</v>
      </c>
      <c r="E78" s="601">
        <v>2083</v>
      </c>
      <c r="F78" s="601">
        <v>44</v>
      </c>
      <c r="G78" s="601">
        <v>38</v>
      </c>
      <c r="H78" s="601">
        <v>82</v>
      </c>
      <c r="I78" s="601">
        <v>8188</v>
      </c>
      <c r="J78" s="601">
        <v>12123</v>
      </c>
      <c r="K78" s="602">
        <v>20311</v>
      </c>
      <c r="L78" s="600">
        <v>96407</v>
      </c>
      <c r="M78" s="601">
        <v>122052</v>
      </c>
      <c r="N78" s="601">
        <v>218459</v>
      </c>
      <c r="O78" s="601">
        <v>774</v>
      </c>
      <c r="P78" s="601">
        <v>785</v>
      </c>
      <c r="Q78" s="601">
        <v>1559</v>
      </c>
      <c r="R78" s="601">
        <v>8774</v>
      </c>
      <c r="S78" s="601">
        <v>7243</v>
      </c>
      <c r="T78" s="602">
        <v>16017</v>
      </c>
      <c r="U78" s="600">
        <v>333</v>
      </c>
      <c r="V78" s="601">
        <v>204</v>
      </c>
      <c r="W78" s="601">
        <v>537</v>
      </c>
      <c r="X78" s="601">
        <v>1504</v>
      </c>
      <c r="Y78" s="601">
        <v>1101</v>
      </c>
      <c r="Z78" s="601">
        <v>2605</v>
      </c>
      <c r="AA78" s="601">
        <v>117052</v>
      </c>
      <c r="AB78" s="601">
        <v>144601</v>
      </c>
      <c r="AC78" s="602">
        <v>261653</v>
      </c>
    </row>
    <row r="79" spans="1:29">
      <c r="A79" s="1202"/>
      <c r="B79" s="590" t="s">
        <v>876</v>
      </c>
      <c r="C79" s="551">
        <v>1100</v>
      </c>
      <c r="D79" s="551">
        <v>1012</v>
      </c>
      <c r="E79" s="551">
        <v>2112</v>
      </c>
      <c r="F79" s="551">
        <v>136</v>
      </c>
      <c r="G79" s="551">
        <v>134</v>
      </c>
      <c r="H79" s="551">
        <v>270</v>
      </c>
      <c r="I79" s="551">
        <v>8255</v>
      </c>
      <c r="J79" s="551">
        <v>11665</v>
      </c>
      <c r="K79" s="551">
        <v>19920</v>
      </c>
      <c r="L79" s="551">
        <v>86266</v>
      </c>
      <c r="M79" s="551">
        <v>110790</v>
      </c>
      <c r="N79" s="551">
        <v>197056</v>
      </c>
      <c r="O79" s="551">
        <v>364</v>
      </c>
      <c r="P79" s="551">
        <v>572</v>
      </c>
      <c r="Q79" s="551">
        <v>936</v>
      </c>
      <c r="R79" s="551">
        <v>8096</v>
      </c>
      <c r="S79" s="551">
        <v>7505</v>
      </c>
      <c r="T79" s="551">
        <v>15601</v>
      </c>
      <c r="U79" s="551">
        <v>324</v>
      </c>
      <c r="V79" s="551">
        <v>236</v>
      </c>
      <c r="W79" s="551">
        <v>560</v>
      </c>
      <c r="X79" s="551">
        <v>1504</v>
      </c>
      <c r="Y79" s="551">
        <v>965</v>
      </c>
      <c r="Z79" s="551">
        <v>2469</v>
      </c>
      <c r="AA79" s="551">
        <v>106045</v>
      </c>
      <c r="AB79" s="551">
        <v>132879</v>
      </c>
      <c r="AC79" s="551">
        <v>238924</v>
      </c>
    </row>
    <row r="80" spans="1:29">
      <c r="A80" s="1202"/>
      <c r="B80" s="590" t="s">
        <v>229</v>
      </c>
      <c r="C80" s="346">
        <v>1027</v>
      </c>
      <c r="D80" s="346">
        <v>897</v>
      </c>
      <c r="E80" s="346">
        <v>1924</v>
      </c>
      <c r="F80" s="346">
        <v>118</v>
      </c>
      <c r="G80" s="346">
        <v>214</v>
      </c>
      <c r="H80" s="346">
        <v>332</v>
      </c>
      <c r="I80" s="346">
        <v>7680</v>
      </c>
      <c r="J80" s="346">
        <v>10928</v>
      </c>
      <c r="K80" s="346">
        <v>18608</v>
      </c>
      <c r="L80" s="346">
        <v>88779</v>
      </c>
      <c r="M80" s="346">
        <v>113683</v>
      </c>
      <c r="N80" s="346">
        <v>202462</v>
      </c>
      <c r="O80" s="346">
        <v>354</v>
      </c>
      <c r="P80" s="346">
        <v>682</v>
      </c>
      <c r="Q80" s="346">
        <v>1036</v>
      </c>
      <c r="R80" s="346">
        <v>8449</v>
      </c>
      <c r="S80" s="346">
        <v>7753</v>
      </c>
      <c r="T80" s="346">
        <v>16202</v>
      </c>
      <c r="U80" s="346">
        <v>590</v>
      </c>
      <c r="V80" s="346">
        <v>677</v>
      </c>
      <c r="W80" s="346">
        <v>1267</v>
      </c>
      <c r="X80" s="346">
        <v>990</v>
      </c>
      <c r="Y80" s="346">
        <v>523</v>
      </c>
      <c r="Z80" s="346">
        <v>1513</v>
      </c>
      <c r="AA80" s="346">
        <v>107987</v>
      </c>
      <c r="AB80" s="346">
        <v>135357</v>
      </c>
      <c r="AC80" s="346">
        <v>243344</v>
      </c>
    </row>
    <row r="81" spans="1:29">
      <c r="A81" s="1202"/>
      <c r="B81" s="590" t="s">
        <v>228</v>
      </c>
      <c r="C81" s="551">
        <v>1121</v>
      </c>
      <c r="D81" s="551">
        <v>794</v>
      </c>
      <c r="E81" s="551">
        <v>1915</v>
      </c>
      <c r="F81" s="551">
        <v>95</v>
      </c>
      <c r="G81" s="551">
        <v>179</v>
      </c>
      <c r="H81" s="551">
        <v>274</v>
      </c>
      <c r="I81" s="551">
        <v>7690</v>
      </c>
      <c r="J81" s="551">
        <v>10949</v>
      </c>
      <c r="K81" s="551">
        <v>18639</v>
      </c>
      <c r="L81" s="551">
        <v>89450</v>
      </c>
      <c r="M81" s="551">
        <v>113337</v>
      </c>
      <c r="N81" s="551">
        <v>202787</v>
      </c>
      <c r="O81" s="551">
        <v>747</v>
      </c>
      <c r="P81" s="551">
        <v>645</v>
      </c>
      <c r="Q81" s="551">
        <v>1392</v>
      </c>
      <c r="R81" s="551">
        <v>8284</v>
      </c>
      <c r="S81" s="551">
        <v>7872</v>
      </c>
      <c r="T81" s="551">
        <v>16156</v>
      </c>
      <c r="U81" s="551">
        <v>899</v>
      </c>
      <c r="V81" s="551">
        <v>1050</v>
      </c>
      <c r="W81" s="551">
        <v>1949</v>
      </c>
      <c r="X81" s="551">
        <v>913</v>
      </c>
      <c r="Y81" s="551">
        <v>419</v>
      </c>
      <c r="Z81" s="551">
        <v>1332</v>
      </c>
      <c r="AA81" s="551">
        <v>109199</v>
      </c>
      <c r="AB81" s="551">
        <v>135245</v>
      </c>
      <c r="AC81" s="551">
        <v>244444</v>
      </c>
    </row>
    <row r="82" spans="1:29">
      <c r="A82" s="1202"/>
      <c r="B82" s="590" t="s">
        <v>227</v>
      </c>
      <c r="C82" s="339">
        <v>906</v>
      </c>
      <c r="D82" s="339">
        <v>794</v>
      </c>
      <c r="E82" s="358">
        <v>1700</v>
      </c>
      <c r="F82" s="339">
        <v>92</v>
      </c>
      <c r="G82" s="339">
        <v>167</v>
      </c>
      <c r="H82" s="358">
        <v>259</v>
      </c>
      <c r="I82" s="339">
        <v>7402</v>
      </c>
      <c r="J82" s="339">
        <v>11051</v>
      </c>
      <c r="K82" s="358">
        <v>18453</v>
      </c>
      <c r="L82" s="339">
        <v>87359</v>
      </c>
      <c r="M82" s="339">
        <v>109341</v>
      </c>
      <c r="N82" s="358">
        <v>196700</v>
      </c>
      <c r="O82" s="339">
        <v>445</v>
      </c>
      <c r="P82" s="339">
        <v>742</v>
      </c>
      <c r="Q82" s="358">
        <v>1187</v>
      </c>
      <c r="R82" s="339">
        <v>7925</v>
      </c>
      <c r="S82" s="339">
        <v>8091</v>
      </c>
      <c r="T82" s="358">
        <v>16016</v>
      </c>
      <c r="U82" s="339">
        <v>572</v>
      </c>
      <c r="V82" s="339">
        <v>851</v>
      </c>
      <c r="W82" s="358">
        <v>1423</v>
      </c>
      <c r="X82" s="339">
        <v>762</v>
      </c>
      <c r="Y82" s="339">
        <v>397</v>
      </c>
      <c r="Z82" s="358">
        <v>1159</v>
      </c>
      <c r="AA82" s="341">
        <v>105463</v>
      </c>
      <c r="AB82" s="341">
        <v>131434</v>
      </c>
      <c r="AC82" s="358">
        <v>236897</v>
      </c>
    </row>
    <row r="83" spans="1:29">
      <c r="A83" s="1202">
        <v>13</v>
      </c>
      <c r="B83" s="599" t="s">
        <v>57</v>
      </c>
      <c r="C83" s="600"/>
      <c r="D83" s="601"/>
      <c r="E83" s="601"/>
      <c r="F83" s="601"/>
      <c r="G83" s="601"/>
      <c r="H83" s="601"/>
      <c r="I83" s="601"/>
      <c r="J83" s="601"/>
      <c r="K83" s="602"/>
      <c r="L83" s="600"/>
      <c r="M83" s="601"/>
      <c r="N83" s="601"/>
      <c r="O83" s="601"/>
      <c r="P83" s="601"/>
      <c r="Q83" s="601"/>
      <c r="R83" s="601"/>
      <c r="S83" s="601"/>
      <c r="T83" s="602"/>
      <c r="U83" s="600"/>
      <c r="V83" s="601"/>
      <c r="W83" s="601"/>
      <c r="X83" s="601"/>
      <c r="Y83" s="601"/>
      <c r="Z83" s="601"/>
      <c r="AA83" s="601"/>
      <c r="AB83" s="601"/>
      <c r="AC83" s="602"/>
    </row>
    <row r="84" spans="1:29">
      <c r="A84" s="1202"/>
      <c r="B84" s="590" t="s">
        <v>919</v>
      </c>
      <c r="C84" s="600">
        <v>1879</v>
      </c>
      <c r="D84" s="601">
        <v>1923</v>
      </c>
      <c r="E84" s="601">
        <v>3802</v>
      </c>
      <c r="F84" s="601">
        <v>41</v>
      </c>
      <c r="G84" s="601">
        <v>82</v>
      </c>
      <c r="H84" s="601">
        <v>123</v>
      </c>
      <c r="I84" s="601">
        <v>9318</v>
      </c>
      <c r="J84" s="601">
        <v>11831</v>
      </c>
      <c r="K84" s="602">
        <v>21149</v>
      </c>
      <c r="L84" s="600">
        <v>105063</v>
      </c>
      <c r="M84" s="601">
        <v>115560</v>
      </c>
      <c r="N84" s="601">
        <v>220623</v>
      </c>
      <c r="O84" s="601">
        <v>193</v>
      </c>
      <c r="P84" s="601">
        <v>119</v>
      </c>
      <c r="Q84" s="601">
        <v>312</v>
      </c>
      <c r="R84" s="601">
        <v>8876</v>
      </c>
      <c r="S84" s="601">
        <v>10500</v>
      </c>
      <c r="T84" s="602">
        <v>19376</v>
      </c>
      <c r="U84" s="600">
        <v>330</v>
      </c>
      <c r="V84" s="601">
        <v>334</v>
      </c>
      <c r="W84" s="601">
        <v>664</v>
      </c>
      <c r="X84" s="601">
        <v>4188</v>
      </c>
      <c r="Y84" s="601">
        <v>4959</v>
      </c>
      <c r="Z84" s="601">
        <v>9147</v>
      </c>
      <c r="AA84" s="601">
        <v>129888</v>
      </c>
      <c r="AB84" s="601">
        <v>145308</v>
      </c>
      <c r="AC84" s="602">
        <v>275196</v>
      </c>
    </row>
    <row r="85" spans="1:29">
      <c r="A85" s="1202"/>
      <c r="B85" s="590" t="s">
        <v>876</v>
      </c>
      <c r="C85" s="551">
        <v>2412</v>
      </c>
      <c r="D85" s="551">
        <v>2033</v>
      </c>
      <c r="E85" s="551">
        <v>4445</v>
      </c>
      <c r="F85" s="551">
        <v>117</v>
      </c>
      <c r="G85" s="551">
        <v>180</v>
      </c>
      <c r="H85" s="551">
        <v>297</v>
      </c>
      <c r="I85" s="551">
        <v>9240</v>
      </c>
      <c r="J85" s="551">
        <v>11038</v>
      </c>
      <c r="K85" s="551">
        <v>20278</v>
      </c>
      <c r="L85" s="551">
        <v>109709</v>
      </c>
      <c r="M85" s="551">
        <v>121257</v>
      </c>
      <c r="N85" s="551">
        <v>230966</v>
      </c>
      <c r="O85" s="551">
        <v>159</v>
      </c>
      <c r="P85" s="551">
        <v>98</v>
      </c>
      <c r="Q85" s="551">
        <v>257</v>
      </c>
      <c r="R85" s="551">
        <v>12399</v>
      </c>
      <c r="S85" s="551">
        <v>11890</v>
      </c>
      <c r="T85" s="551">
        <v>24289</v>
      </c>
      <c r="U85" s="551">
        <v>805</v>
      </c>
      <c r="V85" s="551">
        <v>746</v>
      </c>
      <c r="W85" s="551">
        <v>1551</v>
      </c>
      <c r="X85" s="551">
        <v>4509</v>
      </c>
      <c r="Y85" s="551">
        <v>5401</v>
      </c>
      <c r="Z85" s="551">
        <v>9910</v>
      </c>
      <c r="AA85" s="551">
        <v>139350</v>
      </c>
      <c r="AB85" s="551">
        <v>152643</v>
      </c>
      <c r="AC85" s="551">
        <v>291993</v>
      </c>
    </row>
    <row r="86" spans="1:29">
      <c r="A86" s="1202"/>
      <c r="B86" s="590" t="s">
        <v>229</v>
      </c>
      <c r="C86" s="346">
        <v>2080</v>
      </c>
      <c r="D86" s="346">
        <v>1909</v>
      </c>
      <c r="E86" s="346">
        <v>3989</v>
      </c>
      <c r="F86" s="346">
        <v>94</v>
      </c>
      <c r="G86" s="346">
        <v>156</v>
      </c>
      <c r="H86" s="346">
        <v>250</v>
      </c>
      <c r="I86" s="346">
        <v>9412</v>
      </c>
      <c r="J86" s="346">
        <v>9747</v>
      </c>
      <c r="K86" s="346">
        <v>19159</v>
      </c>
      <c r="L86" s="346">
        <v>112144</v>
      </c>
      <c r="M86" s="346">
        <v>118427</v>
      </c>
      <c r="N86" s="346">
        <v>230571</v>
      </c>
      <c r="O86" s="346">
        <v>220</v>
      </c>
      <c r="P86" s="346">
        <v>145</v>
      </c>
      <c r="Q86" s="346">
        <v>365</v>
      </c>
      <c r="R86" s="346">
        <v>8637</v>
      </c>
      <c r="S86" s="346">
        <v>6219</v>
      </c>
      <c r="T86" s="346">
        <v>14856</v>
      </c>
      <c r="U86" s="346">
        <v>988</v>
      </c>
      <c r="V86" s="346">
        <v>1119</v>
      </c>
      <c r="W86" s="346">
        <v>2107</v>
      </c>
      <c r="X86" s="346">
        <v>2846</v>
      </c>
      <c r="Y86" s="346">
        <v>3540</v>
      </c>
      <c r="Z86" s="346">
        <v>6386</v>
      </c>
      <c r="AA86" s="346">
        <v>136421</v>
      </c>
      <c r="AB86" s="346">
        <v>141262</v>
      </c>
      <c r="AC86" s="346">
        <v>277683</v>
      </c>
    </row>
    <row r="87" spans="1:29">
      <c r="A87" s="1202"/>
      <c r="B87" s="590" t="s">
        <v>228</v>
      </c>
      <c r="C87" s="551">
        <v>1392</v>
      </c>
      <c r="D87" s="551">
        <v>1291</v>
      </c>
      <c r="E87" s="551">
        <v>2683</v>
      </c>
      <c r="F87" s="551">
        <v>143</v>
      </c>
      <c r="G87" s="551">
        <v>174</v>
      </c>
      <c r="H87" s="551">
        <v>317</v>
      </c>
      <c r="I87" s="551">
        <v>9388</v>
      </c>
      <c r="J87" s="551">
        <v>9852</v>
      </c>
      <c r="K87" s="551">
        <v>19240</v>
      </c>
      <c r="L87" s="551">
        <v>108605</v>
      </c>
      <c r="M87" s="551">
        <v>127493</v>
      </c>
      <c r="N87" s="551">
        <v>236098</v>
      </c>
      <c r="O87" s="551">
        <v>262</v>
      </c>
      <c r="P87" s="551">
        <v>207</v>
      </c>
      <c r="Q87" s="551">
        <v>469</v>
      </c>
      <c r="R87" s="551">
        <v>8256</v>
      </c>
      <c r="S87" s="551">
        <v>3914</v>
      </c>
      <c r="T87" s="551">
        <v>12170</v>
      </c>
      <c r="U87" s="551">
        <v>124</v>
      </c>
      <c r="V87" s="551">
        <v>116</v>
      </c>
      <c r="W87" s="551">
        <v>240</v>
      </c>
      <c r="X87" s="551">
        <v>2618</v>
      </c>
      <c r="Y87" s="551">
        <v>2894</v>
      </c>
      <c r="Z87" s="551">
        <v>5512</v>
      </c>
      <c r="AA87" s="551">
        <v>130788</v>
      </c>
      <c r="AB87" s="551">
        <v>145941</v>
      </c>
      <c r="AC87" s="551">
        <v>276729</v>
      </c>
    </row>
    <row r="88" spans="1:29">
      <c r="A88" s="1202"/>
      <c r="B88" s="590" t="s">
        <v>227</v>
      </c>
      <c r="C88" s="339">
        <v>1235</v>
      </c>
      <c r="D88" s="339">
        <v>1261</v>
      </c>
      <c r="E88" s="358">
        <v>2496</v>
      </c>
      <c r="F88" s="339">
        <v>119</v>
      </c>
      <c r="G88" s="339">
        <v>123</v>
      </c>
      <c r="H88" s="358">
        <v>242</v>
      </c>
      <c r="I88" s="348">
        <v>9728.6522775307603</v>
      </c>
      <c r="J88" s="348">
        <v>10431.068873210868</v>
      </c>
      <c r="K88" s="359">
        <v>20159.721150741621</v>
      </c>
      <c r="L88" s="348">
        <v>97067.851639348737</v>
      </c>
      <c r="M88" s="348">
        <v>121183.2367343462</v>
      </c>
      <c r="N88" s="359">
        <v>218251.08837369492</v>
      </c>
      <c r="O88" s="339">
        <v>182</v>
      </c>
      <c r="P88" s="339">
        <v>128</v>
      </c>
      <c r="Q88" s="358">
        <v>310</v>
      </c>
      <c r="R88" s="339">
        <v>7515</v>
      </c>
      <c r="S88" s="339">
        <v>3186</v>
      </c>
      <c r="T88" s="358">
        <v>10701</v>
      </c>
      <c r="U88" s="339">
        <v>8</v>
      </c>
      <c r="V88" s="339">
        <v>3</v>
      </c>
      <c r="W88" s="358">
        <v>11</v>
      </c>
      <c r="X88" s="339">
        <v>1532</v>
      </c>
      <c r="Y88" s="339">
        <v>1875</v>
      </c>
      <c r="Z88" s="358">
        <v>3407</v>
      </c>
      <c r="AA88" s="350">
        <v>117387.5039168795</v>
      </c>
      <c r="AB88" s="350">
        <v>138190.30560755706</v>
      </c>
      <c r="AC88" s="359">
        <v>255577.80952443654</v>
      </c>
    </row>
    <row r="89" spans="1:29">
      <c r="A89" s="1202">
        <v>14</v>
      </c>
      <c r="B89" s="599" t="s">
        <v>29</v>
      </c>
      <c r="C89" s="600"/>
      <c r="D89" s="601"/>
      <c r="E89" s="601"/>
      <c r="F89" s="601"/>
      <c r="G89" s="601"/>
      <c r="H89" s="601"/>
      <c r="I89" s="601"/>
      <c r="J89" s="601"/>
      <c r="K89" s="602"/>
      <c r="L89" s="600"/>
      <c r="M89" s="601"/>
      <c r="N89" s="601"/>
      <c r="O89" s="601"/>
      <c r="P89" s="601"/>
      <c r="Q89" s="601"/>
      <c r="R89" s="601"/>
      <c r="S89" s="601"/>
      <c r="T89" s="602"/>
      <c r="U89" s="600"/>
      <c r="V89" s="601"/>
      <c r="W89" s="601"/>
      <c r="X89" s="601"/>
      <c r="Y89" s="601"/>
      <c r="Z89" s="601"/>
      <c r="AA89" s="601"/>
      <c r="AB89" s="601"/>
      <c r="AC89" s="602"/>
    </row>
    <row r="90" spans="1:29">
      <c r="A90" s="1202"/>
      <c r="B90" s="590" t="s">
        <v>919</v>
      </c>
      <c r="C90" s="600">
        <v>2039</v>
      </c>
      <c r="D90" s="601">
        <v>1113</v>
      </c>
      <c r="E90" s="601">
        <v>3152</v>
      </c>
      <c r="F90" s="601">
        <v>14</v>
      </c>
      <c r="G90" s="601">
        <v>66</v>
      </c>
      <c r="H90" s="601">
        <v>80</v>
      </c>
      <c r="I90" s="601">
        <v>39362</v>
      </c>
      <c r="J90" s="601">
        <v>51804</v>
      </c>
      <c r="K90" s="602">
        <v>91166</v>
      </c>
      <c r="L90" s="600">
        <v>339281</v>
      </c>
      <c r="M90" s="601">
        <v>335898</v>
      </c>
      <c r="N90" s="601">
        <v>675179</v>
      </c>
      <c r="O90" s="601">
        <v>922</v>
      </c>
      <c r="P90" s="601">
        <v>644</v>
      </c>
      <c r="Q90" s="601">
        <v>1566</v>
      </c>
      <c r="R90" s="601">
        <v>31070</v>
      </c>
      <c r="S90" s="601">
        <v>14704</v>
      </c>
      <c r="T90" s="602">
        <v>45774</v>
      </c>
      <c r="U90" s="600">
        <v>906</v>
      </c>
      <c r="V90" s="601">
        <v>440</v>
      </c>
      <c r="W90" s="601">
        <v>1346</v>
      </c>
      <c r="X90" s="601">
        <v>2248</v>
      </c>
      <c r="Y90" s="601">
        <v>1247</v>
      </c>
      <c r="Z90" s="601">
        <v>3495</v>
      </c>
      <c r="AA90" s="601">
        <v>415842</v>
      </c>
      <c r="AB90" s="601">
        <v>405916</v>
      </c>
      <c r="AC90" s="602">
        <v>821758</v>
      </c>
    </row>
    <row r="91" spans="1:29">
      <c r="A91" s="1202"/>
      <c r="B91" s="590" t="s">
        <v>876</v>
      </c>
      <c r="C91" s="551">
        <v>1738</v>
      </c>
      <c r="D91" s="551">
        <v>919</v>
      </c>
      <c r="E91" s="551">
        <v>2657</v>
      </c>
      <c r="F91" s="551">
        <v>18</v>
      </c>
      <c r="G91" s="551">
        <v>63</v>
      </c>
      <c r="H91" s="551">
        <v>81</v>
      </c>
      <c r="I91" s="551">
        <v>31936</v>
      </c>
      <c r="J91" s="551">
        <v>48853</v>
      </c>
      <c r="K91" s="551">
        <v>80789</v>
      </c>
      <c r="L91" s="551">
        <v>286992</v>
      </c>
      <c r="M91" s="551">
        <v>299084</v>
      </c>
      <c r="N91" s="551">
        <v>586076</v>
      </c>
      <c r="O91" s="551">
        <v>885</v>
      </c>
      <c r="P91" s="551">
        <v>519</v>
      </c>
      <c r="Q91" s="551">
        <v>1404</v>
      </c>
      <c r="R91" s="551">
        <v>27901</v>
      </c>
      <c r="S91" s="551">
        <v>14312</v>
      </c>
      <c r="T91" s="551">
        <v>42213</v>
      </c>
      <c r="U91" s="551">
        <v>1160</v>
      </c>
      <c r="V91" s="551">
        <v>800</v>
      </c>
      <c r="W91" s="551">
        <v>1960</v>
      </c>
      <c r="X91" s="551">
        <v>1815</v>
      </c>
      <c r="Y91" s="551">
        <v>1030</v>
      </c>
      <c r="Z91" s="551">
        <v>2845</v>
      </c>
      <c r="AA91" s="551">
        <v>352445</v>
      </c>
      <c r="AB91" s="551">
        <v>365580</v>
      </c>
      <c r="AC91" s="551">
        <v>718025</v>
      </c>
    </row>
    <row r="92" spans="1:29">
      <c r="A92" s="1202"/>
      <c r="B92" s="590" t="s">
        <v>229</v>
      </c>
      <c r="C92" s="346">
        <v>2469</v>
      </c>
      <c r="D92" s="346">
        <v>1020</v>
      </c>
      <c r="E92" s="346">
        <v>3489</v>
      </c>
      <c r="F92" s="346">
        <v>33</v>
      </c>
      <c r="G92" s="346">
        <v>74</v>
      </c>
      <c r="H92" s="346">
        <v>107</v>
      </c>
      <c r="I92" s="346">
        <v>32122</v>
      </c>
      <c r="J92" s="346">
        <v>47381</v>
      </c>
      <c r="K92" s="346">
        <v>79503</v>
      </c>
      <c r="L92" s="346">
        <v>300527</v>
      </c>
      <c r="M92" s="346">
        <v>314385</v>
      </c>
      <c r="N92" s="346">
        <v>614912</v>
      </c>
      <c r="O92" s="346">
        <v>1516</v>
      </c>
      <c r="P92" s="346">
        <v>869</v>
      </c>
      <c r="Q92" s="346">
        <v>2385</v>
      </c>
      <c r="R92" s="346">
        <v>26778</v>
      </c>
      <c r="S92" s="346">
        <v>10714</v>
      </c>
      <c r="T92" s="346">
        <v>37492</v>
      </c>
      <c r="U92" s="346">
        <v>672</v>
      </c>
      <c r="V92" s="346">
        <v>1256</v>
      </c>
      <c r="W92" s="346">
        <v>1928</v>
      </c>
      <c r="X92" s="346">
        <v>2095</v>
      </c>
      <c r="Y92" s="346">
        <v>1222</v>
      </c>
      <c r="Z92" s="346">
        <v>3317</v>
      </c>
      <c r="AA92" s="346">
        <v>366212</v>
      </c>
      <c r="AB92" s="346">
        <v>376921</v>
      </c>
      <c r="AC92" s="346">
        <v>743133</v>
      </c>
    </row>
    <row r="93" spans="1:29">
      <c r="A93" s="1202"/>
      <c r="B93" s="590" t="s">
        <v>228</v>
      </c>
      <c r="C93" s="551">
        <v>2108</v>
      </c>
      <c r="D93" s="551">
        <v>795</v>
      </c>
      <c r="E93" s="551">
        <v>2903</v>
      </c>
      <c r="F93" s="551">
        <v>46</v>
      </c>
      <c r="G93" s="551">
        <v>110</v>
      </c>
      <c r="H93" s="551">
        <v>156</v>
      </c>
      <c r="I93" s="551">
        <v>24359</v>
      </c>
      <c r="J93" s="551">
        <v>34374</v>
      </c>
      <c r="K93" s="551">
        <v>58733</v>
      </c>
      <c r="L93" s="551">
        <v>281348</v>
      </c>
      <c r="M93" s="551">
        <v>285456</v>
      </c>
      <c r="N93" s="551">
        <v>566804</v>
      </c>
      <c r="O93" s="551">
        <v>1416</v>
      </c>
      <c r="P93" s="551">
        <v>738</v>
      </c>
      <c r="Q93" s="551">
        <v>2154</v>
      </c>
      <c r="R93" s="551">
        <v>23712</v>
      </c>
      <c r="S93" s="551">
        <v>8747</v>
      </c>
      <c r="T93" s="551">
        <v>32459</v>
      </c>
      <c r="U93" s="551">
        <v>656</v>
      </c>
      <c r="V93" s="551">
        <v>1280</v>
      </c>
      <c r="W93" s="551">
        <v>1936</v>
      </c>
      <c r="X93" s="551">
        <v>2252</v>
      </c>
      <c r="Y93" s="551">
        <v>1326</v>
      </c>
      <c r="Z93" s="551">
        <v>3578</v>
      </c>
      <c r="AA93" s="551">
        <v>335897</v>
      </c>
      <c r="AB93" s="551">
        <v>332826</v>
      </c>
      <c r="AC93" s="551">
        <v>668723</v>
      </c>
    </row>
    <row r="94" spans="1:29">
      <c r="A94" s="1202"/>
      <c r="B94" s="590" t="s">
        <v>227</v>
      </c>
      <c r="C94" s="339">
        <v>1158</v>
      </c>
      <c r="D94" s="339">
        <v>640</v>
      </c>
      <c r="E94" s="358">
        <v>1798</v>
      </c>
      <c r="F94" s="339">
        <v>79</v>
      </c>
      <c r="G94" s="339">
        <v>125</v>
      </c>
      <c r="H94" s="358">
        <v>204</v>
      </c>
      <c r="I94" s="348">
        <v>21129.148833576164</v>
      </c>
      <c r="J94" s="348">
        <v>28977.953000056877</v>
      </c>
      <c r="K94" s="359">
        <v>50107.101833633045</v>
      </c>
      <c r="L94" s="348">
        <v>278326.73487179331</v>
      </c>
      <c r="M94" s="348">
        <v>278589.39991410426</v>
      </c>
      <c r="N94" s="359">
        <v>556916.13478589756</v>
      </c>
      <c r="O94" s="339">
        <v>1817</v>
      </c>
      <c r="P94" s="339">
        <v>895</v>
      </c>
      <c r="Q94" s="358">
        <v>2712</v>
      </c>
      <c r="R94" s="339">
        <v>21144</v>
      </c>
      <c r="S94" s="339">
        <v>7797</v>
      </c>
      <c r="T94" s="358">
        <v>28941</v>
      </c>
      <c r="U94" s="339">
        <v>471</v>
      </c>
      <c r="V94" s="339">
        <v>1070</v>
      </c>
      <c r="W94" s="358">
        <v>1541</v>
      </c>
      <c r="X94" s="339">
        <v>2316</v>
      </c>
      <c r="Y94" s="339">
        <v>1329</v>
      </c>
      <c r="Z94" s="358">
        <v>3645</v>
      </c>
      <c r="AA94" s="350">
        <v>326440.88370536949</v>
      </c>
      <c r="AB94" s="350">
        <v>319423.35291416117</v>
      </c>
      <c r="AC94" s="359">
        <v>645864.23661953059</v>
      </c>
    </row>
    <row r="95" spans="1:29">
      <c r="A95" s="1202">
        <v>15</v>
      </c>
      <c r="B95" s="599" t="s">
        <v>30</v>
      </c>
      <c r="C95" s="600"/>
      <c r="D95" s="601"/>
      <c r="E95" s="601"/>
      <c r="F95" s="601"/>
      <c r="G95" s="601"/>
      <c r="H95" s="601"/>
      <c r="I95" s="601"/>
      <c r="J95" s="601"/>
      <c r="K95" s="602"/>
      <c r="L95" s="600"/>
      <c r="M95" s="601"/>
      <c r="N95" s="601"/>
      <c r="O95" s="601"/>
      <c r="P95" s="601"/>
      <c r="Q95" s="601"/>
      <c r="R95" s="601"/>
      <c r="S95" s="601"/>
      <c r="T95" s="602"/>
      <c r="U95" s="600"/>
      <c r="V95" s="601"/>
      <c r="W95" s="601"/>
      <c r="X95" s="601"/>
      <c r="Y95" s="601"/>
      <c r="Z95" s="601"/>
      <c r="AA95" s="601"/>
      <c r="AB95" s="601"/>
      <c r="AC95" s="602"/>
    </row>
    <row r="96" spans="1:29">
      <c r="A96" s="1202"/>
      <c r="B96" s="590" t="s">
        <v>919</v>
      </c>
      <c r="C96" s="600">
        <v>6045</v>
      </c>
      <c r="D96" s="601">
        <v>5148</v>
      </c>
      <c r="E96" s="601">
        <v>11193</v>
      </c>
      <c r="F96" s="601">
        <v>44</v>
      </c>
      <c r="G96" s="601">
        <v>183</v>
      </c>
      <c r="H96" s="601">
        <v>227</v>
      </c>
      <c r="I96" s="601">
        <v>95606</v>
      </c>
      <c r="J96" s="601">
        <v>125215</v>
      </c>
      <c r="K96" s="602">
        <v>220821</v>
      </c>
      <c r="L96" s="600">
        <v>956933</v>
      </c>
      <c r="M96" s="601">
        <v>911611</v>
      </c>
      <c r="N96" s="601">
        <v>1868544</v>
      </c>
      <c r="O96" s="601">
        <v>2152</v>
      </c>
      <c r="P96" s="601">
        <v>1887</v>
      </c>
      <c r="Q96" s="601">
        <v>4039</v>
      </c>
      <c r="R96" s="601">
        <v>133878</v>
      </c>
      <c r="S96" s="601">
        <v>93733</v>
      </c>
      <c r="T96" s="602">
        <v>227611</v>
      </c>
      <c r="U96" s="600">
        <v>1525</v>
      </c>
      <c r="V96" s="601">
        <v>1053</v>
      </c>
      <c r="W96" s="601">
        <v>2578</v>
      </c>
      <c r="X96" s="601">
        <v>8761</v>
      </c>
      <c r="Y96" s="601">
        <v>7961</v>
      </c>
      <c r="Z96" s="601">
        <v>16722</v>
      </c>
      <c r="AA96" s="601">
        <v>1204944</v>
      </c>
      <c r="AB96" s="601">
        <v>1146791</v>
      </c>
      <c r="AC96" s="602">
        <v>2351735</v>
      </c>
    </row>
    <row r="97" spans="1:29">
      <c r="A97" s="1202"/>
      <c r="B97" s="590" t="s">
        <v>876</v>
      </c>
      <c r="C97" s="551">
        <v>5752</v>
      </c>
      <c r="D97" s="551">
        <v>5276</v>
      </c>
      <c r="E97" s="551">
        <v>11028</v>
      </c>
      <c r="F97" s="551">
        <v>60</v>
      </c>
      <c r="G97" s="551">
        <v>189</v>
      </c>
      <c r="H97" s="551">
        <v>249</v>
      </c>
      <c r="I97" s="551">
        <v>96240</v>
      </c>
      <c r="J97" s="551">
        <v>125432</v>
      </c>
      <c r="K97" s="551">
        <v>221672</v>
      </c>
      <c r="L97" s="551">
        <v>909437</v>
      </c>
      <c r="M97" s="551">
        <v>902573</v>
      </c>
      <c r="N97" s="551">
        <v>1812010</v>
      </c>
      <c r="O97" s="551">
        <v>2852</v>
      </c>
      <c r="P97" s="551">
        <v>2455</v>
      </c>
      <c r="Q97" s="551">
        <v>5307</v>
      </c>
      <c r="R97" s="551">
        <v>137320</v>
      </c>
      <c r="S97" s="551">
        <v>113894</v>
      </c>
      <c r="T97" s="551">
        <v>251214</v>
      </c>
      <c r="U97" s="551">
        <v>2362</v>
      </c>
      <c r="V97" s="551">
        <v>2132</v>
      </c>
      <c r="W97" s="551">
        <v>4494</v>
      </c>
      <c r="X97" s="551">
        <v>7274</v>
      </c>
      <c r="Y97" s="551">
        <v>6681</v>
      </c>
      <c r="Z97" s="551">
        <v>13955</v>
      </c>
      <c r="AA97" s="551">
        <v>1161297</v>
      </c>
      <c r="AB97" s="551">
        <v>1158632</v>
      </c>
      <c r="AC97" s="551">
        <v>2319929</v>
      </c>
    </row>
    <row r="98" spans="1:29">
      <c r="A98" s="1202"/>
      <c r="B98" s="590" t="s">
        <v>229</v>
      </c>
      <c r="C98" s="346">
        <v>8422</v>
      </c>
      <c r="D98" s="346">
        <v>6566</v>
      </c>
      <c r="E98" s="346">
        <v>14988</v>
      </c>
      <c r="F98" s="346">
        <v>160</v>
      </c>
      <c r="G98" s="346">
        <v>368</v>
      </c>
      <c r="H98" s="346">
        <v>528</v>
      </c>
      <c r="I98" s="346">
        <v>86081</v>
      </c>
      <c r="J98" s="346">
        <v>111740</v>
      </c>
      <c r="K98" s="346">
        <v>197821</v>
      </c>
      <c r="L98" s="346">
        <v>828434</v>
      </c>
      <c r="M98" s="346">
        <v>847140</v>
      </c>
      <c r="N98" s="346">
        <v>1675574</v>
      </c>
      <c r="O98" s="346">
        <v>2861</v>
      </c>
      <c r="P98" s="346">
        <v>2790</v>
      </c>
      <c r="Q98" s="346">
        <v>5651</v>
      </c>
      <c r="R98" s="346">
        <v>113133</v>
      </c>
      <c r="S98" s="346">
        <v>80208</v>
      </c>
      <c r="T98" s="346">
        <v>193341</v>
      </c>
      <c r="U98" s="346">
        <v>1148</v>
      </c>
      <c r="V98" s="346">
        <v>1495</v>
      </c>
      <c r="W98" s="346">
        <v>2643</v>
      </c>
      <c r="X98" s="346">
        <v>6382</v>
      </c>
      <c r="Y98" s="346">
        <v>5074</v>
      </c>
      <c r="Z98" s="346">
        <v>11456</v>
      </c>
      <c r="AA98" s="346">
        <v>1046621</v>
      </c>
      <c r="AB98" s="346">
        <v>1055381</v>
      </c>
      <c r="AC98" s="346">
        <v>2102002</v>
      </c>
    </row>
    <row r="99" spans="1:29">
      <c r="A99" s="1202"/>
      <c r="B99" s="590" t="s">
        <v>228</v>
      </c>
      <c r="C99" s="551">
        <v>8070</v>
      </c>
      <c r="D99" s="551">
        <v>5230</v>
      </c>
      <c r="E99" s="551">
        <v>13300</v>
      </c>
      <c r="F99" s="551">
        <v>152</v>
      </c>
      <c r="G99" s="551">
        <v>316</v>
      </c>
      <c r="H99" s="551">
        <v>468</v>
      </c>
      <c r="I99" s="551">
        <v>80841</v>
      </c>
      <c r="J99" s="551">
        <v>101159</v>
      </c>
      <c r="K99" s="551">
        <v>182000</v>
      </c>
      <c r="L99" s="551">
        <v>754255</v>
      </c>
      <c r="M99" s="551">
        <v>777917</v>
      </c>
      <c r="N99" s="551">
        <v>1532172</v>
      </c>
      <c r="O99" s="551">
        <v>2280</v>
      </c>
      <c r="P99" s="551">
        <v>2251</v>
      </c>
      <c r="Q99" s="551">
        <v>4531</v>
      </c>
      <c r="R99" s="551">
        <v>113266</v>
      </c>
      <c r="S99" s="551">
        <v>72897</v>
      </c>
      <c r="T99" s="551">
        <v>186163</v>
      </c>
      <c r="U99" s="551">
        <v>1281</v>
      </c>
      <c r="V99" s="551">
        <v>1793</v>
      </c>
      <c r="W99" s="551">
        <v>3074</v>
      </c>
      <c r="X99" s="551">
        <v>4495</v>
      </c>
      <c r="Y99" s="551">
        <v>3652</v>
      </c>
      <c r="Z99" s="551">
        <v>8147</v>
      </c>
      <c r="AA99" s="551">
        <v>964640</v>
      </c>
      <c r="AB99" s="551">
        <v>965215</v>
      </c>
      <c r="AC99" s="551">
        <v>1929855</v>
      </c>
    </row>
    <row r="100" spans="1:29">
      <c r="A100" s="1202"/>
      <c r="B100" s="590" t="s">
        <v>227</v>
      </c>
      <c r="C100" s="339">
        <v>9103</v>
      </c>
      <c r="D100" s="339">
        <v>5087</v>
      </c>
      <c r="E100" s="358">
        <v>14190</v>
      </c>
      <c r="F100" s="339">
        <v>189</v>
      </c>
      <c r="G100" s="339">
        <v>338</v>
      </c>
      <c r="H100" s="358">
        <v>527</v>
      </c>
      <c r="I100" s="348">
        <v>80937.749361816663</v>
      </c>
      <c r="J100" s="348">
        <v>96783.309504860168</v>
      </c>
      <c r="K100" s="359">
        <v>177721.05886667682</v>
      </c>
      <c r="L100" s="348">
        <v>719930.31147513888</v>
      </c>
      <c r="M100" s="348">
        <v>756748.26757246209</v>
      </c>
      <c r="N100" s="359">
        <v>1476678.579047601</v>
      </c>
      <c r="O100" s="339">
        <v>2182</v>
      </c>
      <c r="P100" s="339">
        <v>2062</v>
      </c>
      <c r="Q100" s="358">
        <v>4244</v>
      </c>
      <c r="R100" s="339">
        <v>121254</v>
      </c>
      <c r="S100" s="339">
        <v>77215</v>
      </c>
      <c r="T100" s="358">
        <v>198469</v>
      </c>
      <c r="U100" s="339">
        <v>2049</v>
      </c>
      <c r="V100" s="339">
        <v>1637</v>
      </c>
      <c r="W100" s="358">
        <v>3686</v>
      </c>
      <c r="X100" s="339">
        <v>3879</v>
      </c>
      <c r="Y100" s="339">
        <v>3112</v>
      </c>
      <c r="Z100" s="358">
        <v>6991</v>
      </c>
      <c r="AA100" s="350">
        <v>939524.06083695556</v>
      </c>
      <c r="AB100" s="350">
        <v>942982.57707732229</v>
      </c>
      <c r="AC100" s="359">
        <v>1882506.6379142778</v>
      </c>
    </row>
    <row r="101" spans="1:29">
      <c r="A101" s="1202">
        <v>16</v>
      </c>
      <c r="B101" s="599" t="s">
        <v>31</v>
      </c>
      <c r="C101" s="600"/>
      <c r="D101" s="601"/>
      <c r="E101" s="601"/>
      <c r="F101" s="601"/>
      <c r="G101" s="601"/>
      <c r="H101" s="601"/>
      <c r="I101" s="601"/>
      <c r="J101" s="601"/>
      <c r="K101" s="602"/>
      <c r="L101" s="600"/>
      <c r="M101" s="601"/>
      <c r="N101" s="601"/>
      <c r="O101" s="601"/>
      <c r="P101" s="601"/>
      <c r="Q101" s="601"/>
      <c r="R101" s="601"/>
      <c r="S101" s="601"/>
      <c r="T101" s="602"/>
      <c r="U101" s="600"/>
      <c r="V101" s="601"/>
      <c r="W101" s="601"/>
      <c r="X101" s="601"/>
      <c r="Y101" s="601"/>
      <c r="Z101" s="601"/>
      <c r="AA101" s="601"/>
      <c r="AB101" s="601"/>
      <c r="AC101" s="602"/>
    </row>
    <row r="102" spans="1:29">
      <c r="A102" s="1202"/>
      <c r="B102" s="590" t="s">
        <v>919</v>
      </c>
      <c r="C102" s="600">
        <v>3387</v>
      </c>
      <c r="D102" s="601">
        <v>5747</v>
      </c>
      <c r="E102" s="601">
        <v>9134</v>
      </c>
      <c r="F102" s="601">
        <v>75</v>
      </c>
      <c r="G102" s="601">
        <v>281</v>
      </c>
      <c r="H102" s="601">
        <v>356</v>
      </c>
      <c r="I102" s="601">
        <v>28742</v>
      </c>
      <c r="J102" s="601">
        <v>84826</v>
      </c>
      <c r="K102" s="602">
        <v>113568</v>
      </c>
      <c r="L102" s="600">
        <v>331883</v>
      </c>
      <c r="M102" s="601">
        <v>457455</v>
      </c>
      <c r="N102" s="601">
        <v>789338</v>
      </c>
      <c r="O102" s="601">
        <v>488</v>
      </c>
      <c r="P102" s="601">
        <v>825</v>
      </c>
      <c r="Q102" s="601">
        <v>1313</v>
      </c>
      <c r="R102" s="601">
        <v>53417</v>
      </c>
      <c r="S102" s="601">
        <v>34828</v>
      </c>
      <c r="T102" s="602">
        <v>88245</v>
      </c>
      <c r="U102" s="600">
        <v>393</v>
      </c>
      <c r="V102" s="601">
        <v>614</v>
      </c>
      <c r="W102" s="601">
        <v>1007</v>
      </c>
      <c r="X102" s="601">
        <v>5115</v>
      </c>
      <c r="Y102" s="601">
        <v>7009</v>
      </c>
      <c r="Z102" s="601">
        <v>12124</v>
      </c>
      <c r="AA102" s="601">
        <v>423500</v>
      </c>
      <c r="AB102" s="601">
        <v>591585</v>
      </c>
      <c r="AC102" s="602">
        <v>1015085</v>
      </c>
    </row>
    <row r="103" spans="1:29">
      <c r="A103" s="1202"/>
      <c r="B103" s="590" t="s">
        <v>876</v>
      </c>
      <c r="C103" s="551">
        <v>3184</v>
      </c>
      <c r="D103" s="551">
        <v>5554</v>
      </c>
      <c r="E103" s="551">
        <v>8738</v>
      </c>
      <c r="F103" s="551">
        <v>207</v>
      </c>
      <c r="G103" s="551">
        <v>745</v>
      </c>
      <c r="H103" s="551">
        <v>952</v>
      </c>
      <c r="I103" s="551">
        <v>25672</v>
      </c>
      <c r="J103" s="551">
        <v>80026</v>
      </c>
      <c r="K103" s="551">
        <v>105698</v>
      </c>
      <c r="L103" s="551">
        <v>328404</v>
      </c>
      <c r="M103" s="551">
        <v>464401</v>
      </c>
      <c r="N103" s="551">
        <v>792805</v>
      </c>
      <c r="O103" s="551">
        <v>571</v>
      </c>
      <c r="P103" s="551">
        <v>641</v>
      </c>
      <c r="Q103" s="551">
        <v>1212</v>
      </c>
      <c r="R103" s="551">
        <v>48832</v>
      </c>
      <c r="S103" s="551">
        <v>33114</v>
      </c>
      <c r="T103" s="551">
        <v>81946</v>
      </c>
      <c r="U103" s="551">
        <v>1226</v>
      </c>
      <c r="V103" s="551">
        <v>3429</v>
      </c>
      <c r="W103" s="551">
        <v>4655</v>
      </c>
      <c r="X103" s="551">
        <v>4226</v>
      </c>
      <c r="Y103" s="551">
        <v>5505</v>
      </c>
      <c r="Z103" s="551">
        <v>9731</v>
      </c>
      <c r="AA103" s="551">
        <v>412322</v>
      </c>
      <c r="AB103" s="551">
        <v>593415</v>
      </c>
      <c r="AC103" s="551">
        <v>1005737</v>
      </c>
    </row>
    <row r="104" spans="1:29">
      <c r="A104" s="1202"/>
      <c r="B104" s="590" t="s">
        <v>229</v>
      </c>
      <c r="C104" s="346">
        <v>2817</v>
      </c>
      <c r="D104" s="346">
        <v>4687</v>
      </c>
      <c r="E104" s="346">
        <v>7504</v>
      </c>
      <c r="F104" s="346">
        <v>197</v>
      </c>
      <c r="G104" s="346">
        <v>676</v>
      </c>
      <c r="H104" s="346">
        <v>873</v>
      </c>
      <c r="I104" s="346">
        <v>21928</v>
      </c>
      <c r="J104" s="346">
        <v>69228</v>
      </c>
      <c r="K104" s="346">
        <v>91156</v>
      </c>
      <c r="L104" s="346">
        <v>287531</v>
      </c>
      <c r="M104" s="346">
        <v>410502</v>
      </c>
      <c r="N104" s="346">
        <v>698033</v>
      </c>
      <c r="O104" s="346">
        <v>399</v>
      </c>
      <c r="P104" s="346">
        <v>467</v>
      </c>
      <c r="Q104" s="346">
        <v>866</v>
      </c>
      <c r="R104" s="346">
        <v>41458</v>
      </c>
      <c r="S104" s="346">
        <v>30502</v>
      </c>
      <c r="T104" s="346">
        <v>71960</v>
      </c>
      <c r="U104" s="346">
        <v>780</v>
      </c>
      <c r="V104" s="346">
        <v>2510</v>
      </c>
      <c r="W104" s="346">
        <v>3290</v>
      </c>
      <c r="X104" s="346">
        <v>3701</v>
      </c>
      <c r="Y104" s="346">
        <v>4094</v>
      </c>
      <c r="Z104" s="346">
        <v>7795</v>
      </c>
      <c r="AA104" s="346">
        <v>358811</v>
      </c>
      <c r="AB104" s="346">
        <v>522666</v>
      </c>
      <c r="AC104" s="346">
        <v>881477</v>
      </c>
    </row>
    <row r="105" spans="1:29">
      <c r="A105" s="1202"/>
      <c r="B105" s="590" t="s">
        <v>228</v>
      </c>
      <c r="C105" s="551">
        <v>2503</v>
      </c>
      <c r="D105" s="551">
        <v>4183</v>
      </c>
      <c r="E105" s="551">
        <v>6686</v>
      </c>
      <c r="F105" s="551">
        <v>204</v>
      </c>
      <c r="G105" s="551">
        <v>685</v>
      </c>
      <c r="H105" s="551">
        <v>889</v>
      </c>
      <c r="I105" s="551">
        <v>20891</v>
      </c>
      <c r="J105" s="551">
        <v>64717</v>
      </c>
      <c r="K105" s="551">
        <v>85608</v>
      </c>
      <c r="L105" s="551">
        <v>281525</v>
      </c>
      <c r="M105" s="551">
        <v>397212</v>
      </c>
      <c r="N105" s="551">
        <v>678737</v>
      </c>
      <c r="O105" s="551">
        <v>476</v>
      </c>
      <c r="P105" s="551">
        <v>462</v>
      </c>
      <c r="Q105" s="551">
        <v>938</v>
      </c>
      <c r="R105" s="551">
        <v>36948</v>
      </c>
      <c r="S105" s="551">
        <v>29262</v>
      </c>
      <c r="T105" s="551">
        <v>66210</v>
      </c>
      <c r="U105" s="551">
        <v>857</v>
      </c>
      <c r="V105" s="551">
        <v>2626</v>
      </c>
      <c r="W105" s="551">
        <v>3483</v>
      </c>
      <c r="X105" s="551">
        <v>2828</v>
      </c>
      <c r="Y105" s="551">
        <v>2864</v>
      </c>
      <c r="Z105" s="551">
        <v>5692</v>
      </c>
      <c r="AA105" s="551">
        <v>346232</v>
      </c>
      <c r="AB105" s="551">
        <v>502011</v>
      </c>
      <c r="AC105" s="551">
        <v>848243</v>
      </c>
    </row>
    <row r="106" spans="1:29">
      <c r="A106" s="1202"/>
      <c r="B106" s="590" t="s">
        <v>227</v>
      </c>
      <c r="C106" s="339">
        <v>2256</v>
      </c>
      <c r="D106" s="339">
        <v>3655</v>
      </c>
      <c r="E106" s="358">
        <v>5911</v>
      </c>
      <c r="F106" s="339">
        <v>280</v>
      </c>
      <c r="G106" s="339">
        <v>630</v>
      </c>
      <c r="H106" s="358">
        <v>910</v>
      </c>
      <c r="I106" s="348">
        <v>19937.435627667954</v>
      </c>
      <c r="J106" s="348">
        <v>60431.771676272299</v>
      </c>
      <c r="K106" s="359">
        <v>80369.207303940246</v>
      </c>
      <c r="L106" s="348">
        <v>276683.30778716237</v>
      </c>
      <c r="M106" s="348">
        <v>392323.28400024667</v>
      </c>
      <c r="N106" s="359">
        <v>669006.59178740904</v>
      </c>
      <c r="O106" s="339">
        <v>639</v>
      </c>
      <c r="P106" s="339">
        <v>422</v>
      </c>
      <c r="Q106" s="358">
        <v>1061</v>
      </c>
      <c r="R106" s="339">
        <v>36183</v>
      </c>
      <c r="S106" s="339">
        <v>30690</v>
      </c>
      <c r="T106" s="358">
        <v>66873</v>
      </c>
      <c r="U106" s="339">
        <v>740</v>
      </c>
      <c r="V106" s="339">
        <v>2918</v>
      </c>
      <c r="W106" s="358">
        <v>3658</v>
      </c>
      <c r="X106" s="339">
        <v>2252</v>
      </c>
      <c r="Y106" s="339">
        <v>2159</v>
      </c>
      <c r="Z106" s="358">
        <v>4411</v>
      </c>
      <c r="AA106" s="350">
        <v>338970.7434148303</v>
      </c>
      <c r="AB106" s="350">
        <v>493229.05567651894</v>
      </c>
      <c r="AC106" s="359">
        <v>832199.79909134936</v>
      </c>
    </row>
    <row r="107" spans="1:29">
      <c r="A107" s="1213">
        <v>17</v>
      </c>
      <c r="B107" s="599" t="s">
        <v>154</v>
      </c>
      <c r="C107" s="603"/>
      <c r="D107" s="604"/>
      <c r="E107" s="604"/>
      <c r="F107" s="604"/>
      <c r="G107" s="604"/>
      <c r="H107" s="604"/>
      <c r="I107" s="604"/>
      <c r="J107" s="551"/>
      <c r="K107" s="605"/>
      <c r="L107" s="603"/>
      <c r="M107" s="604"/>
      <c r="N107" s="604"/>
      <c r="O107" s="604"/>
      <c r="P107" s="604"/>
      <c r="Q107" s="604"/>
      <c r="R107" s="604"/>
      <c r="S107" s="604"/>
      <c r="T107" s="605"/>
      <c r="U107" s="603"/>
      <c r="V107" s="604"/>
      <c r="W107" s="604"/>
      <c r="X107" s="604"/>
      <c r="Y107" s="604"/>
      <c r="Z107" s="604"/>
      <c r="AA107" s="604"/>
      <c r="AB107" s="604"/>
      <c r="AC107" s="605"/>
    </row>
    <row r="108" spans="1:29">
      <c r="A108" s="1214"/>
      <c r="B108" s="590" t="s">
        <v>919</v>
      </c>
      <c r="C108" s="603">
        <v>15</v>
      </c>
      <c r="D108" s="604">
        <v>3</v>
      </c>
      <c r="E108" s="604">
        <v>18</v>
      </c>
      <c r="F108" s="604"/>
      <c r="G108" s="604"/>
      <c r="H108" s="604"/>
      <c r="I108" s="604">
        <v>148</v>
      </c>
      <c r="J108" s="551">
        <v>315</v>
      </c>
      <c r="K108" s="605">
        <v>463</v>
      </c>
      <c r="L108" s="603">
        <v>1187</v>
      </c>
      <c r="M108" s="604">
        <v>2103</v>
      </c>
      <c r="N108" s="604">
        <v>3290</v>
      </c>
      <c r="O108" s="604"/>
      <c r="P108" s="604"/>
      <c r="Q108" s="604"/>
      <c r="R108" s="604">
        <v>191</v>
      </c>
      <c r="S108" s="604">
        <v>301</v>
      </c>
      <c r="T108" s="605">
        <v>492</v>
      </c>
      <c r="U108" s="603"/>
      <c r="V108" s="604"/>
      <c r="W108" s="604"/>
      <c r="X108" s="604"/>
      <c r="Y108" s="604"/>
      <c r="Z108" s="604"/>
      <c r="AA108" s="604">
        <v>1541</v>
      </c>
      <c r="AB108" s="604">
        <v>2722</v>
      </c>
      <c r="AC108" s="605">
        <v>4263</v>
      </c>
    </row>
    <row r="109" spans="1:29">
      <c r="A109" s="1214"/>
      <c r="B109" s="590" t="s">
        <v>876</v>
      </c>
      <c r="C109" s="551">
        <v>6</v>
      </c>
      <c r="D109" s="551">
        <v>2</v>
      </c>
      <c r="E109" s="551">
        <v>8</v>
      </c>
      <c r="F109" s="551">
        <v>0</v>
      </c>
      <c r="G109" s="551">
        <v>0</v>
      </c>
      <c r="H109" s="551">
        <v>0</v>
      </c>
      <c r="I109" s="551">
        <v>70</v>
      </c>
      <c r="J109" s="551">
        <v>23</v>
      </c>
      <c r="K109" s="551">
        <v>93</v>
      </c>
      <c r="L109" s="551">
        <v>740</v>
      </c>
      <c r="M109" s="551">
        <v>1738</v>
      </c>
      <c r="N109" s="551">
        <v>2478</v>
      </c>
      <c r="O109" s="551">
        <v>0</v>
      </c>
      <c r="P109" s="551">
        <v>0</v>
      </c>
      <c r="Q109" s="551">
        <v>0</v>
      </c>
      <c r="R109" s="551">
        <v>245</v>
      </c>
      <c r="S109" s="551">
        <v>185</v>
      </c>
      <c r="T109" s="551">
        <v>430</v>
      </c>
      <c r="U109" s="551">
        <v>0</v>
      </c>
      <c r="V109" s="551">
        <v>0</v>
      </c>
      <c r="W109" s="551">
        <v>0</v>
      </c>
      <c r="X109" s="551">
        <v>47</v>
      </c>
      <c r="Y109" s="551">
        <v>91</v>
      </c>
      <c r="Z109" s="551">
        <v>138</v>
      </c>
      <c r="AA109" s="551">
        <v>1108</v>
      </c>
      <c r="AB109" s="551">
        <v>2039</v>
      </c>
      <c r="AC109" s="551">
        <v>3147</v>
      </c>
    </row>
    <row r="110" spans="1:29">
      <c r="A110" s="1215"/>
      <c r="B110" s="590" t="s">
        <v>229</v>
      </c>
      <c r="C110" s="346">
        <v>6</v>
      </c>
      <c r="D110" s="346">
        <v>2</v>
      </c>
      <c r="E110" s="346">
        <v>8</v>
      </c>
      <c r="F110" s="346">
        <v>0</v>
      </c>
      <c r="G110" s="346">
        <v>0</v>
      </c>
      <c r="H110" s="346">
        <v>0</v>
      </c>
      <c r="I110" s="346">
        <v>26</v>
      </c>
      <c r="J110" s="346">
        <v>28</v>
      </c>
      <c r="K110" s="346">
        <v>54</v>
      </c>
      <c r="L110" s="346">
        <v>798</v>
      </c>
      <c r="M110" s="346">
        <v>1746</v>
      </c>
      <c r="N110" s="346">
        <v>2544</v>
      </c>
      <c r="O110" s="346">
        <v>0</v>
      </c>
      <c r="P110" s="346">
        <v>0</v>
      </c>
      <c r="Q110" s="346">
        <v>0</v>
      </c>
      <c r="R110" s="346">
        <v>112</v>
      </c>
      <c r="S110" s="346">
        <v>24</v>
      </c>
      <c r="T110" s="346">
        <v>136</v>
      </c>
      <c r="U110" s="346">
        <v>0</v>
      </c>
      <c r="V110" s="346">
        <v>0</v>
      </c>
      <c r="W110" s="346">
        <v>0</v>
      </c>
      <c r="X110" s="346">
        <v>57</v>
      </c>
      <c r="Y110" s="346">
        <v>98</v>
      </c>
      <c r="Z110" s="346">
        <v>155</v>
      </c>
      <c r="AA110" s="346">
        <v>999</v>
      </c>
      <c r="AB110" s="346">
        <v>1898</v>
      </c>
      <c r="AC110" s="346">
        <v>2897</v>
      </c>
    </row>
    <row r="111" spans="1:29">
      <c r="A111" s="1202">
        <v>18</v>
      </c>
      <c r="B111" s="599" t="s">
        <v>32</v>
      </c>
      <c r="C111" s="600"/>
      <c r="D111" s="601"/>
      <c r="E111" s="601"/>
      <c r="F111" s="601"/>
      <c r="G111" s="601"/>
      <c r="H111" s="601"/>
      <c r="I111" s="601"/>
      <c r="J111" s="339"/>
      <c r="K111" s="602"/>
      <c r="L111" s="600"/>
      <c r="M111" s="601"/>
      <c r="N111" s="601"/>
      <c r="O111" s="601"/>
      <c r="P111" s="601"/>
      <c r="Q111" s="601"/>
      <c r="R111" s="601"/>
      <c r="S111" s="601"/>
      <c r="T111" s="602"/>
      <c r="U111" s="600"/>
      <c r="V111" s="601"/>
      <c r="W111" s="601"/>
      <c r="X111" s="601"/>
      <c r="Y111" s="601"/>
      <c r="Z111" s="601"/>
      <c r="AA111" s="601"/>
      <c r="AB111" s="601"/>
      <c r="AC111" s="602"/>
    </row>
    <row r="112" spans="1:29">
      <c r="A112" s="1202"/>
      <c r="B112" s="590" t="s">
        <v>919</v>
      </c>
      <c r="C112" s="600">
        <v>0</v>
      </c>
      <c r="D112" s="601"/>
      <c r="E112" s="601"/>
      <c r="F112" s="601"/>
      <c r="G112" s="601"/>
      <c r="H112" s="601"/>
      <c r="I112" s="601"/>
      <c r="J112" s="339"/>
      <c r="K112" s="602"/>
      <c r="L112" s="600">
        <v>14</v>
      </c>
      <c r="M112" s="601">
        <v>74</v>
      </c>
      <c r="N112" s="601">
        <v>88</v>
      </c>
      <c r="O112" s="601"/>
      <c r="P112" s="601"/>
      <c r="Q112" s="601"/>
      <c r="R112" s="601"/>
      <c r="S112" s="601"/>
      <c r="T112" s="602"/>
      <c r="U112" s="600"/>
      <c r="V112" s="601"/>
      <c r="W112" s="601"/>
      <c r="X112" s="601"/>
      <c r="Y112" s="601"/>
      <c r="Z112" s="601"/>
      <c r="AA112" s="601">
        <v>14</v>
      </c>
      <c r="AB112" s="601">
        <v>74</v>
      </c>
      <c r="AC112" s="602">
        <v>88</v>
      </c>
    </row>
    <row r="113" spans="1:29">
      <c r="A113" s="1202"/>
      <c r="B113" s="590" t="s">
        <v>876</v>
      </c>
      <c r="C113" s="551">
        <v>0</v>
      </c>
      <c r="D113" s="551">
        <v>0</v>
      </c>
      <c r="E113" s="551">
        <v>0</v>
      </c>
      <c r="F113" s="551">
        <v>0</v>
      </c>
      <c r="G113" s="551">
        <v>0</v>
      </c>
      <c r="H113" s="551">
        <v>0</v>
      </c>
      <c r="I113" s="551">
        <v>0</v>
      </c>
      <c r="J113" s="551">
        <v>26</v>
      </c>
      <c r="K113" s="551">
        <v>26</v>
      </c>
      <c r="L113" s="551">
        <v>133</v>
      </c>
      <c r="M113" s="551">
        <v>401</v>
      </c>
      <c r="N113" s="551">
        <v>534</v>
      </c>
      <c r="O113" s="551">
        <v>0</v>
      </c>
      <c r="P113" s="551">
        <v>0</v>
      </c>
      <c r="Q113" s="551">
        <v>0</v>
      </c>
      <c r="R113" s="551">
        <v>0</v>
      </c>
      <c r="S113" s="551">
        <v>0</v>
      </c>
      <c r="T113" s="551">
        <v>0</v>
      </c>
      <c r="U113" s="551">
        <v>0</v>
      </c>
      <c r="V113" s="551">
        <v>0</v>
      </c>
      <c r="W113" s="551">
        <v>0</v>
      </c>
      <c r="X113" s="551">
        <v>0</v>
      </c>
      <c r="Y113" s="551">
        <v>0</v>
      </c>
      <c r="Z113" s="551">
        <v>0</v>
      </c>
      <c r="AA113" s="551">
        <v>133</v>
      </c>
      <c r="AB113" s="551">
        <v>427</v>
      </c>
      <c r="AC113" s="551">
        <v>560</v>
      </c>
    </row>
    <row r="114" spans="1:29">
      <c r="A114" s="1202"/>
      <c r="B114" s="590" t="s">
        <v>229</v>
      </c>
      <c r="C114" s="346">
        <v>0</v>
      </c>
      <c r="D114" s="346">
        <v>0</v>
      </c>
      <c r="E114" s="346">
        <v>0</v>
      </c>
      <c r="F114" s="346">
        <v>0</v>
      </c>
      <c r="G114" s="346">
        <v>0</v>
      </c>
      <c r="H114" s="346">
        <v>0</v>
      </c>
      <c r="I114" s="346">
        <v>0</v>
      </c>
      <c r="J114" s="346">
        <v>26</v>
      </c>
      <c r="K114" s="346">
        <v>26</v>
      </c>
      <c r="L114" s="346">
        <v>133</v>
      </c>
      <c r="M114" s="346">
        <v>401</v>
      </c>
      <c r="N114" s="346">
        <v>534</v>
      </c>
      <c r="O114" s="346">
        <v>0</v>
      </c>
      <c r="P114" s="346">
        <v>0</v>
      </c>
      <c r="Q114" s="346">
        <v>0</v>
      </c>
      <c r="R114" s="346">
        <v>0</v>
      </c>
      <c r="S114" s="346">
        <v>0</v>
      </c>
      <c r="T114" s="346">
        <v>0</v>
      </c>
      <c r="U114" s="346">
        <v>0</v>
      </c>
      <c r="V114" s="346">
        <v>0</v>
      </c>
      <c r="W114" s="346">
        <v>0</v>
      </c>
      <c r="X114" s="346">
        <v>0</v>
      </c>
      <c r="Y114" s="346">
        <v>0</v>
      </c>
      <c r="Z114" s="346">
        <v>0</v>
      </c>
      <c r="AA114" s="346">
        <v>133</v>
      </c>
      <c r="AB114" s="346">
        <v>427</v>
      </c>
      <c r="AC114" s="346">
        <v>560</v>
      </c>
    </row>
    <row r="115" spans="1:29">
      <c r="A115" s="1202"/>
      <c r="B115" s="590" t="s">
        <v>228</v>
      </c>
      <c r="C115" s="551">
        <v>0</v>
      </c>
      <c r="D115" s="551">
        <v>0</v>
      </c>
      <c r="E115" s="551">
        <v>0</v>
      </c>
      <c r="F115" s="551">
        <v>0</v>
      </c>
      <c r="G115" s="551">
        <v>0</v>
      </c>
      <c r="H115" s="551">
        <v>0</v>
      </c>
      <c r="I115" s="551">
        <v>0</v>
      </c>
      <c r="J115" s="339">
        <v>26</v>
      </c>
      <c r="K115" s="551">
        <v>26</v>
      </c>
      <c r="L115" s="551">
        <v>127</v>
      </c>
      <c r="M115" s="551">
        <v>392</v>
      </c>
      <c r="N115" s="551">
        <v>519</v>
      </c>
      <c r="O115" s="551">
        <v>0</v>
      </c>
      <c r="P115" s="551">
        <v>0</v>
      </c>
      <c r="Q115" s="551">
        <v>0</v>
      </c>
      <c r="R115" s="551">
        <v>0</v>
      </c>
      <c r="S115" s="551">
        <v>0</v>
      </c>
      <c r="T115" s="551">
        <v>0</v>
      </c>
      <c r="U115" s="551">
        <v>0</v>
      </c>
      <c r="V115" s="551">
        <v>0</v>
      </c>
      <c r="W115" s="551">
        <v>0</v>
      </c>
      <c r="X115" s="551">
        <v>0</v>
      </c>
      <c r="Y115" s="551">
        <v>0</v>
      </c>
      <c r="Z115" s="551">
        <v>0</v>
      </c>
      <c r="AA115" s="551">
        <v>127</v>
      </c>
      <c r="AB115" s="551">
        <v>418</v>
      </c>
      <c r="AC115" s="551">
        <v>545</v>
      </c>
    </row>
    <row r="116" spans="1:29">
      <c r="A116" s="1202"/>
      <c r="B116" s="590" t="s">
        <v>227</v>
      </c>
      <c r="C116" s="339">
        <v>0</v>
      </c>
      <c r="D116" s="339">
        <v>0</v>
      </c>
      <c r="E116" s="358">
        <v>0</v>
      </c>
      <c r="F116" s="339">
        <v>0</v>
      </c>
      <c r="G116" s="339">
        <v>0</v>
      </c>
      <c r="H116" s="358">
        <v>0</v>
      </c>
      <c r="I116" s="339">
        <v>4</v>
      </c>
      <c r="J116" s="339">
        <v>33</v>
      </c>
      <c r="K116" s="358">
        <v>37</v>
      </c>
      <c r="L116" s="339">
        <v>112</v>
      </c>
      <c r="M116" s="339">
        <v>403</v>
      </c>
      <c r="N116" s="358">
        <v>515</v>
      </c>
      <c r="O116" s="339">
        <v>0</v>
      </c>
      <c r="P116" s="339">
        <v>0</v>
      </c>
      <c r="Q116" s="358">
        <v>0</v>
      </c>
      <c r="R116" s="339">
        <v>0</v>
      </c>
      <c r="S116" s="339">
        <v>0</v>
      </c>
      <c r="T116" s="358">
        <v>0</v>
      </c>
      <c r="U116" s="339">
        <v>0</v>
      </c>
      <c r="V116" s="339">
        <v>0</v>
      </c>
      <c r="W116" s="358">
        <v>0</v>
      </c>
      <c r="X116" s="339">
        <v>0</v>
      </c>
      <c r="Y116" s="339">
        <v>0</v>
      </c>
      <c r="Z116" s="358">
        <v>0</v>
      </c>
      <c r="AA116" s="341">
        <v>116</v>
      </c>
      <c r="AB116" s="341">
        <v>436</v>
      </c>
      <c r="AC116" s="358">
        <v>552</v>
      </c>
    </row>
    <row r="117" spans="1:29">
      <c r="A117" s="1202">
        <v>19</v>
      </c>
      <c r="B117" s="599" t="s">
        <v>33</v>
      </c>
      <c r="C117" s="600"/>
      <c r="D117" s="601"/>
      <c r="E117" s="601"/>
      <c r="F117" s="601"/>
      <c r="G117" s="601"/>
      <c r="H117" s="601"/>
      <c r="I117" s="601"/>
      <c r="J117" s="601"/>
      <c r="K117" s="602"/>
      <c r="L117" s="600"/>
      <c r="M117" s="601"/>
      <c r="N117" s="601"/>
      <c r="O117" s="601"/>
      <c r="P117" s="601"/>
      <c r="Q117" s="601"/>
      <c r="R117" s="601"/>
      <c r="S117" s="601"/>
      <c r="T117" s="602"/>
      <c r="U117" s="600"/>
      <c r="V117" s="601"/>
      <c r="W117" s="601"/>
      <c r="X117" s="601"/>
      <c r="Y117" s="601"/>
      <c r="Z117" s="601"/>
      <c r="AA117" s="601"/>
      <c r="AB117" s="601"/>
      <c r="AC117" s="602"/>
    </row>
    <row r="118" spans="1:29">
      <c r="A118" s="1202"/>
      <c r="B118" s="590" t="s">
        <v>919</v>
      </c>
      <c r="C118" s="600">
        <v>4283</v>
      </c>
      <c r="D118" s="601">
        <v>3571</v>
      </c>
      <c r="E118" s="601">
        <v>7854</v>
      </c>
      <c r="F118" s="601"/>
      <c r="G118" s="601">
        <v>16</v>
      </c>
      <c r="H118" s="601">
        <v>16</v>
      </c>
      <c r="I118" s="601">
        <v>175029</v>
      </c>
      <c r="J118" s="601">
        <v>210899</v>
      </c>
      <c r="K118" s="602">
        <v>385928</v>
      </c>
      <c r="L118" s="600">
        <v>1024315</v>
      </c>
      <c r="M118" s="601">
        <v>878890</v>
      </c>
      <c r="N118" s="601">
        <v>1903205</v>
      </c>
      <c r="O118" s="601">
        <v>20910</v>
      </c>
      <c r="P118" s="601">
        <v>20158</v>
      </c>
      <c r="Q118" s="601">
        <v>41068</v>
      </c>
      <c r="R118" s="601">
        <v>113570</v>
      </c>
      <c r="S118" s="601">
        <v>60431</v>
      </c>
      <c r="T118" s="602">
        <v>174001</v>
      </c>
      <c r="U118" s="600">
        <v>1492</v>
      </c>
      <c r="V118" s="601">
        <v>834</v>
      </c>
      <c r="W118" s="601">
        <v>2326</v>
      </c>
      <c r="X118" s="601">
        <v>19680</v>
      </c>
      <c r="Y118" s="601">
        <v>15653</v>
      </c>
      <c r="Z118" s="601">
        <v>35333</v>
      </c>
      <c r="AA118" s="601">
        <v>1359279</v>
      </c>
      <c r="AB118" s="601">
        <v>1190452</v>
      </c>
      <c r="AC118" s="602">
        <v>2549731</v>
      </c>
    </row>
    <row r="119" spans="1:29">
      <c r="A119" s="1202"/>
      <c r="B119" s="590" t="s">
        <v>876</v>
      </c>
      <c r="C119" s="551">
        <v>3676</v>
      </c>
      <c r="D119" s="551">
        <v>2477</v>
      </c>
      <c r="E119" s="551">
        <v>6153</v>
      </c>
      <c r="F119" s="551">
        <v>91</v>
      </c>
      <c r="G119" s="551">
        <v>58</v>
      </c>
      <c r="H119" s="551">
        <v>149</v>
      </c>
      <c r="I119" s="551">
        <v>148845</v>
      </c>
      <c r="J119" s="551">
        <v>175910</v>
      </c>
      <c r="K119" s="551">
        <v>324755</v>
      </c>
      <c r="L119" s="551">
        <v>998782</v>
      </c>
      <c r="M119" s="551">
        <v>903915</v>
      </c>
      <c r="N119" s="551">
        <v>1902697</v>
      </c>
      <c r="O119" s="551">
        <v>20339</v>
      </c>
      <c r="P119" s="551">
        <v>19119</v>
      </c>
      <c r="Q119" s="551">
        <v>39458</v>
      </c>
      <c r="R119" s="551">
        <v>102146</v>
      </c>
      <c r="S119" s="551">
        <v>54906</v>
      </c>
      <c r="T119" s="551">
        <v>157052</v>
      </c>
      <c r="U119" s="551">
        <v>2269</v>
      </c>
      <c r="V119" s="551">
        <v>1258</v>
      </c>
      <c r="W119" s="551">
        <v>3527</v>
      </c>
      <c r="X119" s="551">
        <v>16402</v>
      </c>
      <c r="Y119" s="551">
        <v>13083</v>
      </c>
      <c r="Z119" s="551">
        <v>29485</v>
      </c>
      <c r="AA119" s="551">
        <v>1292550</v>
      </c>
      <c r="AB119" s="551">
        <v>1170726</v>
      </c>
      <c r="AC119" s="551">
        <v>2463276</v>
      </c>
    </row>
    <row r="120" spans="1:29">
      <c r="A120" s="1202"/>
      <c r="B120" s="590" t="s">
        <v>229</v>
      </c>
      <c r="C120" s="346">
        <v>3006</v>
      </c>
      <c r="D120" s="346">
        <v>2441</v>
      </c>
      <c r="E120" s="346">
        <v>5447</v>
      </c>
      <c r="F120" s="346">
        <v>427</v>
      </c>
      <c r="G120" s="346">
        <v>449</v>
      </c>
      <c r="H120" s="346">
        <v>876</v>
      </c>
      <c r="I120" s="346">
        <v>116350</v>
      </c>
      <c r="J120" s="346">
        <v>150926</v>
      </c>
      <c r="K120" s="346">
        <v>267276</v>
      </c>
      <c r="L120" s="346">
        <v>825452</v>
      </c>
      <c r="M120" s="346">
        <v>753608</v>
      </c>
      <c r="N120" s="346">
        <v>1579060</v>
      </c>
      <c r="O120" s="346">
        <v>16921</v>
      </c>
      <c r="P120" s="346">
        <v>19014</v>
      </c>
      <c r="Q120" s="346">
        <v>35935</v>
      </c>
      <c r="R120" s="346">
        <v>74612</v>
      </c>
      <c r="S120" s="346">
        <v>42157</v>
      </c>
      <c r="T120" s="346">
        <v>116769</v>
      </c>
      <c r="U120" s="346">
        <v>845</v>
      </c>
      <c r="V120" s="346">
        <v>837</v>
      </c>
      <c r="W120" s="346">
        <v>1682</v>
      </c>
      <c r="X120" s="346">
        <v>10498</v>
      </c>
      <c r="Y120" s="346">
        <v>8326</v>
      </c>
      <c r="Z120" s="346">
        <v>18824</v>
      </c>
      <c r="AA120" s="346">
        <v>1048111</v>
      </c>
      <c r="AB120" s="346">
        <v>977758</v>
      </c>
      <c r="AC120" s="346">
        <v>2025869</v>
      </c>
    </row>
    <row r="121" spans="1:29">
      <c r="A121" s="1202"/>
      <c r="B121" s="590" t="s">
        <v>228</v>
      </c>
      <c r="C121" s="551">
        <v>2383</v>
      </c>
      <c r="D121" s="551">
        <v>1710</v>
      </c>
      <c r="E121" s="551">
        <v>4093</v>
      </c>
      <c r="F121" s="551">
        <v>264</v>
      </c>
      <c r="G121" s="551">
        <v>379</v>
      </c>
      <c r="H121" s="551">
        <v>643</v>
      </c>
      <c r="I121" s="551">
        <v>90434</v>
      </c>
      <c r="J121" s="551">
        <v>112362</v>
      </c>
      <c r="K121" s="551">
        <v>202796</v>
      </c>
      <c r="L121" s="551">
        <v>719279</v>
      </c>
      <c r="M121" s="551">
        <v>648370</v>
      </c>
      <c r="N121" s="551">
        <v>1367649</v>
      </c>
      <c r="O121" s="551">
        <v>18203</v>
      </c>
      <c r="P121" s="551">
        <v>20074</v>
      </c>
      <c r="Q121" s="551">
        <v>38277</v>
      </c>
      <c r="R121" s="551">
        <v>72142</v>
      </c>
      <c r="S121" s="551">
        <v>43251</v>
      </c>
      <c r="T121" s="551">
        <v>115393</v>
      </c>
      <c r="U121" s="551">
        <v>1253</v>
      </c>
      <c r="V121" s="551">
        <v>673</v>
      </c>
      <c r="W121" s="551">
        <v>1926</v>
      </c>
      <c r="X121" s="551">
        <v>8300</v>
      </c>
      <c r="Y121" s="551">
        <v>6086</v>
      </c>
      <c r="Z121" s="551">
        <v>14386</v>
      </c>
      <c r="AA121" s="551">
        <v>912258</v>
      </c>
      <c r="AB121" s="551">
        <v>832905</v>
      </c>
      <c r="AC121" s="551">
        <v>1745163</v>
      </c>
    </row>
    <row r="122" spans="1:29">
      <c r="A122" s="1202"/>
      <c r="B122" s="590" t="s">
        <v>227</v>
      </c>
      <c r="C122" s="339">
        <v>2427</v>
      </c>
      <c r="D122" s="339">
        <v>1558</v>
      </c>
      <c r="E122" s="358">
        <v>3985</v>
      </c>
      <c r="F122" s="339">
        <v>299</v>
      </c>
      <c r="G122" s="339">
        <v>466</v>
      </c>
      <c r="H122" s="358">
        <v>765</v>
      </c>
      <c r="I122" s="348">
        <v>83110.90634232352</v>
      </c>
      <c r="J122" s="348">
        <v>99069.116163813436</v>
      </c>
      <c r="K122" s="359">
        <v>182180.02250613697</v>
      </c>
      <c r="L122" s="348">
        <v>700004.54182277003</v>
      </c>
      <c r="M122" s="348">
        <v>604738.29455067066</v>
      </c>
      <c r="N122" s="359">
        <v>1304742.8363734407</v>
      </c>
      <c r="O122" s="339">
        <v>25153</v>
      </c>
      <c r="P122" s="339">
        <v>29328</v>
      </c>
      <c r="Q122" s="358">
        <v>54481</v>
      </c>
      <c r="R122" s="339">
        <v>93594</v>
      </c>
      <c r="S122" s="339">
        <v>53399</v>
      </c>
      <c r="T122" s="358">
        <v>146993</v>
      </c>
      <c r="U122" s="339">
        <v>1224</v>
      </c>
      <c r="V122" s="339">
        <v>819</v>
      </c>
      <c r="W122" s="358">
        <v>2043</v>
      </c>
      <c r="X122" s="339">
        <v>6118</v>
      </c>
      <c r="Y122" s="339">
        <v>3859</v>
      </c>
      <c r="Z122" s="358">
        <v>9977</v>
      </c>
      <c r="AA122" s="350">
        <v>911930.44816509355</v>
      </c>
      <c r="AB122" s="350">
        <v>793236.41071448405</v>
      </c>
      <c r="AC122" s="359">
        <v>1705166.8588795776</v>
      </c>
    </row>
    <row r="123" spans="1:29">
      <c r="A123" s="1202">
        <v>20</v>
      </c>
      <c r="B123" s="599" t="s">
        <v>34</v>
      </c>
      <c r="C123" s="600"/>
      <c r="D123" s="601"/>
      <c r="E123" s="601"/>
      <c r="F123" s="601"/>
      <c r="G123" s="601"/>
      <c r="H123" s="601"/>
      <c r="I123" s="601"/>
      <c r="J123" s="601"/>
      <c r="K123" s="602"/>
      <c r="L123" s="600"/>
      <c r="M123" s="601"/>
      <c r="N123" s="601"/>
      <c r="O123" s="601"/>
      <c r="P123" s="601"/>
      <c r="Q123" s="601"/>
      <c r="R123" s="601"/>
      <c r="S123" s="601"/>
      <c r="T123" s="602"/>
      <c r="U123" s="600"/>
      <c r="V123" s="601"/>
      <c r="W123" s="601"/>
      <c r="X123" s="601"/>
      <c r="Y123" s="601"/>
      <c r="Z123" s="601"/>
      <c r="AA123" s="601"/>
      <c r="AB123" s="601"/>
      <c r="AC123" s="602"/>
    </row>
    <row r="124" spans="1:29">
      <c r="A124" s="1202"/>
      <c r="B124" s="590" t="s">
        <v>919</v>
      </c>
      <c r="C124" s="600">
        <v>10115</v>
      </c>
      <c r="D124" s="601">
        <v>7717</v>
      </c>
      <c r="E124" s="601">
        <v>17832</v>
      </c>
      <c r="F124" s="601">
        <v>121</v>
      </c>
      <c r="G124" s="601">
        <v>69</v>
      </c>
      <c r="H124" s="601">
        <v>190</v>
      </c>
      <c r="I124" s="601">
        <v>218375</v>
      </c>
      <c r="J124" s="601">
        <v>239841</v>
      </c>
      <c r="K124" s="602">
        <v>458216</v>
      </c>
      <c r="L124" s="600">
        <v>1644217</v>
      </c>
      <c r="M124" s="601">
        <v>1349613</v>
      </c>
      <c r="N124" s="601">
        <v>2993830</v>
      </c>
      <c r="O124" s="601">
        <v>10543</v>
      </c>
      <c r="P124" s="601">
        <v>8326</v>
      </c>
      <c r="Q124" s="601">
        <v>18869</v>
      </c>
      <c r="R124" s="601">
        <v>216851</v>
      </c>
      <c r="S124" s="601">
        <v>145671</v>
      </c>
      <c r="T124" s="602">
        <v>362522</v>
      </c>
      <c r="U124" s="600">
        <v>3135</v>
      </c>
      <c r="V124" s="601">
        <v>3013</v>
      </c>
      <c r="W124" s="601">
        <v>6148</v>
      </c>
      <c r="X124" s="601">
        <v>10636</v>
      </c>
      <c r="Y124" s="601">
        <v>9599</v>
      </c>
      <c r="Z124" s="601">
        <v>20235</v>
      </c>
      <c r="AA124" s="601">
        <v>2113993</v>
      </c>
      <c r="AB124" s="601">
        <v>1763849</v>
      </c>
      <c r="AC124" s="602">
        <v>3877842</v>
      </c>
    </row>
    <row r="125" spans="1:29">
      <c r="A125" s="1202"/>
      <c r="B125" s="590" t="s">
        <v>876</v>
      </c>
      <c r="C125" s="551">
        <v>9358</v>
      </c>
      <c r="D125" s="551">
        <v>6393</v>
      </c>
      <c r="E125" s="551">
        <v>15751</v>
      </c>
      <c r="F125" s="551">
        <v>385</v>
      </c>
      <c r="G125" s="551">
        <v>349</v>
      </c>
      <c r="H125" s="551">
        <v>734</v>
      </c>
      <c r="I125" s="551">
        <v>188587</v>
      </c>
      <c r="J125" s="551">
        <v>206097</v>
      </c>
      <c r="K125" s="551">
        <v>394684</v>
      </c>
      <c r="L125" s="551">
        <v>1581859</v>
      </c>
      <c r="M125" s="551">
        <v>1341819</v>
      </c>
      <c r="N125" s="551">
        <v>2923678</v>
      </c>
      <c r="O125" s="551">
        <v>8734</v>
      </c>
      <c r="P125" s="551">
        <v>6625</v>
      </c>
      <c r="Q125" s="551">
        <v>15359</v>
      </c>
      <c r="R125" s="551">
        <v>215795</v>
      </c>
      <c r="S125" s="551">
        <v>145439</v>
      </c>
      <c r="T125" s="551">
        <v>361234</v>
      </c>
      <c r="U125" s="551">
        <v>4706</v>
      </c>
      <c r="V125" s="551">
        <v>4266</v>
      </c>
      <c r="W125" s="551">
        <v>8972</v>
      </c>
      <c r="X125" s="551">
        <v>8314</v>
      </c>
      <c r="Y125" s="551">
        <v>7527</v>
      </c>
      <c r="Z125" s="551">
        <v>15841</v>
      </c>
      <c r="AA125" s="551">
        <v>2017738</v>
      </c>
      <c r="AB125" s="551">
        <v>1718515</v>
      </c>
      <c r="AC125" s="551">
        <v>3736253</v>
      </c>
    </row>
    <row r="126" spans="1:29">
      <c r="A126" s="1202"/>
      <c r="B126" s="590" t="s">
        <v>229</v>
      </c>
      <c r="C126" s="346">
        <v>7122</v>
      </c>
      <c r="D126" s="346">
        <v>4861</v>
      </c>
      <c r="E126" s="346">
        <v>11983</v>
      </c>
      <c r="F126" s="346">
        <v>760</v>
      </c>
      <c r="G126" s="346">
        <v>716</v>
      </c>
      <c r="H126" s="346">
        <v>1476</v>
      </c>
      <c r="I126" s="346">
        <v>184339</v>
      </c>
      <c r="J126" s="346">
        <v>215963</v>
      </c>
      <c r="K126" s="346">
        <v>400302</v>
      </c>
      <c r="L126" s="346">
        <v>1504364</v>
      </c>
      <c r="M126" s="346">
        <v>1341482</v>
      </c>
      <c r="N126" s="346">
        <v>2845846</v>
      </c>
      <c r="O126" s="346">
        <v>9129</v>
      </c>
      <c r="P126" s="346">
        <v>7369</v>
      </c>
      <c r="Q126" s="346">
        <v>16498</v>
      </c>
      <c r="R126" s="346">
        <v>165508</v>
      </c>
      <c r="S126" s="346">
        <v>129520</v>
      </c>
      <c r="T126" s="346">
        <v>295028</v>
      </c>
      <c r="U126" s="346">
        <v>6100</v>
      </c>
      <c r="V126" s="346">
        <v>6516</v>
      </c>
      <c r="W126" s="346">
        <v>12616</v>
      </c>
      <c r="X126" s="346">
        <v>8085</v>
      </c>
      <c r="Y126" s="346">
        <v>7837</v>
      </c>
      <c r="Z126" s="346">
        <v>15922</v>
      </c>
      <c r="AA126" s="346">
        <v>1885407</v>
      </c>
      <c r="AB126" s="346">
        <v>1714264</v>
      </c>
      <c r="AC126" s="346">
        <v>3599671</v>
      </c>
    </row>
    <row r="127" spans="1:29">
      <c r="A127" s="1202"/>
      <c r="B127" s="590" t="s">
        <v>228</v>
      </c>
      <c r="C127" s="551">
        <v>4923</v>
      </c>
      <c r="D127" s="551">
        <v>3873</v>
      </c>
      <c r="E127" s="551">
        <v>8796</v>
      </c>
      <c r="F127" s="551">
        <v>1007</v>
      </c>
      <c r="G127" s="551">
        <v>1165</v>
      </c>
      <c r="H127" s="551">
        <v>2172</v>
      </c>
      <c r="I127" s="551">
        <v>177933</v>
      </c>
      <c r="J127" s="551">
        <v>205550</v>
      </c>
      <c r="K127" s="551">
        <v>383483</v>
      </c>
      <c r="L127" s="551">
        <v>1504130</v>
      </c>
      <c r="M127" s="551">
        <v>1321255</v>
      </c>
      <c r="N127" s="551">
        <v>2825385</v>
      </c>
      <c r="O127" s="551">
        <v>8490</v>
      </c>
      <c r="P127" s="551">
        <v>6404</v>
      </c>
      <c r="Q127" s="551">
        <v>14894</v>
      </c>
      <c r="R127" s="551">
        <v>198942</v>
      </c>
      <c r="S127" s="551">
        <v>130061</v>
      </c>
      <c r="T127" s="551">
        <v>329003</v>
      </c>
      <c r="U127" s="551">
        <v>6034</v>
      </c>
      <c r="V127" s="551">
        <v>5978</v>
      </c>
      <c r="W127" s="551">
        <v>12012</v>
      </c>
      <c r="X127" s="551">
        <v>7053</v>
      </c>
      <c r="Y127" s="551">
        <v>6470</v>
      </c>
      <c r="Z127" s="551">
        <v>13523</v>
      </c>
      <c r="AA127" s="551">
        <v>1908512</v>
      </c>
      <c r="AB127" s="551">
        <v>1680756</v>
      </c>
      <c r="AC127" s="551">
        <v>3589268</v>
      </c>
    </row>
    <row r="128" spans="1:29">
      <c r="A128" s="1202"/>
      <c r="B128" s="590" t="s">
        <v>227</v>
      </c>
      <c r="C128" s="339">
        <v>5365</v>
      </c>
      <c r="D128" s="339">
        <v>3841</v>
      </c>
      <c r="E128" s="358">
        <v>9206</v>
      </c>
      <c r="F128" s="339">
        <v>1176</v>
      </c>
      <c r="G128" s="339">
        <v>1245</v>
      </c>
      <c r="H128" s="358">
        <v>2421</v>
      </c>
      <c r="I128" s="348">
        <v>159619.55704424754</v>
      </c>
      <c r="J128" s="348">
        <v>172083.06880900724</v>
      </c>
      <c r="K128" s="359">
        <v>331702.62585325481</v>
      </c>
      <c r="L128" s="348">
        <v>1443382.386085392</v>
      </c>
      <c r="M128" s="348">
        <v>1282846.6642717505</v>
      </c>
      <c r="N128" s="359">
        <v>2726229.0503571425</v>
      </c>
      <c r="O128" s="339">
        <v>8586</v>
      </c>
      <c r="P128" s="339">
        <v>6051</v>
      </c>
      <c r="Q128" s="358">
        <v>14637</v>
      </c>
      <c r="R128" s="339">
        <v>189102</v>
      </c>
      <c r="S128" s="339">
        <v>117068</v>
      </c>
      <c r="T128" s="358">
        <v>306170</v>
      </c>
      <c r="U128" s="339">
        <v>5385</v>
      </c>
      <c r="V128" s="339">
        <v>4725</v>
      </c>
      <c r="W128" s="358">
        <v>10110</v>
      </c>
      <c r="X128" s="339">
        <v>6076</v>
      </c>
      <c r="Y128" s="339">
        <v>5868</v>
      </c>
      <c r="Z128" s="358">
        <v>11944</v>
      </c>
      <c r="AA128" s="350">
        <v>1818691.9431296396</v>
      </c>
      <c r="AB128" s="350">
        <v>1593727.7330807578</v>
      </c>
      <c r="AC128" s="359">
        <v>3412419.6762103974</v>
      </c>
    </row>
    <row r="129" spans="1:29">
      <c r="A129" s="1202">
        <v>21</v>
      </c>
      <c r="B129" s="599" t="s">
        <v>35</v>
      </c>
      <c r="C129" s="600"/>
      <c r="D129" s="601"/>
      <c r="E129" s="601"/>
      <c r="F129" s="601"/>
      <c r="G129" s="601"/>
      <c r="H129" s="601"/>
      <c r="I129" s="601"/>
      <c r="J129" s="601"/>
      <c r="K129" s="602"/>
      <c r="L129" s="600"/>
      <c r="M129" s="601"/>
      <c r="N129" s="601"/>
      <c r="O129" s="601"/>
      <c r="P129" s="601"/>
      <c r="Q129" s="601"/>
      <c r="R129" s="601"/>
      <c r="S129" s="601"/>
      <c r="T129" s="602"/>
      <c r="U129" s="600"/>
      <c r="V129" s="601"/>
      <c r="W129" s="601"/>
      <c r="X129" s="601"/>
      <c r="Y129" s="601"/>
      <c r="Z129" s="601"/>
      <c r="AA129" s="601"/>
      <c r="AB129" s="601"/>
      <c r="AC129" s="602"/>
    </row>
    <row r="130" spans="1:29">
      <c r="A130" s="1202"/>
      <c r="B130" s="590" t="s">
        <v>919</v>
      </c>
      <c r="C130" s="600">
        <v>725</v>
      </c>
      <c r="D130" s="601">
        <v>723</v>
      </c>
      <c r="E130" s="601">
        <v>1448</v>
      </c>
      <c r="F130" s="601"/>
      <c r="G130" s="601">
        <v>6</v>
      </c>
      <c r="H130" s="601">
        <v>6</v>
      </c>
      <c r="I130" s="601">
        <v>3211</v>
      </c>
      <c r="J130" s="601">
        <v>3989</v>
      </c>
      <c r="K130" s="602">
        <v>7200</v>
      </c>
      <c r="L130" s="600">
        <v>57000</v>
      </c>
      <c r="M130" s="601">
        <v>53650</v>
      </c>
      <c r="N130" s="601">
        <v>110650</v>
      </c>
      <c r="O130" s="601">
        <v>526</v>
      </c>
      <c r="P130" s="601">
        <v>394</v>
      </c>
      <c r="Q130" s="601">
        <v>920</v>
      </c>
      <c r="R130" s="601">
        <v>1635</v>
      </c>
      <c r="S130" s="601">
        <v>2902</v>
      </c>
      <c r="T130" s="602">
        <v>4537</v>
      </c>
      <c r="U130" s="600">
        <v>161</v>
      </c>
      <c r="V130" s="601">
        <v>125</v>
      </c>
      <c r="W130" s="601">
        <v>286</v>
      </c>
      <c r="X130" s="601"/>
      <c r="Y130" s="601"/>
      <c r="Z130" s="601"/>
      <c r="AA130" s="601">
        <v>63258</v>
      </c>
      <c r="AB130" s="601">
        <v>61789</v>
      </c>
      <c r="AC130" s="602">
        <v>125047</v>
      </c>
    </row>
    <row r="131" spans="1:29">
      <c r="A131" s="1202"/>
      <c r="B131" s="590" t="s">
        <v>876</v>
      </c>
      <c r="C131" s="551">
        <v>624</v>
      </c>
      <c r="D131" s="551">
        <v>569</v>
      </c>
      <c r="E131" s="551">
        <v>1193</v>
      </c>
      <c r="F131" s="551">
        <v>0</v>
      </c>
      <c r="G131" s="551">
        <v>12</v>
      </c>
      <c r="H131" s="551">
        <v>12</v>
      </c>
      <c r="I131" s="551">
        <v>3099</v>
      </c>
      <c r="J131" s="551">
        <v>4070</v>
      </c>
      <c r="K131" s="551">
        <v>7169</v>
      </c>
      <c r="L131" s="551">
        <v>60239</v>
      </c>
      <c r="M131" s="551">
        <v>59595</v>
      </c>
      <c r="N131" s="551">
        <v>119834</v>
      </c>
      <c r="O131" s="551">
        <v>345</v>
      </c>
      <c r="P131" s="551">
        <v>222</v>
      </c>
      <c r="Q131" s="551">
        <v>567</v>
      </c>
      <c r="R131" s="551">
        <v>1615</v>
      </c>
      <c r="S131" s="551">
        <v>2575</v>
      </c>
      <c r="T131" s="551">
        <v>4190</v>
      </c>
      <c r="U131" s="551">
        <v>160</v>
      </c>
      <c r="V131" s="551">
        <v>186</v>
      </c>
      <c r="W131" s="551">
        <v>346</v>
      </c>
      <c r="X131" s="551">
        <v>0</v>
      </c>
      <c r="Y131" s="551">
        <v>0</v>
      </c>
      <c r="Z131" s="551">
        <v>0</v>
      </c>
      <c r="AA131" s="551">
        <v>66082</v>
      </c>
      <c r="AB131" s="551">
        <v>67229</v>
      </c>
      <c r="AC131" s="551">
        <v>133311</v>
      </c>
    </row>
    <row r="132" spans="1:29">
      <c r="A132" s="1202"/>
      <c r="B132" s="590" t="s">
        <v>229</v>
      </c>
      <c r="C132" s="346">
        <v>538</v>
      </c>
      <c r="D132" s="346">
        <v>507</v>
      </c>
      <c r="E132" s="346">
        <v>1045</v>
      </c>
      <c r="F132" s="346">
        <v>2</v>
      </c>
      <c r="G132" s="346">
        <v>10</v>
      </c>
      <c r="H132" s="346">
        <v>12</v>
      </c>
      <c r="I132" s="346">
        <v>2744</v>
      </c>
      <c r="J132" s="346">
        <v>3274</v>
      </c>
      <c r="K132" s="346">
        <v>6018</v>
      </c>
      <c r="L132" s="346">
        <v>52759</v>
      </c>
      <c r="M132" s="346">
        <v>54453</v>
      </c>
      <c r="N132" s="346">
        <v>107212</v>
      </c>
      <c r="O132" s="346">
        <v>144</v>
      </c>
      <c r="P132" s="346">
        <v>79</v>
      </c>
      <c r="Q132" s="346">
        <v>223</v>
      </c>
      <c r="R132" s="346">
        <v>1376</v>
      </c>
      <c r="S132" s="346">
        <v>2561</v>
      </c>
      <c r="T132" s="346">
        <v>3937</v>
      </c>
      <c r="U132" s="346">
        <v>55</v>
      </c>
      <c r="V132" s="346">
        <v>90</v>
      </c>
      <c r="W132" s="346">
        <v>145</v>
      </c>
      <c r="X132" s="346">
        <v>0</v>
      </c>
      <c r="Y132" s="346">
        <v>0</v>
      </c>
      <c r="Z132" s="346">
        <v>0</v>
      </c>
      <c r="AA132" s="346">
        <v>57618</v>
      </c>
      <c r="AB132" s="346">
        <v>60974</v>
      </c>
      <c r="AC132" s="346">
        <v>118592</v>
      </c>
    </row>
    <row r="133" spans="1:29">
      <c r="A133" s="1202"/>
      <c r="B133" s="590" t="s">
        <v>228</v>
      </c>
      <c r="C133" s="551">
        <v>601</v>
      </c>
      <c r="D133" s="551">
        <v>487</v>
      </c>
      <c r="E133" s="551">
        <v>1088</v>
      </c>
      <c r="F133" s="551">
        <v>1</v>
      </c>
      <c r="G133" s="551">
        <v>10</v>
      </c>
      <c r="H133" s="551">
        <v>11</v>
      </c>
      <c r="I133" s="551">
        <v>2433</v>
      </c>
      <c r="J133" s="551">
        <v>2633</v>
      </c>
      <c r="K133" s="551">
        <v>5066</v>
      </c>
      <c r="L133" s="551">
        <v>46921</v>
      </c>
      <c r="M133" s="551">
        <v>47938</v>
      </c>
      <c r="N133" s="551">
        <v>94859</v>
      </c>
      <c r="O133" s="551">
        <v>106</v>
      </c>
      <c r="P133" s="551">
        <v>77</v>
      </c>
      <c r="Q133" s="551">
        <v>183</v>
      </c>
      <c r="R133" s="551">
        <v>1261</v>
      </c>
      <c r="S133" s="551">
        <v>1768</v>
      </c>
      <c r="T133" s="551">
        <v>3029</v>
      </c>
      <c r="U133" s="551">
        <v>46</v>
      </c>
      <c r="V133" s="551">
        <v>72</v>
      </c>
      <c r="W133" s="551">
        <v>118</v>
      </c>
      <c r="X133" s="551">
        <v>0</v>
      </c>
      <c r="Y133" s="551">
        <v>0</v>
      </c>
      <c r="Z133" s="551">
        <v>0</v>
      </c>
      <c r="AA133" s="551">
        <v>51369</v>
      </c>
      <c r="AB133" s="551">
        <v>52985</v>
      </c>
      <c r="AC133" s="551">
        <v>104354</v>
      </c>
    </row>
    <row r="134" spans="1:29">
      <c r="A134" s="1202"/>
      <c r="B134" s="590" t="s">
        <v>227</v>
      </c>
      <c r="C134" s="339">
        <v>332</v>
      </c>
      <c r="D134" s="339">
        <v>314</v>
      </c>
      <c r="E134" s="358">
        <v>646</v>
      </c>
      <c r="F134" s="339">
        <v>0</v>
      </c>
      <c r="G134" s="339">
        <v>7</v>
      </c>
      <c r="H134" s="358">
        <v>7</v>
      </c>
      <c r="I134" s="348">
        <v>1995.0058442846948</v>
      </c>
      <c r="J134" s="348">
        <v>2210.6823511592738</v>
      </c>
      <c r="K134" s="359">
        <v>4205.6881954439687</v>
      </c>
      <c r="L134" s="348">
        <v>43571.869593728305</v>
      </c>
      <c r="M134" s="348">
        <v>47757.413332074699</v>
      </c>
      <c r="N134" s="359">
        <v>91329.282925803011</v>
      </c>
      <c r="O134" s="339">
        <v>96</v>
      </c>
      <c r="P134" s="339">
        <v>40</v>
      </c>
      <c r="Q134" s="358">
        <v>136</v>
      </c>
      <c r="R134" s="339">
        <v>949</v>
      </c>
      <c r="S134" s="339">
        <v>794</v>
      </c>
      <c r="T134" s="358">
        <v>1743</v>
      </c>
      <c r="U134" s="339">
        <v>0</v>
      </c>
      <c r="V134" s="339">
        <v>30</v>
      </c>
      <c r="W134" s="358">
        <v>30</v>
      </c>
      <c r="X134" s="339">
        <v>0</v>
      </c>
      <c r="Y134" s="339">
        <v>0</v>
      </c>
      <c r="Z134" s="358">
        <v>0</v>
      </c>
      <c r="AA134" s="350">
        <v>46943.875438012998</v>
      </c>
      <c r="AB134" s="350">
        <v>51153.095683233973</v>
      </c>
      <c r="AC134" s="359">
        <v>98096.971121246985</v>
      </c>
    </row>
    <row r="135" spans="1:29">
      <c r="A135" s="1202">
        <v>22</v>
      </c>
      <c r="B135" s="599" t="s">
        <v>36</v>
      </c>
      <c r="C135" s="600"/>
      <c r="D135" s="601"/>
      <c r="E135" s="601"/>
      <c r="F135" s="601"/>
      <c r="G135" s="601"/>
      <c r="H135" s="601"/>
      <c r="I135" s="601"/>
      <c r="J135" s="601"/>
      <c r="K135" s="602"/>
      <c r="L135" s="600"/>
      <c r="M135" s="601"/>
      <c r="N135" s="601"/>
      <c r="O135" s="601"/>
      <c r="P135" s="601"/>
      <c r="Q135" s="601"/>
      <c r="R135" s="601"/>
      <c r="S135" s="601"/>
      <c r="T135" s="602"/>
      <c r="U135" s="600"/>
      <c r="V135" s="601"/>
      <c r="W135" s="601"/>
      <c r="X135" s="601"/>
      <c r="Y135" s="601"/>
      <c r="Z135" s="601"/>
      <c r="AA135" s="601"/>
      <c r="AB135" s="601"/>
      <c r="AC135" s="602"/>
    </row>
    <row r="136" spans="1:29">
      <c r="A136" s="1202"/>
      <c r="B136" s="590" t="s">
        <v>919</v>
      </c>
      <c r="C136" s="600">
        <v>458</v>
      </c>
      <c r="D136" s="601">
        <v>331</v>
      </c>
      <c r="E136" s="601">
        <v>789</v>
      </c>
      <c r="F136" s="601">
        <v>1</v>
      </c>
      <c r="G136" s="601">
        <v>2</v>
      </c>
      <c r="H136" s="601">
        <v>3</v>
      </c>
      <c r="I136" s="601">
        <v>4340</v>
      </c>
      <c r="J136" s="601">
        <v>6303</v>
      </c>
      <c r="K136" s="602">
        <v>10643</v>
      </c>
      <c r="L136" s="600">
        <v>34345</v>
      </c>
      <c r="M136" s="601">
        <v>39778</v>
      </c>
      <c r="N136" s="601">
        <v>74123</v>
      </c>
      <c r="O136" s="601">
        <v>184</v>
      </c>
      <c r="P136" s="601">
        <v>284</v>
      </c>
      <c r="Q136" s="601">
        <v>468</v>
      </c>
      <c r="R136" s="601">
        <v>981</v>
      </c>
      <c r="S136" s="601">
        <v>1980</v>
      </c>
      <c r="T136" s="602">
        <v>2961</v>
      </c>
      <c r="U136" s="600">
        <v>31</v>
      </c>
      <c r="V136" s="601">
        <v>55</v>
      </c>
      <c r="W136" s="601">
        <v>86</v>
      </c>
      <c r="X136" s="601">
        <v>203</v>
      </c>
      <c r="Y136" s="601">
        <v>180</v>
      </c>
      <c r="Z136" s="601">
        <v>383</v>
      </c>
      <c r="AA136" s="601">
        <v>40543</v>
      </c>
      <c r="AB136" s="601">
        <v>48913</v>
      </c>
      <c r="AC136" s="602">
        <v>89456</v>
      </c>
    </row>
    <row r="137" spans="1:29">
      <c r="A137" s="1202"/>
      <c r="B137" s="590" t="s">
        <v>876</v>
      </c>
      <c r="C137" s="551">
        <v>469</v>
      </c>
      <c r="D137" s="551">
        <v>364</v>
      </c>
      <c r="E137" s="551">
        <v>833</v>
      </c>
      <c r="F137" s="551">
        <v>0</v>
      </c>
      <c r="G137" s="551">
        <v>0</v>
      </c>
      <c r="H137" s="551">
        <v>0</v>
      </c>
      <c r="I137" s="551">
        <v>3125</v>
      </c>
      <c r="J137" s="551">
        <v>4882</v>
      </c>
      <c r="K137" s="551">
        <v>8007</v>
      </c>
      <c r="L137" s="551">
        <v>35316</v>
      </c>
      <c r="M137" s="551">
        <v>43731</v>
      </c>
      <c r="N137" s="551">
        <v>79047</v>
      </c>
      <c r="O137" s="551">
        <v>42</v>
      </c>
      <c r="P137" s="551">
        <v>37</v>
      </c>
      <c r="Q137" s="551">
        <v>79</v>
      </c>
      <c r="R137" s="551">
        <v>1300</v>
      </c>
      <c r="S137" s="551">
        <v>2194</v>
      </c>
      <c r="T137" s="551">
        <v>3494</v>
      </c>
      <c r="U137" s="551">
        <v>172</v>
      </c>
      <c r="V137" s="551">
        <v>214</v>
      </c>
      <c r="W137" s="551">
        <v>386</v>
      </c>
      <c r="X137" s="551">
        <v>73</v>
      </c>
      <c r="Y137" s="551">
        <v>54</v>
      </c>
      <c r="Z137" s="551">
        <v>127</v>
      </c>
      <c r="AA137" s="551">
        <v>40497</v>
      </c>
      <c r="AB137" s="551">
        <v>51476</v>
      </c>
      <c r="AC137" s="551">
        <v>91973</v>
      </c>
    </row>
    <row r="138" spans="1:29">
      <c r="A138" s="1202"/>
      <c r="B138" s="590" t="s">
        <v>229</v>
      </c>
      <c r="C138" s="346">
        <v>492</v>
      </c>
      <c r="D138" s="346">
        <v>378</v>
      </c>
      <c r="E138" s="346">
        <v>870</v>
      </c>
      <c r="F138" s="346">
        <v>10</v>
      </c>
      <c r="G138" s="346">
        <v>23</v>
      </c>
      <c r="H138" s="346">
        <v>33</v>
      </c>
      <c r="I138" s="346">
        <v>2979</v>
      </c>
      <c r="J138" s="346">
        <v>4304</v>
      </c>
      <c r="K138" s="346">
        <v>7283</v>
      </c>
      <c r="L138" s="346">
        <v>32135</v>
      </c>
      <c r="M138" s="346">
        <v>37234</v>
      </c>
      <c r="N138" s="346">
        <v>69369</v>
      </c>
      <c r="O138" s="346">
        <v>32</v>
      </c>
      <c r="P138" s="346">
        <v>37</v>
      </c>
      <c r="Q138" s="346">
        <v>69</v>
      </c>
      <c r="R138" s="346">
        <v>1076</v>
      </c>
      <c r="S138" s="346">
        <v>1637</v>
      </c>
      <c r="T138" s="346">
        <v>2713</v>
      </c>
      <c r="U138" s="346">
        <v>47</v>
      </c>
      <c r="V138" s="346">
        <v>47</v>
      </c>
      <c r="W138" s="346">
        <v>94</v>
      </c>
      <c r="X138" s="346">
        <v>70</v>
      </c>
      <c r="Y138" s="346">
        <v>52</v>
      </c>
      <c r="Z138" s="346">
        <v>122</v>
      </c>
      <c r="AA138" s="346">
        <v>36841</v>
      </c>
      <c r="AB138" s="346">
        <v>43712</v>
      </c>
      <c r="AC138" s="346">
        <v>80553</v>
      </c>
    </row>
    <row r="139" spans="1:29">
      <c r="A139" s="1202"/>
      <c r="B139" s="590" t="s">
        <v>228</v>
      </c>
      <c r="C139" s="551">
        <v>475</v>
      </c>
      <c r="D139" s="551">
        <v>678</v>
      </c>
      <c r="E139" s="551">
        <v>1153</v>
      </c>
      <c r="F139" s="551">
        <v>29</v>
      </c>
      <c r="G139" s="551">
        <v>46</v>
      </c>
      <c r="H139" s="551">
        <v>75</v>
      </c>
      <c r="I139" s="551">
        <v>2479</v>
      </c>
      <c r="J139" s="551">
        <v>3772</v>
      </c>
      <c r="K139" s="551">
        <v>6251</v>
      </c>
      <c r="L139" s="551">
        <v>31975</v>
      </c>
      <c r="M139" s="551">
        <v>36789</v>
      </c>
      <c r="N139" s="551">
        <v>68764</v>
      </c>
      <c r="O139" s="551">
        <v>26</v>
      </c>
      <c r="P139" s="551">
        <v>11</v>
      </c>
      <c r="Q139" s="551">
        <v>37</v>
      </c>
      <c r="R139" s="551">
        <v>1083</v>
      </c>
      <c r="S139" s="551">
        <v>1719</v>
      </c>
      <c r="T139" s="551">
        <v>2802</v>
      </c>
      <c r="U139" s="551">
        <v>0</v>
      </c>
      <c r="V139" s="551">
        <v>0</v>
      </c>
      <c r="W139" s="551">
        <v>0</v>
      </c>
      <c r="X139" s="551">
        <v>52</v>
      </c>
      <c r="Y139" s="551">
        <v>42</v>
      </c>
      <c r="Z139" s="551">
        <v>94</v>
      </c>
      <c r="AA139" s="551">
        <v>36119</v>
      </c>
      <c r="AB139" s="551">
        <v>43057</v>
      </c>
      <c r="AC139" s="551">
        <v>79176</v>
      </c>
    </row>
    <row r="140" spans="1:29">
      <c r="A140" s="1202"/>
      <c r="B140" s="590" t="s">
        <v>227</v>
      </c>
      <c r="C140" s="339">
        <v>466</v>
      </c>
      <c r="D140" s="339">
        <v>513</v>
      </c>
      <c r="E140" s="358">
        <v>979</v>
      </c>
      <c r="F140" s="339">
        <v>29</v>
      </c>
      <c r="G140" s="339">
        <v>57</v>
      </c>
      <c r="H140" s="358">
        <v>86</v>
      </c>
      <c r="I140" s="348">
        <v>2352.6169960883171</v>
      </c>
      <c r="J140" s="348">
        <v>3120.526674096649</v>
      </c>
      <c r="K140" s="359">
        <v>5473.143670184967</v>
      </c>
      <c r="L140" s="348">
        <v>31670.096490820324</v>
      </c>
      <c r="M140" s="348">
        <v>34496.56319698006</v>
      </c>
      <c r="N140" s="359">
        <v>66166.659687800377</v>
      </c>
      <c r="O140" s="339">
        <v>17</v>
      </c>
      <c r="P140" s="339">
        <v>32</v>
      </c>
      <c r="Q140" s="358">
        <v>49</v>
      </c>
      <c r="R140" s="339">
        <v>873</v>
      </c>
      <c r="S140" s="339">
        <v>1436</v>
      </c>
      <c r="T140" s="358">
        <v>2309</v>
      </c>
      <c r="U140" s="339">
        <v>5</v>
      </c>
      <c r="V140" s="339">
        <v>73</v>
      </c>
      <c r="W140" s="358">
        <v>78</v>
      </c>
      <c r="X140" s="339">
        <v>40</v>
      </c>
      <c r="Y140" s="339">
        <v>27</v>
      </c>
      <c r="Z140" s="358">
        <v>67</v>
      </c>
      <c r="AA140" s="350">
        <v>35452.713486908644</v>
      </c>
      <c r="AB140" s="350">
        <v>39755.089871076707</v>
      </c>
      <c r="AC140" s="359">
        <v>75207.803357985336</v>
      </c>
    </row>
    <row r="141" spans="1:29">
      <c r="A141" s="1202">
        <v>23</v>
      </c>
      <c r="B141" s="599" t="s">
        <v>37</v>
      </c>
      <c r="C141" s="600"/>
      <c r="D141" s="601"/>
      <c r="E141" s="601"/>
      <c r="F141" s="601"/>
      <c r="G141" s="601"/>
      <c r="H141" s="601"/>
      <c r="I141" s="601"/>
      <c r="J141" s="601"/>
      <c r="K141" s="602"/>
      <c r="L141" s="600"/>
      <c r="M141" s="601"/>
      <c r="N141" s="601"/>
      <c r="O141" s="601"/>
      <c r="P141" s="601"/>
      <c r="Q141" s="601"/>
      <c r="R141" s="601"/>
      <c r="S141" s="601"/>
      <c r="T141" s="602"/>
      <c r="U141" s="600"/>
      <c r="V141" s="601"/>
      <c r="W141" s="601"/>
      <c r="X141" s="601"/>
      <c r="Y141" s="601"/>
      <c r="Z141" s="601"/>
      <c r="AA141" s="601"/>
      <c r="AB141" s="601"/>
      <c r="AC141" s="602"/>
    </row>
    <row r="142" spans="1:29">
      <c r="A142" s="1202"/>
      <c r="B142" s="590" t="s">
        <v>919</v>
      </c>
      <c r="C142" s="600">
        <v>634</v>
      </c>
      <c r="D142" s="601">
        <v>565</v>
      </c>
      <c r="E142" s="601">
        <v>1199</v>
      </c>
      <c r="F142" s="601"/>
      <c r="G142" s="601"/>
      <c r="H142" s="601"/>
      <c r="I142" s="601">
        <v>1266</v>
      </c>
      <c r="J142" s="601">
        <v>1572</v>
      </c>
      <c r="K142" s="602">
        <v>2838</v>
      </c>
      <c r="L142" s="600">
        <v>14289</v>
      </c>
      <c r="M142" s="601">
        <v>13432</v>
      </c>
      <c r="N142" s="601">
        <v>27721</v>
      </c>
      <c r="O142" s="601"/>
      <c r="P142" s="601"/>
      <c r="Q142" s="601"/>
      <c r="R142" s="601">
        <v>3179</v>
      </c>
      <c r="S142" s="601">
        <v>3516</v>
      </c>
      <c r="T142" s="602">
        <v>6695</v>
      </c>
      <c r="U142" s="600"/>
      <c r="V142" s="601"/>
      <c r="W142" s="601"/>
      <c r="X142" s="601">
        <v>15</v>
      </c>
      <c r="Y142" s="601">
        <v>10</v>
      </c>
      <c r="Z142" s="601">
        <v>25</v>
      </c>
      <c r="AA142" s="601">
        <v>19383</v>
      </c>
      <c r="AB142" s="601">
        <v>19095</v>
      </c>
      <c r="AC142" s="602">
        <v>38478</v>
      </c>
    </row>
    <row r="143" spans="1:29">
      <c r="A143" s="1202"/>
      <c r="B143" s="590" t="s">
        <v>876</v>
      </c>
      <c r="C143" s="551">
        <v>551</v>
      </c>
      <c r="D143" s="551">
        <v>436</v>
      </c>
      <c r="E143" s="551">
        <v>987</v>
      </c>
      <c r="F143" s="551">
        <v>56</v>
      </c>
      <c r="G143" s="551">
        <v>59</v>
      </c>
      <c r="H143" s="551">
        <v>115</v>
      </c>
      <c r="I143" s="551">
        <v>1127</v>
      </c>
      <c r="J143" s="551">
        <v>1313</v>
      </c>
      <c r="K143" s="551">
        <v>2440</v>
      </c>
      <c r="L143" s="551">
        <v>13723</v>
      </c>
      <c r="M143" s="551">
        <v>12815</v>
      </c>
      <c r="N143" s="551">
        <v>26538</v>
      </c>
      <c r="O143" s="551">
        <v>0</v>
      </c>
      <c r="P143" s="551">
        <v>0</v>
      </c>
      <c r="Q143" s="551">
        <v>0</v>
      </c>
      <c r="R143" s="551">
        <v>698</v>
      </c>
      <c r="S143" s="551">
        <v>1435</v>
      </c>
      <c r="T143" s="551">
        <v>2133</v>
      </c>
      <c r="U143" s="551">
        <v>0</v>
      </c>
      <c r="V143" s="551">
        <v>20</v>
      </c>
      <c r="W143" s="551">
        <v>20</v>
      </c>
      <c r="X143" s="551">
        <v>29</v>
      </c>
      <c r="Y143" s="551">
        <v>23</v>
      </c>
      <c r="Z143" s="551">
        <v>52</v>
      </c>
      <c r="AA143" s="551">
        <v>16184</v>
      </c>
      <c r="AB143" s="551">
        <v>16101</v>
      </c>
      <c r="AC143" s="551">
        <v>32285</v>
      </c>
    </row>
    <row r="144" spans="1:29">
      <c r="A144" s="1202"/>
      <c r="B144" s="590" t="s">
        <v>229</v>
      </c>
      <c r="C144" s="346">
        <v>479</v>
      </c>
      <c r="D144" s="346">
        <v>388</v>
      </c>
      <c r="E144" s="346">
        <v>867</v>
      </c>
      <c r="F144" s="346">
        <v>75</v>
      </c>
      <c r="G144" s="346">
        <v>77</v>
      </c>
      <c r="H144" s="346">
        <v>152</v>
      </c>
      <c r="I144" s="346">
        <v>1143</v>
      </c>
      <c r="J144" s="346">
        <v>1173</v>
      </c>
      <c r="K144" s="346">
        <v>2316</v>
      </c>
      <c r="L144" s="346">
        <v>10938</v>
      </c>
      <c r="M144" s="346">
        <v>9351</v>
      </c>
      <c r="N144" s="346">
        <v>20289</v>
      </c>
      <c r="O144" s="346">
        <v>0</v>
      </c>
      <c r="P144" s="346">
        <v>0</v>
      </c>
      <c r="Q144" s="346">
        <v>0</v>
      </c>
      <c r="R144" s="346">
        <v>649</v>
      </c>
      <c r="S144" s="346">
        <v>1213</v>
      </c>
      <c r="T144" s="346">
        <v>1862</v>
      </c>
      <c r="U144" s="346">
        <v>304</v>
      </c>
      <c r="V144" s="346">
        <v>159</v>
      </c>
      <c r="W144" s="346">
        <v>463</v>
      </c>
      <c r="X144" s="346">
        <v>47</v>
      </c>
      <c r="Y144" s="346">
        <v>26</v>
      </c>
      <c r="Z144" s="346">
        <v>73</v>
      </c>
      <c r="AA144" s="346">
        <v>13635</v>
      </c>
      <c r="AB144" s="346">
        <v>12387</v>
      </c>
      <c r="AC144" s="346">
        <v>26022</v>
      </c>
    </row>
    <row r="145" spans="1:29">
      <c r="A145" s="1202"/>
      <c r="B145" s="590" t="s">
        <v>228</v>
      </c>
      <c r="C145" s="551">
        <v>415</v>
      </c>
      <c r="D145" s="551">
        <v>368</v>
      </c>
      <c r="E145" s="551">
        <v>783</v>
      </c>
      <c r="F145" s="551">
        <v>77</v>
      </c>
      <c r="G145" s="551">
        <v>112</v>
      </c>
      <c r="H145" s="551">
        <v>189</v>
      </c>
      <c r="I145" s="551">
        <v>1217</v>
      </c>
      <c r="J145" s="551">
        <v>1174</v>
      </c>
      <c r="K145" s="551">
        <v>2391</v>
      </c>
      <c r="L145" s="551">
        <v>10794</v>
      </c>
      <c r="M145" s="551">
        <v>9069</v>
      </c>
      <c r="N145" s="551">
        <v>19863</v>
      </c>
      <c r="O145" s="551">
        <v>0</v>
      </c>
      <c r="P145" s="551">
        <v>0</v>
      </c>
      <c r="Q145" s="551">
        <v>0</v>
      </c>
      <c r="R145" s="551">
        <v>666</v>
      </c>
      <c r="S145" s="551">
        <v>1138</v>
      </c>
      <c r="T145" s="551">
        <v>1804</v>
      </c>
      <c r="U145" s="551">
        <v>285</v>
      </c>
      <c r="V145" s="551">
        <v>171</v>
      </c>
      <c r="W145" s="551">
        <v>456</v>
      </c>
      <c r="X145" s="551">
        <v>66</v>
      </c>
      <c r="Y145" s="551">
        <v>44</v>
      </c>
      <c r="Z145" s="551">
        <v>110</v>
      </c>
      <c r="AA145" s="551">
        <v>13520</v>
      </c>
      <c r="AB145" s="551">
        <v>12076</v>
      </c>
      <c r="AC145" s="551">
        <v>25596</v>
      </c>
    </row>
    <row r="146" spans="1:29">
      <c r="A146" s="1202"/>
      <c r="B146" s="590" t="s">
        <v>227</v>
      </c>
      <c r="C146" s="339">
        <v>347</v>
      </c>
      <c r="D146" s="339">
        <v>296</v>
      </c>
      <c r="E146" s="358">
        <v>643</v>
      </c>
      <c r="F146" s="339">
        <v>71</v>
      </c>
      <c r="G146" s="339">
        <v>75</v>
      </c>
      <c r="H146" s="358">
        <v>146</v>
      </c>
      <c r="I146" s="339">
        <v>1168</v>
      </c>
      <c r="J146" s="339">
        <v>1183</v>
      </c>
      <c r="K146" s="358">
        <v>2351</v>
      </c>
      <c r="L146" s="339">
        <v>10263</v>
      </c>
      <c r="M146" s="339">
        <v>8879</v>
      </c>
      <c r="N146" s="358">
        <v>19142</v>
      </c>
      <c r="O146" s="339">
        <v>0</v>
      </c>
      <c r="P146" s="339">
        <v>0</v>
      </c>
      <c r="Q146" s="358">
        <v>0</v>
      </c>
      <c r="R146" s="339">
        <v>609</v>
      </c>
      <c r="S146" s="339">
        <v>1124</v>
      </c>
      <c r="T146" s="358">
        <v>1733</v>
      </c>
      <c r="U146" s="339">
        <v>190</v>
      </c>
      <c r="V146" s="339">
        <v>143</v>
      </c>
      <c r="W146" s="358">
        <v>333</v>
      </c>
      <c r="X146" s="339">
        <v>66</v>
      </c>
      <c r="Y146" s="339">
        <v>37</v>
      </c>
      <c r="Z146" s="358">
        <v>103</v>
      </c>
      <c r="AA146" s="341">
        <v>12714</v>
      </c>
      <c r="AB146" s="341">
        <v>11737</v>
      </c>
      <c r="AC146" s="358">
        <v>24451</v>
      </c>
    </row>
    <row r="147" spans="1:29">
      <c r="A147" s="1202">
        <v>24</v>
      </c>
      <c r="B147" s="599" t="s">
        <v>38</v>
      </c>
      <c r="C147" s="600"/>
      <c r="D147" s="601"/>
      <c r="E147" s="601"/>
      <c r="F147" s="601"/>
      <c r="G147" s="601"/>
      <c r="H147" s="601"/>
      <c r="I147" s="601"/>
      <c r="J147" s="601"/>
      <c r="K147" s="602"/>
      <c r="L147" s="600"/>
      <c r="M147" s="601"/>
      <c r="N147" s="601"/>
      <c r="O147" s="601"/>
      <c r="P147" s="601"/>
      <c r="Q147" s="601"/>
      <c r="R147" s="601"/>
      <c r="S147" s="601"/>
      <c r="T147" s="602"/>
      <c r="U147" s="600"/>
      <c r="V147" s="601"/>
      <c r="W147" s="601"/>
      <c r="X147" s="601"/>
      <c r="Y147" s="601"/>
      <c r="Z147" s="601"/>
      <c r="AA147" s="601"/>
      <c r="AB147" s="601"/>
      <c r="AC147" s="602"/>
    </row>
    <row r="148" spans="1:29">
      <c r="A148" s="1202"/>
      <c r="B148" s="590" t="s">
        <v>919</v>
      </c>
      <c r="C148" s="600">
        <v>290</v>
      </c>
      <c r="D148" s="601">
        <v>330</v>
      </c>
      <c r="E148" s="601">
        <v>620</v>
      </c>
      <c r="F148" s="601">
        <v>12</v>
      </c>
      <c r="G148" s="601">
        <v>6</v>
      </c>
      <c r="H148" s="601">
        <v>18</v>
      </c>
      <c r="I148" s="601">
        <v>2181</v>
      </c>
      <c r="J148" s="601">
        <v>3138</v>
      </c>
      <c r="K148" s="602">
        <v>5319</v>
      </c>
      <c r="L148" s="600">
        <v>18191</v>
      </c>
      <c r="M148" s="601">
        <v>19839</v>
      </c>
      <c r="N148" s="601">
        <v>38030</v>
      </c>
      <c r="O148" s="601">
        <v>2</v>
      </c>
      <c r="P148" s="601">
        <v>7</v>
      </c>
      <c r="Q148" s="601">
        <v>9</v>
      </c>
      <c r="R148" s="601">
        <v>851</v>
      </c>
      <c r="S148" s="601">
        <v>1309</v>
      </c>
      <c r="T148" s="602">
        <v>2160</v>
      </c>
      <c r="U148" s="600">
        <v>310</v>
      </c>
      <c r="V148" s="601">
        <v>276</v>
      </c>
      <c r="W148" s="601">
        <v>586</v>
      </c>
      <c r="X148" s="601"/>
      <c r="Y148" s="601"/>
      <c r="Z148" s="601"/>
      <c r="AA148" s="601">
        <v>21837</v>
      </c>
      <c r="AB148" s="601">
        <v>24905</v>
      </c>
      <c r="AC148" s="602">
        <v>46742</v>
      </c>
    </row>
    <row r="149" spans="1:29">
      <c r="A149" s="1202"/>
      <c r="B149" s="590" t="s">
        <v>876</v>
      </c>
      <c r="C149" s="551">
        <v>279</v>
      </c>
      <c r="D149" s="551">
        <v>314</v>
      </c>
      <c r="E149" s="551">
        <v>593</v>
      </c>
      <c r="F149" s="551">
        <v>23</v>
      </c>
      <c r="G149" s="551">
        <v>30</v>
      </c>
      <c r="H149" s="551">
        <v>53</v>
      </c>
      <c r="I149" s="551">
        <v>2077</v>
      </c>
      <c r="J149" s="551">
        <v>2865</v>
      </c>
      <c r="K149" s="551">
        <v>4942</v>
      </c>
      <c r="L149" s="551">
        <v>17094</v>
      </c>
      <c r="M149" s="551">
        <v>18734</v>
      </c>
      <c r="N149" s="551">
        <v>35828</v>
      </c>
      <c r="O149" s="551">
        <v>0</v>
      </c>
      <c r="P149" s="551">
        <v>19</v>
      </c>
      <c r="Q149" s="551">
        <v>19</v>
      </c>
      <c r="R149" s="551">
        <v>841</v>
      </c>
      <c r="S149" s="551">
        <v>1172</v>
      </c>
      <c r="T149" s="551">
        <v>2013</v>
      </c>
      <c r="U149" s="551">
        <v>98</v>
      </c>
      <c r="V149" s="551">
        <v>99</v>
      </c>
      <c r="W149" s="551">
        <v>197</v>
      </c>
      <c r="X149" s="551">
        <v>6</v>
      </c>
      <c r="Y149" s="551">
        <v>0</v>
      </c>
      <c r="Z149" s="551">
        <v>6</v>
      </c>
      <c r="AA149" s="551">
        <v>20418</v>
      </c>
      <c r="AB149" s="551">
        <v>23233</v>
      </c>
      <c r="AC149" s="551">
        <v>43651</v>
      </c>
    </row>
    <row r="150" spans="1:29">
      <c r="A150" s="1202"/>
      <c r="B150" s="590" t="s">
        <v>229</v>
      </c>
      <c r="C150" s="346">
        <v>270</v>
      </c>
      <c r="D150" s="346">
        <v>307</v>
      </c>
      <c r="E150" s="346">
        <v>577</v>
      </c>
      <c r="F150" s="346">
        <v>10</v>
      </c>
      <c r="G150" s="346">
        <v>28</v>
      </c>
      <c r="H150" s="346">
        <v>38</v>
      </c>
      <c r="I150" s="346">
        <v>1346</v>
      </c>
      <c r="J150" s="346">
        <v>2205</v>
      </c>
      <c r="K150" s="346">
        <v>3551</v>
      </c>
      <c r="L150" s="346">
        <v>16442</v>
      </c>
      <c r="M150" s="346">
        <v>18743</v>
      </c>
      <c r="N150" s="346">
        <v>35185</v>
      </c>
      <c r="O150" s="346">
        <v>23</v>
      </c>
      <c r="P150" s="346">
        <v>95</v>
      </c>
      <c r="Q150" s="346">
        <v>118</v>
      </c>
      <c r="R150" s="346">
        <v>827</v>
      </c>
      <c r="S150" s="346">
        <v>963</v>
      </c>
      <c r="T150" s="346">
        <v>1790</v>
      </c>
      <c r="U150" s="346">
        <v>17</v>
      </c>
      <c r="V150" s="346">
        <v>21</v>
      </c>
      <c r="W150" s="346">
        <v>38</v>
      </c>
      <c r="X150" s="346">
        <v>6</v>
      </c>
      <c r="Y150" s="346">
        <v>0</v>
      </c>
      <c r="Z150" s="346">
        <v>6</v>
      </c>
      <c r="AA150" s="346">
        <v>18941</v>
      </c>
      <c r="AB150" s="346">
        <v>22362</v>
      </c>
      <c r="AC150" s="346">
        <v>41303</v>
      </c>
    </row>
    <row r="151" spans="1:29">
      <c r="A151" s="1202"/>
      <c r="B151" s="590" t="s">
        <v>228</v>
      </c>
      <c r="C151" s="551">
        <v>235</v>
      </c>
      <c r="D151" s="551">
        <v>257</v>
      </c>
      <c r="E151" s="551">
        <v>492</v>
      </c>
      <c r="F151" s="551">
        <v>6</v>
      </c>
      <c r="G151" s="551">
        <v>12</v>
      </c>
      <c r="H151" s="551">
        <v>18</v>
      </c>
      <c r="I151" s="551">
        <v>1299</v>
      </c>
      <c r="J151" s="551">
        <v>1996</v>
      </c>
      <c r="K151" s="551">
        <v>3295</v>
      </c>
      <c r="L151" s="551">
        <v>16205</v>
      </c>
      <c r="M151" s="551">
        <v>17857</v>
      </c>
      <c r="N151" s="551">
        <v>34062</v>
      </c>
      <c r="O151" s="551">
        <v>21</v>
      </c>
      <c r="P151" s="551">
        <v>67</v>
      </c>
      <c r="Q151" s="551">
        <v>88</v>
      </c>
      <c r="R151" s="551">
        <v>914</v>
      </c>
      <c r="S151" s="551">
        <v>769</v>
      </c>
      <c r="T151" s="551">
        <v>1683</v>
      </c>
      <c r="U151" s="551">
        <v>69</v>
      </c>
      <c r="V151" s="551">
        <v>59</v>
      </c>
      <c r="W151" s="551">
        <v>128</v>
      </c>
      <c r="X151" s="551">
        <v>15</v>
      </c>
      <c r="Y151" s="551">
        <v>0</v>
      </c>
      <c r="Z151" s="551">
        <v>15</v>
      </c>
      <c r="AA151" s="551">
        <v>18764</v>
      </c>
      <c r="AB151" s="551">
        <v>21017</v>
      </c>
      <c r="AC151" s="551">
        <v>39781</v>
      </c>
    </row>
    <row r="152" spans="1:29">
      <c r="A152" s="1202"/>
      <c r="B152" s="590" t="s">
        <v>227</v>
      </c>
      <c r="C152" s="339">
        <v>222</v>
      </c>
      <c r="D152" s="339">
        <v>201</v>
      </c>
      <c r="E152" s="358">
        <v>423</v>
      </c>
      <c r="F152" s="339">
        <v>11</v>
      </c>
      <c r="G152" s="339">
        <v>23</v>
      </c>
      <c r="H152" s="358">
        <v>34</v>
      </c>
      <c r="I152" s="339">
        <v>979</v>
      </c>
      <c r="J152" s="339">
        <v>1444</v>
      </c>
      <c r="K152" s="358">
        <v>2423</v>
      </c>
      <c r="L152" s="339">
        <v>15678</v>
      </c>
      <c r="M152" s="339">
        <v>16947</v>
      </c>
      <c r="N152" s="358">
        <v>32625</v>
      </c>
      <c r="O152" s="339">
        <v>10</v>
      </c>
      <c r="P152" s="339">
        <v>52</v>
      </c>
      <c r="Q152" s="358">
        <v>62</v>
      </c>
      <c r="R152" s="339">
        <v>691</v>
      </c>
      <c r="S152" s="339">
        <v>637</v>
      </c>
      <c r="T152" s="358">
        <v>1328</v>
      </c>
      <c r="U152" s="339">
        <v>55</v>
      </c>
      <c r="V152" s="339">
        <v>45</v>
      </c>
      <c r="W152" s="358">
        <v>100</v>
      </c>
      <c r="X152" s="339">
        <v>15</v>
      </c>
      <c r="Y152" s="339">
        <v>0</v>
      </c>
      <c r="Z152" s="358">
        <v>15</v>
      </c>
      <c r="AA152" s="341">
        <v>17661</v>
      </c>
      <c r="AB152" s="341">
        <v>19349</v>
      </c>
      <c r="AC152" s="358">
        <v>37010</v>
      </c>
    </row>
    <row r="153" spans="1:29">
      <c r="A153" s="1202">
        <v>25</v>
      </c>
      <c r="B153" s="599" t="s">
        <v>39</v>
      </c>
      <c r="C153" s="600"/>
      <c r="D153" s="601"/>
      <c r="E153" s="601"/>
      <c r="F153" s="601"/>
      <c r="G153" s="601"/>
      <c r="H153" s="601"/>
      <c r="I153" s="601"/>
      <c r="J153" s="601"/>
      <c r="K153" s="602"/>
      <c r="L153" s="600"/>
      <c r="M153" s="601"/>
      <c r="N153" s="601"/>
      <c r="O153" s="601"/>
      <c r="P153" s="601"/>
      <c r="Q153" s="601"/>
      <c r="R153" s="601"/>
      <c r="S153" s="601"/>
      <c r="T153" s="602"/>
      <c r="U153" s="600"/>
      <c r="V153" s="601"/>
      <c r="W153" s="601"/>
      <c r="X153" s="601"/>
      <c r="Y153" s="601"/>
      <c r="Z153" s="601"/>
      <c r="AA153" s="601"/>
      <c r="AB153" s="601"/>
      <c r="AC153" s="602"/>
    </row>
    <row r="154" spans="1:29">
      <c r="A154" s="1202"/>
      <c r="B154" s="590" t="s">
        <v>919</v>
      </c>
      <c r="C154" s="600">
        <v>2668</v>
      </c>
      <c r="D154" s="601">
        <v>1550</v>
      </c>
      <c r="E154" s="601">
        <v>4218</v>
      </c>
      <c r="F154" s="601">
        <v>269</v>
      </c>
      <c r="G154" s="601">
        <v>303</v>
      </c>
      <c r="H154" s="601">
        <v>572</v>
      </c>
      <c r="I154" s="601">
        <v>42106</v>
      </c>
      <c r="J154" s="601">
        <v>38558</v>
      </c>
      <c r="K154" s="602">
        <v>80664</v>
      </c>
      <c r="L154" s="600">
        <v>385015</v>
      </c>
      <c r="M154" s="601">
        <v>367241</v>
      </c>
      <c r="N154" s="601">
        <v>752256</v>
      </c>
      <c r="O154" s="601">
        <v>1571</v>
      </c>
      <c r="P154" s="601">
        <v>951</v>
      </c>
      <c r="Q154" s="601">
        <v>2522</v>
      </c>
      <c r="R154" s="601">
        <v>103357</v>
      </c>
      <c r="S154" s="601">
        <v>44714</v>
      </c>
      <c r="T154" s="602">
        <v>148071</v>
      </c>
      <c r="U154" s="600">
        <v>651</v>
      </c>
      <c r="V154" s="601">
        <v>899</v>
      </c>
      <c r="W154" s="601">
        <v>1550</v>
      </c>
      <c r="X154" s="601">
        <v>5769</v>
      </c>
      <c r="Y154" s="601">
        <v>5898</v>
      </c>
      <c r="Z154" s="601">
        <v>11667</v>
      </c>
      <c r="AA154" s="601">
        <v>541406</v>
      </c>
      <c r="AB154" s="601">
        <v>460114</v>
      </c>
      <c r="AC154" s="602">
        <v>1001520</v>
      </c>
    </row>
    <row r="155" spans="1:29">
      <c r="A155" s="1202"/>
      <c r="B155" s="590" t="s">
        <v>876</v>
      </c>
      <c r="C155" s="551">
        <v>1947</v>
      </c>
      <c r="D155" s="551">
        <v>1324</v>
      </c>
      <c r="E155" s="551">
        <v>3271</v>
      </c>
      <c r="F155" s="551">
        <v>352</v>
      </c>
      <c r="G155" s="551">
        <v>378</v>
      </c>
      <c r="H155" s="551">
        <v>730</v>
      </c>
      <c r="I155" s="551">
        <v>38709</v>
      </c>
      <c r="J155" s="551">
        <v>36806</v>
      </c>
      <c r="K155" s="551">
        <v>75515</v>
      </c>
      <c r="L155" s="551">
        <v>353485</v>
      </c>
      <c r="M155" s="551">
        <v>354989</v>
      </c>
      <c r="N155" s="551">
        <v>708474</v>
      </c>
      <c r="O155" s="551">
        <v>1480</v>
      </c>
      <c r="P155" s="551">
        <v>866</v>
      </c>
      <c r="Q155" s="551">
        <v>2346</v>
      </c>
      <c r="R155" s="551">
        <v>92556</v>
      </c>
      <c r="S155" s="551">
        <v>40654</v>
      </c>
      <c r="T155" s="551">
        <v>133210</v>
      </c>
      <c r="U155" s="551">
        <v>1321</v>
      </c>
      <c r="V155" s="551">
        <v>2268</v>
      </c>
      <c r="W155" s="551">
        <v>3589</v>
      </c>
      <c r="X155" s="551">
        <v>5929</v>
      </c>
      <c r="Y155" s="551">
        <v>6369</v>
      </c>
      <c r="Z155" s="551">
        <v>12298</v>
      </c>
      <c r="AA155" s="551">
        <v>495779</v>
      </c>
      <c r="AB155" s="551">
        <v>443654</v>
      </c>
      <c r="AC155" s="551">
        <v>939433</v>
      </c>
    </row>
    <row r="156" spans="1:29">
      <c r="A156" s="1202"/>
      <c r="B156" s="590" t="s">
        <v>229</v>
      </c>
      <c r="C156" s="346">
        <v>1923</v>
      </c>
      <c r="D156" s="346">
        <v>1423</v>
      </c>
      <c r="E156" s="346">
        <v>3346</v>
      </c>
      <c r="F156" s="346">
        <v>419</v>
      </c>
      <c r="G156" s="346">
        <v>584</v>
      </c>
      <c r="H156" s="346">
        <v>1003</v>
      </c>
      <c r="I156" s="346">
        <v>35798</v>
      </c>
      <c r="J156" s="346">
        <v>34649</v>
      </c>
      <c r="K156" s="346">
        <v>70447</v>
      </c>
      <c r="L156" s="346">
        <v>363971</v>
      </c>
      <c r="M156" s="346">
        <v>353662</v>
      </c>
      <c r="N156" s="346">
        <v>717633</v>
      </c>
      <c r="O156" s="346">
        <v>649</v>
      </c>
      <c r="P156" s="346">
        <v>435</v>
      </c>
      <c r="Q156" s="346">
        <v>1084</v>
      </c>
      <c r="R156" s="346">
        <v>88758</v>
      </c>
      <c r="S156" s="346">
        <v>34198</v>
      </c>
      <c r="T156" s="346">
        <v>122956</v>
      </c>
      <c r="U156" s="346">
        <v>3383</v>
      </c>
      <c r="V156" s="346">
        <v>5735</v>
      </c>
      <c r="W156" s="346">
        <v>9118</v>
      </c>
      <c r="X156" s="346">
        <v>4452</v>
      </c>
      <c r="Y156" s="346">
        <v>4458</v>
      </c>
      <c r="Z156" s="346">
        <v>8910</v>
      </c>
      <c r="AA156" s="346">
        <v>499353</v>
      </c>
      <c r="AB156" s="346">
        <v>435144</v>
      </c>
      <c r="AC156" s="346">
        <v>934497</v>
      </c>
    </row>
    <row r="157" spans="1:29">
      <c r="A157" s="1202"/>
      <c r="B157" s="590" t="s">
        <v>228</v>
      </c>
      <c r="C157" s="551">
        <v>2052</v>
      </c>
      <c r="D157" s="551">
        <v>1670</v>
      </c>
      <c r="E157" s="551">
        <v>3722</v>
      </c>
      <c r="F157" s="551">
        <v>523</v>
      </c>
      <c r="G157" s="551">
        <v>638</v>
      </c>
      <c r="H157" s="551">
        <v>1161</v>
      </c>
      <c r="I157" s="551">
        <v>31016</v>
      </c>
      <c r="J157" s="551">
        <v>30870</v>
      </c>
      <c r="K157" s="551">
        <v>61886</v>
      </c>
      <c r="L157" s="551">
        <v>394120</v>
      </c>
      <c r="M157" s="551">
        <v>357910</v>
      </c>
      <c r="N157" s="551">
        <v>752030</v>
      </c>
      <c r="O157" s="551">
        <v>556</v>
      </c>
      <c r="P157" s="551">
        <v>367</v>
      </c>
      <c r="Q157" s="551">
        <v>923</v>
      </c>
      <c r="R157" s="551">
        <v>93290</v>
      </c>
      <c r="S157" s="551">
        <v>32225</v>
      </c>
      <c r="T157" s="551">
        <v>125515</v>
      </c>
      <c r="U157" s="551">
        <v>4284</v>
      </c>
      <c r="V157" s="551">
        <v>5775</v>
      </c>
      <c r="W157" s="551">
        <v>10059</v>
      </c>
      <c r="X157" s="551">
        <v>3805</v>
      </c>
      <c r="Y157" s="551">
        <v>3945</v>
      </c>
      <c r="Z157" s="551">
        <v>7750</v>
      </c>
      <c r="AA157" s="551">
        <v>529646</v>
      </c>
      <c r="AB157" s="551">
        <v>433400</v>
      </c>
      <c r="AC157" s="551">
        <v>963046</v>
      </c>
    </row>
    <row r="158" spans="1:29">
      <c r="A158" s="1202"/>
      <c r="B158" s="590" t="s">
        <v>227</v>
      </c>
      <c r="C158" s="339">
        <v>1671</v>
      </c>
      <c r="D158" s="339">
        <v>1311</v>
      </c>
      <c r="E158" s="358">
        <v>2982</v>
      </c>
      <c r="F158" s="339">
        <v>404</v>
      </c>
      <c r="G158" s="339">
        <v>676</v>
      </c>
      <c r="H158" s="358">
        <v>1080</v>
      </c>
      <c r="I158" s="348">
        <v>27039.977446761455</v>
      </c>
      <c r="J158" s="348">
        <v>28156.310809879593</v>
      </c>
      <c r="K158" s="359">
        <v>55196.288256641055</v>
      </c>
      <c r="L158" s="348">
        <v>390228.06574580353</v>
      </c>
      <c r="M158" s="348">
        <v>375364.24935944739</v>
      </c>
      <c r="N158" s="359">
        <v>765592.31510525092</v>
      </c>
      <c r="O158" s="339">
        <v>621</v>
      </c>
      <c r="P158" s="339">
        <v>341</v>
      </c>
      <c r="Q158" s="358">
        <v>962</v>
      </c>
      <c r="R158" s="339">
        <v>89685</v>
      </c>
      <c r="S158" s="339">
        <v>30068</v>
      </c>
      <c r="T158" s="358">
        <v>119753</v>
      </c>
      <c r="U158" s="339">
        <v>2975</v>
      </c>
      <c r="V158" s="339">
        <v>4498</v>
      </c>
      <c r="W158" s="358">
        <v>7473</v>
      </c>
      <c r="X158" s="339">
        <v>3459</v>
      </c>
      <c r="Y158" s="339">
        <v>3128</v>
      </c>
      <c r="Z158" s="358">
        <v>6587</v>
      </c>
      <c r="AA158" s="350">
        <v>516083.04319256498</v>
      </c>
      <c r="AB158" s="350">
        <v>443542.56016932696</v>
      </c>
      <c r="AC158" s="359">
        <v>959625.60336189193</v>
      </c>
    </row>
    <row r="159" spans="1:29">
      <c r="A159" s="1202">
        <v>26</v>
      </c>
      <c r="B159" s="599" t="s">
        <v>40</v>
      </c>
      <c r="C159" s="600"/>
      <c r="D159" s="601"/>
      <c r="E159" s="601"/>
      <c r="F159" s="601"/>
      <c r="G159" s="601"/>
      <c r="H159" s="601"/>
      <c r="I159" s="601"/>
      <c r="J159" s="601"/>
      <c r="K159" s="602"/>
      <c r="L159" s="600"/>
      <c r="M159" s="601"/>
      <c r="N159" s="601"/>
      <c r="O159" s="601"/>
      <c r="P159" s="601"/>
      <c r="Q159" s="601"/>
      <c r="R159" s="601"/>
      <c r="S159" s="601"/>
      <c r="T159" s="602"/>
      <c r="U159" s="600"/>
      <c r="V159" s="601"/>
      <c r="W159" s="601"/>
      <c r="X159" s="601"/>
      <c r="Y159" s="601"/>
      <c r="Z159" s="601"/>
      <c r="AA159" s="601"/>
      <c r="AB159" s="601"/>
      <c r="AC159" s="602"/>
    </row>
    <row r="160" spans="1:29">
      <c r="A160" s="1202"/>
      <c r="B160" s="590" t="s">
        <v>919</v>
      </c>
      <c r="C160" s="600">
        <v>325</v>
      </c>
      <c r="D160" s="601">
        <v>278</v>
      </c>
      <c r="E160" s="601">
        <v>603</v>
      </c>
      <c r="F160" s="601"/>
      <c r="G160" s="601"/>
      <c r="H160" s="601"/>
      <c r="I160" s="601">
        <v>5816</v>
      </c>
      <c r="J160" s="601">
        <v>7279</v>
      </c>
      <c r="K160" s="602">
        <v>13095</v>
      </c>
      <c r="L160" s="600">
        <v>27912</v>
      </c>
      <c r="M160" s="601">
        <v>33533</v>
      </c>
      <c r="N160" s="601">
        <v>61445</v>
      </c>
      <c r="O160" s="601">
        <v>29</v>
      </c>
      <c r="P160" s="601">
        <v>25</v>
      </c>
      <c r="Q160" s="601">
        <v>54</v>
      </c>
      <c r="R160" s="601">
        <v>2438</v>
      </c>
      <c r="S160" s="601">
        <v>1357</v>
      </c>
      <c r="T160" s="602">
        <v>3795</v>
      </c>
      <c r="U160" s="600">
        <v>11</v>
      </c>
      <c r="V160" s="601">
        <v>8</v>
      </c>
      <c r="W160" s="601">
        <v>19</v>
      </c>
      <c r="X160" s="601">
        <v>556</v>
      </c>
      <c r="Y160" s="601">
        <v>943</v>
      </c>
      <c r="Z160" s="601">
        <v>1499</v>
      </c>
      <c r="AA160" s="601">
        <v>37087</v>
      </c>
      <c r="AB160" s="601">
        <v>43423</v>
      </c>
      <c r="AC160" s="602">
        <v>80510</v>
      </c>
    </row>
    <row r="161" spans="1:29">
      <c r="A161" s="1202"/>
      <c r="B161" s="590" t="s">
        <v>876</v>
      </c>
      <c r="C161" s="551">
        <v>271</v>
      </c>
      <c r="D161" s="551">
        <v>325</v>
      </c>
      <c r="E161" s="551">
        <v>596</v>
      </c>
      <c r="F161" s="551">
        <v>0</v>
      </c>
      <c r="G161" s="551">
        <v>2</v>
      </c>
      <c r="H161" s="551">
        <v>2</v>
      </c>
      <c r="I161" s="551">
        <v>5386</v>
      </c>
      <c r="J161" s="551">
        <v>7009</v>
      </c>
      <c r="K161" s="551">
        <v>12395</v>
      </c>
      <c r="L161" s="551">
        <v>26497</v>
      </c>
      <c r="M161" s="551">
        <v>32765</v>
      </c>
      <c r="N161" s="551">
        <v>59262</v>
      </c>
      <c r="O161" s="551">
        <v>15</v>
      </c>
      <c r="P161" s="551">
        <v>16</v>
      </c>
      <c r="Q161" s="551">
        <v>31</v>
      </c>
      <c r="R161" s="551">
        <v>2806</v>
      </c>
      <c r="S161" s="551">
        <v>1056</v>
      </c>
      <c r="T161" s="551">
        <v>3862</v>
      </c>
      <c r="U161" s="551">
        <v>1</v>
      </c>
      <c r="V161" s="551">
        <v>6</v>
      </c>
      <c r="W161" s="551">
        <v>7</v>
      </c>
      <c r="X161" s="551">
        <v>354</v>
      </c>
      <c r="Y161" s="551">
        <v>381</v>
      </c>
      <c r="Z161" s="551">
        <v>735</v>
      </c>
      <c r="AA161" s="551">
        <v>35330</v>
      </c>
      <c r="AB161" s="551">
        <v>41560</v>
      </c>
      <c r="AC161" s="551">
        <v>76890</v>
      </c>
    </row>
    <row r="162" spans="1:29">
      <c r="A162" s="1202"/>
      <c r="B162" s="590" t="s">
        <v>229</v>
      </c>
      <c r="C162" s="346">
        <v>291</v>
      </c>
      <c r="D162" s="346">
        <v>217</v>
      </c>
      <c r="E162" s="346">
        <v>508</v>
      </c>
      <c r="F162" s="346">
        <v>21</v>
      </c>
      <c r="G162" s="346">
        <v>46</v>
      </c>
      <c r="H162" s="346">
        <v>67</v>
      </c>
      <c r="I162" s="346">
        <v>4134</v>
      </c>
      <c r="J162" s="346">
        <v>5473</v>
      </c>
      <c r="K162" s="346">
        <v>9607</v>
      </c>
      <c r="L162" s="346">
        <v>22863</v>
      </c>
      <c r="M162" s="346">
        <v>28309</v>
      </c>
      <c r="N162" s="346">
        <v>51172</v>
      </c>
      <c r="O162" s="346">
        <v>52</v>
      </c>
      <c r="P162" s="346">
        <v>54</v>
      </c>
      <c r="Q162" s="346">
        <v>106</v>
      </c>
      <c r="R162" s="346">
        <v>2866</v>
      </c>
      <c r="S162" s="346">
        <v>1122</v>
      </c>
      <c r="T162" s="346">
        <v>3988</v>
      </c>
      <c r="U162" s="346">
        <v>0</v>
      </c>
      <c r="V162" s="346">
        <v>0</v>
      </c>
      <c r="W162" s="346">
        <v>0</v>
      </c>
      <c r="X162" s="346">
        <v>532</v>
      </c>
      <c r="Y162" s="346">
        <v>492</v>
      </c>
      <c r="Z162" s="346">
        <v>1024</v>
      </c>
      <c r="AA162" s="346">
        <v>30759</v>
      </c>
      <c r="AB162" s="346">
        <v>35713</v>
      </c>
      <c r="AC162" s="346">
        <v>66472</v>
      </c>
    </row>
    <row r="163" spans="1:29">
      <c r="A163" s="1202"/>
      <c r="B163" s="590" t="s">
        <v>228</v>
      </c>
      <c r="C163" s="551">
        <v>510</v>
      </c>
      <c r="D163" s="551">
        <v>292</v>
      </c>
      <c r="E163" s="551">
        <v>802</v>
      </c>
      <c r="F163" s="551">
        <v>12</v>
      </c>
      <c r="G163" s="551">
        <v>54</v>
      </c>
      <c r="H163" s="551">
        <v>66</v>
      </c>
      <c r="I163" s="551">
        <v>3788</v>
      </c>
      <c r="J163" s="551">
        <v>4928</v>
      </c>
      <c r="K163" s="551">
        <v>8716</v>
      </c>
      <c r="L163" s="551">
        <v>23585</v>
      </c>
      <c r="M163" s="551">
        <v>28067</v>
      </c>
      <c r="N163" s="551">
        <v>51652</v>
      </c>
      <c r="O163" s="551">
        <v>97</v>
      </c>
      <c r="P163" s="551">
        <v>71</v>
      </c>
      <c r="Q163" s="551">
        <v>168</v>
      </c>
      <c r="R163" s="551">
        <v>2803</v>
      </c>
      <c r="S163" s="551">
        <v>1239</v>
      </c>
      <c r="T163" s="551">
        <v>4042</v>
      </c>
      <c r="U163" s="551">
        <v>7</v>
      </c>
      <c r="V163" s="551">
        <v>6</v>
      </c>
      <c r="W163" s="551">
        <v>13</v>
      </c>
      <c r="X163" s="551">
        <v>505</v>
      </c>
      <c r="Y163" s="551">
        <v>458</v>
      </c>
      <c r="Z163" s="551">
        <v>963</v>
      </c>
      <c r="AA163" s="551">
        <v>31307</v>
      </c>
      <c r="AB163" s="551">
        <v>35115</v>
      </c>
      <c r="AC163" s="551">
        <v>66422</v>
      </c>
    </row>
    <row r="164" spans="1:29">
      <c r="A164" s="1202"/>
      <c r="B164" s="590" t="s">
        <v>227</v>
      </c>
      <c r="C164" s="339">
        <v>522</v>
      </c>
      <c r="D164" s="339">
        <v>254</v>
      </c>
      <c r="E164" s="358">
        <v>776</v>
      </c>
      <c r="F164" s="339">
        <v>13</v>
      </c>
      <c r="G164" s="339">
        <v>53</v>
      </c>
      <c r="H164" s="358">
        <v>66</v>
      </c>
      <c r="I164" s="348">
        <v>3646.6215759206261</v>
      </c>
      <c r="J164" s="348">
        <v>4343.3965023965957</v>
      </c>
      <c r="K164" s="359">
        <v>7990.0180783172218</v>
      </c>
      <c r="L164" s="348">
        <v>20473.263168610643</v>
      </c>
      <c r="M164" s="348">
        <v>25118.343273479575</v>
      </c>
      <c r="N164" s="359">
        <v>45591.606442090218</v>
      </c>
      <c r="O164" s="339">
        <v>63</v>
      </c>
      <c r="P164" s="339">
        <v>58</v>
      </c>
      <c r="Q164" s="358">
        <v>121</v>
      </c>
      <c r="R164" s="339">
        <v>3121</v>
      </c>
      <c r="S164" s="339">
        <v>1355</v>
      </c>
      <c r="T164" s="358">
        <v>4476</v>
      </c>
      <c r="U164" s="339">
        <v>15</v>
      </c>
      <c r="V164" s="339">
        <v>1</v>
      </c>
      <c r="W164" s="358">
        <v>16</v>
      </c>
      <c r="X164" s="339">
        <v>656</v>
      </c>
      <c r="Y164" s="339">
        <v>581</v>
      </c>
      <c r="Z164" s="358">
        <v>1237</v>
      </c>
      <c r="AA164" s="350">
        <v>28479.884744531271</v>
      </c>
      <c r="AB164" s="350">
        <v>31763.739775876173</v>
      </c>
      <c r="AC164" s="359">
        <v>60243.624520407437</v>
      </c>
    </row>
    <row r="165" spans="1:29">
      <c r="A165" s="1202">
        <v>27</v>
      </c>
      <c r="B165" s="606" t="s">
        <v>41</v>
      </c>
      <c r="C165" s="607"/>
      <c r="D165" s="586"/>
      <c r="E165" s="586"/>
      <c r="F165" s="586"/>
      <c r="G165" s="586"/>
      <c r="H165" s="586"/>
      <c r="I165" s="586"/>
      <c r="J165" s="586"/>
      <c r="K165" s="587"/>
      <c r="L165" s="607"/>
      <c r="M165" s="586"/>
      <c r="N165" s="586"/>
      <c r="O165" s="586"/>
      <c r="P165" s="586"/>
      <c r="Q165" s="586"/>
      <c r="R165" s="586"/>
      <c r="S165" s="586"/>
      <c r="T165" s="587"/>
      <c r="U165" s="607"/>
      <c r="V165" s="586"/>
      <c r="W165" s="586"/>
      <c r="X165" s="586"/>
      <c r="Y165" s="586"/>
      <c r="Z165" s="586"/>
      <c r="AA165" s="586"/>
      <c r="AB165" s="586"/>
      <c r="AC165" s="587"/>
    </row>
    <row r="166" spans="1:29">
      <c r="A166" s="1202"/>
      <c r="B166" s="590" t="s">
        <v>919</v>
      </c>
      <c r="C166" s="607">
        <v>4946</v>
      </c>
      <c r="D166" s="586">
        <v>5379</v>
      </c>
      <c r="E166" s="586">
        <v>10325</v>
      </c>
      <c r="F166" s="586">
        <v>28</v>
      </c>
      <c r="G166" s="586">
        <v>41</v>
      </c>
      <c r="H166" s="586">
        <v>69</v>
      </c>
      <c r="I166" s="586">
        <v>30259</v>
      </c>
      <c r="J166" s="586">
        <v>47297</v>
      </c>
      <c r="K166" s="587">
        <v>77556</v>
      </c>
      <c r="L166" s="607">
        <v>294665</v>
      </c>
      <c r="M166" s="586">
        <v>273859</v>
      </c>
      <c r="N166" s="586">
        <v>568524</v>
      </c>
      <c r="O166" s="586">
        <v>2393</v>
      </c>
      <c r="P166" s="586">
        <v>3043</v>
      </c>
      <c r="Q166" s="586">
        <v>5436</v>
      </c>
      <c r="R166" s="586">
        <v>46133</v>
      </c>
      <c r="S166" s="586">
        <v>38572</v>
      </c>
      <c r="T166" s="587">
        <v>84705</v>
      </c>
      <c r="U166" s="607">
        <v>743</v>
      </c>
      <c r="V166" s="586">
        <v>946</v>
      </c>
      <c r="W166" s="586">
        <v>1689</v>
      </c>
      <c r="X166" s="586">
        <v>9479</v>
      </c>
      <c r="Y166" s="586">
        <v>11546</v>
      </c>
      <c r="Z166" s="586">
        <v>21025</v>
      </c>
      <c r="AA166" s="586">
        <v>388646</v>
      </c>
      <c r="AB166" s="586">
        <v>380683</v>
      </c>
      <c r="AC166" s="587">
        <v>769329</v>
      </c>
    </row>
    <row r="167" spans="1:29">
      <c r="A167" s="1202"/>
      <c r="B167" s="590" t="s">
        <v>876</v>
      </c>
      <c r="C167" s="551">
        <v>4628</v>
      </c>
      <c r="D167" s="551">
        <v>4938</v>
      </c>
      <c r="E167" s="551">
        <v>9566</v>
      </c>
      <c r="F167" s="551">
        <v>142</v>
      </c>
      <c r="G167" s="551">
        <v>169</v>
      </c>
      <c r="H167" s="551">
        <v>311</v>
      </c>
      <c r="I167" s="551">
        <v>30225</v>
      </c>
      <c r="J167" s="551">
        <v>48376</v>
      </c>
      <c r="K167" s="551">
        <v>78601</v>
      </c>
      <c r="L167" s="551">
        <v>279028</v>
      </c>
      <c r="M167" s="551">
        <v>272962</v>
      </c>
      <c r="N167" s="551">
        <v>551990</v>
      </c>
      <c r="O167" s="551">
        <v>1514</v>
      </c>
      <c r="P167" s="551">
        <v>2207</v>
      </c>
      <c r="Q167" s="551">
        <v>3721</v>
      </c>
      <c r="R167" s="551">
        <v>48748</v>
      </c>
      <c r="S167" s="551">
        <v>37553</v>
      </c>
      <c r="T167" s="551">
        <v>86301</v>
      </c>
      <c r="U167" s="551">
        <v>603</v>
      </c>
      <c r="V167" s="551">
        <v>691</v>
      </c>
      <c r="W167" s="551">
        <v>1294</v>
      </c>
      <c r="X167" s="551">
        <v>8499</v>
      </c>
      <c r="Y167" s="551">
        <v>9348</v>
      </c>
      <c r="Z167" s="551">
        <v>17847</v>
      </c>
      <c r="AA167" s="551">
        <v>373387</v>
      </c>
      <c r="AB167" s="551">
        <v>376244</v>
      </c>
      <c r="AC167" s="551">
        <v>749631</v>
      </c>
    </row>
    <row r="168" spans="1:29">
      <c r="A168" s="1202"/>
      <c r="B168" s="590" t="s">
        <v>229</v>
      </c>
      <c r="C168" s="346">
        <v>4111</v>
      </c>
      <c r="D168" s="346">
        <v>4888</v>
      </c>
      <c r="E168" s="346">
        <v>8999</v>
      </c>
      <c r="F168" s="346">
        <v>307</v>
      </c>
      <c r="G168" s="346">
        <v>315</v>
      </c>
      <c r="H168" s="346">
        <v>622</v>
      </c>
      <c r="I168" s="346">
        <v>30990</v>
      </c>
      <c r="J168" s="346">
        <v>57741</v>
      </c>
      <c r="K168" s="346">
        <v>88731</v>
      </c>
      <c r="L168" s="346">
        <v>289293</v>
      </c>
      <c r="M168" s="346">
        <v>302541</v>
      </c>
      <c r="N168" s="346">
        <v>591834</v>
      </c>
      <c r="O168" s="346">
        <v>2144</v>
      </c>
      <c r="P168" s="346">
        <v>3195</v>
      </c>
      <c r="Q168" s="346">
        <v>5339</v>
      </c>
      <c r="R168" s="346">
        <v>59507</v>
      </c>
      <c r="S168" s="346">
        <v>35448</v>
      </c>
      <c r="T168" s="346">
        <v>94955</v>
      </c>
      <c r="U168" s="346">
        <v>571</v>
      </c>
      <c r="V168" s="346">
        <v>897</v>
      </c>
      <c r="W168" s="346">
        <v>1468</v>
      </c>
      <c r="X168" s="346">
        <v>6459</v>
      </c>
      <c r="Y168" s="346">
        <v>7025</v>
      </c>
      <c r="Z168" s="346">
        <v>13484</v>
      </c>
      <c r="AA168" s="346">
        <v>393382</v>
      </c>
      <c r="AB168" s="346">
        <v>412050</v>
      </c>
      <c r="AC168" s="346">
        <v>805432</v>
      </c>
    </row>
    <row r="169" spans="1:29">
      <c r="A169" s="1202"/>
      <c r="B169" s="590" t="s">
        <v>228</v>
      </c>
      <c r="C169" s="551">
        <v>4382</v>
      </c>
      <c r="D169" s="551">
        <v>4713</v>
      </c>
      <c r="E169" s="551">
        <v>9095</v>
      </c>
      <c r="F169" s="551">
        <v>369</v>
      </c>
      <c r="G169" s="551">
        <v>367</v>
      </c>
      <c r="H169" s="551">
        <v>736</v>
      </c>
      <c r="I169" s="551">
        <v>30100</v>
      </c>
      <c r="J169" s="551">
        <v>61071</v>
      </c>
      <c r="K169" s="551">
        <v>91171</v>
      </c>
      <c r="L169" s="551">
        <v>304502</v>
      </c>
      <c r="M169" s="551">
        <v>351837</v>
      </c>
      <c r="N169" s="551">
        <v>656339</v>
      </c>
      <c r="O169" s="551">
        <v>2383</v>
      </c>
      <c r="P169" s="551">
        <v>3478</v>
      </c>
      <c r="Q169" s="551">
        <v>5861</v>
      </c>
      <c r="R169" s="551">
        <v>64683</v>
      </c>
      <c r="S169" s="551">
        <v>37704</v>
      </c>
      <c r="T169" s="551">
        <v>102387</v>
      </c>
      <c r="U169" s="551">
        <v>577</v>
      </c>
      <c r="V169" s="551">
        <v>986</v>
      </c>
      <c r="W169" s="551">
        <v>1563</v>
      </c>
      <c r="X169" s="551">
        <v>6354</v>
      </c>
      <c r="Y169" s="551">
        <v>5603</v>
      </c>
      <c r="Z169" s="551">
        <v>11957</v>
      </c>
      <c r="AA169" s="551">
        <v>413350</v>
      </c>
      <c r="AB169" s="551">
        <v>465759</v>
      </c>
      <c r="AC169" s="551">
        <v>879109</v>
      </c>
    </row>
    <row r="170" spans="1:29">
      <c r="A170" s="1202"/>
      <c r="B170" s="590" t="s">
        <v>227</v>
      </c>
      <c r="C170" s="339">
        <v>3054</v>
      </c>
      <c r="D170" s="339">
        <v>3823</v>
      </c>
      <c r="E170" s="358">
        <v>6877</v>
      </c>
      <c r="F170" s="339">
        <v>389</v>
      </c>
      <c r="G170" s="339">
        <v>513</v>
      </c>
      <c r="H170" s="358">
        <v>902</v>
      </c>
      <c r="I170" s="348">
        <v>34968.826149717264</v>
      </c>
      <c r="J170" s="348">
        <v>72263.528931813053</v>
      </c>
      <c r="K170" s="359">
        <v>107232.3550815303</v>
      </c>
      <c r="L170" s="348">
        <v>335219.71957293572</v>
      </c>
      <c r="M170" s="348">
        <v>339527.93994120578</v>
      </c>
      <c r="N170" s="359">
        <v>674747.6595141415</v>
      </c>
      <c r="O170" s="339">
        <v>2894</v>
      </c>
      <c r="P170" s="339">
        <v>4052</v>
      </c>
      <c r="Q170" s="358">
        <v>6946</v>
      </c>
      <c r="R170" s="339">
        <v>81331</v>
      </c>
      <c r="S170" s="339">
        <v>44775</v>
      </c>
      <c r="T170" s="358">
        <v>126106</v>
      </c>
      <c r="U170" s="339">
        <v>391</v>
      </c>
      <c r="V170" s="339">
        <v>893</v>
      </c>
      <c r="W170" s="358">
        <v>1284</v>
      </c>
      <c r="X170" s="339">
        <v>5416</v>
      </c>
      <c r="Y170" s="339">
        <v>4495</v>
      </c>
      <c r="Z170" s="358">
        <v>9911</v>
      </c>
      <c r="AA170" s="350">
        <v>463663.54572265298</v>
      </c>
      <c r="AB170" s="350">
        <v>470342.46887301886</v>
      </c>
      <c r="AC170" s="359">
        <v>934006.01459567179</v>
      </c>
    </row>
    <row r="171" spans="1:29">
      <c r="A171" s="1202">
        <v>28</v>
      </c>
      <c r="B171" s="599" t="s">
        <v>42</v>
      </c>
      <c r="C171" s="600"/>
      <c r="D171" s="601"/>
      <c r="E171" s="601"/>
      <c r="F171" s="601"/>
      <c r="G171" s="601"/>
      <c r="H171" s="601"/>
      <c r="I171" s="601"/>
      <c r="J171" s="601"/>
      <c r="K171" s="602"/>
      <c r="L171" s="600"/>
      <c r="M171" s="601"/>
      <c r="N171" s="601"/>
      <c r="O171" s="601"/>
      <c r="P171" s="601"/>
      <c r="Q171" s="601"/>
      <c r="R171" s="601"/>
      <c r="S171" s="601"/>
      <c r="T171" s="602"/>
      <c r="U171" s="600"/>
      <c r="V171" s="601"/>
      <c r="W171" s="601"/>
      <c r="X171" s="601"/>
      <c r="Y171" s="601"/>
      <c r="Z171" s="601"/>
      <c r="AA171" s="601"/>
      <c r="AB171" s="601"/>
      <c r="AC171" s="602"/>
    </row>
    <row r="172" spans="1:29">
      <c r="A172" s="1202"/>
      <c r="B172" s="590" t="s">
        <v>919</v>
      </c>
      <c r="C172" s="600">
        <v>6913</v>
      </c>
      <c r="D172" s="601">
        <v>6915</v>
      </c>
      <c r="E172" s="601">
        <v>13828</v>
      </c>
      <c r="F172" s="601">
        <v>145</v>
      </c>
      <c r="G172" s="601">
        <v>161</v>
      </c>
      <c r="H172" s="601">
        <v>306</v>
      </c>
      <c r="I172" s="601">
        <v>78165</v>
      </c>
      <c r="J172" s="601">
        <v>118470</v>
      </c>
      <c r="K172" s="602">
        <v>196635</v>
      </c>
      <c r="L172" s="600">
        <v>962373</v>
      </c>
      <c r="M172" s="601">
        <v>887207</v>
      </c>
      <c r="N172" s="601">
        <v>1849580</v>
      </c>
      <c r="O172" s="601">
        <v>4565</v>
      </c>
      <c r="P172" s="601">
        <v>2972</v>
      </c>
      <c r="Q172" s="601">
        <v>7537</v>
      </c>
      <c r="R172" s="601">
        <v>79581</v>
      </c>
      <c r="S172" s="601">
        <v>31614</v>
      </c>
      <c r="T172" s="602">
        <v>111195</v>
      </c>
      <c r="U172" s="600">
        <v>1869</v>
      </c>
      <c r="V172" s="601">
        <v>1824</v>
      </c>
      <c r="W172" s="601">
        <v>3693</v>
      </c>
      <c r="X172" s="601">
        <v>64924</v>
      </c>
      <c r="Y172" s="601">
        <v>61038</v>
      </c>
      <c r="Z172" s="601">
        <v>125962</v>
      </c>
      <c r="AA172" s="601">
        <v>1198535</v>
      </c>
      <c r="AB172" s="601">
        <v>1110201</v>
      </c>
      <c r="AC172" s="602">
        <v>2308736</v>
      </c>
    </row>
    <row r="173" spans="1:29">
      <c r="A173" s="1202"/>
      <c r="B173" s="590" t="s">
        <v>876</v>
      </c>
      <c r="C173" s="551">
        <v>6588</v>
      </c>
      <c r="D173" s="551">
        <v>6379</v>
      </c>
      <c r="E173" s="551">
        <v>12967</v>
      </c>
      <c r="F173" s="551">
        <v>166</v>
      </c>
      <c r="G173" s="551">
        <v>104</v>
      </c>
      <c r="H173" s="551">
        <v>270</v>
      </c>
      <c r="I173" s="551">
        <v>66114</v>
      </c>
      <c r="J173" s="551">
        <v>105900</v>
      </c>
      <c r="K173" s="551">
        <v>172014</v>
      </c>
      <c r="L173" s="551">
        <v>922456</v>
      </c>
      <c r="M173" s="551">
        <v>877498</v>
      </c>
      <c r="N173" s="551">
        <v>1799954</v>
      </c>
      <c r="O173" s="551">
        <v>4150</v>
      </c>
      <c r="P173" s="551">
        <v>3099</v>
      </c>
      <c r="Q173" s="551">
        <v>7249</v>
      </c>
      <c r="R173" s="551">
        <v>76632</v>
      </c>
      <c r="S173" s="551">
        <v>31699</v>
      </c>
      <c r="T173" s="551">
        <v>108331</v>
      </c>
      <c r="U173" s="551">
        <v>3930</v>
      </c>
      <c r="V173" s="551">
        <v>3916</v>
      </c>
      <c r="W173" s="551">
        <v>7846</v>
      </c>
      <c r="X173" s="551">
        <v>49141</v>
      </c>
      <c r="Y173" s="551">
        <v>43916</v>
      </c>
      <c r="Z173" s="551">
        <v>93057</v>
      </c>
      <c r="AA173" s="551">
        <v>1129177</v>
      </c>
      <c r="AB173" s="551">
        <v>1072511</v>
      </c>
      <c r="AC173" s="551">
        <v>2201688</v>
      </c>
    </row>
    <row r="174" spans="1:29">
      <c r="A174" s="1202"/>
      <c r="B174" s="590" t="s">
        <v>229</v>
      </c>
      <c r="C174" s="346">
        <v>5478</v>
      </c>
      <c r="D174" s="346">
        <v>5372</v>
      </c>
      <c r="E174" s="346">
        <v>10850</v>
      </c>
      <c r="F174" s="346">
        <v>261</v>
      </c>
      <c r="G174" s="346">
        <v>203</v>
      </c>
      <c r="H174" s="346">
        <v>464</v>
      </c>
      <c r="I174" s="346">
        <v>79931</v>
      </c>
      <c r="J174" s="346">
        <v>107686</v>
      </c>
      <c r="K174" s="346">
        <v>187617</v>
      </c>
      <c r="L174" s="346">
        <v>837759</v>
      </c>
      <c r="M174" s="346">
        <v>823253</v>
      </c>
      <c r="N174" s="346">
        <v>1661012</v>
      </c>
      <c r="O174" s="346">
        <v>3012</v>
      </c>
      <c r="P174" s="346">
        <v>2578</v>
      </c>
      <c r="Q174" s="346">
        <v>5590</v>
      </c>
      <c r="R174" s="346">
        <v>73593</v>
      </c>
      <c r="S174" s="346">
        <v>26205</v>
      </c>
      <c r="T174" s="346">
        <v>99798</v>
      </c>
      <c r="U174" s="346">
        <v>4678</v>
      </c>
      <c r="V174" s="346">
        <v>5390</v>
      </c>
      <c r="W174" s="346">
        <v>10068</v>
      </c>
      <c r="X174" s="346">
        <v>29964</v>
      </c>
      <c r="Y174" s="346">
        <v>24607</v>
      </c>
      <c r="Z174" s="346">
        <v>54571</v>
      </c>
      <c r="AA174" s="346">
        <v>1034676</v>
      </c>
      <c r="AB174" s="346">
        <v>995294</v>
      </c>
      <c r="AC174" s="346">
        <v>2029970</v>
      </c>
    </row>
    <row r="175" spans="1:29">
      <c r="A175" s="1202"/>
      <c r="B175" s="590" t="s">
        <v>228</v>
      </c>
      <c r="C175" s="551">
        <v>5296</v>
      </c>
      <c r="D175" s="551">
        <v>5145</v>
      </c>
      <c r="E175" s="551">
        <v>10441</v>
      </c>
      <c r="F175" s="551">
        <v>116</v>
      </c>
      <c r="G175" s="551">
        <v>160</v>
      </c>
      <c r="H175" s="551">
        <v>276</v>
      </c>
      <c r="I175" s="551">
        <v>55450</v>
      </c>
      <c r="J175" s="551">
        <v>88245</v>
      </c>
      <c r="K175" s="551">
        <v>143695</v>
      </c>
      <c r="L175" s="551">
        <v>834092</v>
      </c>
      <c r="M175" s="551">
        <v>819343</v>
      </c>
      <c r="N175" s="551">
        <v>1653435</v>
      </c>
      <c r="O175" s="551">
        <v>2689</v>
      </c>
      <c r="P175" s="551">
        <v>2233</v>
      </c>
      <c r="Q175" s="551">
        <v>4922</v>
      </c>
      <c r="R175" s="551">
        <v>73456</v>
      </c>
      <c r="S175" s="551">
        <v>21307</v>
      </c>
      <c r="T175" s="551">
        <v>94763</v>
      </c>
      <c r="U175" s="551">
        <v>3401</v>
      </c>
      <c r="V175" s="551">
        <v>4632</v>
      </c>
      <c r="W175" s="551">
        <v>8033</v>
      </c>
      <c r="X175" s="551">
        <v>16104</v>
      </c>
      <c r="Y175" s="551">
        <v>12310</v>
      </c>
      <c r="Z175" s="551">
        <v>28414</v>
      </c>
      <c r="AA175" s="551">
        <v>990604</v>
      </c>
      <c r="AB175" s="551">
        <v>953375</v>
      </c>
      <c r="AC175" s="551">
        <v>1943979</v>
      </c>
    </row>
    <row r="176" spans="1:29">
      <c r="A176" s="1202"/>
      <c r="B176" s="590" t="s">
        <v>227</v>
      </c>
      <c r="C176" s="339">
        <v>3925</v>
      </c>
      <c r="D176" s="339">
        <v>4054</v>
      </c>
      <c r="E176" s="358">
        <v>7979</v>
      </c>
      <c r="F176" s="339">
        <v>173</v>
      </c>
      <c r="G176" s="339">
        <v>182</v>
      </c>
      <c r="H176" s="358">
        <v>355</v>
      </c>
      <c r="I176" s="348">
        <v>57743.371705146958</v>
      </c>
      <c r="J176" s="348">
        <v>84108.690074861152</v>
      </c>
      <c r="K176" s="359">
        <v>141852.06178000811</v>
      </c>
      <c r="L176" s="348">
        <v>784493.31903304509</v>
      </c>
      <c r="M176" s="348">
        <v>712335.61857225199</v>
      </c>
      <c r="N176" s="359">
        <v>1496828.9376052972</v>
      </c>
      <c r="O176" s="339">
        <v>3175</v>
      </c>
      <c r="P176" s="339">
        <v>2330</v>
      </c>
      <c r="Q176" s="358">
        <v>5505</v>
      </c>
      <c r="R176" s="339">
        <v>84152</v>
      </c>
      <c r="S176" s="339">
        <v>21093</v>
      </c>
      <c r="T176" s="358">
        <v>105245</v>
      </c>
      <c r="U176" s="339">
        <v>3014</v>
      </c>
      <c r="V176" s="339">
        <v>4291</v>
      </c>
      <c r="W176" s="358">
        <v>7305</v>
      </c>
      <c r="X176" s="339">
        <v>7478</v>
      </c>
      <c r="Y176" s="339">
        <v>5588</v>
      </c>
      <c r="Z176" s="358">
        <v>13066</v>
      </c>
      <c r="AA176" s="350">
        <v>944153.69073819206</v>
      </c>
      <c r="AB176" s="350">
        <v>833982.30864711315</v>
      </c>
      <c r="AC176" s="359">
        <v>1778135.9993853052</v>
      </c>
    </row>
    <row r="177" spans="1:29">
      <c r="A177" s="1202">
        <v>29</v>
      </c>
      <c r="B177" s="599" t="s">
        <v>43</v>
      </c>
      <c r="C177" s="600"/>
      <c r="D177" s="601"/>
      <c r="E177" s="601"/>
      <c r="F177" s="601"/>
      <c r="G177" s="601"/>
      <c r="H177" s="601"/>
      <c r="I177" s="601"/>
      <c r="J177" s="601"/>
      <c r="K177" s="602"/>
      <c r="L177" s="600"/>
      <c r="M177" s="601"/>
      <c r="N177" s="601"/>
      <c r="O177" s="601"/>
      <c r="P177" s="601"/>
      <c r="Q177" s="601"/>
      <c r="R177" s="601"/>
      <c r="S177" s="601"/>
      <c r="T177" s="602"/>
      <c r="U177" s="600"/>
      <c r="V177" s="601"/>
      <c r="W177" s="601"/>
      <c r="X177" s="601"/>
      <c r="Y177" s="601"/>
      <c r="Z177" s="601"/>
      <c r="AA177" s="601"/>
      <c r="AB177" s="601"/>
      <c r="AC177" s="602"/>
    </row>
    <row r="178" spans="1:29">
      <c r="A178" s="1202"/>
      <c r="B178" s="590" t="s">
        <v>919</v>
      </c>
      <c r="C178" s="600">
        <v>337</v>
      </c>
      <c r="D178" s="601">
        <v>315</v>
      </c>
      <c r="E178" s="601">
        <v>652</v>
      </c>
      <c r="F178" s="601">
        <v>18</v>
      </c>
      <c r="G178" s="601">
        <v>25</v>
      </c>
      <c r="H178" s="601">
        <v>43</v>
      </c>
      <c r="I178" s="601">
        <v>1419</v>
      </c>
      <c r="J178" s="601">
        <v>1834</v>
      </c>
      <c r="K178" s="602">
        <v>3253</v>
      </c>
      <c r="L178" s="600">
        <v>10510</v>
      </c>
      <c r="M178" s="601">
        <v>10268</v>
      </c>
      <c r="N178" s="601">
        <v>20778</v>
      </c>
      <c r="O178" s="601"/>
      <c r="P178" s="601"/>
      <c r="Q178" s="601"/>
      <c r="R178" s="601">
        <v>985</v>
      </c>
      <c r="S178" s="601">
        <v>704</v>
      </c>
      <c r="T178" s="602">
        <v>1689</v>
      </c>
      <c r="U178" s="600">
        <v>50</v>
      </c>
      <c r="V178" s="601">
        <v>5</v>
      </c>
      <c r="W178" s="601">
        <v>55</v>
      </c>
      <c r="X178" s="601">
        <v>168</v>
      </c>
      <c r="Y178" s="601">
        <v>251</v>
      </c>
      <c r="Z178" s="601">
        <v>419</v>
      </c>
      <c r="AA178" s="601">
        <v>13487</v>
      </c>
      <c r="AB178" s="601">
        <v>13402</v>
      </c>
      <c r="AC178" s="602">
        <v>26889</v>
      </c>
    </row>
    <row r="179" spans="1:29">
      <c r="A179" s="1202"/>
      <c r="B179" s="590" t="s">
        <v>876</v>
      </c>
      <c r="C179" s="551">
        <v>115</v>
      </c>
      <c r="D179" s="551">
        <v>80</v>
      </c>
      <c r="E179" s="551">
        <v>195</v>
      </c>
      <c r="F179" s="551">
        <v>34</v>
      </c>
      <c r="G179" s="551">
        <v>30</v>
      </c>
      <c r="H179" s="551">
        <v>64</v>
      </c>
      <c r="I179" s="551">
        <v>1633</v>
      </c>
      <c r="J179" s="551">
        <v>2312</v>
      </c>
      <c r="K179" s="551">
        <v>3945</v>
      </c>
      <c r="L179" s="551">
        <v>10347</v>
      </c>
      <c r="M179" s="551">
        <v>10389</v>
      </c>
      <c r="N179" s="551">
        <v>20736</v>
      </c>
      <c r="O179" s="551">
        <v>0</v>
      </c>
      <c r="P179" s="551">
        <v>0</v>
      </c>
      <c r="Q179" s="551">
        <v>0</v>
      </c>
      <c r="R179" s="551">
        <v>1072</v>
      </c>
      <c r="S179" s="551">
        <v>1141</v>
      </c>
      <c r="T179" s="551">
        <v>2213</v>
      </c>
      <c r="U179" s="551">
        <v>61</v>
      </c>
      <c r="V179" s="551">
        <v>11</v>
      </c>
      <c r="W179" s="551">
        <v>72</v>
      </c>
      <c r="X179" s="551">
        <v>153</v>
      </c>
      <c r="Y179" s="551">
        <v>222</v>
      </c>
      <c r="Z179" s="551">
        <v>375</v>
      </c>
      <c r="AA179" s="551">
        <v>13415</v>
      </c>
      <c r="AB179" s="551">
        <v>14185</v>
      </c>
      <c r="AC179" s="551">
        <v>27600</v>
      </c>
    </row>
    <row r="180" spans="1:29">
      <c r="A180" s="1202"/>
      <c r="B180" s="590" t="s">
        <v>229</v>
      </c>
      <c r="C180" s="346">
        <v>215</v>
      </c>
      <c r="D180" s="346">
        <v>195</v>
      </c>
      <c r="E180" s="346">
        <v>410</v>
      </c>
      <c r="F180" s="346">
        <v>43</v>
      </c>
      <c r="G180" s="346">
        <v>44</v>
      </c>
      <c r="H180" s="346">
        <v>87</v>
      </c>
      <c r="I180" s="346">
        <v>1190</v>
      </c>
      <c r="J180" s="346">
        <v>1540</v>
      </c>
      <c r="K180" s="346">
        <v>2730</v>
      </c>
      <c r="L180" s="346">
        <v>8412</v>
      </c>
      <c r="M180" s="346">
        <v>9660</v>
      </c>
      <c r="N180" s="346">
        <v>18072</v>
      </c>
      <c r="O180" s="346">
        <v>0</v>
      </c>
      <c r="P180" s="346">
        <v>0</v>
      </c>
      <c r="Q180" s="346">
        <v>0</v>
      </c>
      <c r="R180" s="346">
        <v>1015</v>
      </c>
      <c r="S180" s="346">
        <v>1053</v>
      </c>
      <c r="T180" s="346">
        <v>2068</v>
      </c>
      <c r="U180" s="346">
        <v>34</v>
      </c>
      <c r="V180" s="346">
        <v>6</v>
      </c>
      <c r="W180" s="346">
        <v>40</v>
      </c>
      <c r="X180" s="346">
        <v>120</v>
      </c>
      <c r="Y180" s="346">
        <v>198</v>
      </c>
      <c r="Z180" s="346">
        <v>318</v>
      </c>
      <c r="AA180" s="346">
        <v>11029</v>
      </c>
      <c r="AB180" s="346">
        <v>12696</v>
      </c>
      <c r="AC180" s="346">
        <v>23725</v>
      </c>
    </row>
    <row r="181" spans="1:29">
      <c r="A181" s="1202"/>
      <c r="B181" s="590" t="s">
        <v>228</v>
      </c>
      <c r="C181" s="551">
        <v>211</v>
      </c>
      <c r="D181" s="551">
        <v>188</v>
      </c>
      <c r="E181" s="551">
        <v>399</v>
      </c>
      <c r="F181" s="551">
        <v>37</v>
      </c>
      <c r="G181" s="551">
        <v>42</v>
      </c>
      <c r="H181" s="551">
        <v>79</v>
      </c>
      <c r="I181" s="551">
        <v>1061</v>
      </c>
      <c r="J181" s="551">
        <v>1264</v>
      </c>
      <c r="K181" s="551">
        <v>2325</v>
      </c>
      <c r="L181" s="551">
        <v>8156</v>
      </c>
      <c r="M181" s="551">
        <v>9367</v>
      </c>
      <c r="N181" s="551">
        <v>17523</v>
      </c>
      <c r="O181" s="551">
        <v>0</v>
      </c>
      <c r="P181" s="551">
        <v>0</v>
      </c>
      <c r="Q181" s="551">
        <v>0</v>
      </c>
      <c r="R181" s="551">
        <v>1016</v>
      </c>
      <c r="S181" s="551">
        <v>1024</v>
      </c>
      <c r="T181" s="551">
        <v>2040</v>
      </c>
      <c r="U181" s="551">
        <v>37</v>
      </c>
      <c r="V181" s="551">
        <v>10</v>
      </c>
      <c r="W181" s="551">
        <v>47</v>
      </c>
      <c r="X181" s="551">
        <v>110</v>
      </c>
      <c r="Y181" s="551">
        <v>185</v>
      </c>
      <c r="Z181" s="551">
        <v>295</v>
      </c>
      <c r="AA181" s="551">
        <v>10628</v>
      </c>
      <c r="AB181" s="551">
        <v>12080</v>
      </c>
      <c r="AC181" s="551">
        <v>22708</v>
      </c>
    </row>
    <row r="182" spans="1:29">
      <c r="A182" s="1202"/>
      <c r="B182" s="590" t="s">
        <v>227</v>
      </c>
      <c r="C182" s="339">
        <v>77</v>
      </c>
      <c r="D182" s="339">
        <v>53</v>
      </c>
      <c r="E182" s="358">
        <v>130</v>
      </c>
      <c r="F182" s="339">
        <v>9</v>
      </c>
      <c r="G182" s="339">
        <v>17</v>
      </c>
      <c r="H182" s="358">
        <v>26</v>
      </c>
      <c r="I182" s="348">
        <v>1001.5255862399313</v>
      </c>
      <c r="J182" s="348">
        <v>1376.1687979276207</v>
      </c>
      <c r="K182" s="359">
        <v>2377.694384167552</v>
      </c>
      <c r="L182" s="348">
        <v>7129.2705217815437</v>
      </c>
      <c r="M182" s="348">
        <v>8897.4102397508395</v>
      </c>
      <c r="N182" s="359">
        <v>16026.680761532381</v>
      </c>
      <c r="O182" s="339">
        <v>0</v>
      </c>
      <c r="P182" s="339">
        <v>0</v>
      </c>
      <c r="Q182" s="358">
        <v>0</v>
      </c>
      <c r="R182" s="339">
        <v>900</v>
      </c>
      <c r="S182" s="339">
        <v>952</v>
      </c>
      <c r="T182" s="358">
        <v>1852</v>
      </c>
      <c r="U182" s="339">
        <v>6</v>
      </c>
      <c r="V182" s="339">
        <v>14</v>
      </c>
      <c r="W182" s="358">
        <v>20</v>
      </c>
      <c r="X182" s="339">
        <v>117</v>
      </c>
      <c r="Y182" s="339">
        <v>177</v>
      </c>
      <c r="Z182" s="358">
        <v>294</v>
      </c>
      <c r="AA182" s="350">
        <v>9239.7961080214754</v>
      </c>
      <c r="AB182" s="350">
        <v>11486.579037678461</v>
      </c>
      <c r="AC182" s="359">
        <v>20726.375145699934</v>
      </c>
    </row>
    <row r="183" spans="1:29">
      <c r="A183" s="1202">
        <v>30</v>
      </c>
      <c r="B183" s="599" t="s">
        <v>44</v>
      </c>
      <c r="C183" s="600"/>
      <c r="D183" s="601"/>
      <c r="E183" s="601"/>
      <c r="F183" s="601"/>
      <c r="G183" s="601"/>
      <c r="H183" s="601"/>
      <c r="I183" s="601"/>
      <c r="J183" s="601"/>
      <c r="K183" s="602"/>
      <c r="L183" s="600"/>
      <c r="M183" s="601"/>
      <c r="N183" s="601"/>
      <c r="O183" s="601"/>
      <c r="P183" s="601"/>
      <c r="Q183" s="601"/>
      <c r="R183" s="601"/>
      <c r="S183" s="601"/>
      <c r="T183" s="602"/>
      <c r="U183" s="600"/>
      <c r="V183" s="601"/>
      <c r="W183" s="601"/>
      <c r="X183" s="601"/>
      <c r="Y183" s="601"/>
      <c r="Z183" s="601"/>
      <c r="AA183" s="601"/>
      <c r="AB183" s="601"/>
      <c r="AC183" s="602"/>
    </row>
    <row r="184" spans="1:29">
      <c r="A184" s="1202"/>
      <c r="B184" s="590" t="s">
        <v>919</v>
      </c>
      <c r="C184" s="600">
        <v>13457</v>
      </c>
      <c r="D184" s="601">
        <v>15410</v>
      </c>
      <c r="E184" s="601">
        <v>28867</v>
      </c>
      <c r="F184" s="601">
        <v>925</v>
      </c>
      <c r="G184" s="601">
        <v>3116</v>
      </c>
      <c r="H184" s="601">
        <v>4041</v>
      </c>
      <c r="I184" s="601">
        <v>128774</v>
      </c>
      <c r="J184" s="601">
        <v>187831</v>
      </c>
      <c r="K184" s="602">
        <v>316605</v>
      </c>
      <c r="L184" s="600">
        <v>1154063</v>
      </c>
      <c r="M184" s="601">
        <v>1164935</v>
      </c>
      <c r="N184" s="601">
        <v>2318998</v>
      </c>
      <c r="O184" s="601">
        <v>1619</v>
      </c>
      <c r="P184" s="601">
        <v>1571</v>
      </c>
      <c r="Q184" s="601">
        <v>3190</v>
      </c>
      <c r="R184" s="601">
        <v>209584</v>
      </c>
      <c r="S184" s="601">
        <v>45232</v>
      </c>
      <c r="T184" s="602">
        <v>254816</v>
      </c>
      <c r="U184" s="600">
        <v>1563</v>
      </c>
      <c r="V184" s="601">
        <v>3377</v>
      </c>
      <c r="W184" s="601">
        <v>4940</v>
      </c>
      <c r="X184" s="601">
        <v>12906</v>
      </c>
      <c r="Y184" s="601">
        <v>13317</v>
      </c>
      <c r="Z184" s="601">
        <v>26223</v>
      </c>
      <c r="AA184" s="601">
        <v>1522891</v>
      </c>
      <c r="AB184" s="601">
        <v>1434789</v>
      </c>
      <c r="AC184" s="602">
        <v>2957680</v>
      </c>
    </row>
    <row r="185" spans="1:29">
      <c r="A185" s="1202"/>
      <c r="B185" s="590" t="s">
        <v>876</v>
      </c>
      <c r="C185" s="551">
        <v>17443</v>
      </c>
      <c r="D185" s="551">
        <v>16968</v>
      </c>
      <c r="E185" s="551">
        <v>34411</v>
      </c>
      <c r="F185" s="551">
        <v>1696</v>
      </c>
      <c r="G185" s="551">
        <v>5007</v>
      </c>
      <c r="H185" s="551">
        <v>6703</v>
      </c>
      <c r="I185" s="551">
        <v>106868</v>
      </c>
      <c r="J185" s="551">
        <v>175312</v>
      </c>
      <c r="K185" s="551">
        <v>282180</v>
      </c>
      <c r="L185" s="551">
        <v>1091024</v>
      </c>
      <c r="M185" s="551">
        <v>1186072</v>
      </c>
      <c r="N185" s="551">
        <v>2277096</v>
      </c>
      <c r="O185" s="551">
        <v>1232</v>
      </c>
      <c r="P185" s="551">
        <v>1292</v>
      </c>
      <c r="Q185" s="551">
        <v>2524</v>
      </c>
      <c r="R185" s="551">
        <v>238219</v>
      </c>
      <c r="S185" s="551">
        <v>50394</v>
      </c>
      <c r="T185" s="551">
        <v>288613</v>
      </c>
      <c r="U185" s="551">
        <v>2574</v>
      </c>
      <c r="V185" s="551">
        <v>4848</v>
      </c>
      <c r="W185" s="551">
        <v>7422</v>
      </c>
      <c r="X185" s="551">
        <v>11859</v>
      </c>
      <c r="Y185" s="551">
        <v>11193</v>
      </c>
      <c r="Z185" s="551">
        <v>23052</v>
      </c>
      <c r="AA185" s="551">
        <v>1470915</v>
      </c>
      <c r="AB185" s="551">
        <v>1451086</v>
      </c>
      <c r="AC185" s="551">
        <v>2922001</v>
      </c>
    </row>
    <row r="186" spans="1:29">
      <c r="A186" s="1202"/>
      <c r="B186" s="590" t="s">
        <v>229</v>
      </c>
      <c r="C186" s="346">
        <v>15816</v>
      </c>
      <c r="D186" s="346">
        <v>14823</v>
      </c>
      <c r="E186" s="346">
        <v>30639</v>
      </c>
      <c r="F186" s="346">
        <v>2457</v>
      </c>
      <c r="G186" s="346">
        <v>7298</v>
      </c>
      <c r="H186" s="346">
        <v>9755</v>
      </c>
      <c r="I186" s="346">
        <v>101932</v>
      </c>
      <c r="J186" s="346">
        <v>180859</v>
      </c>
      <c r="K186" s="346">
        <v>282791</v>
      </c>
      <c r="L186" s="346">
        <v>1094717</v>
      </c>
      <c r="M186" s="346">
        <v>1194788</v>
      </c>
      <c r="N186" s="346">
        <v>2289505</v>
      </c>
      <c r="O186" s="346">
        <v>1365</v>
      </c>
      <c r="P186" s="346">
        <v>1751</v>
      </c>
      <c r="Q186" s="346">
        <v>3116</v>
      </c>
      <c r="R186" s="346">
        <v>279043</v>
      </c>
      <c r="S186" s="346">
        <v>55406</v>
      </c>
      <c r="T186" s="346">
        <v>334449</v>
      </c>
      <c r="U186" s="346">
        <v>3921</v>
      </c>
      <c r="V186" s="346">
        <v>6572</v>
      </c>
      <c r="W186" s="346">
        <v>10493</v>
      </c>
      <c r="X186" s="346">
        <v>11312</v>
      </c>
      <c r="Y186" s="346">
        <v>10429</v>
      </c>
      <c r="Z186" s="346">
        <v>21741</v>
      </c>
      <c r="AA186" s="346">
        <v>1510563</v>
      </c>
      <c r="AB186" s="346">
        <v>1471926</v>
      </c>
      <c r="AC186" s="346">
        <v>2982489</v>
      </c>
    </row>
    <row r="187" spans="1:29">
      <c r="A187" s="1202"/>
      <c r="B187" s="590" t="s">
        <v>228</v>
      </c>
      <c r="C187" s="551">
        <v>13699</v>
      </c>
      <c r="D187" s="551">
        <v>12121</v>
      </c>
      <c r="E187" s="551">
        <v>25820</v>
      </c>
      <c r="F187" s="551">
        <v>3281</v>
      </c>
      <c r="G187" s="551">
        <v>9144</v>
      </c>
      <c r="H187" s="551">
        <v>12425</v>
      </c>
      <c r="I187" s="551">
        <v>110199</v>
      </c>
      <c r="J187" s="551">
        <v>193722</v>
      </c>
      <c r="K187" s="551">
        <v>303921</v>
      </c>
      <c r="L187" s="551">
        <v>1085926</v>
      </c>
      <c r="M187" s="551">
        <v>1178654</v>
      </c>
      <c r="N187" s="551">
        <v>2264580</v>
      </c>
      <c r="O187" s="551">
        <v>1515</v>
      </c>
      <c r="P187" s="551">
        <v>1873</v>
      </c>
      <c r="Q187" s="551">
        <v>3388</v>
      </c>
      <c r="R187" s="551">
        <v>308429</v>
      </c>
      <c r="S187" s="551">
        <v>58445</v>
      </c>
      <c r="T187" s="551">
        <v>366874</v>
      </c>
      <c r="U187" s="551">
        <v>3496</v>
      </c>
      <c r="V187" s="551">
        <v>6747</v>
      </c>
      <c r="W187" s="551">
        <v>10243</v>
      </c>
      <c r="X187" s="551">
        <v>10871</v>
      </c>
      <c r="Y187" s="551">
        <v>9442</v>
      </c>
      <c r="Z187" s="551">
        <v>20313</v>
      </c>
      <c r="AA187" s="551">
        <v>1537416</v>
      </c>
      <c r="AB187" s="551">
        <v>1470148</v>
      </c>
      <c r="AC187" s="551">
        <v>3007564</v>
      </c>
    </row>
    <row r="188" spans="1:29">
      <c r="A188" s="1202"/>
      <c r="B188" s="590" t="s">
        <v>227</v>
      </c>
      <c r="C188" s="339">
        <v>16267</v>
      </c>
      <c r="D188" s="339">
        <v>13511</v>
      </c>
      <c r="E188" s="358">
        <v>29778</v>
      </c>
      <c r="F188" s="339">
        <v>4424</v>
      </c>
      <c r="G188" s="339">
        <v>12755</v>
      </c>
      <c r="H188" s="358">
        <v>17179</v>
      </c>
      <c r="I188" s="348">
        <v>98084.635275933455</v>
      </c>
      <c r="J188" s="348">
        <v>173485.97833341575</v>
      </c>
      <c r="K188" s="359">
        <v>271570.61360934924</v>
      </c>
      <c r="L188" s="348">
        <v>1072395.2952759322</v>
      </c>
      <c r="M188" s="348">
        <v>1177662.0367209937</v>
      </c>
      <c r="N188" s="359">
        <v>2250057.3319969256</v>
      </c>
      <c r="O188" s="339">
        <v>1605</v>
      </c>
      <c r="P188" s="339">
        <v>1913</v>
      </c>
      <c r="Q188" s="358">
        <v>3518</v>
      </c>
      <c r="R188" s="339">
        <v>313156</v>
      </c>
      <c r="S188" s="339">
        <v>62768</v>
      </c>
      <c r="T188" s="358">
        <v>375924</v>
      </c>
      <c r="U188" s="339">
        <v>2736</v>
      </c>
      <c r="V188" s="339">
        <v>7326</v>
      </c>
      <c r="W188" s="358">
        <v>10062</v>
      </c>
      <c r="X188" s="339">
        <v>9199</v>
      </c>
      <c r="Y188" s="339">
        <v>7843</v>
      </c>
      <c r="Z188" s="358">
        <v>17042</v>
      </c>
      <c r="AA188" s="350">
        <v>1517866.9305518656</v>
      </c>
      <c r="AB188" s="341">
        <v>1457264.0150544094</v>
      </c>
      <c r="AC188" s="359">
        <v>2975130.945606275</v>
      </c>
    </row>
    <row r="189" spans="1:29">
      <c r="A189" s="1202">
        <v>31</v>
      </c>
      <c r="B189" s="599" t="s">
        <v>131</v>
      </c>
      <c r="C189" s="600"/>
      <c r="D189" s="601"/>
      <c r="E189" s="601"/>
      <c r="F189" s="601"/>
      <c r="G189" s="601"/>
      <c r="H189" s="601"/>
      <c r="I189" s="601"/>
      <c r="J189" s="601"/>
      <c r="K189" s="602"/>
      <c r="L189" s="600"/>
      <c r="M189" s="601"/>
      <c r="N189" s="601"/>
      <c r="O189" s="601"/>
      <c r="P189" s="601"/>
      <c r="Q189" s="601"/>
      <c r="R189" s="601"/>
      <c r="S189" s="601"/>
      <c r="T189" s="602"/>
      <c r="U189" s="600"/>
      <c r="V189" s="601"/>
      <c r="W189" s="601"/>
      <c r="X189" s="601"/>
      <c r="Y189" s="601"/>
      <c r="Z189" s="601"/>
      <c r="AA189" s="601"/>
      <c r="AB189" s="601"/>
      <c r="AC189" s="602"/>
    </row>
    <row r="190" spans="1:29">
      <c r="A190" s="1202"/>
      <c r="B190" s="590" t="s">
        <v>919</v>
      </c>
      <c r="C190" s="600">
        <v>4412</v>
      </c>
      <c r="D190" s="601">
        <v>2509</v>
      </c>
      <c r="E190" s="601">
        <v>6921</v>
      </c>
      <c r="F190" s="601">
        <v>37</v>
      </c>
      <c r="G190" s="601">
        <v>34</v>
      </c>
      <c r="H190" s="601">
        <v>71</v>
      </c>
      <c r="I190" s="601">
        <v>70558</v>
      </c>
      <c r="J190" s="601">
        <v>92350</v>
      </c>
      <c r="K190" s="602">
        <v>162908</v>
      </c>
      <c r="L190" s="600">
        <v>586900</v>
      </c>
      <c r="M190" s="601">
        <v>599875</v>
      </c>
      <c r="N190" s="601">
        <v>1186775</v>
      </c>
      <c r="O190" s="601">
        <v>2166</v>
      </c>
      <c r="P190" s="601">
        <v>1885</v>
      </c>
      <c r="Q190" s="601">
        <v>4051</v>
      </c>
      <c r="R190" s="601">
        <v>48977</v>
      </c>
      <c r="S190" s="601">
        <v>40528</v>
      </c>
      <c r="T190" s="602">
        <v>89505</v>
      </c>
      <c r="U190" s="600">
        <v>1054</v>
      </c>
      <c r="V190" s="601">
        <v>277</v>
      </c>
      <c r="W190" s="601">
        <v>1331</v>
      </c>
      <c r="X190" s="601">
        <v>4538</v>
      </c>
      <c r="Y190" s="601">
        <v>3081</v>
      </c>
      <c r="Z190" s="601">
        <v>7619</v>
      </c>
      <c r="AA190" s="601">
        <v>718642</v>
      </c>
      <c r="AB190" s="601">
        <v>740539</v>
      </c>
      <c r="AC190" s="602">
        <v>1459181</v>
      </c>
    </row>
    <row r="191" spans="1:29">
      <c r="A191" s="1202"/>
      <c r="B191" s="590" t="s">
        <v>876</v>
      </c>
      <c r="C191" s="551">
        <v>4228</v>
      </c>
      <c r="D191" s="551">
        <v>2487</v>
      </c>
      <c r="E191" s="551">
        <v>6715</v>
      </c>
      <c r="F191" s="551">
        <v>106</v>
      </c>
      <c r="G191" s="551">
        <v>74</v>
      </c>
      <c r="H191" s="551">
        <v>180</v>
      </c>
      <c r="I191" s="551">
        <v>68545</v>
      </c>
      <c r="J191" s="551">
        <v>87864</v>
      </c>
      <c r="K191" s="551">
        <v>156409</v>
      </c>
      <c r="L191" s="551">
        <v>561388</v>
      </c>
      <c r="M191" s="551">
        <v>593419</v>
      </c>
      <c r="N191" s="551">
        <v>1154807</v>
      </c>
      <c r="O191" s="551">
        <v>2111</v>
      </c>
      <c r="P191" s="551">
        <v>1740</v>
      </c>
      <c r="Q191" s="551">
        <v>3851</v>
      </c>
      <c r="R191" s="551">
        <v>55384</v>
      </c>
      <c r="S191" s="551">
        <v>42988</v>
      </c>
      <c r="T191" s="551">
        <v>98372</v>
      </c>
      <c r="U191" s="551">
        <v>858</v>
      </c>
      <c r="V191" s="551">
        <v>1017</v>
      </c>
      <c r="W191" s="551">
        <v>1875</v>
      </c>
      <c r="X191" s="551">
        <v>3866</v>
      </c>
      <c r="Y191" s="551">
        <v>2792</v>
      </c>
      <c r="Z191" s="551">
        <v>6658</v>
      </c>
      <c r="AA191" s="551">
        <v>696486</v>
      </c>
      <c r="AB191" s="551">
        <v>732381</v>
      </c>
      <c r="AC191" s="551">
        <v>1428867</v>
      </c>
    </row>
    <row r="192" spans="1:29">
      <c r="A192" s="1202"/>
      <c r="B192" s="590" t="s">
        <v>229</v>
      </c>
      <c r="C192" s="346">
        <v>3507</v>
      </c>
      <c r="D192" s="346">
        <v>2001</v>
      </c>
      <c r="E192" s="346">
        <v>5508</v>
      </c>
      <c r="F192" s="346">
        <v>203</v>
      </c>
      <c r="G192" s="346">
        <v>170</v>
      </c>
      <c r="H192" s="346">
        <v>373</v>
      </c>
      <c r="I192" s="346">
        <v>65433</v>
      </c>
      <c r="J192" s="346">
        <v>82606</v>
      </c>
      <c r="K192" s="346">
        <v>148039</v>
      </c>
      <c r="L192" s="346">
        <v>511433</v>
      </c>
      <c r="M192" s="346">
        <v>552425</v>
      </c>
      <c r="N192" s="346">
        <v>1063858</v>
      </c>
      <c r="O192" s="346">
        <v>1628</v>
      </c>
      <c r="P192" s="346">
        <v>1270</v>
      </c>
      <c r="Q192" s="346">
        <v>2898</v>
      </c>
      <c r="R192" s="346">
        <v>60259</v>
      </c>
      <c r="S192" s="346">
        <v>45165</v>
      </c>
      <c r="T192" s="346">
        <v>105424</v>
      </c>
      <c r="U192" s="346">
        <v>686</v>
      </c>
      <c r="V192" s="346">
        <v>825</v>
      </c>
      <c r="W192" s="346">
        <v>1511</v>
      </c>
      <c r="X192" s="346">
        <v>3629</v>
      </c>
      <c r="Y192" s="346">
        <v>2601</v>
      </c>
      <c r="Z192" s="346">
        <v>6230</v>
      </c>
      <c r="AA192" s="346">
        <v>646778</v>
      </c>
      <c r="AB192" s="346">
        <v>687063</v>
      </c>
      <c r="AC192" s="346">
        <v>1333841</v>
      </c>
    </row>
    <row r="193" spans="1:29">
      <c r="A193" s="1202"/>
      <c r="B193" s="590" t="s">
        <v>228</v>
      </c>
      <c r="C193" s="551">
        <v>2191</v>
      </c>
      <c r="D193" s="551">
        <v>1239</v>
      </c>
      <c r="E193" s="551">
        <v>3430</v>
      </c>
      <c r="F193" s="551">
        <v>106</v>
      </c>
      <c r="G193" s="551">
        <v>123</v>
      </c>
      <c r="H193" s="551">
        <v>229</v>
      </c>
      <c r="I193" s="551">
        <v>69250</v>
      </c>
      <c r="J193" s="551">
        <v>85725</v>
      </c>
      <c r="K193" s="551">
        <v>154975</v>
      </c>
      <c r="L193" s="551">
        <v>529253</v>
      </c>
      <c r="M193" s="551">
        <v>559635</v>
      </c>
      <c r="N193" s="551">
        <v>1088888</v>
      </c>
      <c r="O193" s="551">
        <v>1280</v>
      </c>
      <c r="P193" s="551">
        <v>1012</v>
      </c>
      <c r="Q193" s="551">
        <v>2292</v>
      </c>
      <c r="R193" s="551">
        <v>70370</v>
      </c>
      <c r="S193" s="551">
        <v>47463</v>
      </c>
      <c r="T193" s="551">
        <v>117833</v>
      </c>
      <c r="U193" s="551">
        <v>696</v>
      </c>
      <c r="V193" s="551">
        <v>533</v>
      </c>
      <c r="W193" s="551">
        <v>1229</v>
      </c>
      <c r="X193" s="551">
        <v>3113</v>
      </c>
      <c r="Y193" s="551">
        <v>2067</v>
      </c>
      <c r="Z193" s="551">
        <v>5180</v>
      </c>
      <c r="AA193" s="551">
        <v>676259</v>
      </c>
      <c r="AB193" s="551">
        <v>697797</v>
      </c>
      <c r="AC193" s="551">
        <v>1374056</v>
      </c>
    </row>
    <row r="194" spans="1:29">
      <c r="A194" s="1202"/>
      <c r="B194" s="590" t="s">
        <v>227</v>
      </c>
      <c r="C194" s="339">
        <v>3252</v>
      </c>
      <c r="D194" s="339">
        <v>1632</v>
      </c>
      <c r="E194" s="358">
        <v>4884</v>
      </c>
      <c r="F194" s="339">
        <v>454</v>
      </c>
      <c r="G194" s="339">
        <v>340</v>
      </c>
      <c r="H194" s="358">
        <v>794</v>
      </c>
      <c r="I194" s="348">
        <v>76279.159475908527</v>
      </c>
      <c r="J194" s="348">
        <v>88296.353393294805</v>
      </c>
      <c r="K194" s="359">
        <v>164575.51286920335</v>
      </c>
      <c r="L194" s="348">
        <v>549751.48245251458</v>
      </c>
      <c r="M194" s="348">
        <v>518250.00452087668</v>
      </c>
      <c r="N194" s="359">
        <v>1068001.4869733914</v>
      </c>
      <c r="O194" s="339">
        <v>1222</v>
      </c>
      <c r="P194" s="339">
        <v>745</v>
      </c>
      <c r="Q194" s="358">
        <v>1967</v>
      </c>
      <c r="R194" s="339">
        <v>77559</v>
      </c>
      <c r="S194" s="339">
        <v>49160</v>
      </c>
      <c r="T194" s="358">
        <v>126719</v>
      </c>
      <c r="U194" s="339">
        <v>73</v>
      </c>
      <c r="V194" s="339">
        <v>455</v>
      </c>
      <c r="W194" s="358">
        <v>528</v>
      </c>
      <c r="X194" s="339">
        <v>2945</v>
      </c>
      <c r="Y194" s="339">
        <v>2005</v>
      </c>
      <c r="Z194" s="358">
        <v>4950</v>
      </c>
      <c r="AA194" s="350">
        <v>711535.64192842308</v>
      </c>
      <c r="AB194" s="350">
        <v>660883.35791417153</v>
      </c>
      <c r="AC194" s="358">
        <v>1372418.9998425948</v>
      </c>
    </row>
    <row r="195" spans="1:29">
      <c r="A195" s="1202">
        <v>32</v>
      </c>
      <c r="B195" s="550" t="s">
        <v>1062</v>
      </c>
      <c r="C195" s="362"/>
      <c r="D195" s="363"/>
      <c r="E195" s="364"/>
      <c r="F195" s="363"/>
      <c r="G195" s="363"/>
      <c r="H195" s="364"/>
      <c r="I195" s="363"/>
      <c r="J195" s="363"/>
      <c r="K195" s="365"/>
      <c r="L195" s="362"/>
      <c r="M195" s="363"/>
      <c r="N195" s="364"/>
      <c r="O195" s="363"/>
      <c r="P195" s="363"/>
      <c r="Q195" s="364"/>
      <c r="R195" s="363"/>
      <c r="S195" s="363"/>
      <c r="T195" s="365"/>
      <c r="U195" s="362"/>
      <c r="V195" s="363"/>
      <c r="W195" s="364"/>
      <c r="X195" s="363"/>
      <c r="Y195" s="363"/>
      <c r="Z195" s="364"/>
      <c r="AA195" s="366"/>
      <c r="AB195" s="366"/>
      <c r="AC195" s="365"/>
    </row>
    <row r="196" spans="1:29">
      <c r="A196" s="1202"/>
      <c r="B196" s="590" t="s">
        <v>919</v>
      </c>
      <c r="C196" s="362">
        <v>0</v>
      </c>
      <c r="D196" s="363"/>
      <c r="E196" s="364">
        <v>0</v>
      </c>
      <c r="F196" s="363"/>
      <c r="G196" s="363"/>
      <c r="H196" s="364"/>
      <c r="I196" s="363">
        <v>305</v>
      </c>
      <c r="J196" s="363">
        <v>543</v>
      </c>
      <c r="K196" s="365">
        <v>848</v>
      </c>
      <c r="L196" s="362">
        <v>4656</v>
      </c>
      <c r="M196" s="363">
        <v>5103</v>
      </c>
      <c r="N196" s="364">
        <v>9759</v>
      </c>
      <c r="O196" s="363"/>
      <c r="P196" s="363"/>
      <c r="Q196" s="364"/>
      <c r="R196" s="363">
        <v>1686</v>
      </c>
      <c r="S196" s="363">
        <v>422</v>
      </c>
      <c r="T196" s="365">
        <v>2108</v>
      </c>
      <c r="U196" s="362"/>
      <c r="V196" s="363"/>
      <c r="W196" s="364"/>
      <c r="X196" s="363">
        <v>36</v>
      </c>
      <c r="Y196" s="363">
        <v>54</v>
      </c>
      <c r="Z196" s="364">
        <v>90</v>
      </c>
      <c r="AA196" s="366">
        <v>6683</v>
      </c>
      <c r="AB196" s="366">
        <v>6122</v>
      </c>
      <c r="AC196" s="365">
        <v>12805</v>
      </c>
    </row>
    <row r="197" spans="1:29">
      <c r="A197" s="1202"/>
      <c r="B197" s="552" t="s">
        <v>876</v>
      </c>
      <c r="C197" s="367">
        <v>0</v>
      </c>
      <c r="D197" s="367">
        <v>0</v>
      </c>
      <c r="E197" s="368">
        <v>0</v>
      </c>
      <c r="F197" s="367">
        <v>0</v>
      </c>
      <c r="G197" s="367">
        <v>0</v>
      </c>
      <c r="H197" s="368">
        <v>0</v>
      </c>
      <c r="I197" s="367">
        <v>259</v>
      </c>
      <c r="J197" s="367">
        <v>508</v>
      </c>
      <c r="K197" s="368">
        <v>767</v>
      </c>
      <c r="L197" s="367">
        <v>4020</v>
      </c>
      <c r="M197" s="367">
        <v>4681</v>
      </c>
      <c r="N197" s="368">
        <v>8701</v>
      </c>
      <c r="O197" s="367">
        <v>0</v>
      </c>
      <c r="P197" s="367">
        <v>0</v>
      </c>
      <c r="Q197" s="368">
        <v>0</v>
      </c>
      <c r="R197" s="367">
        <v>1647</v>
      </c>
      <c r="S197" s="367">
        <v>397</v>
      </c>
      <c r="T197" s="368">
        <v>2044</v>
      </c>
      <c r="U197" s="367">
        <v>0</v>
      </c>
      <c r="V197" s="367">
        <v>0</v>
      </c>
      <c r="W197" s="368">
        <v>0</v>
      </c>
      <c r="X197" s="367">
        <v>22</v>
      </c>
      <c r="Y197" s="367">
        <v>36</v>
      </c>
      <c r="Z197" s="368">
        <v>58</v>
      </c>
      <c r="AA197" s="369">
        <v>5948</v>
      </c>
      <c r="AB197" s="369">
        <v>5622</v>
      </c>
      <c r="AC197" s="368">
        <v>11570</v>
      </c>
    </row>
    <row r="198" spans="1:29">
      <c r="A198" s="1202"/>
      <c r="B198" s="552" t="s">
        <v>229</v>
      </c>
      <c r="C198" s="367">
        <v>0</v>
      </c>
      <c r="D198" s="367">
        <v>0</v>
      </c>
      <c r="E198" s="368">
        <v>0</v>
      </c>
      <c r="F198" s="367">
        <v>0</v>
      </c>
      <c r="G198" s="367">
        <v>0</v>
      </c>
      <c r="H198" s="368">
        <v>0</v>
      </c>
      <c r="I198" s="367">
        <v>188</v>
      </c>
      <c r="J198" s="367">
        <v>433</v>
      </c>
      <c r="K198" s="368">
        <v>621</v>
      </c>
      <c r="L198" s="367">
        <v>3436</v>
      </c>
      <c r="M198" s="367">
        <v>4165</v>
      </c>
      <c r="N198" s="368">
        <v>7601</v>
      </c>
      <c r="O198" s="367">
        <v>0</v>
      </c>
      <c r="P198" s="367">
        <v>0</v>
      </c>
      <c r="Q198" s="368">
        <v>0</v>
      </c>
      <c r="R198" s="367">
        <v>1685</v>
      </c>
      <c r="S198" s="367">
        <v>381</v>
      </c>
      <c r="T198" s="368">
        <v>2066</v>
      </c>
      <c r="U198" s="367">
        <v>0</v>
      </c>
      <c r="V198" s="367">
        <v>0</v>
      </c>
      <c r="W198" s="368">
        <v>0</v>
      </c>
      <c r="X198" s="367">
        <v>11</v>
      </c>
      <c r="Y198" s="367">
        <v>26</v>
      </c>
      <c r="Z198" s="368">
        <v>37</v>
      </c>
      <c r="AA198" s="369">
        <v>5320</v>
      </c>
      <c r="AB198" s="369">
        <v>5005</v>
      </c>
      <c r="AC198" s="368">
        <v>10325</v>
      </c>
    </row>
    <row r="199" spans="1:29">
      <c r="A199" s="1202"/>
      <c r="B199" s="552" t="s">
        <v>228</v>
      </c>
      <c r="C199" s="367">
        <v>0</v>
      </c>
      <c r="D199" s="367">
        <v>0</v>
      </c>
      <c r="E199" s="368">
        <v>0</v>
      </c>
      <c r="F199" s="367">
        <v>0</v>
      </c>
      <c r="G199" s="367">
        <v>0</v>
      </c>
      <c r="H199" s="368">
        <v>0</v>
      </c>
      <c r="I199" s="367">
        <v>175</v>
      </c>
      <c r="J199" s="367">
        <v>308</v>
      </c>
      <c r="K199" s="368">
        <v>483</v>
      </c>
      <c r="L199" s="367">
        <v>3127</v>
      </c>
      <c r="M199" s="367">
        <v>3834</v>
      </c>
      <c r="N199" s="368">
        <v>6961</v>
      </c>
      <c r="O199" s="367">
        <v>0</v>
      </c>
      <c r="P199" s="367">
        <v>0</v>
      </c>
      <c r="Q199" s="368">
        <v>0</v>
      </c>
      <c r="R199" s="367">
        <v>1686</v>
      </c>
      <c r="S199" s="367">
        <v>355</v>
      </c>
      <c r="T199" s="368">
        <v>2041</v>
      </c>
      <c r="U199" s="367">
        <v>0</v>
      </c>
      <c r="V199" s="367">
        <v>0</v>
      </c>
      <c r="W199" s="368">
        <v>0</v>
      </c>
      <c r="X199" s="367">
        <v>6</v>
      </c>
      <c r="Y199" s="367">
        <v>14</v>
      </c>
      <c r="Z199" s="368">
        <v>20</v>
      </c>
      <c r="AA199" s="369">
        <v>4994</v>
      </c>
      <c r="AB199" s="369">
        <v>4511</v>
      </c>
      <c r="AC199" s="368">
        <v>9505</v>
      </c>
    </row>
    <row r="200" spans="1:29">
      <c r="A200" s="1202"/>
      <c r="B200" s="552" t="s">
        <v>227</v>
      </c>
      <c r="C200" s="367">
        <v>0</v>
      </c>
      <c r="D200" s="367">
        <v>0</v>
      </c>
      <c r="E200" s="368">
        <v>0</v>
      </c>
      <c r="F200" s="367">
        <v>0</v>
      </c>
      <c r="G200" s="367">
        <v>0</v>
      </c>
      <c r="H200" s="368">
        <v>0</v>
      </c>
      <c r="I200" s="367">
        <v>126</v>
      </c>
      <c r="J200" s="367">
        <v>198</v>
      </c>
      <c r="K200" s="368">
        <v>324</v>
      </c>
      <c r="L200" s="367">
        <v>2707</v>
      </c>
      <c r="M200" s="367">
        <v>3689</v>
      </c>
      <c r="N200" s="368">
        <v>6396</v>
      </c>
      <c r="O200" s="367">
        <v>0</v>
      </c>
      <c r="P200" s="367">
        <v>0</v>
      </c>
      <c r="Q200" s="368">
        <v>0</v>
      </c>
      <c r="R200" s="367">
        <v>1821</v>
      </c>
      <c r="S200" s="367">
        <v>319</v>
      </c>
      <c r="T200" s="368">
        <v>2140</v>
      </c>
      <c r="U200" s="367">
        <v>0</v>
      </c>
      <c r="V200" s="367">
        <v>0</v>
      </c>
      <c r="W200" s="368">
        <v>0</v>
      </c>
      <c r="X200" s="367">
        <v>4</v>
      </c>
      <c r="Y200" s="367">
        <v>2</v>
      </c>
      <c r="Z200" s="368">
        <v>6</v>
      </c>
      <c r="AA200" s="369">
        <v>4658</v>
      </c>
      <c r="AB200" s="369">
        <v>4208</v>
      </c>
      <c r="AC200" s="368">
        <v>8866</v>
      </c>
    </row>
    <row r="201" spans="1:29">
      <c r="A201" s="1202">
        <v>33</v>
      </c>
      <c r="B201" s="599" t="s">
        <v>45</v>
      </c>
      <c r="C201" s="600"/>
      <c r="D201" s="601"/>
      <c r="E201" s="601"/>
      <c r="F201" s="601"/>
      <c r="G201" s="601"/>
      <c r="H201" s="601"/>
      <c r="I201" s="601"/>
      <c r="J201" s="601"/>
      <c r="K201" s="602"/>
      <c r="L201" s="600"/>
      <c r="M201" s="601"/>
      <c r="N201" s="601"/>
      <c r="O201" s="601"/>
      <c r="P201" s="601"/>
      <c r="Q201" s="601"/>
      <c r="R201" s="601"/>
      <c r="S201" s="601"/>
      <c r="T201" s="602"/>
      <c r="U201" s="600"/>
      <c r="V201" s="601"/>
      <c r="W201" s="601"/>
      <c r="X201" s="601"/>
      <c r="Y201" s="601"/>
      <c r="Z201" s="601"/>
      <c r="AA201" s="601"/>
      <c r="AB201" s="601"/>
      <c r="AC201" s="602"/>
    </row>
    <row r="202" spans="1:29">
      <c r="A202" s="1202"/>
      <c r="B202" s="590" t="s">
        <v>919</v>
      </c>
      <c r="C202" s="600">
        <v>286</v>
      </c>
      <c r="D202" s="601">
        <v>173</v>
      </c>
      <c r="E202" s="601">
        <v>459</v>
      </c>
      <c r="F202" s="601">
        <v>2</v>
      </c>
      <c r="G202" s="601">
        <v>10</v>
      </c>
      <c r="H202" s="601">
        <v>12</v>
      </c>
      <c r="I202" s="601">
        <v>2429</v>
      </c>
      <c r="J202" s="601">
        <v>2468</v>
      </c>
      <c r="K202" s="602">
        <v>4897</v>
      </c>
      <c r="L202" s="600">
        <v>42285</v>
      </c>
      <c r="M202" s="601">
        <v>36473</v>
      </c>
      <c r="N202" s="601">
        <v>78758</v>
      </c>
      <c r="O202" s="601">
        <v>31</v>
      </c>
      <c r="P202" s="601">
        <v>41</v>
      </c>
      <c r="Q202" s="601">
        <v>72</v>
      </c>
      <c r="R202" s="601">
        <v>2394</v>
      </c>
      <c r="S202" s="601">
        <v>2282</v>
      </c>
      <c r="T202" s="602">
        <v>4676</v>
      </c>
      <c r="U202" s="600">
        <v>18</v>
      </c>
      <c r="V202" s="601">
        <v>18</v>
      </c>
      <c r="W202" s="601">
        <v>36</v>
      </c>
      <c r="X202" s="601">
        <v>1106</v>
      </c>
      <c r="Y202" s="601">
        <v>885</v>
      </c>
      <c r="Z202" s="601">
        <v>1991</v>
      </c>
      <c r="AA202" s="601">
        <v>48551</v>
      </c>
      <c r="AB202" s="601">
        <v>42350</v>
      </c>
      <c r="AC202" s="602">
        <v>90901</v>
      </c>
    </row>
    <row r="203" spans="1:29">
      <c r="A203" s="1202"/>
      <c r="B203" s="590" t="s">
        <v>876</v>
      </c>
      <c r="C203" s="551">
        <v>452</v>
      </c>
      <c r="D203" s="551">
        <v>220</v>
      </c>
      <c r="E203" s="551">
        <v>672</v>
      </c>
      <c r="F203" s="551">
        <v>2</v>
      </c>
      <c r="G203" s="551">
        <v>10</v>
      </c>
      <c r="H203" s="551">
        <v>12</v>
      </c>
      <c r="I203" s="551">
        <v>2536</v>
      </c>
      <c r="J203" s="551">
        <v>2425</v>
      </c>
      <c r="K203" s="551">
        <v>4961</v>
      </c>
      <c r="L203" s="551">
        <v>35886</v>
      </c>
      <c r="M203" s="551">
        <v>32179</v>
      </c>
      <c r="N203" s="551">
        <v>68065</v>
      </c>
      <c r="O203" s="551">
        <v>47</v>
      </c>
      <c r="P203" s="551">
        <v>107</v>
      </c>
      <c r="Q203" s="551">
        <v>154</v>
      </c>
      <c r="R203" s="551">
        <v>2225</v>
      </c>
      <c r="S203" s="551">
        <v>2603</v>
      </c>
      <c r="T203" s="551">
        <v>4828</v>
      </c>
      <c r="U203" s="551">
        <v>15</v>
      </c>
      <c r="V203" s="551">
        <v>13</v>
      </c>
      <c r="W203" s="551">
        <v>28</v>
      </c>
      <c r="X203" s="551">
        <v>871</v>
      </c>
      <c r="Y203" s="551">
        <v>723</v>
      </c>
      <c r="Z203" s="551">
        <v>1594</v>
      </c>
      <c r="AA203" s="551">
        <v>42034</v>
      </c>
      <c r="AB203" s="551">
        <v>38280</v>
      </c>
      <c r="AC203" s="551">
        <v>80314</v>
      </c>
    </row>
    <row r="204" spans="1:29">
      <c r="A204" s="1202"/>
      <c r="B204" s="590" t="s">
        <v>229</v>
      </c>
      <c r="C204" s="346">
        <v>388</v>
      </c>
      <c r="D204" s="346">
        <v>227</v>
      </c>
      <c r="E204" s="346">
        <v>615</v>
      </c>
      <c r="F204" s="346">
        <v>0</v>
      </c>
      <c r="G204" s="346">
        <v>0</v>
      </c>
      <c r="H204" s="346">
        <v>0</v>
      </c>
      <c r="I204" s="346">
        <v>2136</v>
      </c>
      <c r="J204" s="346">
        <v>1932</v>
      </c>
      <c r="K204" s="346">
        <v>4068</v>
      </c>
      <c r="L204" s="346">
        <v>34858</v>
      </c>
      <c r="M204" s="346">
        <v>28462</v>
      </c>
      <c r="N204" s="346">
        <v>63320</v>
      </c>
      <c r="O204" s="346">
        <v>17</v>
      </c>
      <c r="P204" s="346">
        <v>46</v>
      </c>
      <c r="Q204" s="346">
        <v>63</v>
      </c>
      <c r="R204" s="346">
        <v>2256</v>
      </c>
      <c r="S204" s="346">
        <v>2109</v>
      </c>
      <c r="T204" s="346">
        <v>4365</v>
      </c>
      <c r="U204" s="346">
        <v>149</v>
      </c>
      <c r="V204" s="346">
        <v>221</v>
      </c>
      <c r="W204" s="346">
        <v>370</v>
      </c>
      <c r="X204" s="346">
        <v>396</v>
      </c>
      <c r="Y204" s="346">
        <v>242</v>
      </c>
      <c r="Z204" s="346">
        <v>638</v>
      </c>
      <c r="AA204" s="346">
        <v>40200</v>
      </c>
      <c r="AB204" s="346">
        <v>33239</v>
      </c>
      <c r="AC204" s="346">
        <v>73439</v>
      </c>
    </row>
    <row r="205" spans="1:29">
      <c r="A205" s="1202"/>
      <c r="B205" s="590" t="s">
        <v>228</v>
      </c>
      <c r="C205" s="551">
        <v>147</v>
      </c>
      <c r="D205" s="551">
        <v>79</v>
      </c>
      <c r="E205" s="551">
        <v>226</v>
      </c>
      <c r="F205" s="551">
        <v>0</v>
      </c>
      <c r="G205" s="551">
        <v>0</v>
      </c>
      <c r="H205" s="551">
        <v>0</v>
      </c>
      <c r="I205" s="551">
        <v>2286</v>
      </c>
      <c r="J205" s="551">
        <v>1867</v>
      </c>
      <c r="K205" s="551">
        <v>4153</v>
      </c>
      <c r="L205" s="551">
        <v>32051</v>
      </c>
      <c r="M205" s="551">
        <v>27988</v>
      </c>
      <c r="N205" s="551">
        <v>60039</v>
      </c>
      <c r="O205" s="551">
        <v>52</v>
      </c>
      <c r="P205" s="551">
        <v>102</v>
      </c>
      <c r="Q205" s="551">
        <v>154</v>
      </c>
      <c r="R205" s="551">
        <v>2312</v>
      </c>
      <c r="S205" s="551">
        <v>1940</v>
      </c>
      <c r="T205" s="551">
        <v>4252</v>
      </c>
      <c r="U205" s="551">
        <v>68</v>
      </c>
      <c r="V205" s="551">
        <v>112</v>
      </c>
      <c r="W205" s="551">
        <v>180</v>
      </c>
      <c r="X205" s="551">
        <v>701</v>
      </c>
      <c r="Y205" s="551">
        <v>427</v>
      </c>
      <c r="Z205" s="551">
        <v>1128</v>
      </c>
      <c r="AA205" s="551">
        <v>37617</v>
      </c>
      <c r="AB205" s="551">
        <v>32515</v>
      </c>
      <c r="AC205" s="551">
        <v>70132</v>
      </c>
    </row>
    <row r="206" spans="1:29">
      <c r="A206" s="1202"/>
      <c r="B206" s="590" t="s">
        <v>227</v>
      </c>
      <c r="C206" s="339">
        <v>75</v>
      </c>
      <c r="D206" s="339">
        <v>44</v>
      </c>
      <c r="E206" s="358">
        <v>119</v>
      </c>
      <c r="F206" s="339">
        <v>0</v>
      </c>
      <c r="G206" s="339">
        <v>0</v>
      </c>
      <c r="H206" s="358">
        <v>0</v>
      </c>
      <c r="I206" s="348">
        <v>1673.1709863507785</v>
      </c>
      <c r="J206" s="348">
        <v>1276.4273890851073</v>
      </c>
      <c r="K206" s="359">
        <v>2949.5983754358858</v>
      </c>
      <c r="L206" s="348">
        <v>31857.451037284685</v>
      </c>
      <c r="M206" s="348">
        <v>29014.342280968711</v>
      </c>
      <c r="N206" s="359">
        <v>60871.793318253389</v>
      </c>
      <c r="O206" s="339">
        <v>50</v>
      </c>
      <c r="P206" s="339">
        <v>66</v>
      </c>
      <c r="Q206" s="358">
        <v>116</v>
      </c>
      <c r="R206" s="339">
        <v>2159</v>
      </c>
      <c r="S206" s="339">
        <v>1781</v>
      </c>
      <c r="T206" s="358">
        <v>3940</v>
      </c>
      <c r="U206" s="339">
        <v>114</v>
      </c>
      <c r="V206" s="339">
        <v>108</v>
      </c>
      <c r="W206" s="358">
        <v>222</v>
      </c>
      <c r="X206" s="339">
        <v>563</v>
      </c>
      <c r="Y206" s="339">
        <v>322</v>
      </c>
      <c r="Z206" s="358">
        <v>885</v>
      </c>
      <c r="AA206" s="350">
        <v>36491.622023635464</v>
      </c>
      <c r="AB206" s="350">
        <v>32611.769670053822</v>
      </c>
      <c r="AC206" s="359">
        <v>69103.391693689278</v>
      </c>
    </row>
    <row r="207" spans="1:29">
      <c r="A207" s="1202">
        <v>34</v>
      </c>
      <c r="B207" s="599" t="s">
        <v>47</v>
      </c>
      <c r="C207" s="600"/>
      <c r="D207" s="601"/>
      <c r="E207" s="601"/>
      <c r="F207" s="601"/>
      <c r="G207" s="601"/>
      <c r="H207" s="601"/>
      <c r="I207" s="601"/>
      <c r="J207" s="601"/>
      <c r="K207" s="602"/>
      <c r="L207" s="600"/>
      <c r="M207" s="601"/>
      <c r="N207" s="601"/>
      <c r="O207" s="601"/>
      <c r="P207" s="601"/>
      <c r="Q207" s="601"/>
      <c r="R207" s="601"/>
      <c r="S207" s="601"/>
      <c r="T207" s="602"/>
      <c r="U207" s="600"/>
      <c r="V207" s="601"/>
      <c r="W207" s="601"/>
      <c r="X207" s="601"/>
      <c r="Y207" s="601"/>
      <c r="Z207" s="601"/>
      <c r="AA207" s="601"/>
      <c r="AB207" s="601"/>
      <c r="AC207" s="602"/>
    </row>
    <row r="208" spans="1:29">
      <c r="A208" s="1202"/>
      <c r="B208" s="590" t="s">
        <v>919</v>
      </c>
      <c r="C208" s="600">
        <v>11988</v>
      </c>
      <c r="D208" s="601">
        <v>9725</v>
      </c>
      <c r="E208" s="601">
        <v>21713</v>
      </c>
      <c r="F208" s="601">
        <v>15</v>
      </c>
      <c r="G208" s="601">
        <v>62</v>
      </c>
      <c r="H208" s="601">
        <v>77</v>
      </c>
      <c r="I208" s="601">
        <v>291433</v>
      </c>
      <c r="J208" s="601">
        <v>365367</v>
      </c>
      <c r="K208" s="602">
        <v>656800</v>
      </c>
      <c r="L208" s="600">
        <v>2946324</v>
      </c>
      <c r="M208" s="601">
        <v>2706236</v>
      </c>
      <c r="N208" s="601">
        <v>5652560</v>
      </c>
      <c r="O208" s="601">
        <v>6306</v>
      </c>
      <c r="P208" s="601">
        <v>4344</v>
      </c>
      <c r="Q208" s="601">
        <v>10650</v>
      </c>
      <c r="R208" s="601">
        <v>214537</v>
      </c>
      <c r="S208" s="601">
        <v>101703</v>
      </c>
      <c r="T208" s="602">
        <v>316240</v>
      </c>
      <c r="U208" s="600">
        <v>3177</v>
      </c>
      <c r="V208" s="601">
        <v>2646</v>
      </c>
      <c r="W208" s="601">
        <v>5823</v>
      </c>
      <c r="X208" s="601">
        <v>36630</v>
      </c>
      <c r="Y208" s="601">
        <v>21270</v>
      </c>
      <c r="Z208" s="601">
        <v>57900</v>
      </c>
      <c r="AA208" s="601">
        <v>3510410</v>
      </c>
      <c r="AB208" s="601">
        <v>3211353</v>
      </c>
      <c r="AC208" s="602">
        <v>6721763</v>
      </c>
    </row>
    <row r="209" spans="1:29">
      <c r="A209" s="1202"/>
      <c r="B209" s="590" t="s">
        <v>876</v>
      </c>
      <c r="C209" s="551">
        <v>11560</v>
      </c>
      <c r="D209" s="551">
        <v>8246</v>
      </c>
      <c r="E209" s="551">
        <v>19806</v>
      </c>
      <c r="F209" s="551">
        <v>234</v>
      </c>
      <c r="G209" s="551">
        <v>381</v>
      </c>
      <c r="H209" s="551">
        <v>615</v>
      </c>
      <c r="I209" s="551">
        <v>250456</v>
      </c>
      <c r="J209" s="551">
        <v>332791</v>
      </c>
      <c r="K209" s="551">
        <v>583247</v>
      </c>
      <c r="L209" s="551">
        <v>2781718</v>
      </c>
      <c r="M209" s="551">
        <v>2708037</v>
      </c>
      <c r="N209" s="551">
        <v>5489755</v>
      </c>
      <c r="O209" s="551">
        <v>7063</v>
      </c>
      <c r="P209" s="551">
        <v>5107</v>
      </c>
      <c r="Q209" s="551">
        <v>12170</v>
      </c>
      <c r="R209" s="551">
        <v>213233</v>
      </c>
      <c r="S209" s="551">
        <v>110525</v>
      </c>
      <c r="T209" s="551">
        <v>323758</v>
      </c>
      <c r="U209" s="551">
        <v>7153</v>
      </c>
      <c r="V209" s="551">
        <v>8143</v>
      </c>
      <c r="W209" s="551">
        <v>15296</v>
      </c>
      <c r="X209" s="551">
        <v>32566</v>
      </c>
      <c r="Y209" s="551">
        <v>19340</v>
      </c>
      <c r="Z209" s="551">
        <v>51906</v>
      </c>
      <c r="AA209" s="551">
        <v>3303983</v>
      </c>
      <c r="AB209" s="551">
        <v>3192570</v>
      </c>
      <c r="AC209" s="551">
        <v>6496553</v>
      </c>
    </row>
    <row r="210" spans="1:29">
      <c r="A210" s="1202"/>
      <c r="B210" s="590" t="s">
        <v>229</v>
      </c>
      <c r="C210" s="551">
        <v>13693</v>
      </c>
      <c r="D210" s="551">
        <v>10071</v>
      </c>
      <c r="E210" s="551">
        <v>23764</v>
      </c>
      <c r="F210" s="551">
        <v>217</v>
      </c>
      <c r="G210" s="551">
        <v>320</v>
      </c>
      <c r="H210" s="551">
        <v>537</v>
      </c>
      <c r="I210" s="551">
        <v>214150</v>
      </c>
      <c r="J210" s="551">
        <v>311564</v>
      </c>
      <c r="K210" s="551">
        <v>525714</v>
      </c>
      <c r="L210" s="551">
        <v>2594537</v>
      </c>
      <c r="M210" s="551">
        <v>2742207</v>
      </c>
      <c r="N210" s="551">
        <v>5336744</v>
      </c>
      <c r="O210" s="551">
        <v>7380</v>
      </c>
      <c r="P210" s="551">
        <v>5898</v>
      </c>
      <c r="Q210" s="551">
        <v>13278</v>
      </c>
      <c r="R210" s="551">
        <v>196971</v>
      </c>
      <c r="S210" s="551">
        <v>101043</v>
      </c>
      <c r="T210" s="551">
        <v>298014</v>
      </c>
      <c r="U210" s="551">
        <v>9178</v>
      </c>
      <c r="V210" s="551">
        <v>12891</v>
      </c>
      <c r="W210" s="551">
        <v>22069</v>
      </c>
      <c r="X210" s="551">
        <v>26504</v>
      </c>
      <c r="Y210" s="551">
        <v>15133</v>
      </c>
      <c r="Z210" s="551">
        <v>41637</v>
      </c>
      <c r="AA210" s="551">
        <v>3062630</v>
      </c>
      <c r="AB210" s="551">
        <v>3199127</v>
      </c>
      <c r="AC210" s="551">
        <v>6261757</v>
      </c>
    </row>
    <row r="211" spans="1:29">
      <c r="A211" s="1202"/>
      <c r="B211" s="590" t="s">
        <v>228</v>
      </c>
      <c r="C211" s="551">
        <v>11715</v>
      </c>
      <c r="D211" s="551">
        <v>7404</v>
      </c>
      <c r="E211" s="551">
        <v>19119</v>
      </c>
      <c r="F211" s="551">
        <v>326</v>
      </c>
      <c r="G211" s="551">
        <v>431</v>
      </c>
      <c r="H211" s="551">
        <v>757</v>
      </c>
      <c r="I211" s="551">
        <v>221599</v>
      </c>
      <c r="J211" s="551">
        <v>309829</v>
      </c>
      <c r="K211" s="551">
        <v>531428</v>
      </c>
      <c r="L211" s="551">
        <v>2607963</v>
      </c>
      <c r="M211" s="551">
        <v>2755880</v>
      </c>
      <c r="N211" s="551">
        <v>5363843</v>
      </c>
      <c r="O211" s="551">
        <v>7722</v>
      </c>
      <c r="P211" s="551">
        <v>5222</v>
      </c>
      <c r="Q211" s="551">
        <v>12944</v>
      </c>
      <c r="R211" s="551">
        <v>177313</v>
      </c>
      <c r="S211" s="551">
        <v>90672</v>
      </c>
      <c r="T211" s="551">
        <v>267985</v>
      </c>
      <c r="U211" s="551">
        <v>16241</v>
      </c>
      <c r="V211" s="551">
        <v>17756</v>
      </c>
      <c r="W211" s="551">
        <v>33997</v>
      </c>
      <c r="X211" s="551">
        <v>21867</v>
      </c>
      <c r="Y211" s="551">
        <v>12337</v>
      </c>
      <c r="Z211" s="551">
        <v>34204</v>
      </c>
      <c r="AA211" s="551">
        <v>3064746</v>
      </c>
      <c r="AB211" s="551">
        <v>3199531</v>
      </c>
      <c r="AC211" s="551">
        <v>6264277</v>
      </c>
    </row>
    <row r="212" spans="1:29">
      <c r="A212" s="1202"/>
      <c r="B212" s="590" t="s">
        <v>227</v>
      </c>
      <c r="C212" s="339">
        <v>10069</v>
      </c>
      <c r="D212" s="339">
        <v>5339</v>
      </c>
      <c r="E212" s="358">
        <v>15408</v>
      </c>
      <c r="F212" s="339">
        <v>350</v>
      </c>
      <c r="G212" s="339">
        <v>510</v>
      </c>
      <c r="H212" s="358">
        <v>860</v>
      </c>
      <c r="I212" s="348">
        <v>241832.92901018076</v>
      </c>
      <c r="J212" s="348">
        <v>331579.953279012</v>
      </c>
      <c r="K212" s="359">
        <v>573412.88228919276</v>
      </c>
      <c r="L212" s="348">
        <v>2723791.527862024</v>
      </c>
      <c r="M212" s="348">
        <v>2635229.9824966588</v>
      </c>
      <c r="N212" s="359">
        <v>5359021.5103586828</v>
      </c>
      <c r="O212" s="339">
        <v>9419</v>
      </c>
      <c r="P212" s="339">
        <v>6501</v>
      </c>
      <c r="Q212" s="358">
        <v>15920</v>
      </c>
      <c r="R212" s="339">
        <v>177103</v>
      </c>
      <c r="S212" s="339">
        <v>80266</v>
      </c>
      <c r="T212" s="358">
        <v>257369</v>
      </c>
      <c r="U212" s="339">
        <v>7190</v>
      </c>
      <c r="V212" s="339">
        <v>7525</v>
      </c>
      <c r="W212" s="358">
        <v>14715</v>
      </c>
      <c r="X212" s="339">
        <v>20331</v>
      </c>
      <c r="Y212" s="339">
        <v>11549</v>
      </c>
      <c r="Z212" s="358">
        <v>31880</v>
      </c>
      <c r="AA212" s="350">
        <v>3190086.4568722048</v>
      </c>
      <c r="AB212" s="350">
        <v>3078499.9357756707</v>
      </c>
      <c r="AC212" s="359">
        <v>6268586.3926478755</v>
      </c>
    </row>
    <row r="213" spans="1:29">
      <c r="A213" s="1202">
        <v>35</v>
      </c>
      <c r="B213" s="599" t="s">
        <v>46</v>
      </c>
      <c r="C213" s="600"/>
      <c r="D213" s="601"/>
      <c r="E213" s="601"/>
      <c r="F213" s="601"/>
      <c r="G213" s="601"/>
      <c r="H213" s="601"/>
      <c r="I213" s="601"/>
      <c r="J213" s="601"/>
      <c r="K213" s="602"/>
      <c r="L213" s="600"/>
      <c r="M213" s="601"/>
      <c r="N213" s="601"/>
      <c r="O213" s="601"/>
      <c r="P213" s="601"/>
      <c r="Q213" s="601"/>
      <c r="R213" s="601"/>
      <c r="S213" s="601"/>
      <c r="T213" s="602"/>
      <c r="U213" s="600"/>
      <c r="V213" s="601"/>
      <c r="W213" s="601"/>
      <c r="X213" s="601"/>
      <c r="Y213" s="601"/>
      <c r="Z213" s="601"/>
      <c r="AA213" s="601"/>
      <c r="AB213" s="601"/>
      <c r="AC213" s="602"/>
    </row>
    <row r="214" spans="1:29">
      <c r="A214" s="1202"/>
      <c r="B214" s="590" t="s">
        <v>919</v>
      </c>
      <c r="C214" s="600">
        <v>2573</v>
      </c>
      <c r="D214" s="601">
        <v>1900</v>
      </c>
      <c r="E214" s="601">
        <v>4473</v>
      </c>
      <c r="F214" s="601">
        <v>5</v>
      </c>
      <c r="G214" s="601"/>
      <c r="H214" s="601">
        <v>5</v>
      </c>
      <c r="I214" s="601">
        <v>28525</v>
      </c>
      <c r="J214" s="601">
        <v>35467</v>
      </c>
      <c r="K214" s="602">
        <v>63992</v>
      </c>
      <c r="L214" s="600">
        <v>181244</v>
      </c>
      <c r="M214" s="601">
        <v>184318</v>
      </c>
      <c r="N214" s="601">
        <v>365562</v>
      </c>
      <c r="O214" s="601">
        <v>274</v>
      </c>
      <c r="P214" s="601">
        <v>258</v>
      </c>
      <c r="Q214" s="601">
        <v>532</v>
      </c>
      <c r="R214" s="601">
        <v>20043</v>
      </c>
      <c r="S214" s="601">
        <v>7382</v>
      </c>
      <c r="T214" s="602">
        <v>27425</v>
      </c>
      <c r="U214" s="600">
        <v>216</v>
      </c>
      <c r="V214" s="601">
        <v>64</v>
      </c>
      <c r="W214" s="601">
        <v>280</v>
      </c>
      <c r="X214" s="601">
        <v>3555</v>
      </c>
      <c r="Y214" s="601">
        <v>2390</v>
      </c>
      <c r="Z214" s="601">
        <v>5945</v>
      </c>
      <c r="AA214" s="601">
        <v>236435</v>
      </c>
      <c r="AB214" s="601">
        <v>231779</v>
      </c>
      <c r="AC214" s="602">
        <v>468214</v>
      </c>
    </row>
    <row r="215" spans="1:29">
      <c r="A215" s="1202"/>
      <c r="B215" s="590" t="s">
        <v>876</v>
      </c>
      <c r="C215" s="551">
        <v>4099</v>
      </c>
      <c r="D215" s="551">
        <v>2533</v>
      </c>
      <c r="E215" s="551">
        <v>6632</v>
      </c>
      <c r="F215" s="551">
        <v>4</v>
      </c>
      <c r="G215" s="551">
        <v>1</v>
      </c>
      <c r="H215" s="551">
        <v>5</v>
      </c>
      <c r="I215" s="551">
        <v>31382</v>
      </c>
      <c r="J215" s="551">
        <v>40142</v>
      </c>
      <c r="K215" s="551">
        <v>71524</v>
      </c>
      <c r="L215" s="551">
        <v>194631</v>
      </c>
      <c r="M215" s="551">
        <v>207892</v>
      </c>
      <c r="N215" s="551">
        <v>402523</v>
      </c>
      <c r="O215" s="551">
        <v>772</v>
      </c>
      <c r="P215" s="551">
        <v>917</v>
      </c>
      <c r="Q215" s="551">
        <v>1689</v>
      </c>
      <c r="R215" s="551">
        <v>20453</v>
      </c>
      <c r="S215" s="551">
        <v>7620</v>
      </c>
      <c r="T215" s="551">
        <v>28073</v>
      </c>
      <c r="U215" s="551">
        <v>303</v>
      </c>
      <c r="V215" s="551">
        <v>75</v>
      </c>
      <c r="W215" s="551">
        <v>378</v>
      </c>
      <c r="X215" s="551">
        <v>3951</v>
      </c>
      <c r="Y215" s="551">
        <v>2549</v>
      </c>
      <c r="Z215" s="551">
        <v>6500</v>
      </c>
      <c r="AA215" s="551">
        <v>255595</v>
      </c>
      <c r="AB215" s="551">
        <v>261729</v>
      </c>
      <c r="AC215" s="551">
        <v>517324</v>
      </c>
    </row>
    <row r="216" spans="1:29">
      <c r="A216" s="1202"/>
      <c r="B216" s="590" t="s">
        <v>229</v>
      </c>
      <c r="C216" s="346">
        <v>3449</v>
      </c>
      <c r="D216" s="346">
        <v>2019</v>
      </c>
      <c r="E216" s="346">
        <v>5468</v>
      </c>
      <c r="F216" s="346">
        <v>21</v>
      </c>
      <c r="G216" s="346">
        <v>13</v>
      </c>
      <c r="H216" s="346">
        <v>34</v>
      </c>
      <c r="I216" s="346">
        <v>22980</v>
      </c>
      <c r="J216" s="346">
        <v>30380</v>
      </c>
      <c r="K216" s="346">
        <v>53360</v>
      </c>
      <c r="L216" s="346">
        <v>157586</v>
      </c>
      <c r="M216" s="346">
        <v>158781</v>
      </c>
      <c r="N216" s="346">
        <v>316367</v>
      </c>
      <c r="O216" s="346">
        <v>734</v>
      </c>
      <c r="P216" s="346">
        <v>842</v>
      </c>
      <c r="Q216" s="346">
        <v>1576</v>
      </c>
      <c r="R216" s="346">
        <v>21397</v>
      </c>
      <c r="S216" s="346">
        <v>7576</v>
      </c>
      <c r="T216" s="346">
        <v>28973</v>
      </c>
      <c r="U216" s="346">
        <v>292</v>
      </c>
      <c r="V216" s="346">
        <v>55</v>
      </c>
      <c r="W216" s="346">
        <v>347</v>
      </c>
      <c r="X216" s="346">
        <v>3366</v>
      </c>
      <c r="Y216" s="346">
        <v>2286</v>
      </c>
      <c r="Z216" s="346">
        <v>5652</v>
      </c>
      <c r="AA216" s="346">
        <v>209825</v>
      </c>
      <c r="AB216" s="346">
        <v>201952</v>
      </c>
      <c r="AC216" s="346">
        <v>411777</v>
      </c>
    </row>
    <row r="217" spans="1:29">
      <c r="A217" s="1202"/>
      <c r="B217" s="590" t="s">
        <v>228</v>
      </c>
      <c r="C217" s="551">
        <v>2903</v>
      </c>
      <c r="D217" s="551">
        <v>1759</v>
      </c>
      <c r="E217" s="551">
        <v>4662</v>
      </c>
      <c r="F217" s="551">
        <v>18</v>
      </c>
      <c r="G217" s="551">
        <v>9</v>
      </c>
      <c r="H217" s="551">
        <v>27</v>
      </c>
      <c r="I217" s="551">
        <v>23575</v>
      </c>
      <c r="J217" s="551">
        <v>28739</v>
      </c>
      <c r="K217" s="551">
        <v>52314</v>
      </c>
      <c r="L217" s="551">
        <v>157059</v>
      </c>
      <c r="M217" s="551">
        <v>155233</v>
      </c>
      <c r="N217" s="551">
        <v>312292</v>
      </c>
      <c r="O217" s="551">
        <v>788</v>
      </c>
      <c r="P217" s="551">
        <v>908</v>
      </c>
      <c r="Q217" s="551">
        <v>1696</v>
      </c>
      <c r="R217" s="551">
        <v>23470</v>
      </c>
      <c r="S217" s="551">
        <v>8387</v>
      </c>
      <c r="T217" s="551">
        <v>31857</v>
      </c>
      <c r="U217" s="551">
        <v>214</v>
      </c>
      <c r="V217" s="551">
        <v>61</v>
      </c>
      <c r="W217" s="551">
        <v>275</v>
      </c>
      <c r="X217" s="551">
        <v>3092</v>
      </c>
      <c r="Y217" s="551">
        <v>1923</v>
      </c>
      <c r="Z217" s="551">
        <v>5015</v>
      </c>
      <c r="AA217" s="551">
        <v>211119</v>
      </c>
      <c r="AB217" s="551">
        <v>197019</v>
      </c>
      <c r="AC217" s="551">
        <v>408138</v>
      </c>
    </row>
    <row r="218" spans="1:29">
      <c r="A218" s="1202"/>
      <c r="B218" s="590" t="s">
        <v>227</v>
      </c>
      <c r="C218" s="339">
        <v>2419</v>
      </c>
      <c r="D218" s="339">
        <v>1489</v>
      </c>
      <c r="E218" s="358">
        <v>3908</v>
      </c>
      <c r="F218" s="339">
        <v>11</v>
      </c>
      <c r="G218" s="339">
        <v>5</v>
      </c>
      <c r="H218" s="358">
        <v>16</v>
      </c>
      <c r="I218" s="348">
        <v>21621.180005101087</v>
      </c>
      <c r="J218" s="348">
        <v>26538.191689038154</v>
      </c>
      <c r="K218" s="359">
        <v>48159.371694139249</v>
      </c>
      <c r="L218" s="348">
        <v>144590.69341997942</v>
      </c>
      <c r="M218" s="348">
        <v>149171.32996324659</v>
      </c>
      <c r="N218" s="359">
        <v>293762.02338322601</v>
      </c>
      <c r="O218" s="339">
        <v>660</v>
      </c>
      <c r="P218" s="339">
        <v>504</v>
      </c>
      <c r="Q218" s="358">
        <v>1164</v>
      </c>
      <c r="R218" s="339">
        <v>23891</v>
      </c>
      <c r="S218" s="339">
        <v>8362</v>
      </c>
      <c r="T218" s="358">
        <v>32253</v>
      </c>
      <c r="U218" s="339">
        <v>232</v>
      </c>
      <c r="V218" s="339">
        <v>85</v>
      </c>
      <c r="W218" s="358">
        <v>317</v>
      </c>
      <c r="X218" s="339">
        <v>2638</v>
      </c>
      <c r="Y218" s="339">
        <v>1655</v>
      </c>
      <c r="Z218" s="358">
        <v>4293</v>
      </c>
      <c r="AA218" s="350">
        <v>196062.8734250805</v>
      </c>
      <c r="AB218" s="350">
        <v>187809.52165228475</v>
      </c>
      <c r="AC218" s="359">
        <v>383872.39507736528</v>
      </c>
    </row>
    <row r="219" spans="1:29">
      <c r="A219" s="1202">
        <v>36</v>
      </c>
      <c r="B219" s="599" t="s">
        <v>48</v>
      </c>
      <c r="C219" s="600"/>
      <c r="D219" s="601"/>
      <c r="E219" s="601"/>
      <c r="F219" s="601"/>
      <c r="G219" s="601"/>
      <c r="H219" s="601"/>
      <c r="I219" s="601"/>
      <c r="J219" s="601"/>
      <c r="K219" s="602"/>
      <c r="L219" s="600"/>
      <c r="M219" s="601"/>
      <c r="N219" s="601"/>
      <c r="O219" s="601"/>
      <c r="P219" s="601"/>
      <c r="Q219" s="601"/>
      <c r="R219" s="601"/>
      <c r="S219" s="601"/>
      <c r="T219" s="602"/>
      <c r="U219" s="600"/>
      <c r="V219" s="601"/>
      <c r="W219" s="601"/>
      <c r="X219" s="601"/>
      <c r="Y219" s="601"/>
      <c r="Z219" s="601"/>
      <c r="AA219" s="601"/>
      <c r="AB219" s="601"/>
      <c r="AC219" s="602"/>
    </row>
    <row r="220" spans="1:29">
      <c r="A220" s="1202"/>
      <c r="B220" s="590" t="s">
        <v>919</v>
      </c>
      <c r="C220" s="600">
        <v>8683</v>
      </c>
      <c r="D220" s="601">
        <v>5103</v>
      </c>
      <c r="E220" s="601">
        <v>13786</v>
      </c>
      <c r="F220" s="601">
        <v>688</v>
      </c>
      <c r="G220" s="601">
        <v>614</v>
      </c>
      <c r="H220" s="601">
        <v>1302</v>
      </c>
      <c r="I220" s="601">
        <v>53497</v>
      </c>
      <c r="J220" s="601">
        <v>65622</v>
      </c>
      <c r="K220" s="602">
        <v>119119</v>
      </c>
      <c r="L220" s="600">
        <v>857467</v>
      </c>
      <c r="M220" s="601">
        <v>925737</v>
      </c>
      <c r="N220" s="601">
        <v>1783204</v>
      </c>
      <c r="O220" s="601">
        <v>2236</v>
      </c>
      <c r="P220" s="601">
        <v>1199</v>
      </c>
      <c r="Q220" s="601">
        <v>3435</v>
      </c>
      <c r="R220" s="601">
        <v>116975</v>
      </c>
      <c r="S220" s="601">
        <v>71656</v>
      </c>
      <c r="T220" s="602">
        <v>188631</v>
      </c>
      <c r="U220" s="600">
        <v>2112</v>
      </c>
      <c r="V220" s="601">
        <v>1470</v>
      </c>
      <c r="W220" s="601">
        <v>3582</v>
      </c>
      <c r="X220" s="601">
        <v>9590</v>
      </c>
      <c r="Y220" s="601">
        <v>6626</v>
      </c>
      <c r="Z220" s="601">
        <v>16216</v>
      </c>
      <c r="AA220" s="601">
        <v>1051248</v>
      </c>
      <c r="AB220" s="601">
        <v>1078027</v>
      </c>
      <c r="AC220" s="602">
        <v>2129275</v>
      </c>
    </row>
    <row r="221" spans="1:29">
      <c r="A221" s="1202"/>
      <c r="B221" s="590" t="s">
        <v>876</v>
      </c>
      <c r="C221" s="551">
        <v>8757</v>
      </c>
      <c r="D221" s="551">
        <v>5173</v>
      </c>
      <c r="E221" s="551">
        <v>13930</v>
      </c>
      <c r="F221" s="551">
        <v>1003</v>
      </c>
      <c r="G221" s="551">
        <v>963</v>
      </c>
      <c r="H221" s="551">
        <v>1966</v>
      </c>
      <c r="I221" s="551">
        <v>54306</v>
      </c>
      <c r="J221" s="551">
        <v>58050</v>
      </c>
      <c r="K221" s="551">
        <v>112356</v>
      </c>
      <c r="L221" s="551">
        <v>796648</v>
      </c>
      <c r="M221" s="551">
        <v>880729</v>
      </c>
      <c r="N221" s="551">
        <v>1677377</v>
      </c>
      <c r="O221" s="551">
        <v>2461</v>
      </c>
      <c r="P221" s="551">
        <v>1487</v>
      </c>
      <c r="Q221" s="551">
        <v>3948</v>
      </c>
      <c r="R221" s="551">
        <v>116546</v>
      </c>
      <c r="S221" s="551">
        <v>73976</v>
      </c>
      <c r="T221" s="551">
        <v>190522</v>
      </c>
      <c r="U221" s="551">
        <v>2050</v>
      </c>
      <c r="V221" s="551">
        <v>2631</v>
      </c>
      <c r="W221" s="551">
        <v>4681</v>
      </c>
      <c r="X221" s="551">
        <v>9939</v>
      </c>
      <c r="Y221" s="551">
        <v>5418</v>
      </c>
      <c r="Z221" s="551">
        <v>15357</v>
      </c>
      <c r="AA221" s="551">
        <v>991710</v>
      </c>
      <c r="AB221" s="551">
        <v>1028427</v>
      </c>
      <c r="AC221" s="551">
        <v>2020137</v>
      </c>
    </row>
    <row r="222" spans="1:29">
      <c r="A222" s="1202"/>
      <c r="B222" s="590" t="s">
        <v>229</v>
      </c>
      <c r="C222" s="346">
        <v>8063</v>
      </c>
      <c r="D222" s="346">
        <v>4773</v>
      </c>
      <c r="E222" s="346">
        <v>12836</v>
      </c>
      <c r="F222" s="346">
        <v>1195</v>
      </c>
      <c r="G222" s="346">
        <v>983</v>
      </c>
      <c r="H222" s="346">
        <v>2178</v>
      </c>
      <c r="I222" s="346">
        <v>43523</v>
      </c>
      <c r="J222" s="346">
        <v>48248</v>
      </c>
      <c r="K222" s="346">
        <v>91771</v>
      </c>
      <c r="L222" s="346">
        <v>792565</v>
      </c>
      <c r="M222" s="346">
        <v>875822</v>
      </c>
      <c r="N222" s="346">
        <v>1668387</v>
      </c>
      <c r="O222" s="346">
        <v>2697</v>
      </c>
      <c r="P222" s="346">
        <v>1508</v>
      </c>
      <c r="Q222" s="346">
        <v>4205</v>
      </c>
      <c r="R222" s="346">
        <v>114411</v>
      </c>
      <c r="S222" s="346">
        <v>58012</v>
      </c>
      <c r="T222" s="346">
        <v>172423</v>
      </c>
      <c r="U222" s="346">
        <v>3583</v>
      </c>
      <c r="V222" s="346">
        <v>3223</v>
      </c>
      <c r="W222" s="346">
        <v>6806</v>
      </c>
      <c r="X222" s="346">
        <v>9336</v>
      </c>
      <c r="Y222" s="346">
        <v>5595</v>
      </c>
      <c r="Z222" s="346">
        <v>14931</v>
      </c>
      <c r="AA222" s="346">
        <v>975373</v>
      </c>
      <c r="AB222" s="346">
        <v>998164</v>
      </c>
      <c r="AC222" s="346">
        <v>1973537</v>
      </c>
    </row>
    <row r="223" spans="1:29">
      <c r="A223" s="1202"/>
      <c r="B223" s="590" t="s">
        <v>228</v>
      </c>
      <c r="C223" s="551">
        <v>7161</v>
      </c>
      <c r="D223" s="551">
        <v>4570</v>
      </c>
      <c r="E223" s="551">
        <v>11731</v>
      </c>
      <c r="F223" s="551">
        <v>959</v>
      </c>
      <c r="G223" s="551">
        <v>803</v>
      </c>
      <c r="H223" s="551">
        <v>1762</v>
      </c>
      <c r="I223" s="551">
        <v>41496</v>
      </c>
      <c r="J223" s="551">
        <v>44754</v>
      </c>
      <c r="K223" s="551">
        <v>86250</v>
      </c>
      <c r="L223" s="551">
        <v>776437</v>
      </c>
      <c r="M223" s="551">
        <v>827504</v>
      </c>
      <c r="N223" s="551">
        <v>1603941</v>
      </c>
      <c r="O223" s="551">
        <v>2375</v>
      </c>
      <c r="P223" s="551">
        <v>1715</v>
      </c>
      <c r="Q223" s="551">
        <v>4090</v>
      </c>
      <c r="R223" s="551">
        <v>112901</v>
      </c>
      <c r="S223" s="551">
        <v>54662</v>
      </c>
      <c r="T223" s="551">
        <v>167563</v>
      </c>
      <c r="U223" s="551">
        <v>3009</v>
      </c>
      <c r="V223" s="551">
        <v>3005</v>
      </c>
      <c r="W223" s="551">
        <v>6014</v>
      </c>
      <c r="X223" s="551">
        <v>9144</v>
      </c>
      <c r="Y223" s="551">
        <v>4756</v>
      </c>
      <c r="Z223" s="551">
        <v>13900</v>
      </c>
      <c r="AA223" s="551">
        <v>953482</v>
      </c>
      <c r="AB223" s="551">
        <v>941769</v>
      </c>
      <c r="AC223" s="551">
        <v>1895251</v>
      </c>
    </row>
    <row r="224" spans="1:29">
      <c r="A224" s="1202"/>
      <c r="B224" s="590" t="s">
        <v>227</v>
      </c>
      <c r="C224" s="339">
        <v>4690</v>
      </c>
      <c r="D224" s="339">
        <v>2255</v>
      </c>
      <c r="E224" s="358">
        <v>6945</v>
      </c>
      <c r="F224" s="339">
        <v>952</v>
      </c>
      <c r="G224" s="339">
        <v>724</v>
      </c>
      <c r="H224" s="358">
        <v>1676</v>
      </c>
      <c r="I224" s="339">
        <v>38800</v>
      </c>
      <c r="J224" s="339">
        <v>40401</v>
      </c>
      <c r="K224" s="358">
        <v>79201</v>
      </c>
      <c r="L224" s="339">
        <v>779869</v>
      </c>
      <c r="M224" s="339">
        <v>792280</v>
      </c>
      <c r="N224" s="358">
        <v>1572149</v>
      </c>
      <c r="O224" s="339">
        <v>2976</v>
      </c>
      <c r="P224" s="339">
        <v>1778</v>
      </c>
      <c r="Q224" s="358">
        <v>4754</v>
      </c>
      <c r="R224" s="339">
        <v>99316</v>
      </c>
      <c r="S224" s="339">
        <v>45548</v>
      </c>
      <c r="T224" s="358">
        <v>144864</v>
      </c>
      <c r="U224" s="339">
        <v>1852</v>
      </c>
      <c r="V224" s="339">
        <v>2329</v>
      </c>
      <c r="W224" s="358">
        <v>4181</v>
      </c>
      <c r="X224" s="339">
        <v>7089</v>
      </c>
      <c r="Y224" s="339">
        <v>3125</v>
      </c>
      <c r="Z224" s="358">
        <v>10214</v>
      </c>
      <c r="AA224" s="341">
        <v>935544</v>
      </c>
      <c r="AB224" s="341">
        <v>888440</v>
      </c>
      <c r="AC224" s="358">
        <v>1823984</v>
      </c>
    </row>
  </sheetData>
  <mergeCells count="51"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A47:A52"/>
    <mergeCell ref="R2:T2"/>
    <mergeCell ref="U2:W2"/>
    <mergeCell ref="X2:Z2"/>
    <mergeCell ref="AA2:AC2"/>
    <mergeCell ref="A5:A10"/>
    <mergeCell ref="A11:A16"/>
    <mergeCell ref="A17:A22"/>
    <mergeCell ref="A23:A28"/>
    <mergeCell ref="A29:A34"/>
    <mergeCell ref="A35:A40"/>
    <mergeCell ref="A41:A46"/>
    <mergeCell ref="A117:A12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07:A110"/>
    <mergeCell ref="A111:A116"/>
    <mergeCell ref="A189:A194"/>
    <mergeCell ref="A123:A128"/>
    <mergeCell ref="A129:A134"/>
    <mergeCell ref="A135:A140"/>
    <mergeCell ref="A141:A146"/>
    <mergeCell ref="A147:A152"/>
    <mergeCell ref="A153:A158"/>
    <mergeCell ref="A159:A164"/>
    <mergeCell ref="A165:A170"/>
    <mergeCell ref="A171:A176"/>
    <mergeCell ref="A177:A182"/>
    <mergeCell ref="A183:A188"/>
    <mergeCell ref="A195:A200"/>
    <mergeCell ref="A201:A206"/>
    <mergeCell ref="A207:A212"/>
    <mergeCell ref="A213:A218"/>
    <mergeCell ref="A219:A224"/>
  </mergeCells>
  <printOptions horizontalCentered="1"/>
  <pageMargins left="0.19685039370078741" right="0.15748031496062992" top="0.24" bottom="0.31496062992125984" header="0.15748031496062992" footer="0.15748031496062992"/>
  <pageSetup paperSize="9" scale="65" firstPageNumber="2" pageOrder="overThenDown" orientation="portrait" useFirstPageNumber="1" r:id="rId1"/>
  <headerFooter alignWithMargins="0">
    <oddFooter>&amp;LAISHE 2021-22&amp;CT-44</oddFooter>
  </headerFooter>
  <rowBreaks count="2" manualBreakCount="2">
    <brk id="76" max="28" man="1"/>
    <brk id="146" max="28" man="1"/>
  </rowBreaks>
  <colBreaks count="2" manualBreakCount="2">
    <brk id="11" max="223" man="1"/>
    <brk id="20" max="223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763E-D602-417A-9311-323F5F416F27}">
  <sheetPr>
    <tabColor rgb="FF00B050"/>
  </sheetPr>
  <dimension ref="A1:N224"/>
  <sheetViews>
    <sheetView view="pageBreakPreview" zoomScaleSheetLayoutView="100" workbookViewId="0">
      <pane xSplit="2" ySplit="5" topLeftCell="C6" activePane="bottomRight" state="frozen"/>
      <selection activeCell="F15" sqref="F15"/>
      <selection pane="topRight" activeCell="F15" sqref="F15"/>
      <selection pane="bottomLeft" activeCell="F15" sqref="F15"/>
      <selection pane="bottomRight" activeCell="C6" sqref="C6"/>
    </sheetView>
  </sheetViews>
  <sheetFormatPr defaultColWidth="9.28515625" defaultRowHeight="15"/>
  <cols>
    <col min="1" max="1" width="7.140625" style="542" customWidth="1"/>
    <col min="2" max="2" width="29" style="609" customWidth="1"/>
    <col min="3" max="14" width="16" style="609" customWidth="1"/>
    <col min="15" max="16384" width="9.28515625" style="609"/>
  </cols>
  <sheetData>
    <row r="1" spans="1:14" ht="23.25" customHeight="1">
      <c r="B1" s="608" t="s">
        <v>239</v>
      </c>
      <c r="C1" s="1220" t="s">
        <v>240</v>
      </c>
      <c r="D1" s="1220"/>
      <c r="E1" s="1220"/>
      <c r="F1" s="1220"/>
      <c r="G1" s="1220"/>
      <c r="H1" s="1220"/>
      <c r="I1" s="1220" t="str">
        <f>C1</f>
        <v>Social Group-wise Enrolment during last 5 years</v>
      </c>
      <c r="J1" s="1220"/>
      <c r="K1" s="1220"/>
      <c r="L1" s="1220"/>
      <c r="M1" s="1220"/>
      <c r="N1" s="1220"/>
    </row>
    <row r="2" spans="1:14" ht="18.75" customHeight="1">
      <c r="A2" s="1208" t="s">
        <v>988</v>
      </c>
      <c r="B2" s="1221" t="s">
        <v>168</v>
      </c>
      <c r="C2" s="1222" t="s">
        <v>136</v>
      </c>
      <c r="D2" s="1223"/>
      <c r="E2" s="1223"/>
      <c r="F2" s="1222" t="s">
        <v>241</v>
      </c>
      <c r="G2" s="1223"/>
      <c r="H2" s="1223"/>
      <c r="I2" s="1222" t="s">
        <v>242</v>
      </c>
      <c r="J2" s="1223"/>
      <c r="K2" s="1223"/>
      <c r="L2" s="1222" t="s">
        <v>243</v>
      </c>
      <c r="M2" s="1223"/>
      <c r="N2" s="1223"/>
    </row>
    <row r="3" spans="1:14" ht="18.75" customHeight="1">
      <c r="A3" s="1209"/>
      <c r="B3" s="1221"/>
      <c r="C3" s="610" t="s">
        <v>87</v>
      </c>
      <c r="D3" s="610" t="s">
        <v>88</v>
      </c>
      <c r="E3" s="610" t="s">
        <v>236</v>
      </c>
      <c r="F3" s="610" t="s">
        <v>87</v>
      </c>
      <c r="G3" s="610" t="s">
        <v>88</v>
      </c>
      <c r="H3" s="610" t="s">
        <v>236</v>
      </c>
      <c r="I3" s="610" t="s">
        <v>87</v>
      </c>
      <c r="J3" s="610" t="s">
        <v>88</v>
      </c>
      <c r="K3" s="610" t="s">
        <v>236</v>
      </c>
      <c r="L3" s="610" t="s">
        <v>87</v>
      </c>
      <c r="M3" s="610" t="s">
        <v>88</v>
      </c>
      <c r="N3" s="610" t="s">
        <v>236</v>
      </c>
    </row>
    <row r="4" spans="1:14">
      <c r="A4" s="611">
        <v>1</v>
      </c>
      <c r="B4" s="612">
        <v>2</v>
      </c>
      <c r="C4" s="612">
        <v>3</v>
      </c>
      <c r="D4" s="611">
        <v>4</v>
      </c>
      <c r="E4" s="612">
        <v>5</v>
      </c>
      <c r="F4" s="612">
        <v>6</v>
      </c>
      <c r="G4" s="611">
        <v>7</v>
      </c>
      <c r="H4" s="612">
        <v>8</v>
      </c>
      <c r="I4" s="612">
        <v>9</v>
      </c>
      <c r="J4" s="611">
        <v>10</v>
      </c>
      <c r="K4" s="612">
        <v>11</v>
      </c>
      <c r="L4" s="612">
        <v>12</v>
      </c>
      <c r="M4" s="611">
        <v>13</v>
      </c>
    </row>
    <row r="5" spans="1:14">
      <c r="A5" s="1204"/>
      <c r="B5" s="613" t="s">
        <v>230</v>
      </c>
      <c r="C5" s="1224"/>
      <c r="D5" s="1225"/>
      <c r="E5" s="1225"/>
      <c r="F5" s="1225"/>
      <c r="G5" s="1225"/>
      <c r="H5" s="1226"/>
      <c r="I5" s="1224"/>
      <c r="J5" s="1225"/>
      <c r="K5" s="1225"/>
      <c r="L5" s="1225"/>
      <c r="M5" s="1225"/>
      <c r="N5" s="1226"/>
    </row>
    <row r="6" spans="1:14">
      <c r="A6" s="1204"/>
      <c r="B6" s="614" t="s">
        <v>919</v>
      </c>
      <c r="C6" s="763">
        <v>22576389</v>
      </c>
      <c r="D6" s="764">
        <v>20691792</v>
      </c>
      <c r="E6" s="764">
        <v>43268181</v>
      </c>
      <c r="F6" s="615">
        <v>3451649</v>
      </c>
      <c r="G6" s="615">
        <v>3171274</v>
      </c>
      <c r="H6" s="615">
        <v>6622923</v>
      </c>
      <c r="I6" s="615">
        <v>1364524</v>
      </c>
      <c r="J6" s="615">
        <v>1346154</v>
      </c>
      <c r="K6" s="615">
        <v>2710678</v>
      </c>
      <c r="L6" s="764">
        <v>8517847</v>
      </c>
      <c r="M6" s="764">
        <v>7818613</v>
      </c>
      <c r="N6" s="765">
        <v>16336460</v>
      </c>
    </row>
    <row r="7" spans="1:14">
      <c r="A7" s="1204"/>
      <c r="B7" s="614" t="s">
        <v>876</v>
      </c>
      <c r="C7" s="615">
        <v>21237910</v>
      </c>
      <c r="D7" s="615">
        <v>20142803</v>
      </c>
      <c r="E7" s="615">
        <v>41380713</v>
      </c>
      <c r="F7" s="615">
        <v>2993521</v>
      </c>
      <c r="G7" s="615">
        <v>2901179</v>
      </c>
      <c r="H7" s="615">
        <v>5894700</v>
      </c>
      <c r="I7" s="615">
        <v>1191037</v>
      </c>
      <c r="J7" s="615">
        <v>1221032</v>
      </c>
      <c r="K7" s="615">
        <v>2412069</v>
      </c>
      <c r="L7" s="615">
        <v>7533866</v>
      </c>
      <c r="M7" s="615">
        <v>7287671</v>
      </c>
      <c r="N7" s="615">
        <v>14821537</v>
      </c>
    </row>
    <row r="8" spans="1:14">
      <c r="A8" s="1204"/>
      <c r="B8" s="614" t="s">
        <v>229</v>
      </c>
      <c r="C8" s="615">
        <v>19643747</v>
      </c>
      <c r="D8" s="615">
        <v>18892612</v>
      </c>
      <c r="E8" s="615">
        <v>38536359</v>
      </c>
      <c r="F8" s="615">
        <v>2854313</v>
      </c>
      <c r="G8" s="615">
        <v>2803359</v>
      </c>
      <c r="H8" s="615">
        <v>5657672</v>
      </c>
      <c r="I8" s="615">
        <v>1072646</v>
      </c>
      <c r="J8" s="615">
        <v>1083463</v>
      </c>
      <c r="K8" s="615">
        <v>2156109</v>
      </c>
      <c r="L8" s="615">
        <v>7202109</v>
      </c>
      <c r="M8" s="615">
        <v>7047005</v>
      </c>
      <c r="N8" s="615">
        <v>14249114</v>
      </c>
    </row>
    <row r="9" spans="1:14">
      <c r="A9" s="1204"/>
      <c r="B9" s="614" t="s">
        <v>228</v>
      </c>
      <c r="C9" s="615">
        <v>19209888</v>
      </c>
      <c r="D9" s="615">
        <v>18189500</v>
      </c>
      <c r="E9" s="615">
        <v>37399388</v>
      </c>
      <c r="F9" s="615">
        <v>2835663</v>
      </c>
      <c r="G9" s="615">
        <v>2731415</v>
      </c>
      <c r="H9" s="615">
        <v>5567078</v>
      </c>
      <c r="I9" s="615">
        <v>1052121</v>
      </c>
      <c r="J9" s="615">
        <v>1015627</v>
      </c>
      <c r="K9" s="615">
        <v>2067748</v>
      </c>
      <c r="L9" s="615">
        <v>6909174</v>
      </c>
      <c r="M9" s="615">
        <v>6682820</v>
      </c>
      <c r="N9" s="615">
        <v>13591994</v>
      </c>
    </row>
    <row r="10" spans="1:14">
      <c r="A10" s="1204"/>
      <c r="B10" s="614" t="s">
        <v>227</v>
      </c>
      <c r="C10" s="370">
        <v>19204674.913845398</v>
      </c>
      <c r="D10" s="370">
        <v>17437702.669367902</v>
      </c>
      <c r="E10" s="370">
        <v>36642377.5832133</v>
      </c>
      <c r="F10" s="371">
        <v>2774933</v>
      </c>
      <c r="G10" s="371">
        <v>2505428</v>
      </c>
      <c r="H10" s="371">
        <v>5280361</v>
      </c>
      <c r="I10" s="371">
        <v>1001989</v>
      </c>
      <c r="J10" s="371">
        <v>911875</v>
      </c>
      <c r="K10" s="371">
        <v>1913864</v>
      </c>
      <c r="L10" s="371">
        <v>6688668</v>
      </c>
      <c r="M10" s="371">
        <v>6144337</v>
      </c>
      <c r="N10" s="371">
        <v>12833005</v>
      </c>
    </row>
    <row r="11" spans="1:14">
      <c r="A11" s="1202">
        <v>1</v>
      </c>
      <c r="B11" s="616" t="s">
        <v>1061</v>
      </c>
      <c r="C11" s="617"/>
      <c r="D11" s="618"/>
      <c r="E11" s="618"/>
      <c r="F11" s="618"/>
      <c r="G11" s="618"/>
      <c r="H11" s="619"/>
      <c r="I11" s="617"/>
      <c r="J11" s="618"/>
      <c r="K11" s="618"/>
      <c r="L11" s="618"/>
      <c r="M11" s="618"/>
      <c r="N11" s="618"/>
    </row>
    <row r="12" spans="1:14">
      <c r="A12" s="1202"/>
      <c r="B12" s="614" t="s">
        <v>919</v>
      </c>
      <c r="C12" s="617">
        <v>5200</v>
      </c>
      <c r="D12" s="618">
        <v>6227</v>
      </c>
      <c r="E12" s="618">
        <v>11427</v>
      </c>
      <c r="F12" s="618">
        <v>42</v>
      </c>
      <c r="G12" s="618">
        <v>11</v>
      </c>
      <c r="H12" s="619">
        <v>53</v>
      </c>
      <c r="I12" s="617">
        <v>192</v>
      </c>
      <c r="J12" s="618">
        <v>283</v>
      </c>
      <c r="K12" s="618">
        <v>475</v>
      </c>
      <c r="L12" s="618">
        <v>1437</v>
      </c>
      <c r="M12" s="618">
        <v>1806</v>
      </c>
      <c r="N12" s="618">
        <v>3243</v>
      </c>
    </row>
    <row r="13" spans="1:14">
      <c r="A13" s="1202"/>
      <c r="B13" s="614" t="s">
        <v>876</v>
      </c>
      <c r="C13" s="615">
        <v>5534</v>
      </c>
      <c r="D13" s="615">
        <v>6431</v>
      </c>
      <c r="E13" s="615">
        <v>11965</v>
      </c>
      <c r="F13" s="615">
        <v>32</v>
      </c>
      <c r="G13" s="615">
        <v>15</v>
      </c>
      <c r="H13" s="615">
        <v>47</v>
      </c>
      <c r="I13" s="615">
        <v>186</v>
      </c>
      <c r="J13" s="615">
        <v>276</v>
      </c>
      <c r="K13" s="615">
        <v>462</v>
      </c>
      <c r="L13" s="615">
        <v>1581</v>
      </c>
      <c r="M13" s="615">
        <v>1888</v>
      </c>
      <c r="N13" s="615">
        <v>3469</v>
      </c>
    </row>
    <row r="14" spans="1:14">
      <c r="A14" s="1202"/>
      <c r="B14" s="614" t="s">
        <v>229</v>
      </c>
      <c r="C14" s="372">
        <v>4532</v>
      </c>
      <c r="D14" s="372">
        <v>5599</v>
      </c>
      <c r="E14" s="372">
        <v>10131</v>
      </c>
      <c r="F14" s="372">
        <v>42</v>
      </c>
      <c r="G14" s="372">
        <v>11</v>
      </c>
      <c r="H14" s="372">
        <v>53</v>
      </c>
      <c r="I14" s="372">
        <v>151</v>
      </c>
      <c r="J14" s="372">
        <v>286</v>
      </c>
      <c r="K14" s="372">
        <v>437</v>
      </c>
      <c r="L14" s="372">
        <v>1122</v>
      </c>
      <c r="M14" s="372">
        <v>1539</v>
      </c>
      <c r="N14" s="372">
        <v>2661</v>
      </c>
    </row>
    <row r="15" spans="1:14">
      <c r="A15" s="1202"/>
      <c r="B15" s="614" t="s">
        <v>228</v>
      </c>
      <c r="C15" s="615">
        <v>5103</v>
      </c>
      <c r="D15" s="615">
        <v>6408</v>
      </c>
      <c r="E15" s="615">
        <v>11511</v>
      </c>
      <c r="F15" s="615">
        <v>57</v>
      </c>
      <c r="G15" s="615">
        <v>20</v>
      </c>
      <c r="H15" s="615">
        <v>77</v>
      </c>
      <c r="I15" s="615">
        <v>196</v>
      </c>
      <c r="J15" s="615">
        <v>317</v>
      </c>
      <c r="K15" s="615">
        <v>513</v>
      </c>
      <c r="L15" s="615">
        <v>1395</v>
      </c>
      <c r="M15" s="615">
        <v>1684</v>
      </c>
      <c r="N15" s="615">
        <v>3079</v>
      </c>
    </row>
    <row r="16" spans="1:14">
      <c r="A16" s="1202"/>
      <c r="B16" s="614" t="s">
        <v>227</v>
      </c>
      <c r="C16" s="373">
        <v>5241</v>
      </c>
      <c r="D16" s="373">
        <v>5359</v>
      </c>
      <c r="E16" s="373">
        <v>10600</v>
      </c>
      <c r="F16" s="373">
        <v>57</v>
      </c>
      <c r="G16" s="373">
        <v>21</v>
      </c>
      <c r="H16" s="373">
        <v>78</v>
      </c>
      <c r="I16" s="373">
        <v>216</v>
      </c>
      <c r="J16" s="373">
        <v>285</v>
      </c>
      <c r="K16" s="373">
        <v>501</v>
      </c>
      <c r="L16" s="373">
        <v>1408</v>
      </c>
      <c r="M16" s="373">
        <v>1310</v>
      </c>
      <c r="N16" s="373">
        <v>2718</v>
      </c>
    </row>
    <row r="17" spans="1:14">
      <c r="A17" s="1202">
        <v>2</v>
      </c>
      <c r="B17" s="616" t="s">
        <v>15</v>
      </c>
      <c r="C17" s="617"/>
      <c r="D17" s="618"/>
      <c r="E17" s="618"/>
      <c r="F17" s="618"/>
      <c r="G17" s="618"/>
      <c r="H17" s="619"/>
      <c r="I17" s="617"/>
      <c r="J17" s="618"/>
      <c r="K17" s="618"/>
      <c r="L17" s="618"/>
      <c r="M17" s="618"/>
      <c r="N17" s="618"/>
    </row>
    <row r="18" spans="1:14">
      <c r="A18" s="1202"/>
      <c r="B18" s="614" t="s">
        <v>919</v>
      </c>
      <c r="C18" s="617">
        <v>1028739</v>
      </c>
      <c r="D18" s="618">
        <v>900420</v>
      </c>
      <c r="E18" s="618">
        <v>1929159</v>
      </c>
      <c r="F18" s="618">
        <v>174877</v>
      </c>
      <c r="G18" s="618">
        <v>162015</v>
      </c>
      <c r="H18" s="619">
        <v>336892</v>
      </c>
      <c r="I18" s="617">
        <v>50146</v>
      </c>
      <c r="J18" s="618">
        <v>46729</v>
      </c>
      <c r="K18" s="618">
        <v>96875</v>
      </c>
      <c r="L18" s="618">
        <v>481074</v>
      </c>
      <c r="M18" s="618">
        <v>394159</v>
      </c>
      <c r="N18" s="618">
        <v>875233</v>
      </c>
    </row>
    <row r="19" spans="1:14">
      <c r="A19" s="1202"/>
      <c r="B19" s="614" t="s">
        <v>876</v>
      </c>
      <c r="C19" s="615">
        <v>1056065</v>
      </c>
      <c r="D19" s="615">
        <v>931553</v>
      </c>
      <c r="E19" s="615">
        <v>1987618</v>
      </c>
      <c r="F19" s="615">
        <v>171844</v>
      </c>
      <c r="G19" s="615">
        <v>160275</v>
      </c>
      <c r="H19" s="615">
        <v>332119</v>
      </c>
      <c r="I19" s="615">
        <v>48475</v>
      </c>
      <c r="J19" s="615">
        <v>44369</v>
      </c>
      <c r="K19" s="615">
        <v>92844</v>
      </c>
      <c r="L19" s="615">
        <v>463929</v>
      </c>
      <c r="M19" s="615">
        <v>386063</v>
      </c>
      <c r="N19" s="615">
        <v>849992</v>
      </c>
    </row>
    <row r="20" spans="1:14">
      <c r="A20" s="1202"/>
      <c r="B20" s="614" t="s">
        <v>229</v>
      </c>
      <c r="C20" s="372">
        <v>1021126</v>
      </c>
      <c r="D20" s="372">
        <v>876023</v>
      </c>
      <c r="E20" s="372">
        <v>1897149</v>
      </c>
      <c r="F20" s="372">
        <v>167358</v>
      </c>
      <c r="G20" s="372">
        <v>149215</v>
      </c>
      <c r="H20" s="372">
        <v>316573</v>
      </c>
      <c r="I20" s="372">
        <v>47292</v>
      </c>
      <c r="J20" s="372">
        <v>40939</v>
      </c>
      <c r="K20" s="372">
        <v>88231</v>
      </c>
      <c r="L20" s="372">
        <v>464389</v>
      </c>
      <c r="M20" s="372">
        <v>373065</v>
      </c>
      <c r="N20" s="372">
        <v>837454</v>
      </c>
    </row>
    <row r="21" spans="1:14">
      <c r="A21" s="1202"/>
      <c r="B21" s="614" t="s">
        <v>228</v>
      </c>
      <c r="C21" s="615">
        <v>964806</v>
      </c>
      <c r="D21" s="615">
        <v>796024</v>
      </c>
      <c r="E21" s="615">
        <v>1760830</v>
      </c>
      <c r="F21" s="615">
        <v>155601</v>
      </c>
      <c r="G21" s="615">
        <v>135201</v>
      </c>
      <c r="H21" s="615">
        <v>290802</v>
      </c>
      <c r="I21" s="615">
        <v>42159</v>
      </c>
      <c r="J21" s="615">
        <v>36528</v>
      </c>
      <c r="K21" s="615">
        <v>78687</v>
      </c>
      <c r="L21" s="615">
        <v>431061</v>
      </c>
      <c r="M21" s="615">
        <v>334446</v>
      </c>
      <c r="N21" s="615">
        <v>765507</v>
      </c>
    </row>
    <row r="22" spans="1:14">
      <c r="A22" s="1202"/>
      <c r="B22" s="614" t="s">
        <v>227</v>
      </c>
      <c r="C22" s="374">
        <v>946797.51674753241</v>
      </c>
      <c r="D22" s="374">
        <v>750484.44787180051</v>
      </c>
      <c r="E22" s="374">
        <v>1697281.9646193329</v>
      </c>
      <c r="F22" s="373">
        <v>147563</v>
      </c>
      <c r="G22" s="373">
        <v>126139</v>
      </c>
      <c r="H22" s="373">
        <v>273702</v>
      </c>
      <c r="I22" s="373">
        <v>39229</v>
      </c>
      <c r="J22" s="373">
        <v>34426</v>
      </c>
      <c r="K22" s="373">
        <v>73655</v>
      </c>
      <c r="L22" s="373">
        <v>406437</v>
      </c>
      <c r="M22" s="373">
        <v>302093</v>
      </c>
      <c r="N22" s="373">
        <v>708530</v>
      </c>
    </row>
    <row r="23" spans="1:14">
      <c r="A23" s="1202">
        <v>3</v>
      </c>
      <c r="B23" s="616" t="s">
        <v>16</v>
      </c>
      <c r="C23" s="617"/>
      <c r="D23" s="618"/>
      <c r="E23" s="618"/>
      <c r="F23" s="618"/>
      <c r="G23" s="618"/>
      <c r="H23" s="619"/>
      <c r="I23" s="617"/>
      <c r="J23" s="618"/>
      <c r="K23" s="618"/>
      <c r="L23" s="618"/>
      <c r="M23" s="618"/>
      <c r="N23" s="618"/>
    </row>
    <row r="24" spans="1:14">
      <c r="A24" s="1202"/>
      <c r="B24" s="614" t="s">
        <v>919</v>
      </c>
      <c r="C24" s="617">
        <v>34995</v>
      </c>
      <c r="D24" s="618">
        <v>29895</v>
      </c>
      <c r="E24" s="618">
        <v>64890</v>
      </c>
      <c r="F24" s="618">
        <v>609</v>
      </c>
      <c r="G24" s="618">
        <v>338</v>
      </c>
      <c r="H24" s="619">
        <v>947</v>
      </c>
      <c r="I24" s="617">
        <v>24790</v>
      </c>
      <c r="J24" s="618">
        <v>23529</v>
      </c>
      <c r="K24" s="618">
        <v>48319</v>
      </c>
      <c r="L24" s="618">
        <v>1291</v>
      </c>
      <c r="M24" s="618">
        <v>822</v>
      </c>
      <c r="N24" s="618">
        <v>2113</v>
      </c>
    </row>
    <row r="25" spans="1:14">
      <c r="A25" s="1202"/>
      <c r="B25" s="614" t="s">
        <v>876</v>
      </c>
      <c r="C25" s="615">
        <v>31465</v>
      </c>
      <c r="D25" s="615">
        <v>28270</v>
      </c>
      <c r="E25" s="615">
        <v>59735</v>
      </c>
      <c r="F25" s="615">
        <v>670</v>
      </c>
      <c r="G25" s="615">
        <v>407</v>
      </c>
      <c r="H25" s="615">
        <v>1077</v>
      </c>
      <c r="I25" s="615">
        <v>20576</v>
      </c>
      <c r="J25" s="615">
        <v>21101</v>
      </c>
      <c r="K25" s="615">
        <v>41677</v>
      </c>
      <c r="L25" s="615">
        <v>1222</v>
      </c>
      <c r="M25" s="615">
        <v>845</v>
      </c>
      <c r="N25" s="615">
        <v>2067</v>
      </c>
    </row>
    <row r="26" spans="1:14">
      <c r="A26" s="1202"/>
      <c r="B26" s="614" t="s">
        <v>229</v>
      </c>
      <c r="C26" s="372">
        <v>28801</v>
      </c>
      <c r="D26" s="372">
        <v>27015</v>
      </c>
      <c r="E26" s="372">
        <v>55816</v>
      </c>
      <c r="F26" s="372">
        <v>750</v>
      </c>
      <c r="G26" s="372">
        <v>729</v>
      </c>
      <c r="H26" s="372">
        <v>1479</v>
      </c>
      <c r="I26" s="372">
        <v>19078</v>
      </c>
      <c r="J26" s="372">
        <v>19264</v>
      </c>
      <c r="K26" s="372">
        <v>38342</v>
      </c>
      <c r="L26" s="372">
        <v>1141</v>
      </c>
      <c r="M26" s="372">
        <v>772</v>
      </c>
      <c r="N26" s="372">
        <v>1913</v>
      </c>
    </row>
    <row r="27" spans="1:14">
      <c r="A27" s="1202"/>
      <c r="B27" s="614" t="s">
        <v>228</v>
      </c>
      <c r="C27" s="615">
        <v>23724</v>
      </c>
      <c r="D27" s="615">
        <v>23444</v>
      </c>
      <c r="E27" s="615">
        <v>47168</v>
      </c>
      <c r="F27" s="615">
        <v>304</v>
      </c>
      <c r="G27" s="615">
        <v>192</v>
      </c>
      <c r="H27" s="615">
        <v>496</v>
      </c>
      <c r="I27" s="615">
        <v>16486</v>
      </c>
      <c r="J27" s="615">
        <v>18557</v>
      </c>
      <c r="K27" s="615">
        <v>35043</v>
      </c>
      <c r="L27" s="615">
        <v>916</v>
      </c>
      <c r="M27" s="615">
        <v>692</v>
      </c>
      <c r="N27" s="615">
        <v>1608</v>
      </c>
    </row>
    <row r="28" spans="1:14">
      <c r="A28" s="1202"/>
      <c r="B28" s="614" t="s">
        <v>227</v>
      </c>
      <c r="C28" s="374">
        <v>25213.114204976504</v>
      </c>
      <c r="D28" s="374">
        <v>22250.755646845169</v>
      </c>
      <c r="E28" s="374">
        <v>47463.86985182167</v>
      </c>
      <c r="F28" s="373">
        <v>432</v>
      </c>
      <c r="G28" s="373">
        <v>246</v>
      </c>
      <c r="H28" s="373">
        <v>678</v>
      </c>
      <c r="I28" s="373">
        <v>18685</v>
      </c>
      <c r="J28" s="373">
        <v>17389</v>
      </c>
      <c r="K28" s="373">
        <v>36074</v>
      </c>
      <c r="L28" s="373">
        <v>888</v>
      </c>
      <c r="M28" s="373">
        <v>648</v>
      </c>
      <c r="N28" s="373">
        <v>1536</v>
      </c>
    </row>
    <row r="29" spans="1:14">
      <c r="A29" s="1202">
        <v>4</v>
      </c>
      <c r="B29" s="616" t="s">
        <v>17</v>
      </c>
      <c r="C29" s="617"/>
      <c r="D29" s="618"/>
      <c r="E29" s="618"/>
      <c r="F29" s="618"/>
      <c r="G29" s="618"/>
      <c r="H29" s="619"/>
      <c r="I29" s="617"/>
      <c r="J29" s="618"/>
      <c r="K29" s="618"/>
      <c r="L29" s="618"/>
      <c r="M29" s="618"/>
      <c r="N29" s="618"/>
    </row>
    <row r="30" spans="1:14">
      <c r="A30" s="1202"/>
      <c r="B30" s="614" t="s">
        <v>919</v>
      </c>
      <c r="C30" s="617">
        <v>333926</v>
      </c>
      <c r="D30" s="618">
        <v>344086</v>
      </c>
      <c r="E30" s="618">
        <v>678012</v>
      </c>
      <c r="F30" s="618">
        <v>29419</v>
      </c>
      <c r="G30" s="618">
        <v>27820</v>
      </c>
      <c r="H30" s="619">
        <v>57239</v>
      </c>
      <c r="I30" s="617">
        <v>63952</v>
      </c>
      <c r="J30" s="618">
        <v>66267</v>
      </c>
      <c r="K30" s="618">
        <v>130219</v>
      </c>
      <c r="L30" s="618">
        <v>85446</v>
      </c>
      <c r="M30" s="618">
        <v>92054</v>
      </c>
      <c r="N30" s="618">
        <v>177500</v>
      </c>
    </row>
    <row r="31" spans="1:14">
      <c r="A31" s="1202"/>
      <c r="B31" s="614" t="s">
        <v>876</v>
      </c>
      <c r="C31" s="615">
        <v>341985</v>
      </c>
      <c r="D31" s="615">
        <v>355108</v>
      </c>
      <c r="E31" s="615">
        <v>697093</v>
      </c>
      <c r="F31" s="615">
        <v>27177</v>
      </c>
      <c r="G31" s="615">
        <v>26775</v>
      </c>
      <c r="H31" s="615">
        <v>53952</v>
      </c>
      <c r="I31" s="615">
        <v>59272</v>
      </c>
      <c r="J31" s="615">
        <v>63715</v>
      </c>
      <c r="K31" s="615">
        <v>122987</v>
      </c>
      <c r="L31" s="615">
        <v>84052</v>
      </c>
      <c r="M31" s="615">
        <v>91542</v>
      </c>
      <c r="N31" s="615">
        <v>175594</v>
      </c>
    </row>
    <row r="32" spans="1:14">
      <c r="A32" s="1202"/>
      <c r="B32" s="614" t="s">
        <v>229</v>
      </c>
      <c r="C32" s="372">
        <v>316908</v>
      </c>
      <c r="D32" s="372">
        <v>333693</v>
      </c>
      <c r="E32" s="372">
        <v>650601</v>
      </c>
      <c r="F32" s="372">
        <v>27642</v>
      </c>
      <c r="G32" s="372">
        <v>26519</v>
      </c>
      <c r="H32" s="372">
        <v>54161</v>
      </c>
      <c r="I32" s="372">
        <v>50251</v>
      </c>
      <c r="J32" s="372">
        <v>55109</v>
      </c>
      <c r="K32" s="372">
        <v>105360</v>
      </c>
      <c r="L32" s="372">
        <v>83549</v>
      </c>
      <c r="M32" s="372">
        <v>93431</v>
      </c>
      <c r="N32" s="372">
        <v>176980</v>
      </c>
    </row>
    <row r="33" spans="1:14">
      <c r="A33" s="1202"/>
      <c r="B33" s="614" t="s">
        <v>228</v>
      </c>
      <c r="C33" s="615">
        <v>347484</v>
      </c>
      <c r="D33" s="620">
        <v>352679</v>
      </c>
      <c r="E33" s="615">
        <v>700163</v>
      </c>
      <c r="F33" s="615">
        <v>30045</v>
      </c>
      <c r="G33" s="615">
        <v>28123</v>
      </c>
      <c r="H33" s="615">
        <v>58168</v>
      </c>
      <c r="I33" s="615">
        <v>56783</v>
      </c>
      <c r="J33" s="615">
        <v>57526</v>
      </c>
      <c r="K33" s="615">
        <v>114309</v>
      </c>
      <c r="L33" s="615">
        <v>91467</v>
      </c>
      <c r="M33" s="615">
        <v>98892</v>
      </c>
      <c r="N33" s="615">
        <v>190359</v>
      </c>
    </row>
    <row r="34" spans="1:14">
      <c r="A34" s="1202"/>
      <c r="B34" s="614" t="s">
        <v>227</v>
      </c>
      <c r="C34" s="374">
        <v>336938.68622699904</v>
      </c>
      <c r="D34" s="374">
        <v>341404.84520647139</v>
      </c>
      <c r="E34" s="374">
        <v>678343.53143347043</v>
      </c>
      <c r="F34" s="373">
        <v>28384</v>
      </c>
      <c r="G34" s="373">
        <v>26170</v>
      </c>
      <c r="H34" s="373">
        <v>54554</v>
      </c>
      <c r="I34" s="373">
        <v>49517</v>
      </c>
      <c r="J34" s="373">
        <v>48090</v>
      </c>
      <c r="K34" s="373">
        <v>97607</v>
      </c>
      <c r="L34" s="373">
        <v>86073</v>
      </c>
      <c r="M34" s="373">
        <v>88615</v>
      </c>
      <c r="N34" s="373">
        <v>174688</v>
      </c>
    </row>
    <row r="35" spans="1:14">
      <c r="A35" s="1202">
        <v>5</v>
      </c>
      <c r="B35" s="616" t="s">
        <v>18</v>
      </c>
      <c r="C35" s="617"/>
      <c r="D35" s="618"/>
      <c r="E35" s="618"/>
      <c r="F35" s="618"/>
      <c r="G35" s="618"/>
      <c r="H35" s="619"/>
      <c r="I35" s="617"/>
      <c r="J35" s="618"/>
      <c r="K35" s="618"/>
      <c r="L35" s="618"/>
      <c r="M35" s="618"/>
      <c r="N35" s="618"/>
    </row>
    <row r="36" spans="1:14">
      <c r="A36" s="1202"/>
      <c r="B36" s="614" t="s">
        <v>919</v>
      </c>
      <c r="C36" s="617">
        <v>1447460</v>
      </c>
      <c r="D36" s="618">
        <v>1175486</v>
      </c>
      <c r="E36" s="618">
        <v>2622946</v>
      </c>
      <c r="F36" s="618">
        <v>224269</v>
      </c>
      <c r="G36" s="618">
        <v>153799</v>
      </c>
      <c r="H36" s="619">
        <v>378068</v>
      </c>
      <c r="I36" s="617">
        <v>36612</v>
      </c>
      <c r="J36" s="618">
        <v>28622</v>
      </c>
      <c r="K36" s="618">
        <v>65234</v>
      </c>
      <c r="L36" s="618">
        <v>707676</v>
      </c>
      <c r="M36" s="618">
        <v>575245</v>
      </c>
      <c r="N36" s="618">
        <v>1282921</v>
      </c>
    </row>
    <row r="37" spans="1:14">
      <c r="A37" s="1202"/>
      <c r="B37" s="614" t="s">
        <v>876</v>
      </c>
      <c r="C37" s="615">
        <v>1309402</v>
      </c>
      <c r="D37" s="615">
        <v>1051539</v>
      </c>
      <c r="E37" s="615">
        <v>2360941</v>
      </c>
      <c r="F37" s="615">
        <v>152405</v>
      </c>
      <c r="G37" s="615">
        <v>105205</v>
      </c>
      <c r="H37" s="615">
        <v>257610</v>
      </c>
      <c r="I37" s="615">
        <v>20577</v>
      </c>
      <c r="J37" s="615">
        <v>15421</v>
      </c>
      <c r="K37" s="615">
        <v>35998</v>
      </c>
      <c r="L37" s="615">
        <v>547653</v>
      </c>
      <c r="M37" s="615">
        <v>446029</v>
      </c>
      <c r="N37" s="615">
        <v>993682</v>
      </c>
    </row>
    <row r="38" spans="1:14">
      <c r="A38" s="1202"/>
      <c r="B38" s="614" t="s">
        <v>229</v>
      </c>
      <c r="C38" s="372">
        <v>969902</v>
      </c>
      <c r="D38" s="372">
        <v>768530</v>
      </c>
      <c r="E38" s="372">
        <v>1738432</v>
      </c>
      <c r="F38" s="372">
        <v>123647</v>
      </c>
      <c r="G38" s="372">
        <v>74568</v>
      </c>
      <c r="H38" s="372">
        <v>198215</v>
      </c>
      <c r="I38" s="372">
        <v>17236</v>
      </c>
      <c r="J38" s="372">
        <v>13286</v>
      </c>
      <c r="K38" s="372">
        <v>30522</v>
      </c>
      <c r="L38" s="372">
        <v>458383</v>
      </c>
      <c r="M38" s="372">
        <v>356262</v>
      </c>
      <c r="N38" s="372">
        <v>814645</v>
      </c>
    </row>
    <row r="39" spans="1:14">
      <c r="A39" s="1202"/>
      <c r="B39" s="614" t="s">
        <v>228</v>
      </c>
      <c r="C39" s="615">
        <v>920485</v>
      </c>
      <c r="D39" s="615">
        <v>686523</v>
      </c>
      <c r="E39" s="615">
        <v>1607008</v>
      </c>
      <c r="F39" s="615">
        <v>111827</v>
      </c>
      <c r="G39" s="615">
        <v>66058</v>
      </c>
      <c r="H39" s="615">
        <v>177885</v>
      </c>
      <c r="I39" s="615">
        <v>15816</v>
      </c>
      <c r="J39" s="615">
        <v>10728</v>
      </c>
      <c r="K39" s="615">
        <v>26544</v>
      </c>
      <c r="L39" s="615">
        <v>411594</v>
      </c>
      <c r="M39" s="615">
        <v>295551</v>
      </c>
      <c r="N39" s="615">
        <v>707145</v>
      </c>
    </row>
    <row r="40" spans="1:14">
      <c r="A40" s="1202"/>
      <c r="B40" s="614" t="s">
        <v>227</v>
      </c>
      <c r="C40" s="373">
        <v>872270</v>
      </c>
      <c r="D40" s="373">
        <v>642325</v>
      </c>
      <c r="E40" s="373">
        <v>1514595</v>
      </c>
      <c r="F40" s="373">
        <v>99725</v>
      </c>
      <c r="G40" s="373">
        <v>60529</v>
      </c>
      <c r="H40" s="373">
        <v>160254</v>
      </c>
      <c r="I40" s="373">
        <v>13046</v>
      </c>
      <c r="J40" s="373">
        <v>8495</v>
      </c>
      <c r="K40" s="373">
        <v>21541</v>
      </c>
      <c r="L40" s="373">
        <v>383787</v>
      </c>
      <c r="M40" s="373">
        <v>278682</v>
      </c>
      <c r="N40" s="373">
        <v>662469</v>
      </c>
    </row>
    <row r="41" spans="1:14">
      <c r="A41" s="1202">
        <v>6</v>
      </c>
      <c r="B41" s="616" t="s">
        <v>19</v>
      </c>
      <c r="C41" s="617"/>
      <c r="D41" s="618"/>
      <c r="E41" s="618"/>
      <c r="F41" s="618"/>
      <c r="G41" s="618"/>
      <c r="H41" s="619"/>
      <c r="I41" s="617"/>
      <c r="J41" s="618"/>
      <c r="K41" s="618"/>
      <c r="L41" s="618"/>
      <c r="M41" s="618"/>
      <c r="N41" s="618"/>
    </row>
    <row r="42" spans="1:14">
      <c r="A42" s="1202"/>
      <c r="B42" s="614" t="s">
        <v>919</v>
      </c>
      <c r="C42" s="617">
        <v>55291</v>
      </c>
      <c r="D42" s="618">
        <v>55712</v>
      </c>
      <c r="E42" s="618">
        <v>111003</v>
      </c>
      <c r="F42" s="618">
        <v>9631</v>
      </c>
      <c r="G42" s="618">
        <v>8082</v>
      </c>
      <c r="H42" s="619">
        <v>17713</v>
      </c>
      <c r="I42" s="617">
        <v>1243</v>
      </c>
      <c r="J42" s="618">
        <v>1129</v>
      </c>
      <c r="K42" s="618">
        <v>2372</v>
      </c>
      <c r="L42" s="618">
        <v>5504</v>
      </c>
      <c r="M42" s="618">
        <v>3655</v>
      </c>
      <c r="N42" s="618">
        <v>9159</v>
      </c>
    </row>
    <row r="43" spans="1:14">
      <c r="A43" s="1202"/>
      <c r="B43" s="614" t="s">
        <v>876</v>
      </c>
      <c r="C43" s="615">
        <v>54809</v>
      </c>
      <c r="D43" s="615">
        <v>55656</v>
      </c>
      <c r="E43" s="615">
        <v>110465</v>
      </c>
      <c r="F43" s="615">
        <v>9293</v>
      </c>
      <c r="G43" s="615">
        <v>7542</v>
      </c>
      <c r="H43" s="615">
        <v>16835</v>
      </c>
      <c r="I43" s="615">
        <v>1055</v>
      </c>
      <c r="J43" s="615">
        <v>968</v>
      </c>
      <c r="K43" s="615">
        <v>2023</v>
      </c>
      <c r="L43" s="615">
        <v>5261</v>
      </c>
      <c r="M43" s="615">
        <v>3541</v>
      </c>
      <c r="N43" s="615">
        <v>8802</v>
      </c>
    </row>
    <row r="44" spans="1:14">
      <c r="A44" s="1202"/>
      <c r="B44" s="614" t="s">
        <v>229</v>
      </c>
      <c r="C44" s="372">
        <v>53170</v>
      </c>
      <c r="D44" s="372">
        <v>53497</v>
      </c>
      <c r="E44" s="372">
        <v>106667</v>
      </c>
      <c r="F44" s="372">
        <v>6827</v>
      </c>
      <c r="G44" s="372">
        <v>6037</v>
      </c>
      <c r="H44" s="372">
        <v>12864</v>
      </c>
      <c r="I44" s="372">
        <v>961</v>
      </c>
      <c r="J44" s="372">
        <v>829</v>
      </c>
      <c r="K44" s="372">
        <v>1790</v>
      </c>
      <c r="L44" s="372">
        <v>3837</v>
      </c>
      <c r="M44" s="372">
        <v>2373</v>
      </c>
      <c r="N44" s="372">
        <v>6210</v>
      </c>
    </row>
    <row r="45" spans="1:14">
      <c r="A45" s="1202"/>
      <c r="B45" s="614" t="s">
        <v>228</v>
      </c>
      <c r="C45" s="615">
        <v>48566</v>
      </c>
      <c r="D45" s="615">
        <v>50443</v>
      </c>
      <c r="E45" s="615">
        <v>99009</v>
      </c>
      <c r="F45" s="615">
        <v>6578</v>
      </c>
      <c r="G45" s="615">
        <v>5813</v>
      </c>
      <c r="H45" s="615">
        <v>12391</v>
      </c>
      <c r="I45" s="615">
        <v>836</v>
      </c>
      <c r="J45" s="615">
        <v>776</v>
      </c>
      <c r="K45" s="615">
        <v>1612</v>
      </c>
      <c r="L45" s="615">
        <v>3107</v>
      </c>
      <c r="M45" s="615">
        <v>2050</v>
      </c>
      <c r="N45" s="615">
        <v>5157</v>
      </c>
    </row>
    <row r="46" spans="1:14">
      <c r="A46" s="1202"/>
      <c r="B46" s="614" t="s">
        <v>227</v>
      </c>
      <c r="C46" s="374">
        <v>54058.655986165402</v>
      </c>
      <c r="D46" s="374">
        <v>51770.792417998033</v>
      </c>
      <c r="E46" s="374">
        <v>105829.44840416344</v>
      </c>
      <c r="F46" s="373">
        <v>6500</v>
      </c>
      <c r="G46" s="373">
        <v>5441</v>
      </c>
      <c r="H46" s="373">
        <v>11941</v>
      </c>
      <c r="I46" s="373">
        <v>1021</v>
      </c>
      <c r="J46" s="373">
        <v>897</v>
      </c>
      <c r="K46" s="373">
        <v>1918</v>
      </c>
      <c r="L46" s="373">
        <v>3397</v>
      </c>
      <c r="M46" s="373">
        <v>1928</v>
      </c>
      <c r="N46" s="373">
        <v>5325</v>
      </c>
    </row>
    <row r="47" spans="1:14">
      <c r="A47" s="1202">
        <v>7</v>
      </c>
      <c r="B47" s="616" t="s">
        <v>56</v>
      </c>
      <c r="C47" s="617"/>
      <c r="D47" s="618"/>
      <c r="E47" s="618"/>
      <c r="F47" s="618"/>
      <c r="G47" s="618"/>
      <c r="H47" s="619"/>
      <c r="I47" s="617"/>
      <c r="J47" s="618"/>
      <c r="K47" s="618"/>
      <c r="L47" s="618"/>
      <c r="M47" s="618"/>
      <c r="N47" s="618"/>
    </row>
    <row r="48" spans="1:14">
      <c r="A48" s="1202"/>
      <c r="B48" s="614" t="s">
        <v>919</v>
      </c>
      <c r="C48" s="617">
        <v>298601</v>
      </c>
      <c r="D48" s="618">
        <v>357740</v>
      </c>
      <c r="E48" s="618">
        <v>656341</v>
      </c>
      <c r="F48" s="618">
        <v>43431</v>
      </c>
      <c r="G48" s="618">
        <v>47514</v>
      </c>
      <c r="H48" s="619">
        <v>90945</v>
      </c>
      <c r="I48" s="617">
        <v>52777</v>
      </c>
      <c r="J48" s="618">
        <v>77518</v>
      </c>
      <c r="K48" s="618">
        <v>130295</v>
      </c>
      <c r="L48" s="618">
        <v>133393</v>
      </c>
      <c r="M48" s="618">
        <v>154494</v>
      </c>
      <c r="N48" s="618">
        <v>287887</v>
      </c>
    </row>
    <row r="49" spans="1:14">
      <c r="A49" s="1202"/>
      <c r="B49" s="614" t="s">
        <v>876</v>
      </c>
      <c r="C49" s="615">
        <v>302840</v>
      </c>
      <c r="D49" s="615">
        <v>350565</v>
      </c>
      <c r="E49" s="615">
        <v>653405</v>
      </c>
      <c r="F49" s="615">
        <v>41449</v>
      </c>
      <c r="G49" s="615">
        <v>44456</v>
      </c>
      <c r="H49" s="615">
        <v>85905</v>
      </c>
      <c r="I49" s="615">
        <v>57790</v>
      </c>
      <c r="J49" s="615">
        <v>81319</v>
      </c>
      <c r="K49" s="615">
        <v>139109</v>
      </c>
      <c r="L49" s="615">
        <v>133754</v>
      </c>
      <c r="M49" s="615">
        <v>151173</v>
      </c>
      <c r="N49" s="615">
        <v>284927</v>
      </c>
    </row>
    <row r="50" spans="1:14">
      <c r="A50" s="1202"/>
      <c r="B50" s="614" t="s">
        <v>229</v>
      </c>
      <c r="C50" s="372">
        <v>272813</v>
      </c>
      <c r="D50" s="372">
        <v>313582</v>
      </c>
      <c r="E50" s="372">
        <v>586395</v>
      </c>
      <c r="F50" s="372">
        <v>37575</v>
      </c>
      <c r="G50" s="372">
        <v>40055</v>
      </c>
      <c r="H50" s="372">
        <v>77630</v>
      </c>
      <c r="I50" s="372">
        <v>46084</v>
      </c>
      <c r="J50" s="372">
        <v>62803</v>
      </c>
      <c r="K50" s="372">
        <v>108887</v>
      </c>
      <c r="L50" s="372">
        <v>121781</v>
      </c>
      <c r="M50" s="372">
        <v>136814</v>
      </c>
      <c r="N50" s="372">
        <v>258595</v>
      </c>
    </row>
    <row r="51" spans="1:14">
      <c r="A51" s="1202"/>
      <c r="B51" s="614" t="s">
        <v>228</v>
      </c>
      <c r="C51" s="615">
        <v>282785</v>
      </c>
      <c r="D51" s="615">
        <v>304139</v>
      </c>
      <c r="E51" s="615">
        <v>586924</v>
      </c>
      <c r="F51" s="615">
        <v>37893</v>
      </c>
      <c r="G51" s="615">
        <v>38995</v>
      </c>
      <c r="H51" s="615">
        <v>76888</v>
      </c>
      <c r="I51" s="615">
        <v>46644</v>
      </c>
      <c r="J51" s="615">
        <v>59222</v>
      </c>
      <c r="K51" s="615">
        <v>105866</v>
      </c>
      <c r="L51" s="615">
        <v>122888</v>
      </c>
      <c r="M51" s="615">
        <v>129965</v>
      </c>
      <c r="N51" s="615">
        <v>252853</v>
      </c>
    </row>
    <row r="52" spans="1:14">
      <c r="A52" s="1202"/>
      <c r="B52" s="614" t="s">
        <v>227</v>
      </c>
      <c r="C52" s="373">
        <v>287143</v>
      </c>
      <c r="D52" s="373">
        <v>287718</v>
      </c>
      <c r="E52" s="373">
        <v>574861</v>
      </c>
      <c r="F52" s="373">
        <v>39314</v>
      </c>
      <c r="G52" s="373">
        <v>36225</v>
      </c>
      <c r="H52" s="373">
        <v>75539</v>
      </c>
      <c r="I52" s="373">
        <v>48834</v>
      </c>
      <c r="J52" s="373">
        <v>54855</v>
      </c>
      <c r="K52" s="373">
        <v>103689</v>
      </c>
      <c r="L52" s="373">
        <v>123942</v>
      </c>
      <c r="M52" s="373">
        <v>120898</v>
      </c>
      <c r="N52" s="373">
        <v>244840</v>
      </c>
    </row>
    <row r="53" spans="1:14">
      <c r="A53" s="1202">
        <v>8</v>
      </c>
      <c r="B53" s="616" t="s">
        <v>23</v>
      </c>
      <c r="C53" s="617"/>
      <c r="D53" s="618"/>
      <c r="E53" s="618"/>
      <c r="F53" s="618"/>
      <c r="G53" s="618"/>
      <c r="H53" s="619"/>
      <c r="I53" s="617"/>
      <c r="J53" s="618"/>
      <c r="K53" s="618"/>
      <c r="L53" s="618"/>
      <c r="M53" s="618"/>
      <c r="N53" s="618"/>
    </row>
    <row r="54" spans="1:14">
      <c r="A54" s="1202"/>
      <c r="B54" s="614" t="s">
        <v>919</v>
      </c>
      <c r="C54" s="617">
        <v>585353</v>
      </c>
      <c r="D54" s="618">
        <v>560037</v>
      </c>
      <c r="E54" s="618">
        <v>1145390</v>
      </c>
      <c r="F54" s="618">
        <v>81427</v>
      </c>
      <c r="G54" s="618">
        <v>77126</v>
      </c>
      <c r="H54" s="619">
        <v>158553</v>
      </c>
      <c r="I54" s="617">
        <v>11197</v>
      </c>
      <c r="J54" s="618">
        <v>9976</v>
      </c>
      <c r="K54" s="618">
        <v>21173</v>
      </c>
      <c r="L54" s="618">
        <v>100008</v>
      </c>
      <c r="M54" s="618">
        <v>75996</v>
      </c>
      <c r="N54" s="618">
        <v>176004</v>
      </c>
    </row>
    <row r="55" spans="1:14">
      <c r="A55" s="1202"/>
      <c r="B55" s="614" t="s">
        <v>876</v>
      </c>
      <c r="C55" s="615">
        <v>564849</v>
      </c>
      <c r="D55" s="615">
        <v>541422</v>
      </c>
      <c r="E55" s="615">
        <v>1106271</v>
      </c>
      <c r="F55" s="615">
        <v>58208</v>
      </c>
      <c r="G55" s="615">
        <v>51061</v>
      </c>
      <c r="H55" s="615">
        <v>109269</v>
      </c>
      <c r="I55" s="615">
        <v>10597</v>
      </c>
      <c r="J55" s="615">
        <v>8934</v>
      </c>
      <c r="K55" s="615">
        <v>19531</v>
      </c>
      <c r="L55" s="615">
        <v>90936</v>
      </c>
      <c r="M55" s="615">
        <v>65976</v>
      </c>
      <c r="N55" s="615">
        <v>156912</v>
      </c>
    </row>
    <row r="56" spans="1:14">
      <c r="A56" s="1202"/>
      <c r="B56" s="614" t="s">
        <v>229</v>
      </c>
      <c r="C56" s="372">
        <v>578747</v>
      </c>
      <c r="D56" s="372">
        <v>554109</v>
      </c>
      <c r="E56" s="372">
        <v>1132856</v>
      </c>
      <c r="F56" s="372">
        <v>80990</v>
      </c>
      <c r="G56" s="372">
        <v>81296</v>
      </c>
      <c r="H56" s="372">
        <v>162286</v>
      </c>
      <c r="I56" s="372">
        <v>8315</v>
      </c>
      <c r="J56" s="372">
        <v>7314</v>
      </c>
      <c r="K56" s="372">
        <v>15629</v>
      </c>
      <c r="L56" s="372">
        <v>108206</v>
      </c>
      <c r="M56" s="372">
        <v>81721</v>
      </c>
      <c r="N56" s="372">
        <v>189927</v>
      </c>
    </row>
    <row r="57" spans="1:14">
      <c r="A57" s="1202"/>
      <c r="B57" s="614" t="s">
        <v>228</v>
      </c>
      <c r="C57" s="615">
        <v>549782</v>
      </c>
      <c r="D57" s="615">
        <v>527774</v>
      </c>
      <c r="E57" s="615">
        <v>1077556</v>
      </c>
      <c r="F57" s="615">
        <v>74144</v>
      </c>
      <c r="G57" s="615">
        <v>73583</v>
      </c>
      <c r="H57" s="615">
        <v>147727</v>
      </c>
      <c r="I57" s="615">
        <v>11244</v>
      </c>
      <c r="J57" s="615">
        <v>9151</v>
      </c>
      <c r="K57" s="615">
        <v>20395</v>
      </c>
      <c r="L57" s="615">
        <v>90392</v>
      </c>
      <c r="M57" s="615">
        <v>64796</v>
      </c>
      <c r="N57" s="615">
        <v>155188</v>
      </c>
    </row>
    <row r="58" spans="1:14">
      <c r="A58" s="1202"/>
      <c r="B58" s="614" t="s">
        <v>227</v>
      </c>
      <c r="C58" s="374">
        <v>565088.58075349708</v>
      </c>
      <c r="D58" s="374">
        <v>499317.31368653738</v>
      </c>
      <c r="E58" s="374">
        <v>1064405.8944400344</v>
      </c>
      <c r="F58" s="373">
        <v>73096</v>
      </c>
      <c r="G58" s="373">
        <v>63859</v>
      </c>
      <c r="H58" s="373">
        <v>136955</v>
      </c>
      <c r="I58" s="373">
        <v>10757</v>
      </c>
      <c r="J58" s="373">
        <v>8415</v>
      </c>
      <c r="K58" s="373">
        <v>19172</v>
      </c>
      <c r="L58" s="373">
        <v>84506</v>
      </c>
      <c r="M58" s="373">
        <v>55337</v>
      </c>
      <c r="N58" s="373">
        <v>139843</v>
      </c>
    </row>
    <row r="59" spans="1:14">
      <c r="A59" s="1202">
        <v>9</v>
      </c>
      <c r="B59" s="616" t="s">
        <v>24</v>
      </c>
      <c r="C59" s="617"/>
      <c r="D59" s="618"/>
      <c r="E59" s="618"/>
      <c r="F59" s="618"/>
      <c r="G59" s="618"/>
      <c r="H59" s="619"/>
      <c r="I59" s="617"/>
      <c r="J59" s="618"/>
      <c r="K59" s="618"/>
      <c r="L59" s="618"/>
      <c r="M59" s="618"/>
      <c r="N59" s="618"/>
    </row>
    <row r="60" spans="1:14">
      <c r="A60" s="1202"/>
      <c r="B60" s="614" t="s">
        <v>919</v>
      </c>
      <c r="C60" s="617">
        <v>35398</v>
      </c>
      <c r="D60" s="618">
        <v>30017</v>
      </c>
      <c r="E60" s="618">
        <v>65415</v>
      </c>
      <c r="F60" s="618">
        <v>822</v>
      </c>
      <c r="G60" s="618">
        <v>592</v>
      </c>
      <c r="H60" s="619">
        <v>1414</v>
      </c>
      <c r="I60" s="617">
        <v>2106</v>
      </c>
      <c r="J60" s="618">
        <v>2783</v>
      </c>
      <c r="K60" s="618">
        <v>4889</v>
      </c>
      <c r="L60" s="618">
        <v>5182</v>
      </c>
      <c r="M60" s="618">
        <v>5690</v>
      </c>
      <c r="N60" s="618">
        <v>10872</v>
      </c>
    </row>
    <row r="61" spans="1:14">
      <c r="A61" s="1202"/>
      <c r="B61" s="614" t="s">
        <v>876</v>
      </c>
      <c r="C61" s="615">
        <v>29404</v>
      </c>
      <c r="D61" s="615">
        <v>30881</v>
      </c>
      <c r="E61" s="615">
        <v>60285</v>
      </c>
      <c r="F61" s="615">
        <v>899</v>
      </c>
      <c r="G61" s="615">
        <v>674</v>
      </c>
      <c r="H61" s="615">
        <v>1573</v>
      </c>
      <c r="I61" s="615">
        <v>2088</v>
      </c>
      <c r="J61" s="615">
        <v>2756</v>
      </c>
      <c r="K61" s="615">
        <v>4844</v>
      </c>
      <c r="L61" s="615">
        <v>5615</v>
      </c>
      <c r="M61" s="615">
        <v>6104</v>
      </c>
      <c r="N61" s="615">
        <v>11719</v>
      </c>
    </row>
    <row r="62" spans="1:14">
      <c r="A62" s="1202"/>
      <c r="B62" s="614" t="s">
        <v>229</v>
      </c>
      <c r="C62" s="372">
        <v>25055</v>
      </c>
      <c r="D62" s="372">
        <v>27727</v>
      </c>
      <c r="E62" s="372">
        <v>52782</v>
      </c>
      <c r="F62" s="372">
        <v>555</v>
      </c>
      <c r="G62" s="372">
        <v>540</v>
      </c>
      <c r="H62" s="372">
        <v>1095</v>
      </c>
      <c r="I62" s="372">
        <v>1850</v>
      </c>
      <c r="J62" s="372">
        <v>2652</v>
      </c>
      <c r="K62" s="372">
        <v>4502</v>
      </c>
      <c r="L62" s="372">
        <v>4089</v>
      </c>
      <c r="M62" s="372">
        <v>5499</v>
      </c>
      <c r="N62" s="372">
        <v>9588</v>
      </c>
    </row>
    <row r="63" spans="1:14">
      <c r="A63" s="1202"/>
      <c r="B63" s="614" t="s">
        <v>228</v>
      </c>
      <c r="C63" s="615">
        <v>26967</v>
      </c>
      <c r="D63" s="615">
        <v>27713</v>
      </c>
      <c r="E63" s="615">
        <v>54680</v>
      </c>
      <c r="F63" s="615">
        <v>552</v>
      </c>
      <c r="G63" s="615">
        <v>514</v>
      </c>
      <c r="H63" s="615">
        <v>1066</v>
      </c>
      <c r="I63" s="615">
        <v>1992</v>
      </c>
      <c r="J63" s="615">
        <v>2622</v>
      </c>
      <c r="K63" s="615">
        <v>4614</v>
      </c>
      <c r="L63" s="615">
        <v>4341</v>
      </c>
      <c r="M63" s="615">
        <v>5398</v>
      </c>
      <c r="N63" s="615">
        <v>9739</v>
      </c>
    </row>
    <row r="64" spans="1:14">
      <c r="A64" s="1202"/>
      <c r="B64" s="614" t="s">
        <v>227</v>
      </c>
      <c r="C64" s="374">
        <v>24743.319239995868</v>
      </c>
      <c r="D64" s="374">
        <v>24897.80359062663</v>
      </c>
      <c r="E64" s="374">
        <v>49641.122830622495</v>
      </c>
      <c r="F64" s="373">
        <v>516</v>
      </c>
      <c r="G64" s="373">
        <v>472</v>
      </c>
      <c r="H64" s="373">
        <v>988</v>
      </c>
      <c r="I64" s="373">
        <v>1853</v>
      </c>
      <c r="J64" s="373">
        <v>2227</v>
      </c>
      <c r="K64" s="373">
        <v>4080</v>
      </c>
      <c r="L64" s="373">
        <v>4110</v>
      </c>
      <c r="M64" s="373">
        <v>4743</v>
      </c>
      <c r="N64" s="373">
        <v>8853</v>
      </c>
    </row>
    <row r="65" spans="1:14">
      <c r="A65" s="1202">
        <v>10</v>
      </c>
      <c r="B65" s="616" t="s">
        <v>25</v>
      </c>
      <c r="C65" s="617"/>
      <c r="D65" s="618"/>
      <c r="E65" s="618"/>
      <c r="F65" s="618"/>
      <c r="G65" s="618"/>
      <c r="H65" s="619"/>
      <c r="I65" s="617"/>
      <c r="J65" s="618"/>
      <c r="K65" s="618"/>
      <c r="L65" s="618"/>
      <c r="M65" s="618"/>
      <c r="N65" s="618"/>
    </row>
    <row r="66" spans="1:14">
      <c r="A66" s="1202"/>
      <c r="B66" s="614" t="s">
        <v>919</v>
      </c>
      <c r="C66" s="617">
        <v>1009666</v>
      </c>
      <c r="D66" s="618">
        <v>787996</v>
      </c>
      <c r="E66" s="618">
        <v>1797662</v>
      </c>
      <c r="F66" s="618">
        <v>95144</v>
      </c>
      <c r="G66" s="618">
        <v>76178</v>
      </c>
      <c r="H66" s="619">
        <v>171322</v>
      </c>
      <c r="I66" s="617">
        <v>101665</v>
      </c>
      <c r="J66" s="618">
        <v>102861</v>
      </c>
      <c r="K66" s="618">
        <v>204526</v>
      </c>
      <c r="L66" s="618">
        <v>340381</v>
      </c>
      <c r="M66" s="618">
        <v>244776</v>
      </c>
      <c r="N66" s="618">
        <v>585157</v>
      </c>
    </row>
    <row r="67" spans="1:14">
      <c r="A67" s="1202"/>
      <c r="B67" s="614" t="s">
        <v>876</v>
      </c>
      <c r="C67" s="615">
        <v>938144</v>
      </c>
      <c r="D67" s="615">
        <v>714986</v>
      </c>
      <c r="E67" s="615">
        <v>1653130</v>
      </c>
      <c r="F67" s="615">
        <v>84815</v>
      </c>
      <c r="G67" s="615">
        <v>65967</v>
      </c>
      <c r="H67" s="615">
        <v>150782</v>
      </c>
      <c r="I67" s="615">
        <v>89913</v>
      </c>
      <c r="J67" s="615">
        <v>87551</v>
      </c>
      <c r="K67" s="615">
        <v>177464</v>
      </c>
      <c r="L67" s="615">
        <v>294584</v>
      </c>
      <c r="M67" s="615">
        <v>207275</v>
      </c>
      <c r="N67" s="615">
        <v>501859</v>
      </c>
    </row>
    <row r="68" spans="1:14">
      <c r="A68" s="1202"/>
      <c r="B68" s="614" t="s">
        <v>229</v>
      </c>
      <c r="C68" s="372">
        <v>864967</v>
      </c>
      <c r="D68" s="372">
        <v>679873</v>
      </c>
      <c r="E68" s="372">
        <v>1544840</v>
      </c>
      <c r="F68" s="372">
        <v>78255</v>
      </c>
      <c r="G68" s="372">
        <v>63324</v>
      </c>
      <c r="H68" s="372">
        <v>141579</v>
      </c>
      <c r="I68" s="372">
        <v>79347</v>
      </c>
      <c r="J68" s="372">
        <v>81512</v>
      </c>
      <c r="K68" s="372">
        <v>160859</v>
      </c>
      <c r="L68" s="372">
        <v>283069</v>
      </c>
      <c r="M68" s="372">
        <v>203627</v>
      </c>
      <c r="N68" s="372">
        <v>486696</v>
      </c>
    </row>
    <row r="69" spans="1:14">
      <c r="A69" s="1202"/>
      <c r="B69" s="614" t="s">
        <v>228</v>
      </c>
      <c r="C69" s="615">
        <v>832946</v>
      </c>
      <c r="D69" s="615">
        <v>645106</v>
      </c>
      <c r="E69" s="615">
        <v>1478052</v>
      </c>
      <c r="F69" s="615">
        <v>77192</v>
      </c>
      <c r="G69" s="615">
        <v>61009</v>
      </c>
      <c r="H69" s="615">
        <v>138201</v>
      </c>
      <c r="I69" s="615">
        <v>72369</v>
      </c>
      <c r="J69" s="615">
        <v>72197</v>
      </c>
      <c r="K69" s="615">
        <v>144566</v>
      </c>
      <c r="L69" s="615">
        <v>261824</v>
      </c>
      <c r="M69" s="615">
        <v>185616</v>
      </c>
      <c r="N69" s="615">
        <v>447440</v>
      </c>
    </row>
    <row r="70" spans="1:14">
      <c r="A70" s="1202"/>
      <c r="B70" s="614" t="s">
        <v>227</v>
      </c>
      <c r="C70" s="373">
        <v>827611</v>
      </c>
      <c r="D70" s="373">
        <v>625644</v>
      </c>
      <c r="E70" s="373">
        <v>1453255</v>
      </c>
      <c r="F70" s="373">
        <v>77992</v>
      </c>
      <c r="G70" s="373">
        <v>59352</v>
      </c>
      <c r="H70" s="373">
        <v>137344</v>
      </c>
      <c r="I70" s="373">
        <v>66613</v>
      </c>
      <c r="J70" s="373">
        <v>66140</v>
      </c>
      <c r="K70" s="373">
        <v>132753</v>
      </c>
      <c r="L70" s="373">
        <v>252999</v>
      </c>
      <c r="M70" s="373">
        <v>176635</v>
      </c>
      <c r="N70" s="373">
        <v>429634</v>
      </c>
    </row>
    <row r="71" spans="1:14">
      <c r="A71" s="1202">
        <v>11</v>
      </c>
      <c r="B71" s="616" t="s">
        <v>26</v>
      </c>
      <c r="C71" s="617"/>
      <c r="D71" s="618"/>
      <c r="E71" s="618"/>
      <c r="F71" s="618"/>
      <c r="G71" s="618"/>
      <c r="H71" s="619"/>
      <c r="I71" s="617"/>
      <c r="J71" s="618"/>
      <c r="K71" s="618"/>
      <c r="L71" s="618"/>
      <c r="M71" s="618"/>
      <c r="N71" s="618"/>
    </row>
    <row r="72" spans="1:14">
      <c r="A72" s="1202"/>
      <c r="B72" s="614" t="s">
        <v>919</v>
      </c>
      <c r="C72" s="617">
        <v>542146</v>
      </c>
      <c r="D72" s="618">
        <v>562386</v>
      </c>
      <c r="E72" s="618">
        <v>1104532</v>
      </c>
      <c r="F72" s="618">
        <v>92355</v>
      </c>
      <c r="G72" s="618">
        <v>93635</v>
      </c>
      <c r="H72" s="619">
        <v>185990</v>
      </c>
      <c r="I72" s="617">
        <v>3153</v>
      </c>
      <c r="J72" s="618">
        <v>2027</v>
      </c>
      <c r="K72" s="618">
        <v>5180</v>
      </c>
      <c r="L72" s="618">
        <v>126050</v>
      </c>
      <c r="M72" s="618">
        <v>127165</v>
      </c>
      <c r="N72" s="618">
        <v>253215</v>
      </c>
    </row>
    <row r="73" spans="1:14">
      <c r="A73" s="1202"/>
      <c r="B73" s="614" t="s">
        <v>876</v>
      </c>
      <c r="C73" s="615">
        <v>517813</v>
      </c>
      <c r="D73" s="615">
        <v>511346</v>
      </c>
      <c r="E73" s="615">
        <v>1029159</v>
      </c>
      <c r="F73" s="615">
        <v>78157</v>
      </c>
      <c r="G73" s="615">
        <v>76128</v>
      </c>
      <c r="H73" s="615">
        <v>154285</v>
      </c>
      <c r="I73" s="615">
        <v>2799</v>
      </c>
      <c r="J73" s="615">
        <v>1776</v>
      </c>
      <c r="K73" s="615">
        <v>4575</v>
      </c>
      <c r="L73" s="615">
        <v>116069</v>
      </c>
      <c r="M73" s="615">
        <v>109671</v>
      </c>
      <c r="N73" s="615">
        <v>225740</v>
      </c>
    </row>
    <row r="74" spans="1:14">
      <c r="A74" s="1202"/>
      <c r="B74" s="614" t="s">
        <v>229</v>
      </c>
      <c r="C74" s="372">
        <v>460487</v>
      </c>
      <c r="D74" s="372">
        <v>473054</v>
      </c>
      <c r="E74" s="372">
        <v>933541</v>
      </c>
      <c r="F74" s="372">
        <v>64017</v>
      </c>
      <c r="G74" s="372">
        <v>65958</v>
      </c>
      <c r="H74" s="372">
        <v>129975</v>
      </c>
      <c r="I74" s="372">
        <v>1795</v>
      </c>
      <c r="J74" s="372">
        <v>1240</v>
      </c>
      <c r="K74" s="372">
        <v>3035</v>
      </c>
      <c r="L74" s="372">
        <v>103486</v>
      </c>
      <c r="M74" s="372">
        <v>104970</v>
      </c>
      <c r="N74" s="372">
        <v>208456</v>
      </c>
    </row>
    <row r="75" spans="1:14">
      <c r="A75" s="1202"/>
      <c r="B75" s="614" t="s">
        <v>228</v>
      </c>
      <c r="C75" s="615">
        <v>457289</v>
      </c>
      <c r="D75" s="615">
        <v>471604</v>
      </c>
      <c r="E75" s="615">
        <v>928893</v>
      </c>
      <c r="F75" s="615">
        <v>67317</v>
      </c>
      <c r="G75" s="615">
        <v>67451</v>
      </c>
      <c r="H75" s="615">
        <v>134768</v>
      </c>
      <c r="I75" s="615">
        <v>1757</v>
      </c>
      <c r="J75" s="615">
        <v>1028</v>
      </c>
      <c r="K75" s="615">
        <v>2785</v>
      </c>
      <c r="L75" s="615">
        <v>105567</v>
      </c>
      <c r="M75" s="615">
        <v>108534</v>
      </c>
      <c r="N75" s="615">
        <v>214101</v>
      </c>
    </row>
    <row r="76" spans="1:14">
      <c r="A76" s="1202"/>
      <c r="B76" s="614" t="s">
        <v>227</v>
      </c>
      <c r="C76" s="374">
        <v>467389.38328537147</v>
      </c>
      <c r="D76" s="374">
        <v>446053.83375290607</v>
      </c>
      <c r="E76" s="374">
        <v>913443.21703827754</v>
      </c>
      <c r="F76" s="373">
        <v>66207</v>
      </c>
      <c r="G76" s="373">
        <v>59574</v>
      </c>
      <c r="H76" s="373">
        <v>125781</v>
      </c>
      <c r="I76" s="373">
        <v>1362</v>
      </c>
      <c r="J76" s="373">
        <v>716</v>
      </c>
      <c r="K76" s="373">
        <v>2078</v>
      </c>
      <c r="L76" s="373">
        <v>102544</v>
      </c>
      <c r="M76" s="373">
        <v>99574</v>
      </c>
      <c r="N76" s="373">
        <v>202118</v>
      </c>
    </row>
    <row r="77" spans="1:14">
      <c r="A77" s="1202">
        <v>12</v>
      </c>
      <c r="B77" s="616" t="s">
        <v>27</v>
      </c>
      <c r="C77" s="617"/>
      <c r="D77" s="618"/>
      <c r="E77" s="618"/>
      <c r="F77" s="618"/>
      <c r="G77" s="618"/>
      <c r="H77" s="619"/>
      <c r="I77" s="617"/>
      <c r="J77" s="618"/>
      <c r="K77" s="618"/>
      <c r="L77" s="618"/>
      <c r="M77" s="618"/>
      <c r="N77" s="618"/>
    </row>
    <row r="78" spans="1:14">
      <c r="A78" s="1202"/>
      <c r="B78" s="614" t="s">
        <v>919</v>
      </c>
      <c r="C78" s="617">
        <v>147143</v>
      </c>
      <c r="D78" s="618">
        <v>172508</v>
      </c>
      <c r="E78" s="618">
        <v>319651</v>
      </c>
      <c r="F78" s="618">
        <v>30001</v>
      </c>
      <c r="G78" s="618">
        <v>36535</v>
      </c>
      <c r="H78" s="619">
        <v>66536</v>
      </c>
      <c r="I78" s="617">
        <v>8689</v>
      </c>
      <c r="J78" s="618">
        <v>10609</v>
      </c>
      <c r="K78" s="618">
        <v>19298</v>
      </c>
      <c r="L78" s="618">
        <v>18959</v>
      </c>
      <c r="M78" s="618">
        <v>25173</v>
      </c>
      <c r="N78" s="618">
        <v>44132</v>
      </c>
    </row>
    <row r="79" spans="1:14">
      <c r="A79" s="1202"/>
      <c r="B79" s="614" t="s">
        <v>876</v>
      </c>
      <c r="C79" s="615">
        <v>133196</v>
      </c>
      <c r="D79" s="615">
        <v>156389</v>
      </c>
      <c r="E79" s="615">
        <v>289585</v>
      </c>
      <c r="F79" s="615">
        <v>25382</v>
      </c>
      <c r="G79" s="615">
        <v>30990</v>
      </c>
      <c r="H79" s="615">
        <v>56372</v>
      </c>
      <c r="I79" s="615">
        <v>7967</v>
      </c>
      <c r="J79" s="615">
        <v>9353</v>
      </c>
      <c r="K79" s="615">
        <v>17320</v>
      </c>
      <c r="L79" s="615">
        <v>16132</v>
      </c>
      <c r="M79" s="615">
        <v>21501</v>
      </c>
      <c r="N79" s="615">
        <v>37633</v>
      </c>
    </row>
    <row r="80" spans="1:14">
      <c r="A80" s="1202"/>
      <c r="B80" s="614" t="s">
        <v>229</v>
      </c>
      <c r="C80" s="372">
        <v>132231</v>
      </c>
      <c r="D80" s="372">
        <v>157257</v>
      </c>
      <c r="E80" s="372">
        <v>289488</v>
      </c>
      <c r="F80" s="372">
        <v>24422</v>
      </c>
      <c r="G80" s="372">
        <v>30850</v>
      </c>
      <c r="H80" s="372">
        <v>55272</v>
      </c>
      <c r="I80" s="372">
        <v>7555</v>
      </c>
      <c r="J80" s="372">
        <v>9179</v>
      </c>
      <c r="K80" s="372">
        <v>16734</v>
      </c>
      <c r="L80" s="372">
        <v>16277</v>
      </c>
      <c r="M80" s="372">
        <v>22529</v>
      </c>
      <c r="N80" s="372">
        <v>38806</v>
      </c>
    </row>
    <row r="81" spans="1:14">
      <c r="A81" s="1202"/>
      <c r="B81" s="614" t="s">
        <v>228</v>
      </c>
      <c r="C81" s="615">
        <v>129449</v>
      </c>
      <c r="D81" s="615">
        <v>154411</v>
      </c>
      <c r="E81" s="615">
        <v>283860</v>
      </c>
      <c r="F81" s="615">
        <v>24684</v>
      </c>
      <c r="G81" s="615">
        <v>30277</v>
      </c>
      <c r="H81" s="615">
        <v>54961</v>
      </c>
      <c r="I81" s="615">
        <v>7550</v>
      </c>
      <c r="J81" s="615">
        <v>9078</v>
      </c>
      <c r="K81" s="615">
        <v>16628</v>
      </c>
      <c r="L81" s="615">
        <v>16236</v>
      </c>
      <c r="M81" s="615">
        <v>22758</v>
      </c>
      <c r="N81" s="615">
        <v>38994</v>
      </c>
    </row>
    <row r="82" spans="1:14">
      <c r="A82" s="1202"/>
      <c r="B82" s="614" t="s">
        <v>227</v>
      </c>
      <c r="C82" s="373">
        <v>128336</v>
      </c>
      <c r="D82" s="373">
        <v>147372</v>
      </c>
      <c r="E82" s="373">
        <v>275708</v>
      </c>
      <c r="F82" s="373">
        <v>24387</v>
      </c>
      <c r="G82" s="373">
        <v>28000</v>
      </c>
      <c r="H82" s="373">
        <v>52387</v>
      </c>
      <c r="I82" s="373">
        <v>7786</v>
      </c>
      <c r="J82" s="373">
        <v>8574</v>
      </c>
      <c r="K82" s="373">
        <v>16360</v>
      </c>
      <c r="L82" s="373">
        <v>16181</v>
      </c>
      <c r="M82" s="373">
        <v>21333</v>
      </c>
      <c r="N82" s="373">
        <v>37514</v>
      </c>
    </row>
    <row r="83" spans="1:14">
      <c r="A83" s="1202">
        <v>13</v>
      </c>
      <c r="B83" s="616" t="s">
        <v>57</v>
      </c>
      <c r="C83" s="617"/>
      <c r="D83" s="618"/>
      <c r="E83" s="618"/>
      <c r="F83" s="618"/>
      <c r="G83" s="618"/>
      <c r="H83" s="619"/>
      <c r="I83" s="617"/>
      <c r="J83" s="618"/>
      <c r="K83" s="618"/>
      <c r="L83" s="618"/>
      <c r="M83" s="618"/>
      <c r="N83" s="618"/>
    </row>
    <row r="84" spans="1:14">
      <c r="A84" s="1202"/>
      <c r="B84" s="614" t="s">
        <v>919</v>
      </c>
      <c r="C84" s="617">
        <v>192954</v>
      </c>
      <c r="D84" s="618">
        <v>207469</v>
      </c>
      <c r="E84" s="618">
        <v>400423</v>
      </c>
      <c r="F84" s="618">
        <v>12952</v>
      </c>
      <c r="G84" s="618">
        <v>13915</v>
      </c>
      <c r="H84" s="619">
        <v>26867</v>
      </c>
      <c r="I84" s="617">
        <v>16001</v>
      </c>
      <c r="J84" s="618">
        <v>12770</v>
      </c>
      <c r="K84" s="618">
        <v>28771</v>
      </c>
      <c r="L84" s="618">
        <v>15593</v>
      </c>
      <c r="M84" s="618">
        <v>13361</v>
      </c>
      <c r="N84" s="618">
        <v>28954</v>
      </c>
    </row>
    <row r="85" spans="1:14">
      <c r="A85" s="1202"/>
      <c r="B85" s="614" t="s">
        <v>876</v>
      </c>
      <c r="C85" s="615">
        <v>193476</v>
      </c>
      <c r="D85" s="615">
        <v>205378</v>
      </c>
      <c r="E85" s="615">
        <v>398854</v>
      </c>
      <c r="F85" s="615">
        <v>10549</v>
      </c>
      <c r="G85" s="615">
        <v>11892</v>
      </c>
      <c r="H85" s="615">
        <v>22441</v>
      </c>
      <c r="I85" s="615">
        <v>13607</v>
      </c>
      <c r="J85" s="615">
        <v>11126</v>
      </c>
      <c r="K85" s="615">
        <v>24733</v>
      </c>
      <c r="L85" s="615">
        <v>14281</v>
      </c>
      <c r="M85" s="615">
        <v>12033</v>
      </c>
      <c r="N85" s="615">
        <v>26314</v>
      </c>
    </row>
    <row r="86" spans="1:14">
      <c r="A86" s="1202"/>
      <c r="B86" s="614" t="s">
        <v>229</v>
      </c>
      <c r="C86" s="372">
        <v>199249</v>
      </c>
      <c r="D86" s="372">
        <v>196167</v>
      </c>
      <c r="E86" s="372">
        <v>395416</v>
      </c>
      <c r="F86" s="372">
        <v>9302</v>
      </c>
      <c r="G86" s="372">
        <v>11703</v>
      </c>
      <c r="H86" s="372">
        <v>21005</v>
      </c>
      <c r="I86" s="372">
        <v>12261</v>
      </c>
      <c r="J86" s="372">
        <v>10081</v>
      </c>
      <c r="K86" s="372">
        <v>22342</v>
      </c>
      <c r="L86" s="372">
        <v>14636</v>
      </c>
      <c r="M86" s="372">
        <v>11364</v>
      </c>
      <c r="N86" s="372">
        <v>26000</v>
      </c>
    </row>
    <row r="87" spans="1:14">
      <c r="A87" s="1202"/>
      <c r="B87" s="614" t="s">
        <v>228</v>
      </c>
      <c r="C87" s="615">
        <v>195270</v>
      </c>
      <c r="D87" s="615">
        <v>198829</v>
      </c>
      <c r="E87" s="615">
        <v>394099</v>
      </c>
      <c r="F87" s="615">
        <v>9739</v>
      </c>
      <c r="G87" s="615">
        <v>11673</v>
      </c>
      <c r="H87" s="615">
        <v>21412</v>
      </c>
      <c r="I87" s="615">
        <v>13031</v>
      </c>
      <c r="J87" s="615">
        <v>11831</v>
      </c>
      <c r="K87" s="615">
        <v>24862</v>
      </c>
      <c r="L87" s="615">
        <v>14633</v>
      </c>
      <c r="M87" s="615">
        <v>11736</v>
      </c>
      <c r="N87" s="615">
        <v>26369</v>
      </c>
    </row>
    <row r="88" spans="1:14">
      <c r="A88" s="1202"/>
      <c r="B88" s="614" t="s">
        <v>227</v>
      </c>
      <c r="C88" s="374">
        <v>177021.5039168795</v>
      </c>
      <c r="D88" s="374">
        <v>182208.30560755706</v>
      </c>
      <c r="E88" s="374">
        <v>359229.8095244366</v>
      </c>
      <c r="F88" s="373">
        <v>8211</v>
      </c>
      <c r="G88" s="373">
        <v>9478</v>
      </c>
      <c r="H88" s="373">
        <v>17689</v>
      </c>
      <c r="I88" s="373">
        <v>11301</v>
      </c>
      <c r="J88" s="373">
        <v>10388</v>
      </c>
      <c r="K88" s="373">
        <v>21689</v>
      </c>
      <c r="L88" s="373">
        <v>13422</v>
      </c>
      <c r="M88" s="373">
        <v>10913</v>
      </c>
      <c r="N88" s="373">
        <v>24335</v>
      </c>
    </row>
    <row r="89" spans="1:14">
      <c r="A89" s="1202">
        <v>14</v>
      </c>
      <c r="B89" s="616" t="s">
        <v>29</v>
      </c>
      <c r="C89" s="617"/>
      <c r="D89" s="618"/>
      <c r="E89" s="618"/>
      <c r="F89" s="618"/>
      <c r="G89" s="618"/>
      <c r="H89" s="619"/>
      <c r="I89" s="617"/>
      <c r="J89" s="618"/>
      <c r="K89" s="618"/>
      <c r="L89" s="618"/>
      <c r="M89" s="618"/>
      <c r="N89" s="618"/>
    </row>
    <row r="90" spans="1:14">
      <c r="A90" s="1202"/>
      <c r="B90" s="614" t="s">
        <v>919</v>
      </c>
      <c r="C90" s="617">
        <v>450106</v>
      </c>
      <c r="D90" s="618">
        <v>429859</v>
      </c>
      <c r="E90" s="618">
        <v>879965</v>
      </c>
      <c r="F90" s="618">
        <v>45691</v>
      </c>
      <c r="G90" s="618">
        <v>37065</v>
      </c>
      <c r="H90" s="619">
        <v>82756</v>
      </c>
      <c r="I90" s="617">
        <v>76826</v>
      </c>
      <c r="J90" s="618">
        <v>91503</v>
      </c>
      <c r="K90" s="618">
        <v>168329</v>
      </c>
      <c r="L90" s="618">
        <v>187445</v>
      </c>
      <c r="M90" s="618">
        <v>172605</v>
      </c>
      <c r="N90" s="618">
        <v>360050</v>
      </c>
    </row>
    <row r="91" spans="1:14">
      <c r="A91" s="1202"/>
      <c r="B91" s="614" t="s">
        <v>876</v>
      </c>
      <c r="C91" s="615">
        <v>393349</v>
      </c>
      <c r="D91" s="615">
        <v>393338</v>
      </c>
      <c r="E91" s="615">
        <v>786687</v>
      </c>
      <c r="F91" s="615">
        <v>38118</v>
      </c>
      <c r="G91" s="615">
        <v>33279</v>
      </c>
      <c r="H91" s="615">
        <v>71397</v>
      </c>
      <c r="I91" s="615">
        <v>66777</v>
      </c>
      <c r="J91" s="615">
        <v>80751</v>
      </c>
      <c r="K91" s="615">
        <v>147528</v>
      </c>
      <c r="L91" s="615">
        <v>154440</v>
      </c>
      <c r="M91" s="615">
        <v>149715</v>
      </c>
      <c r="N91" s="615">
        <v>304155</v>
      </c>
    </row>
    <row r="92" spans="1:14">
      <c r="A92" s="1202"/>
      <c r="B92" s="614" t="s">
        <v>229</v>
      </c>
      <c r="C92" s="372">
        <v>408859</v>
      </c>
      <c r="D92" s="372">
        <v>408701</v>
      </c>
      <c r="E92" s="372">
        <v>817560</v>
      </c>
      <c r="F92" s="372">
        <v>39061</v>
      </c>
      <c r="G92" s="372">
        <v>33841</v>
      </c>
      <c r="H92" s="372">
        <v>72902</v>
      </c>
      <c r="I92" s="372">
        <v>68787</v>
      </c>
      <c r="J92" s="372">
        <v>84739</v>
      </c>
      <c r="K92" s="372">
        <v>153526</v>
      </c>
      <c r="L92" s="372">
        <v>170328</v>
      </c>
      <c r="M92" s="372">
        <v>161304</v>
      </c>
      <c r="N92" s="372">
        <v>331632</v>
      </c>
    </row>
    <row r="93" spans="1:14">
      <c r="A93" s="1202"/>
      <c r="B93" s="614" t="s">
        <v>228</v>
      </c>
      <c r="C93" s="615">
        <v>377741</v>
      </c>
      <c r="D93" s="615">
        <v>361743</v>
      </c>
      <c r="E93" s="615">
        <v>739484</v>
      </c>
      <c r="F93" s="615">
        <v>39314</v>
      </c>
      <c r="G93" s="615">
        <v>33723</v>
      </c>
      <c r="H93" s="615">
        <v>73037</v>
      </c>
      <c r="I93" s="615">
        <v>62774</v>
      </c>
      <c r="J93" s="615">
        <v>73610</v>
      </c>
      <c r="K93" s="615">
        <v>136384</v>
      </c>
      <c r="L93" s="615">
        <v>151098</v>
      </c>
      <c r="M93" s="615">
        <v>142185</v>
      </c>
      <c r="N93" s="615">
        <v>293283</v>
      </c>
    </row>
    <row r="94" spans="1:14">
      <c r="A94" s="1202"/>
      <c r="B94" s="614" t="s">
        <v>227</v>
      </c>
      <c r="C94" s="374">
        <v>354094.88370536949</v>
      </c>
      <c r="D94" s="374">
        <v>334627.35291416117</v>
      </c>
      <c r="E94" s="374">
        <v>688722.23661953071</v>
      </c>
      <c r="F94" s="373">
        <v>34798</v>
      </c>
      <c r="G94" s="373">
        <v>28117</v>
      </c>
      <c r="H94" s="373">
        <v>62915</v>
      </c>
      <c r="I94" s="373">
        <v>56591</v>
      </c>
      <c r="J94" s="373">
        <v>66328</v>
      </c>
      <c r="K94" s="373">
        <v>122919</v>
      </c>
      <c r="L94" s="373">
        <v>137621</v>
      </c>
      <c r="M94" s="373">
        <v>124427</v>
      </c>
      <c r="N94" s="373">
        <v>262048</v>
      </c>
    </row>
    <row r="95" spans="1:14">
      <c r="A95" s="1202">
        <v>15</v>
      </c>
      <c r="B95" s="616" t="s">
        <v>30</v>
      </c>
      <c r="C95" s="617"/>
      <c r="D95" s="618"/>
      <c r="E95" s="618"/>
      <c r="F95" s="618"/>
      <c r="G95" s="618"/>
      <c r="H95" s="619"/>
      <c r="I95" s="617"/>
      <c r="J95" s="618"/>
      <c r="K95" s="618"/>
      <c r="L95" s="618"/>
      <c r="M95" s="618"/>
      <c r="N95" s="618"/>
    </row>
    <row r="96" spans="1:14">
      <c r="A96" s="1202"/>
      <c r="B96" s="614" t="s">
        <v>919</v>
      </c>
      <c r="C96" s="617">
        <v>1258004</v>
      </c>
      <c r="D96" s="618">
        <v>1178536</v>
      </c>
      <c r="E96" s="618">
        <v>2436540</v>
      </c>
      <c r="F96" s="618">
        <v>177617</v>
      </c>
      <c r="G96" s="618">
        <v>158281</v>
      </c>
      <c r="H96" s="619">
        <v>335898</v>
      </c>
      <c r="I96" s="617">
        <v>66315</v>
      </c>
      <c r="J96" s="618">
        <v>59233</v>
      </c>
      <c r="K96" s="618">
        <v>125548</v>
      </c>
      <c r="L96" s="618">
        <v>620133</v>
      </c>
      <c r="M96" s="618">
        <v>587035</v>
      </c>
      <c r="N96" s="618">
        <v>1207168</v>
      </c>
    </row>
    <row r="97" spans="1:14">
      <c r="A97" s="1202"/>
      <c r="B97" s="614" t="s">
        <v>876</v>
      </c>
      <c r="C97" s="615">
        <v>1223601</v>
      </c>
      <c r="D97" s="615">
        <v>1216836</v>
      </c>
      <c r="E97" s="615">
        <v>2440437</v>
      </c>
      <c r="F97" s="615">
        <v>157702</v>
      </c>
      <c r="G97" s="615">
        <v>154146</v>
      </c>
      <c r="H97" s="615">
        <v>311848</v>
      </c>
      <c r="I97" s="615">
        <v>58644</v>
      </c>
      <c r="J97" s="615">
        <v>56327</v>
      </c>
      <c r="K97" s="615">
        <v>114971</v>
      </c>
      <c r="L97" s="615">
        <v>565089</v>
      </c>
      <c r="M97" s="615">
        <v>573864</v>
      </c>
      <c r="N97" s="615">
        <v>1138953</v>
      </c>
    </row>
    <row r="98" spans="1:14">
      <c r="A98" s="1202"/>
      <c r="B98" s="614" t="s">
        <v>229</v>
      </c>
      <c r="C98" s="372">
        <v>1088883</v>
      </c>
      <c r="D98" s="372">
        <v>1099009</v>
      </c>
      <c r="E98" s="372">
        <v>2187892</v>
      </c>
      <c r="F98" s="372">
        <v>147206</v>
      </c>
      <c r="G98" s="372">
        <v>142956</v>
      </c>
      <c r="H98" s="372">
        <v>290162</v>
      </c>
      <c r="I98" s="372">
        <v>53814</v>
      </c>
      <c r="J98" s="372">
        <v>51947</v>
      </c>
      <c r="K98" s="372">
        <v>105761</v>
      </c>
      <c r="L98" s="372">
        <v>536146</v>
      </c>
      <c r="M98" s="372">
        <v>564008</v>
      </c>
      <c r="N98" s="372">
        <v>1100154</v>
      </c>
    </row>
    <row r="99" spans="1:14">
      <c r="A99" s="1202"/>
      <c r="B99" s="614" t="s">
        <v>228</v>
      </c>
      <c r="C99" s="615">
        <v>993417</v>
      </c>
      <c r="D99" s="615">
        <v>995077</v>
      </c>
      <c r="E99" s="615">
        <v>1988494</v>
      </c>
      <c r="F99" s="615">
        <v>132676</v>
      </c>
      <c r="G99" s="615">
        <v>128603</v>
      </c>
      <c r="H99" s="615">
        <v>261279</v>
      </c>
      <c r="I99" s="615">
        <v>48370</v>
      </c>
      <c r="J99" s="615">
        <v>46750</v>
      </c>
      <c r="K99" s="615">
        <v>95120</v>
      </c>
      <c r="L99" s="615">
        <v>480822</v>
      </c>
      <c r="M99" s="615">
        <v>505308</v>
      </c>
      <c r="N99" s="615">
        <v>986130</v>
      </c>
    </row>
    <row r="100" spans="1:14">
      <c r="A100" s="1202"/>
      <c r="B100" s="614" t="s">
        <v>227</v>
      </c>
      <c r="C100" s="374">
        <v>971393.06083695556</v>
      </c>
      <c r="D100" s="374">
        <v>972462.57707732229</v>
      </c>
      <c r="E100" s="374">
        <v>1943855.6379142778</v>
      </c>
      <c r="F100" s="373">
        <v>126417</v>
      </c>
      <c r="G100" s="373">
        <v>120364</v>
      </c>
      <c r="H100" s="373">
        <v>246781</v>
      </c>
      <c r="I100" s="373">
        <v>46088</v>
      </c>
      <c r="J100" s="373">
        <v>43257</v>
      </c>
      <c r="K100" s="373">
        <v>89345</v>
      </c>
      <c r="L100" s="373">
        <v>462696</v>
      </c>
      <c r="M100" s="373">
        <v>474798</v>
      </c>
      <c r="N100" s="373">
        <v>937494</v>
      </c>
    </row>
    <row r="101" spans="1:14">
      <c r="A101" s="1202">
        <v>16</v>
      </c>
      <c r="B101" s="616" t="s">
        <v>31</v>
      </c>
      <c r="C101" s="617"/>
      <c r="D101" s="618"/>
      <c r="E101" s="618"/>
      <c r="F101" s="618"/>
      <c r="G101" s="618"/>
      <c r="H101" s="619"/>
      <c r="I101" s="617"/>
      <c r="J101" s="618"/>
      <c r="K101" s="618"/>
      <c r="L101" s="618"/>
      <c r="M101" s="618"/>
      <c r="N101" s="618"/>
    </row>
    <row r="102" spans="1:14">
      <c r="A102" s="1202"/>
      <c r="B102" s="614" t="s">
        <v>919</v>
      </c>
      <c r="C102" s="617">
        <v>554572</v>
      </c>
      <c r="D102" s="618">
        <v>749873</v>
      </c>
      <c r="E102" s="618">
        <v>1304445</v>
      </c>
      <c r="F102" s="618">
        <v>29991</v>
      </c>
      <c r="G102" s="618">
        <v>50960</v>
      </c>
      <c r="H102" s="619">
        <v>80951</v>
      </c>
      <c r="I102" s="617">
        <v>5914</v>
      </c>
      <c r="J102" s="618">
        <v>8352</v>
      </c>
      <c r="K102" s="618">
        <v>14266</v>
      </c>
      <c r="L102" s="618">
        <v>218765</v>
      </c>
      <c r="M102" s="618">
        <v>318522</v>
      </c>
      <c r="N102" s="618">
        <v>537287</v>
      </c>
    </row>
    <row r="103" spans="1:14">
      <c r="A103" s="1202"/>
      <c r="B103" s="614" t="s">
        <v>876</v>
      </c>
      <c r="C103" s="615">
        <v>559625</v>
      </c>
      <c r="D103" s="615">
        <v>804911</v>
      </c>
      <c r="E103" s="615">
        <v>1364536</v>
      </c>
      <c r="F103" s="615">
        <v>34488</v>
      </c>
      <c r="G103" s="615">
        <v>62108</v>
      </c>
      <c r="H103" s="615">
        <v>96596</v>
      </c>
      <c r="I103" s="615">
        <v>5702</v>
      </c>
      <c r="J103" s="615">
        <v>8712</v>
      </c>
      <c r="K103" s="615">
        <v>14414</v>
      </c>
      <c r="L103" s="615">
        <v>270266</v>
      </c>
      <c r="M103" s="615">
        <v>426085</v>
      </c>
      <c r="N103" s="615">
        <v>696351</v>
      </c>
    </row>
    <row r="104" spans="1:14">
      <c r="A104" s="1202"/>
      <c r="B104" s="614" t="s">
        <v>229</v>
      </c>
      <c r="C104" s="372">
        <v>484849</v>
      </c>
      <c r="D104" s="372">
        <v>653004</v>
      </c>
      <c r="E104" s="372">
        <v>1137853</v>
      </c>
      <c r="F104" s="372">
        <v>25434</v>
      </c>
      <c r="G104" s="372">
        <v>46838</v>
      </c>
      <c r="H104" s="372">
        <v>72272</v>
      </c>
      <c r="I104" s="372">
        <v>4360</v>
      </c>
      <c r="J104" s="372">
        <v>6877</v>
      </c>
      <c r="K104" s="372">
        <v>11237</v>
      </c>
      <c r="L104" s="372">
        <v>194158</v>
      </c>
      <c r="M104" s="372">
        <v>295290</v>
      </c>
      <c r="N104" s="372">
        <v>489448</v>
      </c>
    </row>
    <row r="105" spans="1:14">
      <c r="A105" s="1202"/>
      <c r="B105" s="614" t="s">
        <v>228</v>
      </c>
      <c r="C105" s="615">
        <v>458200</v>
      </c>
      <c r="D105" s="615">
        <v>637642</v>
      </c>
      <c r="E105" s="615">
        <v>1095842</v>
      </c>
      <c r="F105" s="615">
        <v>24464</v>
      </c>
      <c r="G105" s="615">
        <v>44947</v>
      </c>
      <c r="H105" s="615">
        <v>69411</v>
      </c>
      <c r="I105" s="615">
        <v>4272</v>
      </c>
      <c r="J105" s="615">
        <v>6455</v>
      </c>
      <c r="K105" s="615">
        <v>10727</v>
      </c>
      <c r="L105" s="615">
        <v>185095</v>
      </c>
      <c r="M105" s="615">
        <v>274967</v>
      </c>
      <c r="N105" s="615">
        <v>460062</v>
      </c>
    </row>
    <row r="106" spans="1:14">
      <c r="A106" s="1202"/>
      <c r="B106" s="614" t="s">
        <v>227</v>
      </c>
      <c r="C106" s="374">
        <v>480177.7434148303</v>
      </c>
      <c r="D106" s="374">
        <v>602739.05567651894</v>
      </c>
      <c r="E106" s="374">
        <v>1082916.7990913494</v>
      </c>
      <c r="F106" s="373">
        <v>24246</v>
      </c>
      <c r="G106" s="373">
        <v>43518</v>
      </c>
      <c r="H106" s="373">
        <v>67764</v>
      </c>
      <c r="I106" s="373">
        <v>3986</v>
      </c>
      <c r="J106" s="373">
        <v>6103</v>
      </c>
      <c r="K106" s="373">
        <v>10089</v>
      </c>
      <c r="L106" s="373">
        <v>183691</v>
      </c>
      <c r="M106" s="373">
        <v>263978</v>
      </c>
      <c r="N106" s="373">
        <v>447669</v>
      </c>
    </row>
    <row r="107" spans="1:14">
      <c r="A107" s="1213">
        <v>17</v>
      </c>
      <c r="B107" s="616" t="s">
        <v>154</v>
      </c>
      <c r="C107" s="617"/>
      <c r="D107" s="618"/>
      <c r="E107" s="618"/>
      <c r="F107" s="618"/>
      <c r="G107" s="618"/>
      <c r="H107" s="619"/>
      <c r="I107" s="617"/>
      <c r="J107" s="618"/>
      <c r="K107" s="618"/>
      <c r="L107" s="618"/>
      <c r="M107" s="618"/>
      <c r="N107" s="618"/>
    </row>
    <row r="108" spans="1:14">
      <c r="A108" s="1214"/>
      <c r="B108" s="614" t="s">
        <v>919</v>
      </c>
      <c r="C108" s="617">
        <v>1571</v>
      </c>
      <c r="D108" s="618">
        <v>2869</v>
      </c>
      <c r="E108" s="618">
        <v>4440</v>
      </c>
      <c r="F108" s="618">
        <v>20</v>
      </c>
      <c r="G108" s="618">
        <v>20</v>
      </c>
      <c r="H108" s="619">
        <v>40</v>
      </c>
      <c r="I108" s="617">
        <v>1525</v>
      </c>
      <c r="J108" s="618">
        <v>2722</v>
      </c>
      <c r="K108" s="618">
        <v>4247</v>
      </c>
      <c r="L108" s="618">
        <v>0</v>
      </c>
      <c r="M108" s="618">
        <v>5</v>
      </c>
      <c r="N108" s="618">
        <v>5</v>
      </c>
    </row>
    <row r="109" spans="1:14">
      <c r="A109" s="1214"/>
      <c r="B109" s="614" t="s">
        <v>876</v>
      </c>
      <c r="C109" s="615">
        <v>1108</v>
      </c>
      <c r="D109" s="615">
        <v>2039</v>
      </c>
      <c r="E109" s="615">
        <v>3147</v>
      </c>
      <c r="F109" s="615">
        <v>0</v>
      </c>
      <c r="G109" s="615">
        <v>16</v>
      </c>
      <c r="H109" s="615">
        <v>16</v>
      </c>
      <c r="I109" s="615">
        <v>902</v>
      </c>
      <c r="J109" s="615">
        <v>1937</v>
      </c>
      <c r="K109" s="615">
        <v>2839</v>
      </c>
      <c r="L109" s="615">
        <v>35</v>
      </c>
      <c r="M109" s="615">
        <v>24</v>
      </c>
      <c r="N109" s="615">
        <v>59</v>
      </c>
    </row>
    <row r="110" spans="1:14">
      <c r="A110" s="1215"/>
      <c r="B110" s="614" t="s">
        <v>229</v>
      </c>
      <c r="C110" s="372">
        <v>999</v>
      </c>
      <c r="D110" s="372">
        <v>1898</v>
      </c>
      <c r="E110" s="372">
        <v>2897</v>
      </c>
      <c r="F110" s="372">
        <v>0</v>
      </c>
      <c r="G110" s="372">
        <v>0</v>
      </c>
      <c r="H110" s="372">
        <v>0</v>
      </c>
      <c r="I110" s="372">
        <v>923</v>
      </c>
      <c r="J110" s="372">
        <v>1892</v>
      </c>
      <c r="K110" s="372">
        <v>2815</v>
      </c>
      <c r="L110" s="372">
        <v>14</v>
      </c>
      <c r="M110" s="372">
        <v>0</v>
      </c>
      <c r="N110" s="372">
        <v>14</v>
      </c>
    </row>
    <row r="111" spans="1:14">
      <c r="A111" s="1202">
        <v>18</v>
      </c>
      <c r="B111" s="616" t="s">
        <v>32</v>
      </c>
      <c r="C111" s="617"/>
      <c r="D111" s="618"/>
      <c r="E111" s="618"/>
      <c r="F111" s="618"/>
      <c r="G111" s="618"/>
      <c r="H111" s="619"/>
      <c r="I111" s="617"/>
      <c r="J111" s="618"/>
      <c r="K111" s="618"/>
      <c r="L111" s="618"/>
      <c r="M111" s="618"/>
      <c r="N111" s="618"/>
    </row>
    <row r="112" spans="1:14">
      <c r="A112" s="1202"/>
      <c r="B112" s="614" t="s">
        <v>919</v>
      </c>
      <c r="C112" s="617">
        <v>14</v>
      </c>
      <c r="D112" s="618">
        <v>74</v>
      </c>
      <c r="E112" s="618">
        <v>88</v>
      </c>
      <c r="F112" s="618">
        <v>0</v>
      </c>
      <c r="G112" s="618">
        <v>0</v>
      </c>
      <c r="H112" s="619">
        <v>0</v>
      </c>
      <c r="I112" s="617">
        <v>14</v>
      </c>
      <c r="J112" s="618">
        <v>74</v>
      </c>
      <c r="K112" s="618">
        <v>88</v>
      </c>
      <c r="L112" s="618">
        <v>0</v>
      </c>
      <c r="M112" s="618">
        <v>0</v>
      </c>
      <c r="N112" s="618">
        <v>0</v>
      </c>
    </row>
    <row r="113" spans="1:14">
      <c r="A113" s="1202"/>
      <c r="B113" s="614" t="s">
        <v>876</v>
      </c>
      <c r="C113" s="615">
        <v>133</v>
      </c>
      <c r="D113" s="615">
        <v>427</v>
      </c>
      <c r="E113" s="615">
        <v>560</v>
      </c>
      <c r="F113" s="615">
        <v>0</v>
      </c>
      <c r="G113" s="615">
        <v>0</v>
      </c>
      <c r="H113" s="615">
        <v>0</v>
      </c>
      <c r="I113" s="615">
        <v>70</v>
      </c>
      <c r="J113" s="615">
        <v>256</v>
      </c>
      <c r="K113" s="615">
        <v>326</v>
      </c>
      <c r="L113" s="615">
        <v>0</v>
      </c>
      <c r="M113" s="615">
        <v>0</v>
      </c>
      <c r="N113" s="615">
        <v>0</v>
      </c>
    </row>
    <row r="114" spans="1:14">
      <c r="A114" s="1202"/>
      <c r="B114" s="614" t="s">
        <v>229</v>
      </c>
      <c r="C114" s="372">
        <v>133</v>
      </c>
      <c r="D114" s="372">
        <v>427</v>
      </c>
      <c r="E114" s="372">
        <v>560</v>
      </c>
      <c r="F114" s="372">
        <v>0</v>
      </c>
      <c r="G114" s="372">
        <v>0</v>
      </c>
      <c r="H114" s="372">
        <v>0</v>
      </c>
      <c r="I114" s="372">
        <v>70</v>
      </c>
      <c r="J114" s="372">
        <v>256</v>
      </c>
      <c r="K114" s="372">
        <v>326</v>
      </c>
      <c r="L114" s="372">
        <v>0</v>
      </c>
      <c r="M114" s="372">
        <v>0</v>
      </c>
      <c r="N114" s="372">
        <v>0</v>
      </c>
    </row>
    <row r="115" spans="1:14">
      <c r="A115" s="1202"/>
      <c r="B115" s="614" t="s">
        <v>228</v>
      </c>
      <c r="C115" s="615">
        <v>127</v>
      </c>
      <c r="D115" s="615">
        <v>418</v>
      </c>
      <c r="E115" s="615">
        <v>545</v>
      </c>
      <c r="F115" s="615">
        <v>0</v>
      </c>
      <c r="G115" s="615">
        <v>0</v>
      </c>
      <c r="H115" s="615">
        <v>0</v>
      </c>
      <c r="I115" s="615">
        <v>64</v>
      </c>
      <c r="J115" s="615">
        <v>246</v>
      </c>
      <c r="K115" s="615">
        <v>310</v>
      </c>
      <c r="L115" s="615">
        <v>0</v>
      </c>
      <c r="M115" s="615">
        <v>0</v>
      </c>
      <c r="N115" s="615">
        <v>0</v>
      </c>
    </row>
    <row r="116" spans="1:14">
      <c r="A116" s="1202"/>
      <c r="B116" s="614" t="s">
        <v>227</v>
      </c>
      <c r="C116" s="617">
        <v>116</v>
      </c>
      <c r="D116" s="618">
        <v>436</v>
      </c>
      <c r="E116" s="618">
        <v>552</v>
      </c>
      <c r="F116" s="618">
        <v>0</v>
      </c>
      <c r="G116" s="618">
        <v>0</v>
      </c>
      <c r="H116" s="619">
        <v>0</v>
      </c>
      <c r="I116" s="617">
        <v>56</v>
      </c>
      <c r="J116" s="618">
        <v>182</v>
      </c>
      <c r="K116" s="618">
        <v>238</v>
      </c>
      <c r="L116" s="618">
        <v>0</v>
      </c>
      <c r="M116" s="618">
        <v>0</v>
      </c>
      <c r="N116" s="618">
        <v>0</v>
      </c>
    </row>
    <row r="117" spans="1:14">
      <c r="A117" s="1202">
        <v>19</v>
      </c>
      <c r="B117" s="616" t="s">
        <v>33</v>
      </c>
      <c r="C117" s="617"/>
      <c r="D117" s="618"/>
      <c r="E117" s="618"/>
      <c r="F117" s="618"/>
      <c r="G117" s="618"/>
      <c r="H117" s="619"/>
      <c r="I117" s="617"/>
      <c r="J117" s="618"/>
      <c r="K117" s="618"/>
      <c r="L117" s="618"/>
      <c r="M117" s="618"/>
      <c r="N117" s="618"/>
    </row>
    <row r="118" spans="1:14">
      <c r="A118" s="1202"/>
      <c r="B118" s="614" t="s">
        <v>919</v>
      </c>
      <c r="C118" s="617">
        <v>1505908</v>
      </c>
      <c r="D118" s="618">
        <v>1294257</v>
      </c>
      <c r="E118" s="618">
        <v>2800165</v>
      </c>
      <c r="F118" s="618">
        <v>226394</v>
      </c>
      <c r="G118" s="618">
        <v>193880</v>
      </c>
      <c r="H118" s="619">
        <v>420274</v>
      </c>
      <c r="I118" s="617">
        <v>164651</v>
      </c>
      <c r="J118" s="618">
        <v>166351</v>
      </c>
      <c r="K118" s="618">
        <v>331002</v>
      </c>
      <c r="L118" s="618">
        <v>575079</v>
      </c>
      <c r="M118" s="618">
        <v>526841</v>
      </c>
      <c r="N118" s="618">
        <v>1101920</v>
      </c>
    </row>
    <row r="119" spans="1:14">
      <c r="A119" s="1202"/>
      <c r="B119" s="614" t="s">
        <v>876</v>
      </c>
      <c r="C119" s="615">
        <v>1374036</v>
      </c>
      <c r="D119" s="615">
        <v>1224525</v>
      </c>
      <c r="E119" s="615">
        <v>2598561</v>
      </c>
      <c r="F119" s="615">
        <v>210178</v>
      </c>
      <c r="G119" s="615">
        <v>184840</v>
      </c>
      <c r="H119" s="615">
        <v>395018</v>
      </c>
      <c r="I119" s="615">
        <v>140698</v>
      </c>
      <c r="J119" s="615">
        <v>153701</v>
      </c>
      <c r="K119" s="615">
        <v>294399</v>
      </c>
      <c r="L119" s="615">
        <v>528269</v>
      </c>
      <c r="M119" s="615">
        <v>512294</v>
      </c>
      <c r="N119" s="615">
        <v>1040563</v>
      </c>
    </row>
    <row r="120" spans="1:14">
      <c r="A120" s="1202"/>
      <c r="B120" s="614" t="s">
        <v>229</v>
      </c>
      <c r="C120" s="372">
        <v>1144576</v>
      </c>
      <c r="D120" s="372">
        <v>1037578</v>
      </c>
      <c r="E120" s="372">
        <v>2182154</v>
      </c>
      <c r="F120" s="372">
        <v>176528</v>
      </c>
      <c r="G120" s="372">
        <v>154691</v>
      </c>
      <c r="H120" s="372">
        <v>331219</v>
      </c>
      <c r="I120" s="372">
        <v>107910</v>
      </c>
      <c r="J120" s="372">
        <v>107489</v>
      </c>
      <c r="K120" s="372">
        <v>215399</v>
      </c>
      <c r="L120" s="372">
        <v>449846</v>
      </c>
      <c r="M120" s="372">
        <v>425197</v>
      </c>
      <c r="N120" s="372">
        <v>875043</v>
      </c>
    </row>
    <row r="121" spans="1:14">
      <c r="A121" s="1202"/>
      <c r="B121" s="614" t="s">
        <v>228</v>
      </c>
      <c r="C121" s="615">
        <v>1027738</v>
      </c>
      <c r="D121" s="615">
        <v>901606</v>
      </c>
      <c r="E121" s="615">
        <v>1929344</v>
      </c>
      <c r="F121" s="615">
        <v>154836</v>
      </c>
      <c r="G121" s="615">
        <v>129221</v>
      </c>
      <c r="H121" s="615">
        <v>284057</v>
      </c>
      <c r="I121" s="615">
        <v>101105</v>
      </c>
      <c r="J121" s="615">
        <v>97921</v>
      </c>
      <c r="K121" s="615">
        <v>199026</v>
      </c>
      <c r="L121" s="615">
        <v>406281</v>
      </c>
      <c r="M121" s="615">
        <v>366091</v>
      </c>
      <c r="N121" s="615">
        <v>772372</v>
      </c>
    </row>
    <row r="122" spans="1:14">
      <c r="A122" s="1202"/>
      <c r="B122" s="614" t="s">
        <v>227</v>
      </c>
      <c r="C122" s="374">
        <v>1023418.4481650935</v>
      </c>
      <c r="D122" s="374">
        <v>862060.41071448405</v>
      </c>
      <c r="E122" s="374">
        <v>1885478.8588795776</v>
      </c>
      <c r="F122" s="373">
        <v>159632</v>
      </c>
      <c r="G122" s="373">
        <v>124154</v>
      </c>
      <c r="H122" s="373">
        <v>283786</v>
      </c>
      <c r="I122" s="373">
        <v>96286</v>
      </c>
      <c r="J122" s="373">
        <v>84612</v>
      </c>
      <c r="K122" s="373">
        <v>180898</v>
      </c>
      <c r="L122" s="373">
        <v>396788</v>
      </c>
      <c r="M122" s="373">
        <v>336461</v>
      </c>
      <c r="N122" s="373">
        <v>733249</v>
      </c>
    </row>
    <row r="123" spans="1:14">
      <c r="A123" s="1202">
        <v>20</v>
      </c>
      <c r="B123" s="616" t="s">
        <v>34</v>
      </c>
      <c r="C123" s="617"/>
      <c r="D123" s="618"/>
      <c r="E123" s="618"/>
      <c r="F123" s="618"/>
      <c r="G123" s="618"/>
      <c r="H123" s="619"/>
      <c r="I123" s="617"/>
      <c r="J123" s="618"/>
      <c r="K123" s="618"/>
      <c r="L123" s="618"/>
      <c r="M123" s="618"/>
      <c r="N123" s="618"/>
    </row>
    <row r="124" spans="1:14">
      <c r="A124" s="1202"/>
      <c r="B124" s="614" t="s">
        <v>919</v>
      </c>
      <c r="C124" s="617">
        <v>2542831</v>
      </c>
      <c r="D124" s="618">
        <v>2035012</v>
      </c>
      <c r="E124" s="618">
        <v>4577843</v>
      </c>
      <c r="F124" s="618">
        <v>313255</v>
      </c>
      <c r="G124" s="618">
        <v>268938</v>
      </c>
      <c r="H124" s="619">
        <v>582193</v>
      </c>
      <c r="I124" s="617">
        <v>115731</v>
      </c>
      <c r="J124" s="618">
        <v>90990</v>
      </c>
      <c r="K124" s="618">
        <v>206721</v>
      </c>
      <c r="L124" s="618">
        <v>763737</v>
      </c>
      <c r="M124" s="618">
        <v>615985</v>
      </c>
      <c r="N124" s="618">
        <v>1379722</v>
      </c>
    </row>
    <row r="125" spans="1:14">
      <c r="A125" s="1202"/>
      <c r="B125" s="614" t="s">
        <v>876</v>
      </c>
      <c r="C125" s="615">
        <v>2491897</v>
      </c>
      <c r="D125" s="615">
        <v>2054252</v>
      </c>
      <c r="E125" s="615">
        <v>4546149</v>
      </c>
      <c r="F125" s="615">
        <v>290289</v>
      </c>
      <c r="G125" s="615">
        <v>255618</v>
      </c>
      <c r="H125" s="615">
        <v>545907</v>
      </c>
      <c r="I125" s="615">
        <v>111489</v>
      </c>
      <c r="J125" s="615">
        <v>86643</v>
      </c>
      <c r="K125" s="615">
        <v>198132</v>
      </c>
      <c r="L125" s="615">
        <v>723073</v>
      </c>
      <c r="M125" s="615">
        <v>583566</v>
      </c>
      <c r="N125" s="615">
        <v>1306639</v>
      </c>
    </row>
    <row r="126" spans="1:14">
      <c r="A126" s="1202"/>
      <c r="B126" s="614" t="s">
        <v>229</v>
      </c>
      <c r="C126" s="372">
        <v>2313862</v>
      </c>
      <c r="D126" s="372">
        <v>1951610</v>
      </c>
      <c r="E126" s="372">
        <v>4265472</v>
      </c>
      <c r="F126" s="372">
        <v>260361</v>
      </c>
      <c r="G126" s="372">
        <v>243253</v>
      </c>
      <c r="H126" s="372">
        <v>503614</v>
      </c>
      <c r="I126" s="372">
        <v>105835</v>
      </c>
      <c r="J126" s="372">
        <v>82907</v>
      </c>
      <c r="K126" s="372">
        <v>188742</v>
      </c>
      <c r="L126" s="372">
        <v>684718</v>
      </c>
      <c r="M126" s="372">
        <v>581699</v>
      </c>
      <c r="N126" s="372">
        <v>1266417</v>
      </c>
    </row>
    <row r="127" spans="1:14">
      <c r="A127" s="1202"/>
      <c r="B127" s="614" t="s">
        <v>228</v>
      </c>
      <c r="C127" s="615">
        <v>2324424</v>
      </c>
      <c r="D127" s="615">
        <v>1905902</v>
      </c>
      <c r="E127" s="615">
        <v>4230326</v>
      </c>
      <c r="F127" s="615">
        <v>269942</v>
      </c>
      <c r="G127" s="615">
        <v>240577</v>
      </c>
      <c r="H127" s="615">
        <v>510519</v>
      </c>
      <c r="I127" s="615">
        <v>105146</v>
      </c>
      <c r="J127" s="615">
        <v>79830</v>
      </c>
      <c r="K127" s="615">
        <v>184976</v>
      </c>
      <c r="L127" s="615">
        <v>681445</v>
      </c>
      <c r="M127" s="615">
        <v>565904</v>
      </c>
      <c r="N127" s="615">
        <v>1247349</v>
      </c>
    </row>
    <row r="128" spans="1:14">
      <c r="A128" s="1202"/>
      <c r="B128" s="614" t="s">
        <v>227</v>
      </c>
      <c r="C128" s="374">
        <v>2271077.9431296396</v>
      </c>
      <c r="D128" s="374">
        <v>1860678.7330807578</v>
      </c>
      <c r="E128" s="374">
        <v>4131756.6762103974</v>
      </c>
      <c r="F128" s="373">
        <v>271757</v>
      </c>
      <c r="G128" s="373">
        <v>231526</v>
      </c>
      <c r="H128" s="373">
        <v>503283</v>
      </c>
      <c r="I128" s="373">
        <v>108166</v>
      </c>
      <c r="J128" s="373">
        <v>76829</v>
      </c>
      <c r="K128" s="373">
        <v>184995</v>
      </c>
      <c r="L128" s="373">
        <v>675138</v>
      </c>
      <c r="M128" s="373">
        <v>545036</v>
      </c>
      <c r="N128" s="373">
        <v>1220174</v>
      </c>
    </row>
    <row r="129" spans="1:14">
      <c r="A129" s="1202">
        <v>21</v>
      </c>
      <c r="B129" s="616" t="s">
        <v>35</v>
      </c>
      <c r="C129" s="617"/>
      <c r="D129" s="618"/>
      <c r="E129" s="618"/>
      <c r="F129" s="618"/>
      <c r="G129" s="618"/>
      <c r="H129" s="619"/>
      <c r="I129" s="617"/>
      <c r="J129" s="618"/>
      <c r="K129" s="618"/>
      <c r="L129" s="618"/>
      <c r="M129" s="618"/>
      <c r="N129" s="618"/>
    </row>
    <row r="130" spans="1:14">
      <c r="A130" s="1202"/>
      <c r="B130" s="614" t="s">
        <v>919</v>
      </c>
      <c r="C130" s="617">
        <v>66234</v>
      </c>
      <c r="D130" s="618">
        <v>64154</v>
      </c>
      <c r="E130" s="618">
        <v>130388</v>
      </c>
      <c r="F130" s="618">
        <v>3910</v>
      </c>
      <c r="G130" s="618">
        <v>3755</v>
      </c>
      <c r="H130" s="619">
        <v>7665</v>
      </c>
      <c r="I130" s="617">
        <v>22375</v>
      </c>
      <c r="J130" s="618">
        <v>22919</v>
      </c>
      <c r="K130" s="618">
        <v>45294</v>
      </c>
      <c r="L130" s="618">
        <v>20640</v>
      </c>
      <c r="M130" s="618">
        <v>21195</v>
      </c>
      <c r="N130" s="618">
        <v>41835</v>
      </c>
    </row>
    <row r="131" spans="1:14">
      <c r="A131" s="1202"/>
      <c r="B131" s="614" t="s">
        <v>876</v>
      </c>
      <c r="C131" s="615">
        <v>68916</v>
      </c>
      <c r="D131" s="615">
        <v>69583</v>
      </c>
      <c r="E131" s="615">
        <v>138499</v>
      </c>
      <c r="F131" s="615">
        <v>5110</v>
      </c>
      <c r="G131" s="615">
        <v>4229</v>
      </c>
      <c r="H131" s="615">
        <v>9339</v>
      </c>
      <c r="I131" s="615">
        <v>18790</v>
      </c>
      <c r="J131" s="615">
        <v>18859</v>
      </c>
      <c r="K131" s="615">
        <v>37649</v>
      </c>
      <c r="L131" s="615">
        <v>18578</v>
      </c>
      <c r="M131" s="615">
        <v>22308</v>
      </c>
      <c r="N131" s="615">
        <v>40886</v>
      </c>
    </row>
    <row r="132" spans="1:14">
      <c r="A132" s="1202"/>
      <c r="B132" s="614" t="s">
        <v>229</v>
      </c>
      <c r="C132" s="375">
        <v>60918</v>
      </c>
      <c r="D132" s="375">
        <v>63620</v>
      </c>
      <c r="E132" s="375">
        <v>124538</v>
      </c>
      <c r="F132" s="375">
        <v>3353</v>
      </c>
      <c r="G132" s="375">
        <v>3259</v>
      </c>
      <c r="H132" s="375">
        <v>6612</v>
      </c>
      <c r="I132" s="375">
        <v>17660</v>
      </c>
      <c r="J132" s="375">
        <v>18273</v>
      </c>
      <c r="K132" s="375">
        <v>35933</v>
      </c>
      <c r="L132" s="375">
        <v>17875</v>
      </c>
      <c r="M132" s="375">
        <v>22253</v>
      </c>
      <c r="N132" s="375">
        <v>40128</v>
      </c>
    </row>
    <row r="133" spans="1:14">
      <c r="A133" s="1202"/>
      <c r="B133" s="614" t="s">
        <v>228</v>
      </c>
      <c r="C133" s="615">
        <v>54679</v>
      </c>
      <c r="D133" s="615">
        <v>55698</v>
      </c>
      <c r="E133" s="615">
        <v>110377</v>
      </c>
      <c r="F133" s="615">
        <v>3325</v>
      </c>
      <c r="G133" s="615">
        <v>3023</v>
      </c>
      <c r="H133" s="615">
        <v>6348</v>
      </c>
      <c r="I133" s="615">
        <v>18323</v>
      </c>
      <c r="J133" s="615">
        <v>17453</v>
      </c>
      <c r="K133" s="615">
        <v>35776</v>
      </c>
      <c r="L133" s="615">
        <v>16068</v>
      </c>
      <c r="M133" s="615">
        <v>19638</v>
      </c>
      <c r="N133" s="615">
        <v>35706</v>
      </c>
    </row>
    <row r="134" spans="1:14">
      <c r="A134" s="1202"/>
      <c r="B134" s="614" t="s">
        <v>227</v>
      </c>
      <c r="C134" s="374">
        <v>51270.875438012998</v>
      </c>
      <c r="D134" s="374">
        <v>53409.095683233973</v>
      </c>
      <c r="E134" s="374">
        <v>104679.97112124697</v>
      </c>
      <c r="F134" s="373">
        <v>3523</v>
      </c>
      <c r="G134" s="373">
        <v>3115</v>
      </c>
      <c r="H134" s="373">
        <v>6638</v>
      </c>
      <c r="I134" s="373">
        <v>17636</v>
      </c>
      <c r="J134" s="373">
        <v>16100</v>
      </c>
      <c r="K134" s="373">
        <v>33736</v>
      </c>
      <c r="L134" s="373">
        <v>16747</v>
      </c>
      <c r="M134" s="373">
        <v>19740</v>
      </c>
      <c r="N134" s="373">
        <v>36487</v>
      </c>
    </row>
    <row r="135" spans="1:14">
      <c r="A135" s="1202">
        <v>22</v>
      </c>
      <c r="B135" s="616" t="s">
        <v>36</v>
      </c>
      <c r="C135" s="617"/>
      <c r="D135" s="618"/>
      <c r="E135" s="618"/>
      <c r="F135" s="618"/>
      <c r="G135" s="618"/>
      <c r="H135" s="619"/>
      <c r="I135" s="617"/>
      <c r="J135" s="618"/>
      <c r="K135" s="618"/>
      <c r="L135" s="618"/>
      <c r="M135" s="618"/>
      <c r="N135" s="618"/>
    </row>
    <row r="136" spans="1:14">
      <c r="A136" s="1202"/>
      <c r="B136" s="614" t="s">
        <v>919</v>
      </c>
      <c r="C136" s="617">
        <v>43588</v>
      </c>
      <c r="D136" s="618">
        <v>52865</v>
      </c>
      <c r="E136" s="618">
        <v>96453</v>
      </c>
      <c r="F136" s="618">
        <v>1317</v>
      </c>
      <c r="G136" s="618">
        <v>1311</v>
      </c>
      <c r="H136" s="619">
        <v>2628</v>
      </c>
      <c r="I136" s="617">
        <v>32765</v>
      </c>
      <c r="J136" s="618">
        <v>43390</v>
      </c>
      <c r="K136" s="618">
        <v>76155</v>
      </c>
      <c r="L136" s="618">
        <v>1403</v>
      </c>
      <c r="M136" s="618">
        <v>1362</v>
      </c>
      <c r="N136" s="618">
        <v>2765</v>
      </c>
    </row>
    <row r="137" spans="1:14">
      <c r="A137" s="1202"/>
      <c r="B137" s="614" t="s">
        <v>876</v>
      </c>
      <c r="C137" s="615">
        <v>43104</v>
      </c>
      <c r="D137" s="615">
        <v>54480</v>
      </c>
      <c r="E137" s="615">
        <v>97584</v>
      </c>
      <c r="F137" s="615">
        <v>2114</v>
      </c>
      <c r="G137" s="615">
        <v>1697</v>
      </c>
      <c r="H137" s="615">
        <v>3811</v>
      </c>
      <c r="I137" s="615">
        <v>30260</v>
      </c>
      <c r="J137" s="615">
        <v>41669</v>
      </c>
      <c r="K137" s="615">
        <v>71929</v>
      </c>
      <c r="L137" s="615">
        <v>1120</v>
      </c>
      <c r="M137" s="615">
        <v>1158</v>
      </c>
      <c r="N137" s="615">
        <v>2278</v>
      </c>
    </row>
    <row r="138" spans="1:14">
      <c r="A138" s="1202"/>
      <c r="B138" s="614" t="s">
        <v>229</v>
      </c>
      <c r="C138" s="372">
        <v>39844</v>
      </c>
      <c r="D138" s="372">
        <v>47697</v>
      </c>
      <c r="E138" s="372">
        <v>87541</v>
      </c>
      <c r="F138" s="372">
        <v>1124</v>
      </c>
      <c r="G138" s="372">
        <v>824</v>
      </c>
      <c r="H138" s="372">
        <v>1948</v>
      </c>
      <c r="I138" s="372">
        <v>29208</v>
      </c>
      <c r="J138" s="372">
        <v>39413</v>
      </c>
      <c r="K138" s="372">
        <v>68621</v>
      </c>
      <c r="L138" s="372">
        <v>2503</v>
      </c>
      <c r="M138" s="372">
        <v>1460</v>
      </c>
      <c r="N138" s="372">
        <v>3963</v>
      </c>
    </row>
    <row r="139" spans="1:14">
      <c r="A139" s="1202"/>
      <c r="B139" s="614" t="s">
        <v>228</v>
      </c>
      <c r="C139" s="615">
        <v>39461</v>
      </c>
      <c r="D139" s="615">
        <v>47470</v>
      </c>
      <c r="E139" s="615">
        <v>86931</v>
      </c>
      <c r="F139" s="615">
        <v>909</v>
      </c>
      <c r="G139" s="615">
        <v>2112</v>
      </c>
      <c r="H139" s="615">
        <v>3021</v>
      </c>
      <c r="I139" s="615">
        <v>29641</v>
      </c>
      <c r="J139" s="615">
        <v>38383</v>
      </c>
      <c r="K139" s="615">
        <v>68024</v>
      </c>
      <c r="L139" s="615">
        <v>2446</v>
      </c>
      <c r="M139" s="615">
        <v>1421</v>
      </c>
      <c r="N139" s="615">
        <v>3867</v>
      </c>
    </row>
    <row r="140" spans="1:14">
      <c r="A140" s="1202"/>
      <c r="B140" s="614" t="s">
        <v>227</v>
      </c>
      <c r="C140" s="374">
        <v>40427.713486908644</v>
      </c>
      <c r="D140" s="374">
        <v>43394.089871076707</v>
      </c>
      <c r="E140" s="374">
        <v>83821.803357985351</v>
      </c>
      <c r="F140" s="373">
        <v>568</v>
      </c>
      <c r="G140" s="373">
        <v>376</v>
      </c>
      <c r="H140" s="373">
        <v>944</v>
      </c>
      <c r="I140" s="373">
        <v>25989</v>
      </c>
      <c r="J140" s="373">
        <v>30948</v>
      </c>
      <c r="K140" s="373">
        <v>56937</v>
      </c>
      <c r="L140" s="373">
        <v>2292</v>
      </c>
      <c r="M140" s="373">
        <v>1337</v>
      </c>
      <c r="N140" s="373">
        <v>3629</v>
      </c>
    </row>
    <row r="141" spans="1:14">
      <c r="A141" s="1202">
        <v>23</v>
      </c>
      <c r="B141" s="616" t="s">
        <v>37</v>
      </c>
      <c r="C141" s="617"/>
      <c r="D141" s="618"/>
      <c r="E141" s="618"/>
      <c r="F141" s="618"/>
      <c r="G141" s="618"/>
      <c r="H141" s="619"/>
      <c r="I141" s="617"/>
      <c r="J141" s="618"/>
      <c r="K141" s="618"/>
      <c r="L141" s="618"/>
      <c r="M141" s="618"/>
      <c r="N141" s="618"/>
    </row>
    <row r="142" spans="1:14">
      <c r="A142" s="1202"/>
      <c r="B142" s="614" t="s">
        <v>919</v>
      </c>
      <c r="C142" s="617">
        <v>23191</v>
      </c>
      <c r="D142" s="618">
        <v>23580</v>
      </c>
      <c r="E142" s="618">
        <v>46771</v>
      </c>
      <c r="F142" s="372">
        <v>254</v>
      </c>
      <c r="G142" s="372">
        <v>203</v>
      </c>
      <c r="H142" s="372">
        <v>457</v>
      </c>
      <c r="I142" s="372">
        <v>21813</v>
      </c>
      <c r="J142" s="372">
        <v>22658</v>
      </c>
      <c r="K142" s="372">
        <v>44471</v>
      </c>
      <c r="L142" s="618">
        <v>392</v>
      </c>
      <c r="M142" s="618">
        <v>281</v>
      </c>
      <c r="N142" s="618">
        <v>673</v>
      </c>
    </row>
    <row r="143" spans="1:14">
      <c r="A143" s="1202"/>
      <c r="B143" s="614" t="s">
        <v>876</v>
      </c>
      <c r="C143" s="615">
        <v>19201</v>
      </c>
      <c r="D143" s="615">
        <v>19509</v>
      </c>
      <c r="E143" s="615">
        <v>38710</v>
      </c>
      <c r="F143" s="615">
        <v>200</v>
      </c>
      <c r="G143" s="615">
        <v>111</v>
      </c>
      <c r="H143" s="615">
        <v>311</v>
      </c>
      <c r="I143" s="615">
        <v>17963</v>
      </c>
      <c r="J143" s="615">
        <v>18673</v>
      </c>
      <c r="K143" s="615">
        <v>36636</v>
      </c>
      <c r="L143" s="615">
        <v>379</v>
      </c>
      <c r="M143" s="615">
        <v>244</v>
      </c>
      <c r="N143" s="615">
        <v>623</v>
      </c>
    </row>
    <row r="144" spans="1:14">
      <c r="A144" s="1202"/>
      <c r="B144" s="614" t="s">
        <v>229</v>
      </c>
      <c r="C144" s="372">
        <v>17156</v>
      </c>
      <c r="D144" s="372">
        <v>16080</v>
      </c>
      <c r="E144" s="372">
        <v>33236</v>
      </c>
      <c r="F144" s="372">
        <v>161</v>
      </c>
      <c r="G144" s="372">
        <v>61</v>
      </c>
      <c r="H144" s="372">
        <v>222</v>
      </c>
      <c r="I144" s="372">
        <v>15882</v>
      </c>
      <c r="J144" s="372">
        <v>15689</v>
      </c>
      <c r="K144" s="372">
        <v>31571</v>
      </c>
      <c r="L144" s="372">
        <v>380</v>
      </c>
      <c r="M144" s="372">
        <v>181</v>
      </c>
      <c r="N144" s="372">
        <v>561</v>
      </c>
    </row>
    <row r="145" spans="1:14">
      <c r="A145" s="1202"/>
      <c r="B145" s="614" t="s">
        <v>228</v>
      </c>
      <c r="C145" s="615">
        <v>16852</v>
      </c>
      <c r="D145" s="615">
        <v>15986</v>
      </c>
      <c r="E145" s="615">
        <v>32838</v>
      </c>
      <c r="F145" s="615">
        <v>143</v>
      </c>
      <c r="G145" s="615">
        <v>77</v>
      </c>
      <c r="H145" s="615">
        <v>220</v>
      </c>
      <c r="I145" s="615">
        <v>15836</v>
      </c>
      <c r="J145" s="615">
        <v>15391</v>
      </c>
      <c r="K145" s="615">
        <v>31227</v>
      </c>
      <c r="L145" s="615">
        <v>361</v>
      </c>
      <c r="M145" s="615">
        <v>181</v>
      </c>
      <c r="N145" s="615">
        <v>542</v>
      </c>
    </row>
    <row r="146" spans="1:14">
      <c r="A146" s="1202"/>
      <c r="B146" s="614" t="s">
        <v>227</v>
      </c>
      <c r="C146" s="373">
        <v>15861</v>
      </c>
      <c r="D146" s="373">
        <v>13634</v>
      </c>
      <c r="E146" s="373">
        <v>29495</v>
      </c>
      <c r="F146" s="373">
        <v>130</v>
      </c>
      <c r="G146" s="373">
        <v>61</v>
      </c>
      <c r="H146" s="373">
        <v>191</v>
      </c>
      <c r="I146" s="373">
        <v>14885</v>
      </c>
      <c r="J146" s="373">
        <v>13149</v>
      </c>
      <c r="K146" s="373">
        <v>28034</v>
      </c>
      <c r="L146" s="373">
        <v>326</v>
      </c>
      <c r="M146" s="373">
        <v>146</v>
      </c>
      <c r="N146" s="373">
        <v>472</v>
      </c>
    </row>
    <row r="147" spans="1:14">
      <c r="A147" s="1202">
        <v>24</v>
      </c>
      <c r="B147" s="616" t="s">
        <v>38</v>
      </c>
      <c r="C147" s="617"/>
      <c r="D147" s="618"/>
      <c r="E147" s="618"/>
      <c r="F147" s="618"/>
      <c r="G147" s="618"/>
      <c r="H147" s="619"/>
      <c r="I147" s="617"/>
      <c r="J147" s="618"/>
      <c r="K147" s="618"/>
      <c r="L147" s="618"/>
      <c r="M147" s="618"/>
      <c r="N147" s="618"/>
    </row>
    <row r="148" spans="1:14">
      <c r="A148" s="1202"/>
      <c r="B148" s="614" t="s">
        <v>919</v>
      </c>
      <c r="C148" s="617">
        <v>23557</v>
      </c>
      <c r="D148" s="618">
        <v>27666</v>
      </c>
      <c r="E148" s="618">
        <v>51223</v>
      </c>
      <c r="F148" s="618">
        <v>286</v>
      </c>
      <c r="G148" s="618">
        <v>312</v>
      </c>
      <c r="H148" s="619">
        <v>598</v>
      </c>
      <c r="I148" s="617">
        <v>20887</v>
      </c>
      <c r="J148" s="618">
        <v>24980</v>
      </c>
      <c r="K148" s="618">
        <v>45867</v>
      </c>
      <c r="L148" s="618">
        <v>603</v>
      </c>
      <c r="M148" s="618">
        <v>550</v>
      </c>
      <c r="N148" s="618">
        <v>1153</v>
      </c>
    </row>
    <row r="149" spans="1:14">
      <c r="A149" s="1202"/>
      <c r="B149" s="614" t="s">
        <v>876</v>
      </c>
      <c r="C149" s="615">
        <v>21750</v>
      </c>
      <c r="D149" s="615">
        <v>25204</v>
      </c>
      <c r="E149" s="615">
        <v>46954</v>
      </c>
      <c r="F149" s="615">
        <v>279</v>
      </c>
      <c r="G149" s="615">
        <v>265</v>
      </c>
      <c r="H149" s="615">
        <v>544</v>
      </c>
      <c r="I149" s="615">
        <v>18340</v>
      </c>
      <c r="J149" s="615">
        <v>21869</v>
      </c>
      <c r="K149" s="615">
        <v>40209</v>
      </c>
      <c r="L149" s="615">
        <v>517</v>
      </c>
      <c r="M149" s="615">
        <v>472</v>
      </c>
      <c r="N149" s="615">
        <v>989</v>
      </c>
    </row>
    <row r="150" spans="1:14">
      <c r="A150" s="1202"/>
      <c r="B150" s="614" t="s">
        <v>229</v>
      </c>
      <c r="C150" s="372">
        <v>20255</v>
      </c>
      <c r="D150" s="372">
        <v>24306</v>
      </c>
      <c r="E150" s="372">
        <v>44561</v>
      </c>
      <c r="F150" s="372">
        <v>191</v>
      </c>
      <c r="G150" s="372">
        <v>145</v>
      </c>
      <c r="H150" s="372">
        <v>336</v>
      </c>
      <c r="I150" s="372">
        <v>18460</v>
      </c>
      <c r="J150" s="372">
        <v>22495</v>
      </c>
      <c r="K150" s="372">
        <v>40955</v>
      </c>
      <c r="L150" s="372">
        <v>454</v>
      </c>
      <c r="M150" s="372">
        <v>389</v>
      </c>
      <c r="N150" s="372">
        <v>843</v>
      </c>
    </row>
    <row r="151" spans="1:14">
      <c r="A151" s="1202"/>
      <c r="B151" s="614" t="s">
        <v>228</v>
      </c>
      <c r="C151" s="615">
        <v>21987</v>
      </c>
      <c r="D151" s="615">
        <v>23475</v>
      </c>
      <c r="E151" s="615">
        <v>45462</v>
      </c>
      <c r="F151" s="615">
        <v>233</v>
      </c>
      <c r="G151" s="615">
        <v>168</v>
      </c>
      <c r="H151" s="615">
        <v>401</v>
      </c>
      <c r="I151" s="615">
        <v>18615</v>
      </c>
      <c r="J151" s="615">
        <v>21483</v>
      </c>
      <c r="K151" s="615">
        <v>40098</v>
      </c>
      <c r="L151" s="615">
        <v>471</v>
      </c>
      <c r="M151" s="615">
        <v>377</v>
      </c>
      <c r="N151" s="615">
        <v>848</v>
      </c>
    </row>
    <row r="152" spans="1:14">
      <c r="A152" s="1202"/>
      <c r="B152" s="614" t="s">
        <v>227</v>
      </c>
      <c r="C152" s="373">
        <v>22118</v>
      </c>
      <c r="D152" s="373">
        <v>21439</v>
      </c>
      <c r="E152" s="373">
        <v>43557</v>
      </c>
      <c r="F152" s="373">
        <v>229</v>
      </c>
      <c r="G152" s="373">
        <v>181</v>
      </c>
      <c r="H152" s="373">
        <v>410</v>
      </c>
      <c r="I152" s="373">
        <v>17624</v>
      </c>
      <c r="J152" s="373">
        <v>19035</v>
      </c>
      <c r="K152" s="373">
        <v>36659</v>
      </c>
      <c r="L152" s="373">
        <v>427</v>
      </c>
      <c r="M152" s="373">
        <v>281</v>
      </c>
      <c r="N152" s="373">
        <v>708</v>
      </c>
    </row>
    <row r="153" spans="1:14">
      <c r="A153" s="1202">
        <v>25</v>
      </c>
      <c r="B153" s="616" t="s">
        <v>39</v>
      </c>
      <c r="C153" s="617"/>
      <c r="D153" s="618"/>
      <c r="E153" s="618"/>
      <c r="F153" s="618"/>
      <c r="G153" s="618"/>
      <c r="H153" s="619"/>
      <c r="I153" s="617"/>
      <c r="J153" s="618"/>
      <c r="K153" s="618"/>
      <c r="L153" s="618"/>
      <c r="M153" s="618"/>
      <c r="N153" s="618"/>
    </row>
    <row r="154" spans="1:14">
      <c r="A154" s="1202"/>
      <c r="B154" s="614" t="s">
        <v>919</v>
      </c>
      <c r="C154" s="617">
        <v>581167</v>
      </c>
      <c r="D154" s="618">
        <v>492712</v>
      </c>
      <c r="E154" s="618">
        <v>1073879</v>
      </c>
      <c r="F154" s="618">
        <v>109719</v>
      </c>
      <c r="G154" s="618">
        <v>83994</v>
      </c>
      <c r="H154" s="619">
        <v>193713</v>
      </c>
      <c r="I154" s="617">
        <v>85933</v>
      </c>
      <c r="J154" s="618">
        <v>77279</v>
      </c>
      <c r="K154" s="618">
        <v>163212</v>
      </c>
      <c r="L154" s="618">
        <v>124645</v>
      </c>
      <c r="M154" s="618">
        <v>114571</v>
      </c>
      <c r="N154" s="618">
        <v>239216</v>
      </c>
    </row>
    <row r="155" spans="1:14">
      <c r="A155" s="1202"/>
      <c r="B155" s="614" t="s">
        <v>876</v>
      </c>
      <c r="C155" s="615">
        <v>525883</v>
      </c>
      <c r="D155" s="615">
        <v>481139</v>
      </c>
      <c r="E155" s="615">
        <v>1007022</v>
      </c>
      <c r="F155" s="615">
        <v>93024</v>
      </c>
      <c r="G155" s="615">
        <v>77606</v>
      </c>
      <c r="H155" s="615">
        <v>170630</v>
      </c>
      <c r="I155" s="615">
        <v>72697</v>
      </c>
      <c r="J155" s="615">
        <v>69019</v>
      </c>
      <c r="K155" s="615">
        <v>141716</v>
      </c>
      <c r="L155" s="615">
        <v>100218</v>
      </c>
      <c r="M155" s="615">
        <v>99879</v>
      </c>
      <c r="N155" s="615">
        <v>200097</v>
      </c>
    </row>
    <row r="156" spans="1:14">
      <c r="A156" s="1202"/>
      <c r="B156" s="614" t="s">
        <v>229</v>
      </c>
      <c r="C156" s="372">
        <v>529226</v>
      </c>
      <c r="D156" s="372">
        <v>465703</v>
      </c>
      <c r="E156" s="372">
        <v>994929</v>
      </c>
      <c r="F156" s="372">
        <v>88766</v>
      </c>
      <c r="G156" s="372">
        <v>71362</v>
      </c>
      <c r="H156" s="372">
        <v>160128</v>
      </c>
      <c r="I156" s="372">
        <v>70031</v>
      </c>
      <c r="J156" s="372">
        <v>64832</v>
      </c>
      <c r="K156" s="372">
        <v>134863</v>
      </c>
      <c r="L156" s="372">
        <v>110320</v>
      </c>
      <c r="M156" s="372">
        <v>102419</v>
      </c>
      <c r="N156" s="372">
        <v>212739</v>
      </c>
    </row>
    <row r="157" spans="1:14">
      <c r="A157" s="1202"/>
      <c r="B157" s="614" t="s">
        <v>228</v>
      </c>
      <c r="C157" s="615">
        <v>558364</v>
      </c>
      <c r="D157" s="615">
        <v>460828</v>
      </c>
      <c r="E157" s="615">
        <v>1019192</v>
      </c>
      <c r="F157" s="615">
        <v>92203</v>
      </c>
      <c r="G157" s="615">
        <v>70405</v>
      </c>
      <c r="H157" s="615">
        <v>162608</v>
      </c>
      <c r="I157" s="615">
        <v>68967</v>
      </c>
      <c r="J157" s="615">
        <v>58845</v>
      </c>
      <c r="K157" s="615">
        <v>127812</v>
      </c>
      <c r="L157" s="615">
        <v>110862</v>
      </c>
      <c r="M157" s="615">
        <v>99396</v>
      </c>
      <c r="N157" s="615">
        <v>210258</v>
      </c>
    </row>
    <row r="158" spans="1:14">
      <c r="A158" s="1202"/>
      <c r="B158" s="614" t="s">
        <v>227</v>
      </c>
      <c r="C158" s="374">
        <v>549575.04319256498</v>
      </c>
      <c r="D158" s="374">
        <v>466201.56016932696</v>
      </c>
      <c r="E158" s="374">
        <v>1015776.6033618919</v>
      </c>
      <c r="F158" s="373">
        <v>88490</v>
      </c>
      <c r="G158" s="373">
        <v>64545</v>
      </c>
      <c r="H158" s="373">
        <v>153035</v>
      </c>
      <c r="I158" s="373">
        <v>68567</v>
      </c>
      <c r="J158" s="373">
        <v>56400</v>
      </c>
      <c r="K158" s="373">
        <v>124967</v>
      </c>
      <c r="L158" s="373">
        <v>108119</v>
      </c>
      <c r="M158" s="373">
        <v>95617</v>
      </c>
      <c r="N158" s="373">
        <v>203736</v>
      </c>
    </row>
    <row r="159" spans="1:14">
      <c r="A159" s="1202">
        <v>26</v>
      </c>
      <c r="B159" s="616" t="s">
        <v>40</v>
      </c>
      <c r="C159" s="617"/>
      <c r="D159" s="618"/>
      <c r="E159" s="618"/>
      <c r="F159" s="618"/>
      <c r="G159" s="618"/>
      <c r="H159" s="619"/>
      <c r="I159" s="617"/>
      <c r="J159" s="618"/>
      <c r="K159" s="618"/>
      <c r="L159" s="618"/>
      <c r="M159" s="618"/>
      <c r="N159" s="618"/>
    </row>
    <row r="160" spans="1:14">
      <c r="A160" s="1202"/>
      <c r="B160" s="614" t="s">
        <v>919</v>
      </c>
      <c r="C160" s="617">
        <v>44821</v>
      </c>
      <c r="D160" s="618">
        <v>49822</v>
      </c>
      <c r="E160" s="618">
        <v>94643</v>
      </c>
      <c r="F160" s="618">
        <v>5507</v>
      </c>
      <c r="G160" s="618">
        <v>6131</v>
      </c>
      <c r="H160" s="619">
        <v>11638</v>
      </c>
      <c r="I160" s="617">
        <v>568</v>
      </c>
      <c r="J160" s="618">
        <v>466</v>
      </c>
      <c r="K160" s="618">
        <v>1034</v>
      </c>
      <c r="L160" s="618">
        <v>24233</v>
      </c>
      <c r="M160" s="618">
        <v>28241</v>
      </c>
      <c r="N160" s="618">
        <v>52474</v>
      </c>
    </row>
    <row r="161" spans="1:14">
      <c r="A161" s="1202"/>
      <c r="B161" s="614" t="s">
        <v>876</v>
      </c>
      <c r="C161" s="615">
        <v>43187</v>
      </c>
      <c r="D161" s="615">
        <v>48066</v>
      </c>
      <c r="E161" s="615">
        <v>91253</v>
      </c>
      <c r="F161" s="615">
        <v>5684</v>
      </c>
      <c r="G161" s="615">
        <v>6319</v>
      </c>
      <c r="H161" s="615">
        <v>12003</v>
      </c>
      <c r="I161" s="615">
        <v>463</v>
      </c>
      <c r="J161" s="615">
        <v>440</v>
      </c>
      <c r="K161" s="615">
        <v>903</v>
      </c>
      <c r="L161" s="615">
        <v>27277</v>
      </c>
      <c r="M161" s="615">
        <v>31222</v>
      </c>
      <c r="N161" s="615">
        <v>58499</v>
      </c>
    </row>
    <row r="162" spans="1:14">
      <c r="A162" s="1202"/>
      <c r="B162" s="614" t="s">
        <v>229</v>
      </c>
      <c r="C162" s="372">
        <v>38156</v>
      </c>
      <c r="D162" s="372">
        <v>41968</v>
      </c>
      <c r="E162" s="372">
        <v>80124</v>
      </c>
      <c r="F162" s="372">
        <v>4892</v>
      </c>
      <c r="G162" s="372">
        <v>5165</v>
      </c>
      <c r="H162" s="372">
        <v>10057</v>
      </c>
      <c r="I162" s="372">
        <v>547</v>
      </c>
      <c r="J162" s="372">
        <v>476</v>
      </c>
      <c r="K162" s="372">
        <v>1023</v>
      </c>
      <c r="L162" s="372">
        <v>22563</v>
      </c>
      <c r="M162" s="372">
        <v>26083</v>
      </c>
      <c r="N162" s="372">
        <v>48646</v>
      </c>
    </row>
    <row r="163" spans="1:14">
      <c r="A163" s="1202"/>
      <c r="B163" s="614" t="s">
        <v>228</v>
      </c>
      <c r="C163" s="615">
        <v>36894</v>
      </c>
      <c r="D163" s="615">
        <v>40448</v>
      </c>
      <c r="E163" s="615">
        <v>77342</v>
      </c>
      <c r="F163" s="615">
        <v>5018</v>
      </c>
      <c r="G163" s="615">
        <v>5239</v>
      </c>
      <c r="H163" s="615">
        <v>10257</v>
      </c>
      <c r="I163" s="615">
        <v>556</v>
      </c>
      <c r="J163" s="615">
        <v>382</v>
      </c>
      <c r="K163" s="615">
        <v>938</v>
      </c>
      <c r="L163" s="615">
        <v>21472</v>
      </c>
      <c r="M163" s="615">
        <v>25478</v>
      </c>
      <c r="N163" s="615">
        <v>46950</v>
      </c>
    </row>
    <row r="164" spans="1:14">
      <c r="A164" s="1202"/>
      <c r="B164" s="614" t="s">
        <v>227</v>
      </c>
      <c r="C164" s="374">
        <v>36093.884744531271</v>
      </c>
      <c r="D164" s="374">
        <v>36966.739775876173</v>
      </c>
      <c r="E164" s="374">
        <v>73060.624520407437</v>
      </c>
      <c r="F164" s="373">
        <v>4516</v>
      </c>
      <c r="G164" s="373">
        <v>4557</v>
      </c>
      <c r="H164" s="373">
        <v>9073</v>
      </c>
      <c r="I164" s="373">
        <v>659</v>
      </c>
      <c r="J164" s="373">
        <v>393</v>
      </c>
      <c r="K164" s="373">
        <v>1052</v>
      </c>
      <c r="L164" s="373">
        <v>19640</v>
      </c>
      <c r="M164" s="373">
        <v>22816</v>
      </c>
      <c r="N164" s="373">
        <v>42456</v>
      </c>
    </row>
    <row r="165" spans="1:14">
      <c r="A165" s="1202">
        <v>27</v>
      </c>
      <c r="B165" s="616" t="s">
        <v>41</v>
      </c>
      <c r="C165" s="617"/>
      <c r="D165" s="618"/>
      <c r="E165" s="618"/>
      <c r="F165" s="618"/>
      <c r="G165" s="618"/>
      <c r="H165" s="619"/>
      <c r="I165" s="617"/>
      <c r="J165" s="618"/>
      <c r="K165" s="618"/>
      <c r="L165" s="618"/>
      <c r="M165" s="618"/>
      <c r="N165" s="618"/>
    </row>
    <row r="166" spans="1:14">
      <c r="A166" s="1202"/>
      <c r="B166" s="614" t="s">
        <v>919</v>
      </c>
      <c r="C166" s="617">
        <v>434616</v>
      </c>
      <c r="D166" s="618">
        <v>424128</v>
      </c>
      <c r="E166" s="618">
        <v>858744</v>
      </c>
      <c r="F166" s="618">
        <v>92970</v>
      </c>
      <c r="G166" s="618">
        <v>108745</v>
      </c>
      <c r="H166" s="619">
        <v>201715</v>
      </c>
      <c r="I166" s="617">
        <v>2479</v>
      </c>
      <c r="J166" s="618">
        <v>2015</v>
      </c>
      <c r="K166" s="618">
        <v>4494</v>
      </c>
      <c r="L166" s="618">
        <v>52400</v>
      </c>
      <c r="M166" s="618">
        <v>56125</v>
      </c>
      <c r="N166" s="618">
        <v>108525</v>
      </c>
    </row>
    <row r="167" spans="1:14">
      <c r="A167" s="1202"/>
      <c r="B167" s="614" t="s">
        <v>876</v>
      </c>
      <c r="C167" s="615">
        <v>418244</v>
      </c>
      <c r="D167" s="615">
        <v>415091</v>
      </c>
      <c r="E167" s="615">
        <v>833335</v>
      </c>
      <c r="F167" s="615">
        <v>83203</v>
      </c>
      <c r="G167" s="615">
        <v>102784</v>
      </c>
      <c r="H167" s="615">
        <v>185987</v>
      </c>
      <c r="I167" s="615">
        <v>2946</v>
      </c>
      <c r="J167" s="615">
        <v>1975</v>
      </c>
      <c r="K167" s="615">
        <v>4921</v>
      </c>
      <c r="L167" s="615">
        <v>53023</v>
      </c>
      <c r="M167" s="615">
        <v>54386</v>
      </c>
      <c r="N167" s="615">
        <v>107409</v>
      </c>
    </row>
    <row r="168" spans="1:14">
      <c r="A168" s="1202"/>
      <c r="B168" s="614" t="s">
        <v>229</v>
      </c>
      <c r="C168" s="372">
        <v>425331</v>
      </c>
      <c r="D168" s="372">
        <v>444132</v>
      </c>
      <c r="E168" s="372">
        <v>869463</v>
      </c>
      <c r="F168" s="372">
        <v>90941</v>
      </c>
      <c r="G168" s="372">
        <v>107929</v>
      </c>
      <c r="H168" s="372">
        <v>198870</v>
      </c>
      <c r="I168" s="372">
        <v>3075</v>
      </c>
      <c r="J168" s="372">
        <v>1942</v>
      </c>
      <c r="K168" s="372">
        <v>5017</v>
      </c>
      <c r="L168" s="372">
        <v>55729</v>
      </c>
      <c r="M168" s="372">
        <v>55521</v>
      </c>
      <c r="N168" s="372">
        <v>111250</v>
      </c>
    </row>
    <row r="169" spans="1:14">
      <c r="A169" s="1202"/>
      <c r="B169" s="614" t="s">
        <v>228</v>
      </c>
      <c r="C169" s="615">
        <v>436730</v>
      </c>
      <c r="D169" s="615">
        <v>482846</v>
      </c>
      <c r="E169" s="615">
        <v>919576</v>
      </c>
      <c r="F169" s="615">
        <v>101143</v>
      </c>
      <c r="G169" s="615">
        <v>120175</v>
      </c>
      <c r="H169" s="615">
        <v>221318</v>
      </c>
      <c r="I169" s="615">
        <v>3586</v>
      </c>
      <c r="J169" s="615">
        <v>1712</v>
      </c>
      <c r="K169" s="615">
        <v>5298</v>
      </c>
      <c r="L169" s="615">
        <v>54022</v>
      </c>
      <c r="M169" s="615">
        <v>57855</v>
      </c>
      <c r="N169" s="615">
        <v>111877</v>
      </c>
    </row>
    <row r="170" spans="1:14">
      <c r="A170" s="1202"/>
      <c r="B170" s="614" t="s">
        <v>227</v>
      </c>
      <c r="C170" s="374">
        <v>479105.54572265298</v>
      </c>
      <c r="D170" s="374">
        <v>480430.46887301886</v>
      </c>
      <c r="E170" s="374">
        <v>959536.01459567179</v>
      </c>
      <c r="F170" s="373">
        <v>111852</v>
      </c>
      <c r="G170" s="373">
        <v>115122</v>
      </c>
      <c r="H170" s="373">
        <v>226974</v>
      </c>
      <c r="I170" s="373">
        <v>4127</v>
      </c>
      <c r="J170" s="373">
        <v>2152</v>
      </c>
      <c r="K170" s="373">
        <v>6279</v>
      </c>
      <c r="L170" s="373">
        <v>51690</v>
      </c>
      <c r="M170" s="373">
        <v>49200</v>
      </c>
      <c r="N170" s="373">
        <v>100890</v>
      </c>
    </row>
    <row r="171" spans="1:14">
      <c r="A171" s="1202">
        <v>28</v>
      </c>
      <c r="B171" s="616" t="s">
        <v>42</v>
      </c>
      <c r="C171" s="617"/>
      <c r="D171" s="618"/>
      <c r="E171" s="618"/>
      <c r="F171" s="618"/>
      <c r="G171" s="618"/>
      <c r="H171" s="619"/>
      <c r="I171" s="617"/>
      <c r="J171" s="618"/>
      <c r="K171" s="618"/>
      <c r="L171" s="618"/>
      <c r="M171" s="618"/>
      <c r="N171" s="618"/>
    </row>
    <row r="172" spans="1:14">
      <c r="A172" s="1202"/>
      <c r="B172" s="614" t="s">
        <v>919</v>
      </c>
      <c r="C172" s="617">
        <v>1430283</v>
      </c>
      <c r="D172" s="618">
        <v>1259057</v>
      </c>
      <c r="E172" s="618">
        <v>2689340</v>
      </c>
      <c r="F172" s="618">
        <v>250646</v>
      </c>
      <c r="G172" s="618">
        <v>210897</v>
      </c>
      <c r="H172" s="619">
        <v>461543</v>
      </c>
      <c r="I172" s="617">
        <v>176760</v>
      </c>
      <c r="J172" s="618">
        <v>163273</v>
      </c>
      <c r="K172" s="618">
        <v>340033</v>
      </c>
      <c r="L172" s="618">
        <v>610007</v>
      </c>
      <c r="M172" s="618">
        <v>539720</v>
      </c>
      <c r="N172" s="618">
        <v>1149727</v>
      </c>
    </row>
    <row r="173" spans="1:14">
      <c r="A173" s="1202"/>
      <c r="B173" s="614" t="s">
        <v>876</v>
      </c>
      <c r="C173" s="615">
        <v>1278304</v>
      </c>
      <c r="D173" s="615">
        <v>1154486</v>
      </c>
      <c r="E173" s="615">
        <v>2432790</v>
      </c>
      <c r="F173" s="615">
        <v>209453</v>
      </c>
      <c r="G173" s="615">
        <v>180795</v>
      </c>
      <c r="H173" s="615">
        <v>390248</v>
      </c>
      <c r="I173" s="615">
        <v>138517</v>
      </c>
      <c r="J173" s="615">
        <v>139281</v>
      </c>
      <c r="K173" s="615">
        <v>277798</v>
      </c>
      <c r="L173" s="615">
        <v>494833</v>
      </c>
      <c r="M173" s="615">
        <v>466248</v>
      </c>
      <c r="N173" s="615">
        <v>961081</v>
      </c>
    </row>
    <row r="174" spans="1:14">
      <c r="A174" s="1202"/>
      <c r="B174" s="614" t="s">
        <v>229</v>
      </c>
      <c r="C174" s="372">
        <v>1151186</v>
      </c>
      <c r="D174" s="372">
        <v>1055331</v>
      </c>
      <c r="E174" s="372">
        <v>2206517</v>
      </c>
      <c r="F174" s="372">
        <v>186353</v>
      </c>
      <c r="G174" s="372">
        <v>165088</v>
      </c>
      <c r="H174" s="372">
        <v>351441</v>
      </c>
      <c r="I174" s="372">
        <v>128038</v>
      </c>
      <c r="J174" s="372">
        <v>125991</v>
      </c>
      <c r="K174" s="372">
        <v>254029</v>
      </c>
      <c r="L174" s="372">
        <v>453177</v>
      </c>
      <c r="M174" s="372">
        <v>446822</v>
      </c>
      <c r="N174" s="372">
        <v>899999</v>
      </c>
    </row>
    <row r="175" spans="1:14">
      <c r="A175" s="1202"/>
      <c r="B175" s="614" t="s">
        <v>228</v>
      </c>
      <c r="C175" s="615">
        <v>1082466</v>
      </c>
      <c r="D175" s="615">
        <v>1001947</v>
      </c>
      <c r="E175" s="615">
        <v>2084413</v>
      </c>
      <c r="F175" s="615">
        <v>180245</v>
      </c>
      <c r="G175" s="615">
        <v>150924</v>
      </c>
      <c r="H175" s="615">
        <v>331169</v>
      </c>
      <c r="I175" s="615">
        <v>128628</v>
      </c>
      <c r="J175" s="615">
        <v>117238</v>
      </c>
      <c r="K175" s="615">
        <v>245866</v>
      </c>
      <c r="L175" s="615">
        <v>433092</v>
      </c>
      <c r="M175" s="615">
        <v>427045</v>
      </c>
      <c r="N175" s="615">
        <v>860137</v>
      </c>
    </row>
    <row r="176" spans="1:14">
      <c r="A176" s="1202"/>
      <c r="B176" s="614" t="s">
        <v>227</v>
      </c>
      <c r="C176" s="374">
        <v>1054510.6907381921</v>
      </c>
      <c r="D176" s="374">
        <v>881693.30864711315</v>
      </c>
      <c r="E176" s="374">
        <v>1936203.9993853052</v>
      </c>
      <c r="F176" s="373">
        <v>157680</v>
      </c>
      <c r="G176" s="373">
        <v>124975</v>
      </c>
      <c r="H176" s="373">
        <v>282655</v>
      </c>
      <c r="I176" s="373">
        <v>113959</v>
      </c>
      <c r="J176" s="373">
        <v>97354</v>
      </c>
      <c r="K176" s="373">
        <v>211313</v>
      </c>
      <c r="L176" s="373">
        <v>399405</v>
      </c>
      <c r="M176" s="373">
        <v>365738</v>
      </c>
      <c r="N176" s="373">
        <v>765143</v>
      </c>
    </row>
    <row r="177" spans="1:14">
      <c r="A177" s="1202">
        <v>29</v>
      </c>
      <c r="B177" s="614" t="s">
        <v>43</v>
      </c>
      <c r="C177" s="617"/>
      <c r="D177" s="618"/>
      <c r="E177" s="618"/>
      <c r="F177" s="618"/>
      <c r="G177" s="618"/>
      <c r="H177" s="619"/>
      <c r="I177" s="617"/>
      <c r="J177" s="618"/>
      <c r="K177" s="618"/>
      <c r="L177" s="618"/>
      <c r="M177" s="618"/>
      <c r="N177" s="618"/>
    </row>
    <row r="178" spans="1:14">
      <c r="A178" s="1202"/>
      <c r="B178" s="616" t="s">
        <v>919</v>
      </c>
      <c r="C178" s="617">
        <v>16274</v>
      </c>
      <c r="D178" s="618">
        <v>17487</v>
      </c>
      <c r="E178" s="618">
        <v>33761</v>
      </c>
      <c r="F178" s="618">
        <v>978</v>
      </c>
      <c r="G178" s="618">
        <v>829</v>
      </c>
      <c r="H178" s="619">
        <v>1807</v>
      </c>
      <c r="I178" s="617">
        <v>4360</v>
      </c>
      <c r="J178" s="618">
        <v>5988</v>
      </c>
      <c r="K178" s="618">
        <v>10348</v>
      </c>
      <c r="L178" s="618">
        <v>3930</v>
      </c>
      <c r="M178" s="618">
        <v>4782</v>
      </c>
      <c r="N178" s="618">
        <v>8712</v>
      </c>
    </row>
    <row r="179" spans="1:14">
      <c r="A179" s="1202"/>
      <c r="B179" s="614" t="s">
        <v>876</v>
      </c>
      <c r="C179" s="615">
        <v>16707</v>
      </c>
      <c r="D179" s="615">
        <v>18067</v>
      </c>
      <c r="E179" s="615">
        <v>34774</v>
      </c>
      <c r="F179" s="615">
        <v>858</v>
      </c>
      <c r="G179" s="615">
        <v>774</v>
      </c>
      <c r="H179" s="615">
        <v>1632</v>
      </c>
      <c r="I179" s="615">
        <v>4209</v>
      </c>
      <c r="J179" s="615">
        <v>5899</v>
      </c>
      <c r="K179" s="615">
        <v>10108</v>
      </c>
      <c r="L179" s="615">
        <v>3759</v>
      </c>
      <c r="M179" s="615">
        <v>5060</v>
      </c>
      <c r="N179" s="615">
        <v>8819</v>
      </c>
    </row>
    <row r="180" spans="1:14">
      <c r="A180" s="1202"/>
      <c r="B180" s="614" t="s">
        <v>229</v>
      </c>
      <c r="C180" s="372">
        <v>33049</v>
      </c>
      <c r="D180" s="372">
        <v>25022</v>
      </c>
      <c r="E180" s="372">
        <v>58071</v>
      </c>
      <c r="F180" s="372">
        <v>681</v>
      </c>
      <c r="G180" s="372">
        <v>621</v>
      </c>
      <c r="H180" s="372">
        <v>1302</v>
      </c>
      <c r="I180" s="372">
        <v>3586</v>
      </c>
      <c r="J180" s="372">
        <v>5423</v>
      </c>
      <c r="K180" s="372">
        <v>9009</v>
      </c>
      <c r="L180" s="372">
        <v>3274</v>
      </c>
      <c r="M180" s="372">
        <v>4187</v>
      </c>
      <c r="N180" s="372">
        <v>7461</v>
      </c>
    </row>
    <row r="181" spans="1:14">
      <c r="A181" s="1202"/>
      <c r="B181" s="614" t="s">
        <v>228</v>
      </c>
      <c r="C181" s="615">
        <v>21489</v>
      </c>
      <c r="D181" s="615">
        <v>20083</v>
      </c>
      <c r="E181" s="615">
        <v>41572</v>
      </c>
      <c r="F181" s="615">
        <v>733</v>
      </c>
      <c r="G181" s="615">
        <v>627</v>
      </c>
      <c r="H181" s="615">
        <v>1360</v>
      </c>
      <c r="I181" s="615">
        <v>3454</v>
      </c>
      <c r="J181" s="615">
        <v>5315</v>
      </c>
      <c r="K181" s="615">
        <v>8769</v>
      </c>
      <c r="L181" s="615">
        <v>3006</v>
      </c>
      <c r="M181" s="615">
        <v>3767</v>
      </c>
      <c r="N181" s="615">
        <v>6773</v>
      </c>
    </row>
    <row r="182" spans="1:14">
      <c r="A182" s="1202"/>
      <c r="B182" s="614" t="s">
        <v>227</v>
      </c>
      <c r="C182" s="374">
        <v>13587.796108021475</v>
      </c>
      <c r="D182" s="374">
        <v>15412.579037678461</v>
      </c>
      <c r="E182" s="374">
        <v>29000.375145699938</v>
      </c>
      <c r="F182" s="373">
        <v>683</v>
      </c>
      <c r="G182" s="373">
        <v>528</v>
      </c>
      <c r="H182" s="373">
        <v>1211</v>
      </c>
      <c r="I182" s="373">
        <v>3776</v>
      </c>
      <c r="J182" s="373">
        <v>5058</v>
      </c>
      <c r="K182" s="373">
        <v>8834</v>
      </c>
      <c r="L182" s="373">
        <v>3362</v>
      </c>
      <c r="M182" s="373">
        <v>3653</v>
      </c>
      <c r="N182" s="373">
        <v>7015</v>
      </c>
    </row>
    <row r="183" spans="1:14">
      <c r="A183" s="1202">
        <v>30</v>
      </c>
      <c r="B183" s="616" t="s">
        <v>44</v>
      </c>
      <c r="C183" s="617"/>
      <c r="D183" s="618"/>
      <c r="E183" s="618"/>
      <c r="F183" s="618"/>
      <c r="G183" s="618"/>
      <c r="H183" s="619"/>
      <c r="I183" s="617"/>
      <c r="J183" s="618"/>
      <c r="K183" s="618"/>
      <c r="L183" s="618"/>
      <c r="M183" s="618"/>
      <c r="N183" s="618"/>
    </row>
    <row r="184" spans="1:14">
      <c r="A184" s="1202"/>
      <c r="B184" s="614" t="s">
        <v>919</v>
      </c>
      <c r="C184" s="617">
        <v>1698112</v>
      </c>
      <c r="D184" s="618">
        <v>1611215</v>
      </c>
      <c r="E184" s="618">
        <v>3309327</v>
      </c>
      <c r="F184" s="618">
        <v>302054</v>
      </c>
      <c r="G184" s="618">
        <v>305306</v>
      </c>
      <c r="H184" s="619">
        <v>607360</v>
      </c>
      <c r="I184" s="617">
        <v>20238</v>
      </c>
      <c r="J184" s="618">
        <v>14975</v>
      </c>
      <c r="K184" s="618">
        <v>35213</v>
      </c>
      <c r="L184" s="618">
        <v>1071450</v>
      </c>
      <c r="M184" s="618">
        <v>1033326</v>
      </c>
      <c r="N184" s="618">
        <v>2104776</v>
      </c>
    </row>
    <row r="185" spans="1:14">
      <c r="A185" s="1202"/>
      <c r="B185" s="614" t="s">
        <v>876</v>
      </c>
      <c r="C185" s="615">
        <v>1662153</v>
      </c>
      <c r="D185" s="615">
        <v>1674286</v>
      </c>
      <c r="E185" s="615">
        <v>3336439</v>
      </c>
      <c r="F185" s="615">
        <v>275101</v>
      </c>
      <c r="G185" s="615">
        <v>297976</v>
      </c>
      <c r="H185" s="615">
        <v>573077</v>
      </c>
      <c r="I185" s="615">
        <v>17434</v>
      </c>
      <c r="J185" s="615">
        <v>15418</v>
      </c>
      <c r="K185" s="615">
        <v>32852</v>
      </c>
      <c r="L185" s="615">
        <v>963357</v>
      </c>
      <c r="M185" s="615">
        <v>972604</v>
      </c>
      <c r="N185" s="615">
        <v>1935961</v>
      </c>
    </row>
    <row r="186" spans="1:14">
      <c r="A186" s="1202"/>
      <c r="B186" s="614" t="s">
        <v>229</v>
      </c>
      <c r="C186" s="372">
        <v>1778186</v>
      </c>
      <c r="D186" s="372">
        <v>1742125</v>
      </c>
      <c r="E186" s="372">
        <v>3520311</v>
      </c>
      <c r="F186" s="372">
        <v>298278</v>
      </c>
      <c r="G186" s="372">
        <v>315606</v>
      </c>
      <c r="H186" s="372">
        <v>613884</v>
      </c>
      <c r="I186" s="372">
        <v>17240</v>
      </c>
      <c r="J186" s="372">
        <v>15526</v>
      </c>
      <c r="K186" s="372">
        <v>32766</v>
      </c>
      <c r="L186" s="372">
        <v>1074844</v>
      </c>
      <c r="M186" s="372">
        <v>1070143</v>
      </c>
      <c r="N186" s="372">
        <v>2144987</v>
      </c>
    </row>
    <row r="187" spans="1:14">
      <c r="A187" s="1202"/>
      <c r="B187" s="614" t="s">
        <v>228</v>
      </c>
      <c r="C187" s="615">
        <v>1736870</v>
      </c>
      <c r="D187" s="615">
        <v>1677326</v>
      </c>
      <c r="E187" s="615">
        <v>3414196</v>
      </c>
      <c r="F187" s="615">
        <v>313465</v>
      </c>
      <c r="G187" s="615">
        <v>321401</v>
      </c>
      <c r="H187" s="615">
        <v>634866</v>
      </c>
      <c r="I187" s="615">
        <v>16785</v>
      </c>
      <c r="J187" s="615">
        <v>13223</v>
      </c>
      <c r="K187" s="615">
        <v>30008</v>
      </c>
      <c r="L187" s="615">
        <v>1055823</v>
      </c>
      <c r="M187" s="615">
        <v>1065035</v>
      </c>
      <c r="N187" s="615">
        <v>2120858</v>
      </c>
    </row>
    <row r="188" spans="1:14">
      <c r="A188" s="1202"/>
      <c r="B188" s="614" t="s">
        <v>227</v>
      </c>
      <c r="C188" s="374">
        <v>1739314.9305518656</v>
      </c>
      <c r="D188" s="374">
        <v>1701630.0150544094</v>
      </c>
      <c r="E188" s="374">
        <v>3440944.945606275</v>
      </c>
      <c r="F188" s="373">
        <v>320758</v>
      </c>
      <c r="G188" s="373">
        <v>333042</v>
      </c>
      <c r="H188" s="373">
        <v>653800</v>
      </c>
      <c r="I188" s="373">
        <v>17983</v>
      </c>
      <c r="J188" s="373">
        <v>14685</v>
      </c>
      <c r="K188" s="373">
        <v>32668</v>
      </c>
      <c r="L188" s="373">
        <v>1028743</v>
      </c>
      <c r="M188" s="373">
        <v>1047790</v>
      </c>
      <c r="N188" s="373">
        <v>2076533</v>
      </c>
    </row>
    <row r="189" spans="1:14">
      <c r="A189" s="1202">
        <v>31</v>
      </c>
      <c r="B189" s="616" t="s">
        <v>131</v>
      </c>
      <c r="C189" s="617"/>
      <c r="D189" s="618"/>
      <c r="E189" s="618"/>
      <c r="F189" s="618"/>
      <c r="G189" s="618"/>
      <c r="H189" s="619"/>
      <c r="I189" s="617"/>
      <c r="J189" s="618"/>
      <c r="K189" s="618"/>
      <c r="L189" s="618"/>
      <c r="M189" s="618"/>
      <c r="N189" s="618"/>
    </row>
    <row r="190" spans="1:14">
      <c r="A190" s="1202"/>
      <c r="B190" s="614" t="s">
        <v>919</v>
      </c>
      <c r="C190" s="617">
        <v>793353</v>
      </c>
      <c r="D190" s="618">
        <v>803327</v>
      </c>
      <c r="E190" s="618">
        <v>1596680</v>
      </c>
      <c r="F190" s="618">
        <v>119137</v>
      </c>
      <c r="G190" s="618">
        <v>134691</v>
      </c>
      <c r="H190" s="619">
        <v>253828</v>
      </c>
      <c r="I190" s="617">
        <v>72201</v>
      </c>
      <c r="J190" s="618">
        <v>65372</v>
      </c>
      <c r="K190" s="618">
        <v>137573</v>
      </c>
      <c r="L190" s="618">
        <v>370857</v>
      </c>
      <c r="M190" s="618">
        <v>368610</v>
      </c>
      <c r="N190" s="618">
        <v>739467</v>
      </c>
    </row>
    <row r="191" spans="1:14">
      <c r="A191" s="1202"/>
      <c r="B191" s="614" t="s">
        <v>876</v>
      </c>
      <c r="C191" s="615">
        <v>775309</v>
      </c>
      <c r="D191" s="615">
        <v>798477</v>
      </c>
      <c r="E191" s="615">
        <v>1573786</v>
      </c>
      <c r="F191" s="615">
        <v>107016</v>
      </c>
      <c r="G191" s="615">
        <v>124337</v>
      </c>
      <c r="H191" s="615">
        <v>231353</v>
      </c>
      <c r="I191" s="615">
        <v>63453</v>
      </c>
      <c r="J191" s="615">
        <v>59454</v>
      </c>
      <c r="K191" s="615">
        <v>122907</v>
      </c>
      <c r="L191" s="615">
        <v>328401</v>
      </c>
      <c r="M191" s="615">
        <v>335695</v>
      </c>
      <c r="N191" s="615">
        <v>664096</v>
      </c>
    </row>
    <row r="192" spans="1:14">
      <c r="A192" s="1202"/>
      <c r="B192" s="614" t="s">
        <v>229</v>
      </c>
      <c r="C192" s="372">
        <v>672768</v>
      </c>
      <c r="D192" s="372">
        <v>716840</v>
      </c>
      <c r="E192" s="372">
        <v>1389608</v>
      </c>
      <c r="F192" s="372">
        <v>93804</v>
      </c>
      <c r="G192" s="372">
        <v>115713</v>
      </c>
      <c r="H192" s="372">
        <v>209517</v>
      </c>
      <c r="I192" s="372">
        <v>55494</v>
      </c>
      <c r="J192" s="372">
        <v>53143</v>
      </c>
      <c r="K192" s="372">
        <v>108637</v>
      </c>
      <c r="L192" s="372">
        <v>301585</v>
      </c>
      <c r="M192" s="372">
        <v>325657</v>
      </c>
      <c r="N192" s="372">
        <v>627242</v>
      </c>
    </row>
    <row r="193" spans="1:14">
      <c r="A193" s="1202"/>
      <c r="B193" s="614" t="s">
        <v>228</v>
      </c>
      <c r="C193" s="615">
        <v>701229</v>
      </c>
      <c r="D193" s="615">
        <v>725232</v>
      </c>
      <c r="E193" s="615">
        <v>1426461</v>
      </c>
      <c r="F193" s="615">
        <v>98325</v>
      </c>
      <c r="G193" s="615">
        <v>117289</v>
      </c>
      <c r="H193" s="615">
        <v>215614</v>
      </c>
      <c r="I193" s="615">
        <v>57323</v>
      </c>
      <c r="J193" s="615">
        <v>52326</v>
      </c>
      <c r="K193" s="615">
        <v>109649</v>
      </c>
      <c r="L193" s="615">
        <v>315118</v>
      </c>
      <c r="M193" s="615">
        <v>325599</v>
      </c>
      <c r="N193" s="615">
        <v>640717</v>
      </c>
    </row>
    <row r="194" spans="1:14">
      <c r="A194" s="1202"/>
      <c r="B194" s="614" t="s">
        <v>227</v>
      </c>
      <c r="C194" s="374">
        <v>735332.64192842308</v>
      </c>
      <c r="D194" s="374">
        <v>683974.35791417153</v>
      </c>
      <c r="E194" s="373">
        <v>1419306.9998425946</v>
      </c>
      <c r="F194" s="373">
        <v>98460</v>
      </c>
      <c r="G194" s="373">
        <v>105291</v>
      </c>
      <c r="H194" s="373">
        <v>203751</v>
      </c>
      <c r="I194" s="373">
        <v>57272</v>
      </c>
      <c r="J194" s="373">
        <v>48788</v>
      </c>
      <c r="K194" s="373">
        <v>106060</v>
      </c>
      <c r="L194" s="373">
        <v>303989</v>
      </c>
      <c r="M194" s="373">
        <v>292255</v>
      </c>
      <c r="N194" s="373">
        <v>596244</v>
      </c>
    </row>
    <row r="195" spans="1:14">
      <c r="A195" s="1202">
        <v>32</v>
      </c>
      <c r="B195" s="616" t="s">
        <v>1062</v>
      </c>
      <c r="C195" s="376"/>
      <c r="D195" s="377"/>
      <c r="E195" s="378"/>
      <c r="F195" s="377"/>
      <c r="G195" s="377"/>
      <c r="H195" s="379"/>
      <c r="I195" s="376"/>
      <c r="J195" s="377"/>
      <c r="K195" s="378"/>
      <c r="L195" s="377"/>
      <c r="M195" s="377"/>
      <c r="N195" s="378"/>
    </row>
    <row r="196" spans="1:14">
      <c r="A196" s="1202"/>
      <c r="B196" s="614" t="s">
        <v>919</v>
      </c>
      <c r="C196" s="376">
        <v>6683</v>
      </c>
      <c r="D196" s="377">
        <v>6122</v>
      </c>
      <c r="E196" s="378">
        <v>12805</v>
      </c>
      <c r="F196" s="377">
        <v>260</v>
      </c>
      <c r="G196" s="377">
        <v>267</v>
      </c>
      <c r="H196" s="379">
        <v>527</v>
      </c>
      <c r="I196" s="376">
        <v>924</v>
      </c>
      <c r="J196" s="377">
        <v>1160</v>
      </c>
      <c r="K196" s="378">
        <v>2084</v>
      </c>
      <c r="L196" s="377">
        <v>1026</v>
      </c>
      <c r="M196" s="377">
        <v>1022</v>
      </c>
      <c r="N196" s="378">
        <v>2048</v>
      </c>
    </row>
    <row r="197" spans="1:14">
      <c r="A197" s="1202"/>
      <c r="B197" s="614" t="s">
        <v>876</v>
      </c>
      <c r="C197" s="380">
        <v>5948</v>
      </c>
      <c r="D197" s="380">
        <v>5622</v>
      </c>
      <c r="E197" s="381">
        <v>11570</v>
      </c>
      <c r="F197" s="380">
        <v>231</v>
      </c>
      <c r="G197" s="380">
        <v>251</v>
      </c>
      <c r="H197" s="381">
        <v>482</v>
      </c>
      <c r="I197" s="380">
        <v>816</v>
      </c>
      <c r="J197" s="380">
        <v>1056</v>
      </c>
      <c r="K197" s="381">
        <v>1872</v>
      </c>
      <c r="L197" s="380">
        <v>832</v>
      </c>
      <c r="M197" s="380">
        <v>1035</v>
      </c>
      <c r="N197" s="381">
        <v>1867</v>
      </c>
    </row>
    <row r="198" spans="1:14">
      <c r="A198" s="1202"/>
      <c r="B198" s="614" t="s">
        <v>229</v>
      </c>
      <c r="C198" s="377">
        <v>5320</v>
      </c>
      <c r="D198" s="377">
        <v>5005</v>
      </c>
      <c r="E198" s="378">
        <v>10325</v>
      </c>
      <c r="F198" s="377">
        <v>201</v>
      </c>
      <c r="G198" s="377">
        <v>233</v>
      </c>
      <c r="H198" s="378">
        <v>434</v>
      </c>
      <c r="I198" s="377">
        <v>721</v>
      </c>
      <c r="J198" s="377">
        <v>998</v>
      </c>
      <c r="K198" s="378">
        <v>1719</v>
      </c>
      <c r="L198" s="377">
        <v>951</v>
      </c>
      <c r="M198" s="377">
        <v>943</v>
      </c>
      <c r="N198" s="379">
        <v>1894</v>
      </c>
    </row>
    <row r="199" spans="1:14">
      <c r="A199" s="1202"/>
      <c r="B199" s="614" t="s">
        <v>228</v>
      </c>
      <c r="C199" s="377">
        <v>4994</v>
      </c>
      <c r="D199" s="377">
        <v>4511</v>
      </c>
      <c r="E199" s="378">
        <v>9505</v>
      </c>
      <c r="F199" s="377">
        <v>186</v>
      </c>
      <c r="G199" s="377">
        <v>214</v>
      </c>
      <c r="H199" s="378">
        <v>400</v>
      </c>
      <c r="I199" s="377">
        <v>785</v>
      </c>
      <c r="J199" s="377">
        <v>917</v>
      </c>
      <c r="K199" s="378">
        <v>1702</v>
      </c>
      <c r="L199" s="377">
        <v>813</v>
      </c>
      <c r="M199" s="377">
        <v>837</v>
      </c>
      <c r="N199" s="379">
        <v>1650</v>
      </c>
    </row>
    <row r="200" spans="1:14">
      <c r="A200" s="1202"/>
      <c r="B200" s="614" t="s">
        <v>227</v>
      </c>
      <c r="C200" s="377">
        <v>4658</v>
      </c>
      <c r="D200" s="377">
        <v>4208</v>
      </c>
      <c r="E200" s="378">
        <v>8866</v>
      </c>
      <c r="F200" s="377">
        <v>205</v>
      </c>
      <c r="G200" s="377">
        <v>232</v>
      </c>
      <c r="H200" s="378">
        <v>437</v>
      </c>
      <c r="I200" s="377">
        <v>815</v>
      </c>
      <c r="J200" s="377">
        <v>912</v>
      </c>
      <c r="K200" s="378">
        <v>1727</v>
      </c>
      <c r="L200" s="377">
        <v>757</v>
      </c>
      <c r="M200" s="377">
        <v>726</v>
      </c>
      <c r="N200" s="379">
        <v>1483</v>
      </c>
    </row>
    <row r="201" spans="1:14">
      <c r="A201" s="1202">
        <v>33</v>
      </c>
      <c r="B201" s="616" t="s">
        <v>45</v>
      </c>
      <c r="C201" s="621"/>
      <c r="D201" s="621"/>
      <c r="E201" s="621"/>
      <c r="F201" s="621"/>
      <c r="G201" s="621"/>
      <c r="H201" s="621"/>
      <c r="I201" s="621"/>
      <c r="J201" s="621"/>
      <c r="K201" s="621"/>
      <c r="L201" s="621"/>
      <c r="M201" s="621"/>
      <c r="N201" s="622"/>
    </row>
    <row r="202" spans="1:14">
      <c r="A202" s="1202"/>
      <c r="B202" s="614" t="s">
        <v>919</v>
      </c>
      <c r="C202" s="623">
        <v>53538</v>
      </c>
      <c r="D202" s="623">
        <v>47013</v>
      </c>
      <c r="E202" s="623">
        <v>100551</v>
      </c>
      <c r="F202" s="623">
        <v>10060</v>
      </c>
      <c r="G202" s="623">
        <v>8402</v>
      </c>
      <c r="H202" s="623">
        <v>18462</v>
      </c>
      <c r="I202" s="623">
        <v>13178</v>
      </c>
      <c r="J202" s="623">
        <v>11895</v>
      </c>
      <c r="K202" s="623">
        <v>25073</v>
      </c>
      <c r="L202" s="623">
        <v>9490</v>
      </c>
      <c r="M202" s="623">
        <v>8918</v>
      </c>
      <c r="N202" s="624">
        <v>18408</v>
      </c>
    </row>
    <row r="203" spans="1:14">
      <c r="A203" s="1202"/>
      <c r="B203" s="614" t="s">
        <v>876</v>
      </c>
      <c r="C203" s="625">
        <v>48428</v>
      </c>
      <c r="D203" s="625">
        <v>44232</v>
      </c>
      <c r="E203" s="625">
        <v>92660</v>
      </c>
      <c r="F203" s="625">
        <v>7955</v>
      </c>
      <c r="G203" s="625">
        <v>7047</v>
      </c>
      <c r="H203" s="625">
        <v>15002</v>
      </c>
      <c r="I203" s="625">
        <v>10610</v>
      </c>
      <c r="J203" s="625">
        <v>10115</v>
      </c>
      <c r="K203" s="625">
        <v>20725</v>
      </c>
      <c r="L203" s="625">
        <v>8261</v>
      </c>
      <c r="M203" s="625">
        <v>7359</v>
      </c>
      <c r="N203" s="625">
        <v>15620</v>
      </c>
    </row>
    <row r="204" spans="1:14">
      <c r="A204" s="1202"/>
      <c r="B204" s="614" t="s">
        <v>229</v>
      </c>
      <c r="C204" s="372">
        <v>47031</v>
      </c>
      <c r="D204" s="372">
        <v>39216</v>
      </c>
      <c r="E204" s="372">
        <v>86247</v>
      </c>
      <c r="F204" s="372">
        <v>8074</v>
      </c>
      <c r="G204" s="372">
        <v>6042</v>
      </c>
      <c r="H204" s="372">
        <v>14116</v>
      </c>
      <c r="I204" s="372">
        <v>10290</v>
      </c>
      <c r="J204" s="372">
        <v>7996</v>
      </c>
      <c r="K204" s="372">
        <v>18286</v>
      </c>
      <c r="L204" s="372">
        <v>8592</v>
      </c>
      <c r="M204" s="372">
        <v>6700</v>
      </c>
      <c r="N204" s="372">
        <v>15292</v>
      </c>
    </row>
    <row r="205" spans="1:14">
      <c r="A205" s="1202"/>
      <c r="B205" s="614" t="s">
        <v>228</v>
      </c>
      <c r="C205" s="615">
        <v>44456</v>
      </c>
      <c r="D205" s="615">
        <v>38247</v>
      </c>
      <c r="E205" s="615">
        <v>82703</v>
      </c>
      <c r="F205" s="615">
        <v>7857</v>
      </c>
      <c r="G205" s="615">
        <v>6325</v>
      </c>
      <c r="H205" s="615">
        <v>14182</v>
      </c>
      <c r="I205" s="615">
        <v>10469</v>
      </c>
      <c r="J205" s="615">
        <v>9157</v>
      </c>
      <c r="K205" s="615">
        <v>19626</v>
      </c>
      <c r="L205" s="615">
        <v>8158</v>
      </c>
      <c r="M205" s="615">
        <v>6228</v>
      </c>
      <c r="N205" s="615">
        <v>14386</v>
      </c>
    </row>
    <row r="206" spans="1:14">
      <c r="A206" s="1202"/>
      <c r="B206" s="614" t="s">
        <v>227</v>
      </c>
      <c r="C206" s="374">
        <v>50246.622023635464</v>
      </c>
      <c r="D206" s="374">
        <v>41434.769670053822</v>
      </c>
      <c r="E206" s="374">
        <v>91681.391693689278</v>
      </c>
      <c r="F206" s="373">
        <v>8319</v>
      </c>
      <c r="G206" s="373">
        <v>6627</v>
      </c>
      <c r="H206" s="373">
        <v>14946</v>
      </c>
      <c r="I206" s="373">
        <v>10813</v>
      </c>
      <c r="J206" s="373">
        <v>8741</v>
      </c>
      <c r="K206" s="373">
        <v>19554</v>
      </c>
      <c r="L206" s="373">
        <v>8375</v>
      </c>
      <c r="M206" s="373">
        <v>6190</v>
      </c>
      <c r="N206" s="373">
        <v>14565</v>
      </c>
    </row>
    <row r="207" spans="1:14">
      <c r="A207" s="1202">
        <v>34</v>
      </c>
      <c r="B207" s="616" t="s">
        <v>47</v>
      </c>
      <c r="C207" s="617"/>
      <c r="D207" s="618"/>
      <c r="E207" s="618"/>
      <c r="F207" s="618"/>
      <c r="G207" s="618"/>
      <c r="H207" s="619"/>
      <c r="I207" s="617"/>
      <c r="J207" s="618"/>
      <c r="K207" s="618"/>
      <c r="L207" s="618"/>
      <c r="M207" s="618"/>
      <c r="N207" s="618"/>
    </row>
    <row r="208" spans="1:14">
      <c r="A208" s="1202"/>
      <c r="B208" s="614" t="s">
        <v>919</v>
      </c>
      <c r="C208" s="617">
        <v>3669318</v>
      </c>
      <c r="D208" s="618">
        <v>3304106</v>
      </c>
      <c r="E208" s="618">
        <v>6973424</v>
      </c>
      <c r="F208" s="618">
        <v>658397</v>
      </c>
      <c r="G208" s="618">
        <v>606019</v>
      </c>
      <c r="H208" s="619">
        <v>1264416</v>
      </c>
      <c r="I208" s="617">
        <v>30690</v>
      </c>
      <c r="J208" s="618">
        <v>27493</v>
      </c>
      <c r="K208" s="618">
        <v>58183</v>
      </c>
      <c r="L208" s="618">
        <v>1533962</v>
      </c>
      <c r="M208" s="618">
        <v>1425215</v>
      </c>
      <c r="N208" s="618">
        <v>2959177</v>
      </c>
    </row>
    <row r="209" spans="1:14">
      <c r="A209" s="1202"/>
      <c r="B209" s="614" t="s">
        <v>876</v>
      </c>
      <c r="C209" s="615">
        <v>3397012</v>
      </c>
      <c r="D209" s="615">
        <v>3254055</v>
      </c>
      <c r="E209" s="615">
        <v>6651067</v>
      </c>
      <c r="F209" s="615">
        <v>575597</v>
      </c>
      <c r="G209" s="615">
        <v>580871</v>
      </c>
      <c r="H209" s="615">
        <v>1156468</v>
      </c>
      <c r="I209" s="615">
        <v>29258</v>
      </c>
      <c r="J209" s="615">
        <v>32098</v>
      </c>
      <c r="K209" s="615">
        <v>61356</v>
      </c>
      <c r="L209" s="615">
        <v>1289890</v>
      </c>
      <c r="M209" s="615">
        <v>1317920</v>
      </c>
      <c r="N209" s="615">
        <v>2607810</v>
      </c>
    </row>
    <row r="210" spans="1:14">
      <c r="A210" s="1202"/>
      <c r="B210" s="614" t="s">
        <v>229</v>
      </c>
      <c r="C210" s="372">
        <v>3136650</v>
      </c>
      <c r="D210" s="372">
        <v>3251564</v>
      </c>
      <c r="E210" s="372">
        <v>6388214</v>
      </c>
      <c r="F210" s="372">
        <v>574191</v>
      </c>
      <c r="G210" s="372">
        <v>604607</v>
      </c>
      <c r="H210" s="372">
        <v>1178798</v>
      </c>
      <c r="I210" s="372">
        <v>24177</v>
      </c>
      <c r="J210" s="372">
        <v>25358</v>
      </c>
      <c r="K210" s="372">
        <v>49535</v>
      </c>
      <c r="L210" s="372">
        <v>1235540</v>
      </c>
      <c r="M210" s="372">
        <v>1353980</v>
      </c>
      <c r="N210" s="372">
        <v>2589520</v>
      </c>
    </row>
    <row r="211" spans="1:14">
      <c r="A211" s="1202"/>
      <c r="B211" s="614" t="s">
        <v>228</v>
      </c>
      <c r="C211" s="615">
        <v>3189520</v>
      </c>
      <c r="D211" s="615">
        <v>3279847</v>
      </c>
      <c r="E211" s="615">
        <v>6469367</v>
      </c>
      <c r="F211" s="615">
        <v>588721</v>
      </c>
      <c r="G211" s="615">
        <v>620749</v>
      </c>
      <c r="H211" s="615">
        <v>1209470</v>
      </c>
      <c r="I211" s="615">
        <v>27600</v>
      </c>
      <c r="J211" s="615">
        <v>27093</v>
      </c>
      <c r="K211" s="615">
        <v>54693</v>
      </c>
      <c r="L211" s="615">
        <v>1218268</v>
      </c>
      <c r="M211" s="615">
        <v>1343327</v>
      </c>
      <c r="N211" s="615">
        <v>2561595</v>
      </c>
    </row>
    <row r="212" spans="1:14">
      <c r="A212" s="1202"/>
      <c r="B212" s="614" t="s">
        <v>227</v>
      </c>
      <c r="C212" s="374">
        <v>3308314.4568722048</v>
      </c>
      <c r="D212" s="374">
        <v>3147060.9357756707</v>
      </c>
      <c r="E212" s="374">
        <v>6455375.3926478755</v>
      </c>
      <c r="F212" s="373">
        <v>564918</v>
      </c>
      <c r="G212" s="373">
        <v>521644</v>
      </c>
      <c r="H212" s="373">
        <v>1086562</v>
      </c>
      <c r="I212" s="373">
        <v>24251</v>
      </c>
      <c r="J212" s="373">
        <v>21085</v>
      </c>
      <c r="K212" s="373">
        <v>45336</v>
      </c>
      <c r="L212" s="373">
        <v>1206321</v>
      </c>
      <c r="M212" s="373">
        <v>1158172</v>
      </c>
      <c r="N212" s="373">
        <v>2364493</v>
      </c>
    </row>
    <row r="213" spans="1:14">
      <c r="A213" s="1202">
        <v>35</v>
      </c>
      <c r="B213" s="616" t="s">
        <v>46</v>
      </c>
      <c r="C213" s="617"/>
      <c r="D213" s="618"/>
      <c r="E213" s="618"/>
      <c r="F213" s="618"/>
      <c r="G213" s="618"/>
      <c r="H213" s="619"/>
      <c r="I213" s="617"/>
      <c r="J213" s="618"/>
      <c r="K213" s="618"/>
      <c r="L213" s="618"/>
      <c r="M213" s="618"/>
      <c r="N213" s="618"/>
    </row>
    <row r="214" spans="1:14">
      <c r="A214" s="1202"/>
      <c r="B214" s="614" t="s">
        <v>919</v>
      </c>
      <c r="C214" s="617">
        <v>286149</v>
      </c>
      <c r="D214" s="618">
        <v>281555</v>
      </c>
      <c r="E214" s="618">
        <v>567704</v>
      </c>
      <c r="F214" s="618">
        <v>39346</v>
      </c>
      <c r="G214" s="618">
        <v>43324</v>
      </c>
      <c r="H214" s="619">
        <v>82670</v>
      </c>
      <c r="I214" s="617">
        <v>9268</v>
      </c>
      <c r="J214" s="618">
        <v>8843</v>
      </c>
      <c r="K214" s="618">
        <v>18111</v>
      </c>
      <c r="L214" s="618">
        <v>53212</v>
      </c>
      <c r="M214" s="618">
        <v>51752</v>
      </c>
      <c r="N214" s="618">
        <v>104964</v>
      </c>
    </row>
    <row r="215" spans="1:14">
      <c r="A215" s="1202"/>
      <c r="B215" s="614" t="s">
        <v>876</v>
      </c>
      <c r="C215" s="615">
        <v>304850</v>
      </c>
      <c r="D215" s="615">
        <v>315301</v>
      </c>
      <c r="E215" s="615">
        <v>620151</v>
      </c>
      <c r="F215" s="615">
        <v>42740</v>
      </c>
      <c r="G215" s="615">
        <v>48262</v>
      </c>
      <c r="H215" s="615">
        <v>91002</v>
      </c>
      <c r="I215" s="615">
        <v>10219</v>
      </c>
      <c r="J215" s="615">
        <v>10944</v>
      </c>
      <c r="K215" s="615">
        <v>21163</v>
      </c>
      <c r="L215" s="615">
        <v>53371</v>
      </c>
      <c r="M215" s="615">
        <v>48798</v>
      </c>
      <c r="N215" s="615">
        <v>102169</v>
      </c>
    </row>
    <row r="216" spans="1:14">
      <c r="A216" s="1202"/>
      <c r="B216" s="614" t="s">
        <v>229</v>
      </c>
      <c r="C216" s="372">
        <v>248893</v>
      </c>
      <c r="D216" s="372">
        <v>244386</v>
      </c>
      <c r="E216" s="372">
        <v>493279</v>
      </c>
      <c r="F216" s="372">
        <v>34825</v>
      </c>
      <c r="G216" s="372">
        <v>35946</v>
      </c>
      <c r="H216" s="372">
        <v>70771</v>
      </c>
      <c r="I216" s="372">
        <v>8678</v>
      </c>
      <c r="J216" s="372">
        <v>8758</v>
      </c>
      <c r="K216" s="372">
        <v>17436</v>
      </c>
      <c r="L216" s="372">
        <v>45352</v>
      </c>
      <c r="M216" s="372">
        <v>39825</v>
      </c>
      <c r="N216" s="372">
        <v>85177</v>
      </c>
    </row>
    <row r="217" spans="1:14">
      <c r="A217" s="1202"/>
      <c r="B217" s="614" t="s">
        <v>228</v>
      </c>
      <c r="C217" s="615">
        <v>241083</v>
      </c>
      <c r="D217" s="615">
        <v>227172</v>
      </c>
      <c r="E217" s="615">
        <v>468255</v>
      </c>
      <c r="F217" s="615">
        <v>34145</v>
      </c>
      <c r="G217" s="615">
        <v>33699</v>
      </c>
      <c r="H217" s="615">
        <v>67844</v>
      </c>
      <c r="I217" s="615">
        <v>8957</v>
      </c>
      <c r="J217" s="615">
        <v>9168</v>
      </c>
      <c r="K217" s="615">
        <v>18125</v>
      </c>
      <c r="L217" s="615">
        <v>44665</v>
      </c>
      <c r="M217" s="615">
        <v>37465</v>
      </c>
      <c r="N217" s="615">
        <v>82130</v>
      </c>
    </row>
    <row r="218" spans="1:14">
      <c r="A218" s="1202"/>
      <c r="B218" s="614" t="s">
        <v>227</v>
      </c>
      <c r="C218" s="374">
        <v>224607.8734250805</v>
      </c>
      <c r="D218" s="374">
        <v>212542.52165228475</v>
      </c>
      <c r="E218" s="374">
        <v>437150.39507736522</v>
      </c>
      <c r="F218" s="373">
        <v>30944</v>
      </c>
      <c r="G218" s="373">
        <v>29558</v>
      </c>
      <c r="H218" s="373">
        <v>60502</v>
      </c>
      <c r="I218" s="373">
        <v>8008</v>
      </c>
      <c r="J218" s="373">
        <v>8139</v>
      </c>
      <c r="K218" s="373">
        <v>16147</v>
      </c>
      <c r="L218" s="373">
        <v>41279</v>
      </c>
      <c r="M218" s="373">
        <v>34375</v>
      </c>
      <c r="N218" s="373">
        <v>75654</v>
      </c>
    </row>
    <row r="219" spans="1:14">
      <c r="A219" s="1202">
        <v>36</v>
      </c>
      <c r="B219" s="616" t="s">
        <v>48</v>
      </c>
      <c r="C219" s="617"/>
      <c r="D219" s="618"/>
      <c r="E219" s="618"/>
      <c r="F219" s="618"/>
      <c r="G219" s="618"/>
      <c r="H219" s="619"/>
      <c r="I219" s="617"/>
      <c r="J219" s="618"/>
      <c r="K219" s="618"/>
      <c r="L219" s="618"/>
      <c r="M219" s="618"/>
      <c r="N219" s="618"/>
    </row>
    <row r="220" spans="1:14">
      <c r="A220" s="1202"/>
      <c r="B220" s="614" t="s">
        <v>919</v>
      </c>
      <c r="C220" s="617">
        <v>1375627</v>
      </c>
      <c r="D220" s="618">
        <v>1346524</v>
      </c>
      <c r="E220" s="618">
        <v>2722151</v>
      </c>
      <c r="F220" s="618">
        <v>268861</v>
      </c>
      <c r="G220" s="618">
        <v>250384</v>
      </c>
      <c r="H220" s="619">
        <v>519245</v>
      </c>
      <c r="I220" s="617">
        <v>46586</v>
      </c>
      <c r="J220" s="618">
        <v>49120</v>
      </c>
      <c r="K220" s="618">
        <v>95706</v>
      </c>
      <c r="L220" s="618">
        <v>252444</v>
      </c>
      <c r="M220" s="618">
        <v>227554</v>
      </c>
      <c r="N220" s="618">
        <v>479998</v>
      </c>
    </row>
    <row r="221" spans="1:14">
      <c r="A221" s="1202"/>
      <c r="B221" s="614" t="s">
        <v>876</v>
      </c>
      <c r="C221" s="615">
        <v>1086183</v>
      </c>
      <c r="D221" s="615">
        <v>1129353</v>
      </c>
      <c r="E221" s="615">
        <v>2215536</v>
      </c>
      <c r="F221" s="615">
        <v>193301</v>
      </c>
      <c r="G221" s="615">
        <v>196461</v>
      </c>
      <c r="H221" s="615">
        <v>389762</v>
      </c>
      <c r="I221" s="615">
        <v>35878</v>
      </c>
      <c r="J221" s="615">
        <v>37271</v>
      </c>
      <c r="K221" s="615">
        <v>73149</v>
      </c>
      <c r="L221" s="615">
        <v>173809</v>
      </c>
      <c r="M221" s="615">
        <v>174094</v>
      </c>
      <c r="N221" s="615">
        <v>347903</v>
      </c>
    </row>
    <row r="222" spans="1:14">
      <c r="A222" s="1202"/>
      <c r="B222" s="614" t="s">
        <v>229</v>
      </c>
      <c r="C222" s="372">
        <v>1069629</v>
      </c>
      <c r="D222" s="372">
        <v>1091264</v>
      </c>
      <c r="E222" s="372">
        <v>2160893</v>
      </c>
      <c r="F222" s="372">
        <v>198506</v>
      </c>
      <c r="G222" s="372">
        <v>198374</v>
      </c>
      <c r="H222" s="372">
        <v>396880</v>
      </c>
      <c r="I222" s="372">
        <v>35684</v>
      </c>
      <c r="J222" s="372">
        <v>36549</v>
      </c>
      <c r="K222" s="372">
        <v>72233</v>
      </c>
      <c r="L222" s="372">
        <v>169795</v>
      </c>
      <c r="M222" s="372">
        <v>168978</v>
      </c>
      <c r="N222" s="372">
        <v>338773</v>
      </c>
    </row>
    <row r="223" spans="1:14">
      <c r="A223" s="1202"/>
      <c r="B223" s="614" t="s">
        <v>228</v>
      </c>
      <c r="C223" s="615">
        <v>1056511</v>
      </c>
      <c r="D223" s="615">
        <v>1040899</v>
      </c>
      <c r="E223" s="615">
        <v>2097410</v>
      </c>
      <c r="F223" s="615">
        <v>191847</v>
      </c>
      <c r="G223" s="615">
        <v>183008</v>
      </c>
      <c r="H223" s="615">
        <v>374855</v>
      </c>
      <c r="I223" s="615">
        <v>34002</v>
      </c>
      <c r="J223" s="615">
        <v>33168</v>
      </c>
      <c r="K223" s="615">
        <v>67170</v>
      </c>
      <c r="L223" s="615">
        <v>164367</v>
      </c>
      <c r="M223" s="615">
        <v>152598</v>
      </c>
      <c r="N223" s="615">
        <v>316965</v>
      </c>
    </row>
    <row r="224" spans="1:14">
      <c r="A224" s="1202"/>
      <c r="B224" s="614" t="s">
        <v>227</v>
      </c>
      <c r="C224" s="373">
        <v>1061520</v>
      </c>
      <c r="D224" s="373">
        <v>974461</v>
      </c>
      <c r="E224" s="373">
        <v>2035981</v>
      </c>
      <c r="F224" s="373">
        <v>194424</v>
      </c>
      <c r="G224" s="373">
        <v>172389</v>
      </c>
      <c r="H224" s="373">
        <v>366813</v>
      </c>
      <c r="I224" s="373">
        <v>34232</v>
      </c>
      <c r="J224" s="373">
        <v>30728</v>
      </c>
      <c r="K224" s="373">
        <v>64960</v>
      </c>
      <c r="L224" s="373">
        <v>161568</v>
      </c>
      <c r="M224" s="373">
        <v>138892</v>
      </c>
      <c r="N224" s="373">
        <v>300460</v>
      </c>
    </row>
  </sheetData>
  <mergeCells count="47">
    <mergeCell ref="A23:A28"/>
    <mergeCell ref="C1:H1"/>
    <mergeCell ref="I1:N1"/>
    <mergeCell ref="A2:A3"/>
    <mergeCell ref="B2:B3"/>
    <mergeCell ref="C2:E2"/>
    <mergeCell ref="F2:H2"/>
    <mergeCell ref="I2:K2"/>
    <mergeCell ref="L2:N2"/>
    <mergeCell ref="A5:A10"/>
    <mergeCell ref="C5:H5"/>
    <mergeCell ref="I5:N5"/>
    <mergeCell ref="A11:A16"/>
    <mergeCell ref="A17:A22"/>
    <mergeCell ref="A95:A100"/>
    <mergeCell ref="A29:A34"/>
    <mergeCell ref="A35:A40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165:A170"/>
    <mergeCell ref="A101:A106"/>
    <mergeCell ref="A107:A110"/>
    <mergeCell ref="A111:A116"/>
    <mergeCell ref="A117:A122"/>
    <mergeCell ref="A123:A128"/>
    <mergeCell ref="A129:A134"/>
    <mergeCell ref="A135:A140"/>
    <mergeCell ref="A141:A146"/>
    <mergeCell ref="A147:A152"/>
    <mergeCell ref="A153:A158"/>
    <mergeCell ref="A159:A164"/>
    <mergeCell ref="A207:A212"/>
    <mergeCell ref="A213:A218"/>
    <mergeCell ref="A219:A224"/>
    <mergeCell ref="A171:A176"/>
    <mergeCell ref="A177:A182"/>
    <mergeCell ref="A183:A188"/>
    <mergeCell ref="A189:A194"/>
    <mergeCell ref="A195:A200"/>
    <mergeCell ref="A201:A206"/>
  </mergeCells>
  <printOptions horizontalCentered="1"/>
  <pageMargins left="0.39370078740157483" right="0.39370078740157483" top="0.23622047244094491" bottom="0.27559055118110237" header="0.19685039370078741" footer="0.15748031496062992"/>
  <pageSetup paperSize="9" scale="63" firstPageNumber="2" pageOrder="overThenDown" orientation="portrait" useFirstPageNumber="1" r:id="rId1"/>
  <headerFooter alignWithMargins="0">
    <oddFooter>&amp;LAISHE 2021-22&amp;CT-45</oddFooter>
  </headerFooter>
  <rowBreaks count="2" manualBreakCount="2">
    <brk id="82" max="13" man="1"/>
    <brk id="152" max="13" man="1"/>
  </rowBreaks>
  <colBreaks count="1" manualBreakCount="1">
    <brk id="8" max="223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118D-462D-4611-888A-2A4BDA29751A}">
  <sheetPr>
    <tabColor rgb="FF00B050"/>
  </sheetPr>
  <dimension ref="A1:N224"/>
  <sheetViews>
    <sheetView view="pageBreakPreview" zoomScaleSheetLayoutView="100" workbookViewId="0">
      <pane xSplit="2" ySplit="3" topLeftCell="C151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"/>
  <cols>
    <col min="1" max="1" width="6.7109375" style="626" customWidth="1"/>
    <col min="2" max="2" width="36.42578125" style="609" bestFit="1" customWidth="1"/>
    <col min="3" max="11" width="11.28515625" style="609" customWidth="1"/>
    <col min="12" max="23" width="9.7109375" style="609" customWidth="1"/>
    <col min="24" max="25" width="9" style="609" customWidth="1"/>
    <col min="26" max="26" width="21.7109375" style="609" customWidth="1"/>
    <col min="27" max="27" width="18.28515625" style="609" customWidth="1"/>
    <col min="28" max="28" width="8" style="609" customWidth="1"/>
    <col min="29" max="29" width="9" style="609" customWidth="1"/>
    <col min="30" max="30" width="21.28515625" style="609" customWidth="1"/>
    <col min="31" max="31" width="10.7109375" style="609" customWidth="1"/>
    <col min="32" max="32" width="11.7109375" style="609" customWidth="1"/>
    <col min="33" max="33" width="11" style="609" customWidth="1"/>
    <col min="34" max="16384" width="9.28515625" style="609"/>
  </cols>
  <sheetData>
    <row r="1" spans="1:14" ht="28.5" customHeight="1">
      <c r="B1" s="608" t="s">
        <v>244</v>
      </c>
      <c r="C1" s="1220" t="s">
        <v>245</v>
      </c>
      <c r="D1" s="1220"/>
      <c r="E1" s="1220"/>
      <c r="F1" s="1220"/>
      <c r="G1" s="1220"/>
      <c r="H1" s="1220"/>
      <c r="I1" s="1220"/>
      <c r="J1" s="1220"/>
      <c r="K1" s="1220"/>
      <c r="L1" s="1220"/>
      <c r="M1" s="1220"/>
      <c r="N1" s="1220"/>
    </row>
    <row r="2" spans="1:14" ht="17.25" customHeight="1">
      <c r="A2" s="1208" t="s">
        <v>988</v>
      </c>
      <c r="B2" s="1221" t="s">
        <v>168</v>
      </c>
      <c r="C2" s="1232" t="s">
        <v>105</v>
      </c>
      <c r="D2" s="1233"/>
      <c r="E2" s="1234"/>
      <c r="F2" s="1232" t="s">
        <v>106</v>
      </c>
      <c r="G2" s="1233"/>
      <c r="H2" s="1234"/>
      <c r="I2" s="1232" t="s">
        <v>107</v>
      </c>
      <c r="J2" s="1233"/>
      <c r="K2" s="1234"/>
      <c r="L2" s="1232" t="s">
        <v>225</v>
      </c>
      <c r="M2" s="1233"/>
      <c r="N2" s="1234"/>
    </row>
    <row r="3" spans="1:14" ht="17.25" customHeight="1">
      <c r="A3" s="1209"/>
      <c r="B3" s="1231"/>
      <c r="C3" s="610" t="s">
        <v>87</v>
      </c>
      <c r="D3" s="610" t="s">
        <v>88</v>
      </c>
      <c r="E3" s="610" t="s">
        <v>236</v>
      </c>
      <c r="F3" s="610" t="s">
        <v>87</v>
      </c>
      <c r="G3" s="610" t="s">
        <v>88</v>
      </c>
      <c r="H3" s="610" t="s">
        <v>236</v>
      </c>
      <c r="I3" s="610" t="s">
        <v>87</v>
      </c>
      <c r="J3" s="610" t="s">
        <v>88</v>
      </c>
      <c r="K3" s="610" t="s">
        <v>236</v>
      </c>
      <c r="L3" s="610" t="s">
        <v>87</v>
      </c>
      <c r="M3" s="610" t="s">
        <v>88</v>
      </c>
      <c r="N3" s="610" t="s">
        <v>12</v>
      </c>
    </row>
    <row r="4" spans="1:14" ht="14.25" customHeight="1">
      <c r="A4" s="627">
        <v>1</v>
      </c>
      <c r="B4" s="627">
        <v>2</v>
      </c>
      <c r="C4" s="628">
        <v>3</v>
      </c>
      <c r="D4" s="629">
        <v>4</v>
      </c>
      <c r="E4" s="630">
        <v>5</v>
      </c>
      <c r="F4" s="630">
        <v>6</v>
      </c>
      <c r="G4" s="629">
        <v>7</v>
      </c>
      <c r="H4" s="630">
        <v>8</v>
      </c>
      <c r="I4" s="630">
        <v>9</v>
      </c>
      <c r="J4" s="629">
        <v>10</v>
      </c>
      <c r="K4" s="630">
        <v>11</v>
      </c>
      <c r="L4" s="630">
        <v>12</v>
      </c>
      <c r="M4" s="629">
        <v>13</v>
      </c>
      <c r="N4" s="630">
        <v>14</v>
      </c>
    </row>
    <row r="5" spans="1:14">
      <c r="A5" s="1235"/>
      <c r="B5" s="631" t="s">
        <v>230</v>
      </c>
      <c r="C5" s="632"/>
      <c r="D5" s="621"/>
      <c r="E5" s="621"/>
      <c r="F5" s="621"/>
      <c r="G5" s="621"/>
      <c r="H5" s="621"/>
      <c r="I5" s="621"/>
      <c r="J5" s="621"/>
      <c r="K5" s="621"/>
      <c r="L5" s="621"/>
      <c r="M5" s="621"/>
      <c r="N5" s="622"/>
    </row>
    <row r="6" spans="1:14">
      <c r="A6" s="1235"/>
      <c r="B6" s="614" t="s">
        <v>919</v>
      </c>
      <c r="C6" s="633">
        <v>51373</v>
      </c>
      <c r="D6" s="623">
        <v>37375</v>
      </c>
      <c r="E6" s="623">
        <v>88748</v>
      </c>
      <c r="F6" s="623">
        <v>1068766</v>
      </c>
      <c r="G6" s="623">
        <v>1039267</v>
      </c>
      <c r="H6" s="623">
        <v>2108033</v>
      </c>
      <c r="I6" s="623">
        <v>427425</v>
      </c>
      <c r="J6" s="623">
        <v>477734</v>
      </c>
      <c r="K6" s="623">
        <v>905159</v>
      </c>
      <c r="L6" s="623">
        <v>354534</v>
      </c>
      <c r="M6" s="623">
        <v>302027</v>
      </c>
      <c r="N6" s="624">
        <v>656561</v>
      </c>
    </row>
    <row r="7" spans="1:14">
      <c r="A7" s="1235"/>
      <c r="B7" s="614" t="s">
        <v>876</v>
      </c>
      <c r="C7" s="625">
        <v>49334</v>
      </c>
      <c r="D7" s="625">
        <v>29701</v>
      </c>
      <c r="E7" s="625">
        <v>79035</v>
      </c>
      <c r="F7" s="625">
        <v>954655</v>
      </c>
      <c r="G7" s="625">
        <v>967058</v>
      </c>
      <c r="H7" s="625">
        <v>1921713</v>
      </c>
      <c r="I7" s="625">
        <v>381764</v>
      </c>
      <c r="J7" s="625">
        <v>448102</v>
      </c>
      <c r="K7" s="625">
        <v>829866</v>
      </c>
      <c r="L7" s="625">
        <v>244250</v>
      </c>
      <c r="M7" s="625">
        <v>223526</v>
      </c>
      <c r="N7" s="625">
        <v>467776</v>
      </c>
    </row>
    <row r="8" spans="1:14">
      <c r="A8" s="1235"/>
      <c r="B8" s="614" t="s">
        <v>229</v>
      </c>
      <c r="C8" s="615">
        <v>47830</v>
      </c>
      <c r="D8" s="615">
        <v>45001</v>
      </c>
      <c r="E8" s="615">
        <v>92831</v>
      </c>
      <c r="F8" s="615">
        <v>1046374</v>
      </c>
      <c r="G8" s="615">
        <v>1054486</v>
      </c>
      <c r="H8" s="615">
        <v>2100860</v>
      </c>
      <c r="I8" s="615">
        <v>404748</v>
      </c>
      <c r="J8" s="615">
        <v>483002</v>
      </c>
      <c r="K8" s="615">
        <v>887750</v>
      </c>
      <c r="L8" s="615"/>
      <c r="M8" s="615"/>
      <c r="N8" s="615"/>
    </row>
    <row r="9" spans="1:14">
      <c r="A9" s="1235"/>
      <c r="B9" s="614" t="s">
        <v>228</v>
      </c>
      <c r="C9" s="615">
        <v>48212</v>
      </c>
      <c r="D9" s="615">
        <v>37665</v>
      </c>
      <c r="E9" s="615">
        <v>85877</v>
      </c>
      <c r="F9" s="370">
        <v>993396</v>
      </c>
      <c r="G9" s="370">
        <v>965608</v>
      </c>
      <c r="H9" s="370">
        <v>1959004</v>
      </c>
      <c r="I9" s="370">
        <v>397146</v>
      </c>
      <c r="J9" s="370">
        <v>470954</v>
      </c>
      <c r="K9" s="370">
        <v>868100</v>
      </c>
      <c r="L9" s="615"/>
      <c r="M9" s="615"/>
      <c r="N9" s="615"/>
    </row>
    <row r="10" spans="1:14">
      <c r="A10" s="1235"/>
      <c r="B10" s="614" t="s">
        <v>227</v>
      </c>
      <c r="C10" s="615">
        <v>42630</v>
      </c>
      <c r="D10" s="615">
        <v>31687</v>
      </c>
      <c r="E10" s="615">
        <v>74317</v>
      </c>
      <c r="F10" s="370">
        <v>939488</v>
      </c>
      <c r="G10" s="370">
        <v>898121</v>
      </c>
      <c r="H10" s="370">
        <v>1837609</v>
      </c>
      <c r="I10" s="370">
        <v>359110</v>
      </c>
      <c r="J10" s="370">
        <v>448517</v>
      </c>
      <c r="K10" s="370">
        <v>807627</v>
      </c>
      <c r="L10" s="615"/>
      <c r="M10" s="615"/>
      <c r="N10" s="615"/>
    </row>
    <row r="11" spans="1:14">
      <c r="A11" s="1227">
        <v>1</v>
      </c>
      <c r="B11" s="631" t="s">
        <v>1061</v>
      </c>
      <c r="C11" s="632"/>
      <c r="D11" s="621"/>
      <c r="E11" s="621"/>
      <c r="F11" s="621"/>
      <c r="G11" s="621"/>
      <c r="H11" s="621"/>
      <c r="I11" s="621"/>
      <c r="J11" s="621"/>
      <c r="K11" s="621"/>
      <c r="L11" s="621"/>
      <c r="M11" s="621"/>
      <c r="N11" s="622"/>
    </row>
    <row r="12" spans="1:14">
      <c r="A12" s="1227"/>
      <c r="B12" s="614" t="s">
        <v>919</v>
      </c>
      <c r="C12" s="632">
        <v>27</v>
      </c>
      <c r="D12" s="621">
        <v>39</v>
      </c>
      <c r="E12" s="621">
        <v>66</v>
      </c>
      <c r="F12" s="621">
        <v>239</v>
      </c>
      <c r="G12" s="621">
        <v>370</v>
      </c>
      <c r="H12" s="621">
        <v>609</v>
      </c>
      <c r="I12" s="621">
        <v>402</v>
      </c>
      <c r="J12" s="621">
        <v>743</v>
      </c>
      <c r="K12" s="621">
        <v>1145</v>
      </c>
      <c r="L12" s="621">
        <v>49</v>
      </c>
      <c r="M12" s="621">
        <v>63</v>
      </c>
      <c r="N12" s="622">
        <v>112</v>
      </c>
    </row>
    <row r="13" spans="1:14">
      <c r="A13" s="1227"/>
      <c r="B13" s="614" t="s">
        <v>876</v>
      </c>
      <c r="C13" s="615">
        <v>22</v>
      </c>
      <c r="D13" s="615">
        <v>34</v>
      </c>
      <c r="E13" s="615">
        <v>56</v>
      </c>
      <c r="F13" s="615">
        <v>255</v>
      </c>
      <c r="G13" s="615">
        <v>363</v>
      </c>
      <c r="H13" s="615">
        <v>618</v>
      </c>
      <c r="I13" s="615">
        <v>401</v>
      </c>
      <c r="J13" s="615">
        <v>731</v>
      </c>
      <c r="K13" s="615">
        <v>1132</v>
      </c>
      <c r="L13" s="615">
        <v>51</v>
      </c>
      <c r="M13" s="615">
        <v>37</v>
      </c>
      <c r="N13" s="615">
        <v>88</v>
      </c>
    </row>
    <row r="14" spans="1:14">
      <c r="A14" s="1227"/>
      <c r="B14" s="614" t="s">
        <v>229</v>
      </c>
      <c r="C14" s="372">
        <v>18</v>
      </c>
      <c r="D14" s="372">
        <v>44</v>
      </c>
      <c r="E14" s="372">
        <v>62</v>
      </c>
      <c r="F14" s="372">
        <v>166</v>
      </c>
      <c r="G14" s="372">
        <v>304</v>
      </c>
      <c r="H14" s="372">
        <v>470</v>
      </c>
      <c r="I14" s="372">
        <v>293</v>
      </c>
      <c r="J14" s="372">
        <v>645</v>
      </c>
      <c r="K14" s="372">
        <v>938</v>
      </c>
      <c r="L14" s="615"/>
      <c r="M14" s="615"/>
      <c r="N14" s="615"/>
    </row>
    <row r="15" spans="1:14">
      <c r="A15" s="1227"/>
      <c r="B15" s="614" t="s">
        <v>228</v>
      </c>
      <c r="C15" s="615">
        <v>20</v>
      </c>
      <c r="D15" s="615">
        <v>17</v>
      </c>
      <c r="E15" s="615">
        <v>37</v>
      </c>
      <c r="F15" s="615">
        <v>263</v>
      </c>
      <c r="G15" s="615">
        <v>376</v>
      </c>
      <c r="H15" s="615">
        <v>639</v>
      </c>
      <c r="I15" s="615">
        <v>339</v>
      </c>
      <c r="J15" s="615">
        <v>670</v>
      </c>
      <c r="K15" s="615">
        <v>1009</v>
      </c>
      <c r="L15" s="615"/>
      <c r="M15" s="615"/>
      <c r="N15" s="615"/>
    </row>
    <row r="16" spans="1:14">
      <c r="A16" s="1227"/>
      <c r="B16" s="614" t="s">
        <v>227</v>
      </c>
      <c r="C16" s="373">
        <v>15</v>
      </c>
      <c r="D16" s="373">
        <v>10</v>
      </c>
      <c r="E16" s="374">
        <f>C16+D16</f>
        <v>25</v>
      </c>
      <c r="F16" s="373">
        <v>207</v>
      </c>
      <c r="G16" s="373">
        <v>323</v>
      </c>
      <c r="H16" s="374">
        <f>F16+G16</f>
        <v>530</v>
      </c>
      <c r="I16" s="373">
        <v>416</v>
      </c>
      <c r="J16" s="373">
        <v>678</v>
      </c>
      <c r="K16" s="374">
        <f>I16+J16</f>
        <v>1094</v>
      </c>
      <c r="L16" s="615"/>
      <c r="M16" s="615"/>
      <c r="N16" s="615"/>
    </row>
    <row r="17" spans="1:14">
      <c r="A17" s="1227">
        <v>2</v>
      </c>
      <c r="B17" s="631" t="s">
        <v>15</v>
      </c>
      <c r="C17" s="632"/>
      <c r="D17" s="621"/>
      <c r="E17" s="621"/>
      <c r="F17" s="621"/>
      <c r="G17" s="621"/>
      <c r="H17" s="621"/>
      <c r="I17" s="621"/>
      <c r="J17" s="621"/>
      <c r="K17" s="621"/>
      <c r="L17" s="621"/>
      <c r="M17" s="621"/>
      <c r="N17" s="622"/>
    </row>
    <row r="18" spans="1:14">
      <c r="A18" s="1227"/>
      <c r="B18" s="614" t="s">
        <v>919</v>
      </c>
      <c r="C18" s="632">
        <v>1361</v>
      </c>
      <c r="D18" s="621">
        <v>1167</v>
      </c>
      <c r="E18" s="621">
        <v>2528</v>
      </c>
      <c r="F18" s="621">
        <v>32718</v>
      </c>
      <c r="G18" s="621">
        <v>23726</v>
      </c>
      <c r="H18" s="621">
        <v>56444</v>
      </c>
      <c r="I18" s="621">
        <v>4241</v>
      </c>
      <c r="J18" s="621">
        <v>4420</v>
      </c>
      <c r="K18" s="621">
        <v>8661</v>
      </c>
      <c r="L18" s="621">
        <v>20391</v>
      </c>
      <c r="M18" s="621">
        <v>19050</v>
      </c>
      <c r="N18" s="622">
        <v>39441</v>
      </c>
    </row>
    <row r="19" spans="1:14">
      <c r="A19" s="1227"/>
      <c r="B19" s="614" t="s">
        <v>876</v>
      </c>
      <c r="C19" s="615">
        <v>1659</v>
      </c>
      <c r="D19" s="615">
        <v>957</v>
      </c>
      <c r="E19" s="615">
        <v>2616</v>
      </c>
      <c r="F19" s="615">
        <v>28338</v>
      </c>
      <c r="G19" s="615">
        <v>23313</v>
      </c>
      <c r="H19" s="615">
        <v>51651</v>
      </c>
      <c r="I19" s="615">
        <v>5727</v>
      </c>
      <c r="J19" s="615">
        <v>4301</v>
      </c>
      <c r="K19" s="615">
        <v>10028</v>
      </c>
      <c r="L19" s="615">
        <v>15650</v>
      </c>
      <c r="M19" s="615">
        <v>14068</v>
      </c>
      <c r="N19" s="615">
        <v>29718</v>
      </c>
    </row>
    <row r="20" spans="1:14">
      <c r="A20" s="1227"/>
      <c r="B20" s="614" t="s">
        <v>229</v>
      </c>
      <c r="C20" s="372">
        <v>1683</v>
      </c>
      <c r="D20" s="372">
        <v>982</v>
      </c>
      <c r="E20" s="372">
        <v>2665</v>
      </c>
      <c r="F20" s="372">
        <v>34050</v>
      </c>
      <c r="G20" s="372">
        <v>27245</v>
      </c>
      <c r="H20" s="372">
        <v>61295</v>
      </c>
      <c r="I20" s="372">
        <v>3884</v>
      </c>
      <c r="J20" s="372">
        <v>3745</v>
      </c>
      <c r="K20" s="372">
        <v>7629</v>
      </c>
      <c r="L20" s="615"/>
      <c r="M20" s="615"/>
      <c r="N20" s="615"/>
    </row>
    <row r="21" spans="1:14">
      <c r="A21" s="1227"/>
      <c r="B21" s="614" t="s">
        <v>228</v>
      </c>
      <c r="C21" s="615">
        <v>1597</v>
      </c>
      <c r="D21" s="615">
        <v>928</v>
      </c>
      <c r="E21" s="615">
        <v>2525</v>
      </c>
      <c r="F21" s="615">
        <v>33309</v>
      </c>
      <c r="G21" s="615">
        <v>25470</v>
      </c>
      <c r="H21" s="615">
        <v>58779</v>
      </c>
      <c r="I21" s="615">
        <v>4428</v>
      </c>
      <c r="J21" s="615">
        <v>4406</v>
      </c>
      <c r="K21" s="615">
        <v>8834</v>
      </c>
      <c r="L21" s="615"/>
      <c r="M21" s="615"/>
      <c r="N21" s="615"/>
    </row>
    <row r="22" spans="1:14">
      <c r="A22" s="1227"/>
      <c r="B22" s="614" t="s">
        <v>227</v>
      </c>
      <c r="C22" s="373">
        <v>1832</v>
      </c>
      <c r="D22" s="373">
        <v>1374</v>
      </c>
      <c r="E22" s="374">
        <f>C22+D22</f>
        <v>3206</v>
      </c>
      <c r="F22" s="373">
        <v>32307</v>
      </c>
      <c r="G22" s="373">
        <v>23793</v>
      </c>
      <c r="H22" s="374">
        <f>F22+G22</f>
        <v>56100</v>
      </c>
      <c r="I22" s="373">
        <v>2939</v>
      </c>
      <c r="J22" s="373">
        <v>3530</v>
      </c>
      <c r="K22" s="374">
        <f>I22+J22</f>
        <v>6469</v>
      </c>
      <c r="L22" s="615"/>
      <c r="M22" s="615"/>
      <c r="N22" s="615"/>
    </row>
    <row r="23" spans="1:14">
      <c r="A23" s="1227">
        <v>3</v>
      </c>
      <c r="B23" s="631" t="s">
        <v>16</v>
      </c>
      <c r="C23" s="632"/>
      <c r="D23" s="621"/>
      <c r="E23" s="621"/>
      <c r="F23" s="621"/>
      <c r="G23" s="621"/>
      <c r="H23" s="621"/>
      <c r="I23" s="621"/>
      <c r="J23" s="621"/>
      <c r="K23" s="621"/>
      <c r="L23" s="621"/>
      <c r="M23" s="621"/>
      <c r="N23" s="622"/>
    </row>
    <row r="24" spans="1:14">
      <c r="A24" s="1227"/>
      <c r="B24" s="614" t="s">
        <v>919</v>
      </c>
      <c r="C24" s="632">
        <v>24</v>
      </c>
      <c r="D24" s="621">
        <v>28</v>
      </c>
      <c r="E24" s="621">
        <v>52</v>
      </c>
      <c r="F24" s="621">
        <v>65</v>
      </c>
      <c r="G24" s="621">
        <v>42</v>
      </c>
      <c r="H24" s="621">
        <v>107</v>
      </c>
      <c r="I24" s="621">
        <v>2470</v>
      </c>
      <c r="J24" s="621">
        <v>1673</v>
      </c>
      <c r="K24" s="621">
        <v>4143</v>
      </c>
      <c r="L24" s="621">
        <v>221</v>
      </c>
      <c r="M24" s="621">
        <v>124</v>
      </c>
      <c r="N24" s="622">
        <v>345</v>
      </c>
    </row>
    <row r="25" spans="1:14">
      <c r="A25" s="1227"/>
      <c r="B25" s="614" t="s">
        <v>876</v>
      </c>
      <c r="C25" s="615">
        <v>22</v>
      </c>
      <c r="D25" s="615">
        <v>10</v>
      </c>
      <c r="E25" s="615">
        <v>32</v>
      </c>
      <c r="F25" s="615">
        <v>53</v>
      </c>
      <c r="G25" s="615">
        <v>40</v>
      </c>
      <c r="H25" s="615">
        <v>93</v>
      </c>
      <c r="I25" s="615">
        <v>1849</v>
      </c>
      <c r="J25" s="615">
        <v>1292</v>
      </c>
      <c r="K25" s="615">
        <v>3141</v>
      </c>
      <c r="L25" s="615">
        <v>111</v>
      </c>
      <c r="M25" s="615">
        <v>74</v>
      </c>
      <c r="N25" s="615">
        <v>185</v>
      </c>
    </row>
    <row r="26" spans="1:14">
      <c r="A26" s="1227"/>
      <c r="B26" s="614" t="s">
        <v>229</v>
      </c>
      <c r="C26" s="372">
        <v>9</v>
      </c>
      <c r="D26" s="372">
        <v>5</v>
      </c>
      <c r="E26" s="372">
        <v>14</v>
      </c>
      <c r="F26" s="372">
        <v>91</v>
      </c>
      <c r="G26" s="372">
        <v>59</v>
      </c>
      <c r="H26" s="372">
        <v>150</v>
      </c>
      <c r="I26" s="372">
        <v>2519</v>
      </c>
      <c r="J26" s="372">
        <v>2250</v>
      </c>
      <c r="K26" s="372">
        <v>4769</v>
      </c>
      <c r="L26" s="615"/>
      <c r="M26" s="615"/>
      <c r="N26" s="615"/>
    </row>
    <row r="27" spans="1:14">
      <c r="A27" s="1227"/>
      <c r="B27" s="614" t="s">
        <v>228</v>
      </c>
      <c r="C27" s="615">
        <v>19</v>
      </c>
      <c r="D27" s="615">
        <v>9</v>
      </c>
      <c r="E27" s="615">
        <v>28</v>
      </c>
      <c r="F27" s="615">
        <v>94</v>
      </c>
      <c r="G27" s="615">
        <v>42</v>
      </c>
      <c r="H27" s="615">
        <v>136</v>
      </c>
      <c r="I27" s="615">
        <v>1688</v>
      </c>
      <c r="J27" s="615">
        <v>1199</v>
      </c>
      <c r="K27" s="615">
        <v>2887</v>
      </c>
      <c r="L27" s="615"/>
      <c r="M27" s="615"/>
      <c r="N27" s="615"/>
    </row>
    <row r="28" spans="1:14">
      <c r="A28" s="1227"/>
      <c r="B28" s="614" t="s">
        <v>227</v>
      </c>
      <c r="C28" s="373">
        <v>26</v>
      </c>
      <c r="D28" s="373">
        <v>13</v>
      </c>
      <c r="E28" s="374">
        <f>C28+D28</f>
        <v>39</v>
      </c>
      <c r="F28" s="373">
        <v>70</v>
      </c>
      <c r="G28" s="373">
        <v>50</v>
      </c>
      <c r="H28" s="374">
        <f>F28+G28</f>
        <v>120</v>
      </c>
      <c r="I28" s="373">
        <v>1409</v>
      </c>
      <c r="J28" s="373">
        <v>1358</v>
      </c>
      <c r="K28" s="374">
        <f>I28+J28</f>
        <v>2767</v>
      </c>
      <c r="L28" s="615"/>
      <c r="M28" s="615"/>
      <c r="N28" s="615"/>
    </row>
    <row r="29" spans="1:14">
      <c r="A29" s="1227">
        <v>4</v>
      </c>
      <c r="B29" s="631" t="s">
        <v>17</v>
      </c>
      <c r="C29" s="632"/>
      <c r="D29" s="621"/>
      <c r="E29" s="621"/>
      <c r="F29" s="621"/>
      <c r="G29" s="621"/>
      <c r="H29" s="621"/>
      <c r="I29" s="621"/>
      <c r="J29" s="621"/>
      <c r="K29" s="621"/>
      <c r="L29" s="621"/>
      <c r="M29" s="621"/>
      <c r="N29" s="622"/>
    </row>
    <row r="30" spans="1:14">
      <c r="A30" s="1227"/>
      <c r="B30" s="614" t="s">
        <v>919</v>
      </c>
      <c r="C30" s="632">
        <v>429</v>
      </c>
      <c r="D30" s="621">
        <v>232</v>
      </c>
      <c r="E30" s="621">
        <v>661</v>
      </c>
      <c r="F30" s="621">
        <v>44047</v>
      </c>
      <c r="G30" s="621">
        <v>40761</v>
      </c>
      <c r="H30" s="621">
        <v>84808</v>
      </c>
      <c r="I30" s="621">
        <v>5841</v>
      </c>
      <c r="J30" s="621">
        <v>5894</v>
      </c>
      <c r="K30" s="621">
        <v>11735</v>
      </c>
      <c r="L30" s="621">
        <v>12932</v>
      </c>
      <c r="M30" s="621">
        <v>14272</v>
      </c>
      <c r="N30" s="622">
        <v>27204</v>
      </c>
    </row>
    <row r="31" spans="1:14">
      <c r="A31" s="1227"/>
      <c r="B31" s="614" t="s">
        <v>876</v>
      </c>
      <c r="C31" s="615">
        <v>644</v>
      </c>
      <c r="D31" s="615">
        <v>316</v>
      </c>
      <c r="E31" s="615">
        <v>960</v>
      </c>
      <c r="F31" s="615">
        <v>44845</v>
      </c>
      <c r="G31" s="615">
        <v>43084</v>
      </c>
      <c r="H31" s="615">
        <v>87929</v>
      </c>
      <c r="I31" s="615">
        <v>6791</v>
      </c>
      <c r="J31" s="615">
        <v>6571</v>
      </c>
      <c r="K31" s="615">
        <v>13362</v>
      </c>
      <c r="L31" s="615">
        <v>8496</v>
      </c>
      <c r="M31" s="615">
        <v>8916</v>
      </c>
      <c r="N31" s="615">
        <v>17412</v>
      </c>
    </row>
    <row r="32" spans="1:14">
      <c r="A32" s="1227"/>
      <c r="B32" s="614" t="s">
        <v>229</v>
      </c>
      <c r="C32" s="372">
        <v>511</v>
      </c>
      <c r="D32" s="372">
        <v>301</v>
      </c>
      <c r="E32" s="372">
        <v>812</v>
      </c>
      <c r="F32" s="372">
        <v>47608</v>
      </c>
      <c r="G32" s="372">
        <v>45745</v>
      </c>
      <c r="H32" s="372">
        <v>93353</v>
      </c>
      <c r="I32" s="372">
        <v>6796</v>
      </c>
      <c r="J32" s="372">
        <v>7109</v>
      </c>
      <c r="K32" s="372">
        <v>13905</v>
      </c>
      <c r="L32" s="615"/>
      <c r="M32" s="615"/>
      <c r="N32" s="615"/>
    </row>
    <row r="33" spans="1:14">
      <c r="A33" s="1227"/>
      <c r="B33" s="614" t="s">
        <v>228</v>
      </c>
      <c r="C33" s="615">
        <v>599</v>
      </c>
      <c r="D33" s="620">
        <v>364</v>
      </c>
      <c r="E33" s="615">
        <v>963</v>
      </c>
      <c r="F33" s="615">
        <v>49869</v>
      </c>
      <c r="G33" s="615">
        <v>47596</v>
      </c>
      <c r="H33" s="615">
        <v>97465</v>
      </c>
      <c r="I33" s="615">
        <v>6586</v>
      </c>
      <c r="J33" s="615">
        <v>6696</v>
      </c>
      <c r="K33" s="615">
        <v>13282</v>
      </c>
      <c r="L33" s="615"/>
      <c r="M33" s="615"/>
      <c r="N33" s="615"/>
    </row>
    <row r="34" spans="1:14">
      <c r="A34" s="1227"/>
      <c r="B34" s="614" t="s">
        <v>227</v>
      </c>
      <c r="C34" s="373">
        <v>528</v>
      </c>
      <c r="D34" s="373">
        <v>354</v>
      </c>
      <c r="E34" s="374">
        <f>C34+D34</f>
        <v>882</v>
      </c>
      <c r="F34" s="373">
        <v>45324</v>
      </c>
      <c r="G34" s="373">
        <v>42480</v>
      </c>
      <c r="H34" s="374">
        <f>F34+G34</f>
        <v>87804</v>
      </c>
      <c r="I34" s="373">
        <v>4268</v>
      </c>
      <c r="J34" s="373">
        <v>4394</v>
      </c>
      <c r="K34" s="374">
        <f>I34+J34</f>
        <v>8662</v>
      </c>
      <c r="L34" s="615"/>
      <c r="M34" s="615"/>
      <c r="N34" s="615"/>
    </row>
    <row r="35" spans="1:14">
      <c r="A35" s="1227">
        <v>5</v>
      </c>
      <c r="B35" s="631" t="s">
        <v>18</v>
      </c>
      <c r="C35" s="632"/>
      <c r="D35" s="621"/>
      <c r="E35" s="621"/>
      <c r="F35" s="621"/>
      <c r="G35" s="621"/>
      <c r="H35" s="621"/>
      <c r="I35" s="621"/>
      <c r="J35" s="621"/>
      <c r="K35" s="621"/>
      <c r="L35" s="621"/>
      <c r="M35" s="621"/>
      <c r="N35" s="622"/>
    </row>
    <row r="36" spans="1:14">
      <c r="A36" s="1227"/>
      <c r="B36" s="614" t="s">
        <v>919</v>
      </c>
      <c r="C36" s="632">
        <v>2732</v>
      </c>
      <c r="D36" s="621">
        <v>1289</v>
      </c>
      <c r="E36" s="621">
        <v>4021</v>
      </c>
      <c r="F36" s="621">
        <v>93896</v>
      </c>
      <c r="G36" s="621">
        <v>78785</v>
      </c>
      <c r="H36" s="621">
        <v>172681</v>
      </c>
      <c r="I36" s="621">
        <v>3879</v>
      </c>
      <c r="J36" s="621">
        <v>4058</v>
      </c>
      <c r="K36" s="621">
        <v>7937</v>
      </c>
      <c r="L36" s="621">
        <v>24859</v>
      </c>
      <c r="M36" s="621">
        <v>18422</v>
      </c>
      <c r="N36" s="622">
        <v>43281</v>
      </c>
    </row>
    <row r="37" spans="1:14">
      <c r="A37" s="1227"/>
      <c r="B37" s="614" t="s">
        <v>876</v>
      </c>
      <c r="C37" s="615">
        <v>3410</v>
      </c>
      <c r="D37" s="615">
        <v>2236</v>
      </c>
      <c r="E37" s="615">
        <v>5646</v>
      </c>
      <c r="F37" s="615">
        <v>78713</v>
      </c>
      <c r="G37" s="615">
        <v>75028</v>
      </c>
      <c r="H37" s="615">
        <v>153741</v>
      </c>
      <c r="I37" s="615">
        <v>1222</v>
      </c>
      <c r="J37" s="615">
        <v>1658</v>
      </c>
      <c r="K37" s="615">
        <v>2880</v>
      </c>
      <c r="L37" s="615">
        <v>16533</v>
      </c>
      <c r="M37" s="615">
        <v>12612</v>
      </c>
      <c r="N37" s="615">
        <v>29145</v>
      </c>
    </row>
    <row r="38" spans="1:14">
      <c r="A38" s="1227"/>
      <c r="B38" s="614" t="s">
        <v>229</v>
      </c>
      <c r="C38" s="372">
        <v>1879</v>
      </c>
      <c r="D38" s="372">
        <v>737</v>
      </c>
      <c r="E38" s="372">
        <v>2616</v>
      </c>
      <c r="F38" s="372">
        <v>83382</v>
      </c>
      <c r="G38" s="372">
        <v>80567</v>
      </c>
      <c r="H38" s="372">
        <v>163949</v>
      </c>
      <c r="I38" s="372">
        <v>1111</v>
      </c>
      <c r="J38" s="372">
        <v>840</v>
      </c>
      <c r="K38" s="372">
        <v>1951</v>
      </c>
      <c r="L38" s="615"/>
      <c r="M38" s="615"/>
      <c r="N38" s="615"/>
    </row>
    <row r="39" spans="1:14">
      <c r="A39" s="1227"/>
      <c r="B39" s="614" t="s">
        <v>228</v>
      </c>
      <c r="C39" s="615">
        <v>3433</v>
      </c>
      <c r="D39" s="615">
        <v>1987</v>
      </c>
      <c r="E39" s="615">
        <v>5420</v>
      </c>
      <c r="F39" s="615">
        <v>80401</v>
      </c>
      <c r="G39" s="615">
        <v>71171</v>
      </c>
      <c r="H39" s="615">
        <v>151572</v>
      </c>
      <c r="I39" s="615">
        <v>1167</v>
      </c>
      <c r="J39" s="615">
        <v>1448</v>
      </c>
      <c r="K39" s="615">
        <v>2615</v>
      </c>
      <c r="L39" s="615"/>
      <c r="M39" s="615"/>
      <c r="N39" s="615"/>
    </row>
    <row r="40" spans="1:14">
      <c r="A40" s="1227"/>
      <c r="B40" s="614" t="s">
        <v>227</v>
      </c>
      <c r="C40" s="373">
        <v>1596</v>
      </c>
      <c r="D40" s="373">
        <v>589</v>
      </c>
      <c r="E40" s="374">
        <f>C40+D40</f>
        <v>2185</v>
      </c>
      <c r="F40" s="373">
        <v>74955</v>
      </c>
      <c r="G40" s="373">
        <v>67841</v>
      </c>
      <c r="H40" s="374">
        <f>F40+G40</f>
        <v>142796</v>
      </c>
      <c r="I40" s="373">
        <v>908</v>
      </c>
      <c r="J40" s="373">
        <v>847</v>
      </c>
      <c r="K40" s="374">
        <f>I40+J40</f>
        <v>1755</v>
      </c>
      <c r="L40" s="615"/>
      <c r="M40" s="615"/>
      <c r="N40" s="615"/>
    </row>
    <row r="41" spans="1:14">
      <c r="A41" s="1227">
        <v>6</v>
      </c>
      <c r="B41" s="631" t="s">
        <v>19</v>
      </c>
      <c r="C41" s="632"/>
      <c r="D41" s="621"/>
      <c r="E41" s="621"/>
      <c r="F41" s="621"/>
      <c r="G41" s="621"/>
      <c r="H41" s="621"/>
      <c r="I41" s="621"/>
      <c r="J41" s="621"/>
      <c r="K41" s="621"/>
      <c r="L41" s="621"/>
      <c r="M41" s="621"/>
      <c r="N41" s="622"/>
    </row>
    <row r="42" spans="1:14">
      <c r="A42" s="1227"/>
      <c r="B42" s="614" t="s">
        <v>919</v>
      </c>
      <c r="C42" s="632">
        <v>287</v>
      </c>
      <c r="D42" s="621">
        <v>151</v>
      </c>
      <c r="E42" s="621">
        <v>438</v>
      </c>
      <c r="F42" s="621">
        <v>321</v>
      </c>
      <c r="G42" s="621">
        <v>371</v>
      </c>
      <c r="H42" s="621">
        <v>692</v>
      </c>
      <c r="I42" s="621">
        <v>1726</v>
      </c>
      <c r="J42" s="621">
        <v>2842</v>
      </c>
      <c r="K42" s="621">
        <v>4568</v>
      </c>
      <c r="L42" s="621">
        <v>1178</v>
      </c>
      <c r="M42" s="621">
        <v>1737</v>
      </c>
      <c r="N42" s="622">
        <v>2915</v>
      </c>
    </row>
    <row r="43" spans="1:14">
      <c r="A43" s="1227"/>
      <c r="B43" s="614" t="s">
        <v>876</v>
      </c>
      <c r="C43" s="615">
        <v>231</v>
      </c>
      <c r="D43" s="615">
        <v>86</v>
      </c>
      <c r="E43" s="615">
        <v>317</v>
      </c>
      <c r="F43" s="615">
        <v>327</v>
      </c>
      <c r="G43" s="615">
        <v>376</v>
      </c>
      <c r="H43" s="615">
        <v>703</v>
      </c>
      <c r="I43" s="615">
        <v>2072</v>
      </c>
      <c r="J43" s="615">
        <v>3190</v>
      </c>
      <c r="K43" s="615">
        <v>5262</v>
      </c>
      <c r="L43" s="615">
        <v>832</v>
      </c>
      <c r="M43" s="615">
        <v>631</v>
      </c>
      <c r="N43" s="615">
        <v>1463</v>
      </c>
    </row>
    <row r="44" spans="1:14">
      <c r="A44" s="1227"/>
      <c r="B44" s="614" t="s">
        <v>229</v>
      </c>
      <c r="C44" s="372">
        <v>245</v>
      </c>
      <c r="D44" s="372">
        <v>86</v>
      </c>
      <c r="E44" s="372">
        <v>331</v>
      </c>
      <c r="F44" s="372">
        <v>414</v>
      </c>
      <c r="G44" s="372">
        <v>273</v>
      </c>
      <c r="H44" s="372">
        <v>687</v>
      </c>
      <c r="I44" s="372">
        <v>2140</v>
      </c>
      <c r="J44" s="372">
        <v>2582</v>
      </c>
      <c r="K44" s="372">
        <v>4722</v>
      </c>
      <c r="L44" s="615"/>
      <c r="M44" s="615"/>
      <c r="N44" s="615"/>
    </row>
    <row r="45" spans="1:14">
      <c r="A45" s="1227"/>
      <c r="B45" s="614" t="s">
        <v>228</v>
      </c>
      <c r="C45" s="615">
        <v>163</v>
      </c>
      <c r="D45" s="615">
        <v>73</v>
      </c>
      <c r="E45" s="615">
        <v>236</v>
      </c>
      <c r="F45" s="615">
        <v>324</v>
      </c>
      <c r="G45" s="615">
        <v>228</v>
      </c>
      <c r="H45" s="615">
        <v>552</v>
      </c>
      <c r="I45" s="615">
        <v>1876</v>
      </c>
      <c r="J45" s="615">
        <v>2310</v>
      </c>
      <c r="K45" s="615">
        <v>4186</v>
      </c>
      <c r="L45" s="615"/>
      <c r="M45" s="615"/>
      <c r="N45" s="615"/>
    </row>
    <row r="46" spans="1:14">
      <c r="A46" s="1227"/>
      <c r="B46" s="614" t="s">
        <v>227</v>
      </c>
      <c r="C46" s="373">
        <v>78</v>
      </c>
      <c r="D46" s="373">
        <v>49</v>
      </c>
      <c r="E46" s="374">
        <f>C46+D46</f>
        <v>127</v>
      </c>
      <c r="F46" s="373">
        <v>270</v>
      </c>
      <c r="G46" s="373">
        <v>214</v>
      </c>
      <c r="H46" s="374">
        <f>F46+G46</f>
        <v>484</v>
      </c>
      <c r="I46" s="373">
        <v>2448</v>
      </c>
      <c r="J46" s="373">
        <v>2503</v>
      </c>
      <c r="K46" s="374">
        <f>I46+J46</f>
        <v>4951</v>
      </c>
      <c r="L46" s="615"/>
      <c r="M46" s="615"/>
      <c r="N46" s="615"/>
    </row>
    <row r="47" spans="1:14">
      <c r="A47" s="1227">
        <v>7</v>
      </c>
      <c r="B47" s="631" t="s">
        <v>20</v>
      </c>
      <c r="C47" s="632"/>
      <c r="D47" s="621"/>
      <c r="E47" s="621"/>
      <c r="F47" s="621"/>
      <c r="G47" s="621"/>
      <c r="H47" s="621"/>
      <c r="I47" s="621"/>
      <c r="J47" s="621"/>
      <c r="K47" s="621"/>
      <c r="L47" s="621"/>
      <c r="M47" s="621"/>
      <c r="N47" s="622"/>
    </row>
    <row r="48" spans="1:14">
      <c r="A48" s="1227"/>
      <c r="B48" s="614" t="s">
        <v>919</v>
      </c>
      <c r="C48" s="632">
        <v>799</v>
      </c>
      <c r="D48" s="621">
        <v>411</v>
      </c>
      <c r="E48" s="621">
        <v>1210</v>
      </c>
      <c r="F48" s="621">
        <v>2348</v>
      </c>
      <c r="G48" s="621">
        <v>2765</v>
      </c>
      <c r="H48" s="621">
        <v>5113</v>
      </c>
      <c r="I48" s="621">
        <v>2911</v>
      </c>
      <c r="J48" s="621">
        <v>4418</v>
      </c>
      <c r="K48" s="621">
        <v>7329</v>
      </c>
      <c r="L48" s="621">
        <v>2144</v>
      </c>
      <c r="M48" s="621">
        <v>2520</v>
      </c>
      <c r="N48" s="622">
        <v>4664</v>
      </c>
    </row>
    <row r="49" spans="1:14">
      <c r="A49" s="1227"/>
      <c r="B49" s="614" t="s">
        <v>876</v>
      </c>
      <c r="C49" s="615">
        <v>344</v>
      </c>
      <c r="D49" s="615">
        <v>132</v>
      </c>
      <c r="E49" s="615">
        <v>476</v>
      </c>
      <c r="F49" s="615">
        <v>2017</v>
      </c>
      <c r="G49" s="615">
        <v>2676</v>
      </c>
      <c r="H49" s="615">
        <v>4693</v>
      </c>
      <c r="I49" s="615">
        <v>1885</v>
      </c>
      <c r="J49" s="615">
        <v>3038</v>
      </c>
      <c r="K49" s="615">
        <v>4923</v>
      </c>
      <c r="L49" s="615">
        <v>1398</v>
      </c>
      <c r="M49" s="615">
        <v>1143</v>
      </c>
      <c r="N49" s="615">
        <v>2541</v>
      </c>
    </row>
    <row r="50" spans="1:14">
      <c r="A50" s="1227"/>
      <c r="B50" s="614" t="s">
        <v>229</v>
      </c>
      <c r="C50" s="372">
        <v>353</v>
      </c>
      <c r="D50" s="372">
        <v>171</v>
      </c>
      <c r="E50" s="372">
        <v>524</v>
      </c>
      <c r="F50" s="372">
        <v>2427</v>
      </c>
      <c r="G50" s="372">
        <v>2957</v>
      </c>
      <c r="H50" s="372">
        <v>5384</v>
      </c>
      <c r="I50" s="372">
        <v>2134</v>
      </c>
      <c r="J50" s="372">
        <v>3465</v>
      </c>
      <c r="K50" s="372">
        <v>5599</v>
      </c>
      <c r="L50" s="615"/>
      <c r="M50" s="615"/>
      <c r="N50" s="615"/>
    </row>
    <row r="51" spans="1:14">
      <c r="A51" s="1227"/>
      <c r="B51" s="614" t="s">
        <v>228</v>
      </c>
      <c r="C51" s="615">
        <v>350</v>
      </c>
      <c r="D51" s="615">
        <v>360</v>
      </c>
      <c r="E51" s="615">
        <v>710</v>
      </c>
      <c r="F51" s="615">
        <v>2406</v>
      </c>
      <c r="G51" s="615">
        <v>2716</v>
      </c>
      <c r="H51" s="615">
        <v>5122</v>
      </c>
      <c r="I51" s="615">
        <v>1766</v>
      </c>
      <c r="J51" s="615">
        <v>3141</v>
      </c>
      <c r="K51" s="615">
        <v>4907</v>
      </c>
      <c r="L51" s="615"/>
      <c r="M51" s="615"/>
      <c r="N51" s="615"/>
    </row>
    <row r="52" spans="1:14">
      <c r="A52" s="1227"/>
      <c r="B52" s="614" t="s">
        <v>227</v>
      </c>
      <c r="C52" s="373">
        <v>284</v>
      </c>
      <c r="D52" s="373">
        <v>171</v>
      </c>
      <c r="E52" s="374">
        <f>C52+D52</f>
        <v>455</v>
      </c>
      <c r="F52" s="373">
        <v>2233</v>
      </c>
      <c r="G52" s="373">
        <v>2849</v>
      </c>
      <c r="H52" s="374">
        <f>F52+G52</f>
        <v>5082</v>
      </c>
      <c r="I52" s="373">
        <v>1800</v>
      </c>
      <c r="J52" s="373">
        <v>3011</v>
      </c>
      <c r="K52" s="374">
        <f>I52+J52</f>
        <v>4811</v>
      </c>
      <c r="L52" s="615"/>
      <c r="M52" s="615"/>
      <c r="N52" s="615"/>
    </row>
    <row r="53" spans="1:14">
      <c r="A53" s="1227">
        <v>8</v>
      </c>
      <c r="B53" s="631" t="s">
        <v>23</v>
      </c>
      <c r="C53" s="632"/>
      <c r="D53" s="621"/>
      <c r="E53" s="621"/>
      <c r="F53" s="621"/>
      <c r="G53" s="621"/>
      <c r="H53" s="621"/>
      <c r="I53" s="621"/>
      <c r="J53" s="621"/>
      <c r="K53" s="621"/>
      <c r="L53" s="621"/>
      <c r="M53" s="621"/>
      <c r="N53" s="622"/>
    </row>
    <row r="54" spans="1:14">
      <c r="A54" s="1227"/>
      <c r="B54" s="614" t="s">
        <v>919</v>
      </c>
      <c r="C54" s="632">
        <v>4073</v>
      </c>
      <c r="D54" s="621">
        <v>2328</v>
      </c>
      <c r="E54" s="621">
        <v>6401</v>
      </c>
      <c r="F54" s="621">
        <v>15489</v>
      </c>
      <c r="G54" s="621">
        <v>12793</v>
      </c>
      <c r="H54" s="621">
        <v>28282</v>
      </c>
      <c r="I54" s="621">
        <v>5033</v>
      </c>
      <c r="J54" s="621">
        <v>5155</v>
      </c>
      <c r="K54" s="621">
        <v>10188</v>
      </c>
      <c r="L54" s="621">
        <v>19811</v>
      </c>
      <c r="M54" s="621">
        <v>13540</v>
      </c>
      <c r="N54" s="622">
        <v>33351</v>
      </c>
    </row>
    <row r="55" spans="1:14">
      <c r="A55" s="1227"/>
      <c r="B55" s="614" t="s">
        <v>876</v>
      </c>
      <c r="C55" s="372">
        <v>2984</v>
      </c>
      <c r="D55" s="372">
        <v>1442</v>
      </c>
      <c r="E55" s="372">
        <v>4426</v>
      </c>
      <c r="F55" s="372">
        <v>11900</v>
      </c>
      <c r="G55" s="372">
        <v>9304</v>
      </c>
      <c r="H55" s="372">
        <v>21204</v>
      </c>
      <c r="I55" s="372">
        <v>4865</v>
      </c>
      <c r="J55" s="372">
        <v>6211</v>
      </c>
      <c r="K55" s="372">
        <v>11076</v>
      </c>
      <c r="L55" s="615">
        <v>14261</v>
      </c>
      <c r="M55" s="615">
        <v>8932</v>
      </c>
      <c r="N55" s="615">
        <v>23193</v>
      </c>
    </row>
    <row r="56" spans="1:14">
      <c r="A56" s="1227"/>
      <c r="B56" s="614" t="s">
        <v>229</v>
      </c>
      <c r="C56" s="372">
        <v>4850</v>
      </c>
      <c r="D56" s="372">
        <v>3412</v>
      </c>
      <c r="E56" s="372">
        <v>8262</v>
      </c>
      <c r="F56" s="372">
        <v>16168</v>
      </c>
      <c r="G56" s="372">
        <v>10307</v>
      </c>
      <c r="H56" s="372">
        <v>26475</v>
      </c>
      <c r="I56" s="372">
        <v>6191</v>
      </c>
      <c r="J56" s="372">
        <v>7797</v>
      </c>
      <c r="K56" s="372">
        <v>13988</v>
      </c>
      <c r="L56" s="615"/>
      <c r="M56" s="615"/>
      <c r="N56" s="615"/>
    </row>
    <row r="57" spans="1:14">
      <c r="A57" s="1227"/>
      <c r="B57" s="614" t="s">
        <v>228</v>
      </c>
      <c r="C57" s="615">
        <v>4998</v>
      </c>
      <c r="D57" s="615">
        <v>3348</v>
      </c>
      <c r="E57" s="615">
        <v>8346</v>
      </c>
      <c r="F57" s="615">
        <v>15715</v>
      </c>
      <c r="G57" s="615">
        <v>8632</v>
      </c>
      <c r="H57" s="615">
        <v>24347</v>
      </c>
      <c r="I57" s="615">
        <v>6164</v>
      </c>
      <c r="J57" s="615">
        <v>7775</v>
      </c>
      <c r="K57" s="615">
        <v>13939</v>
      </c>
      <c r="L57" s="615"/>
      <c r="M57" s="615"/>
      <c r="N57" s="615"/>
    </row>
    <row r="58" spans="1:14">
      <c r="A58" s="1227"/>
      <c r="B58" s="614" t="s">
        <v>227</v>
      </c>
      <c r="C58" s="373">
        <v>4714</v>
      </c>
      <c r="D58" s="373">
        <v>3255</v>
      </c>
      <c r="E58" s="374">
        <f>C58+D58</f>
        <v>7969</v>
      </c>
      <c r="F58" s="373">
        <v>15982</v>
      </c>
      <c r="G58" s="373">
        <v>7600</v>
      </c>
      <c r="H58" s="374">
        <f>F58+G58</f>
        <v>23582</v>
      </c>
      <c r="I58" s="373">
        <v>4869</v>
      </c>
      <c r="J58" s="373">
        <v>5595</v>
      </c>
      <c r="K58" s="374">
        <f>I58+J58</f>
        <v>10464</v>
      </c>
      <c r="L58" s="615"/>
      <c r="M58" s="615"/>
      <c r="N58" s="615"/>
    </row>
    <row r="59" spans="1:14">
      <c r="A59" s="1227">
        <v>9</v>
      </c>
      <c r="B59" s="631" t="s">
        <v>24</v>
      </c>
      <c r="C59" s="632"/>
      <c r="D59" s="621"/>
      <c r="E59" s="621"/>
      <c r="F59" s="621"/>
      <c r="G59" s="621"/>
      <c r="H59" s="621"/>
      <c r="I59" s="621"/>
      <c r="J59" s="621"/>
      <c r="K59" s="621"/>
      <c r="L59" s="621"/>
      <c r="M59" s="621"/>
      <c r="N59" s="622"/>
    </row>
    <row r="60" spans="1:14">
      <c r="A60" s="1227"/>
      <c r="B60" s="614" t="s">
        <v>919</v>
      </c>
      <c r="C60" s="632">
        <v>460</v>
      </c>
      <c r="D60" s="621">
        <v>144</v>
      </c>
      <c r="E60" s="621">
        <v>604</v>
      </c>
      <c r="F60" s="621">
        <v>1531</v>
      </c>
      <c r="G60" s="621">
        <v>1553</v>
      </c>
      <c r="H60" s="621">
        <v>3084</v>
      </c>
      <c r="I60" s="621">
        <v>4446</v>
      </c>
      <c r="J60" s="621">
        <v>5734</v>
      </c>
      <c r="K60" s="621">
        <v>10180</v>
      </c>
      <c r="L60" s="621">
        <v>475</v>
      </c>
      <c r="M60" s="621">
        <v>405</v>
      </c>
      <c r="N60" s="622">
        <v>880</v>
      </c>
    </row>
    <row r="61" spans="1:14">
      <c r="A61" s="1227"/>
      <c r="B61" s="614" t="s">
        <v>876</v>
      </c>
      <c r="C61" s="372">
        <v>34</v>
      </c>
      <c r="D61" s="372">
        <v>13</v>
      </c>
      <c r="E61" s="372">
        <v>47</v>
      </c>
      <c r="F61" s="372">
        <v>1378</v>
      </c>
      <c r="G61" s="372">
        <v>1520</v>
      </c>
      <c r="H61" s="372">
        <v>2898</v>
      </c>
      <c r="I61" s="372">
        <v>3630</v>
      </c>
      <c r="J61" s="372">
        <v>5449</v>
      </c>
      <c r="K61" s="372">
        <v>9079</v>
      </c>
      <c r="L61" s="615">
        <v>197</v>
      </c>
      <c r="M61" s="615">
        <v>98</v>
      </c>
      <c r="N61" s="615">
        <v>295</v>
      </c>
    </row>
    <row r="62" spans="1:14">
      <c r="A62" s="1227"/>
      <c r="B62" s="614" t="s">
        <v>229</v>
      </c>
      <c r="C62" s="372">
        <v>33</v>
      </c>
      <c r="D62" s="372">
        <v>26</v>
      </c>
      <c r="E62" s="372">
        <v>59</v>
      </c>
      <c r="F62" s="372">
        <v>1291</v>
      </c>
      <c r="G62" s="372">
        <v>1443</v>
      </c>
      <c r="H62" s="372">
        <v>2734</v>
      </c>
      <c r="I62" s="372">
        <v>3412</v>
      </c>
      <c r="J62" s="372">
        <v>5446</v>
      </c>
      <c r="K62" s="372">
        <v>8858</v>
      </c>
      <c r="L62" s="615"/>
      <c r="M62" s="615"/>
      <c r="N62" s="615"/>
    </row>
    <row r="63" spans="1:14">
      <c r="A63" s="1227"/>
      <c r="B63" s="614" t="s">
        <v>228</v>
      </c>
      <c r="C63" s="615">
        <v>46</v>
      </c>
      <c r="D63" s="615">
        <v>23</v>
      </c>
      <c r="E63" s="615">
        <v>69</v>
      </c>
      <c r="F63" s="615">
        <v>1274</v>
      </c>
      <c r="G63" s="615">
        <v>1351</v>
      </c>
      <c r="H63" s="615">
        <v>2625</v>
      </c>
      <c r="I63" s="615">
        <v>3843</v>
      </c>
      <c r="J63" s="615">
        <v>5699</v>
      </c>
      <c r="K63" s="615">
        <v>9542</v>
      </c>
      <c r="L63" s="615"/>
      <c r="M63" s="615"/>
      <c r="N63" s="615"/>
    </row>
    <row r="64" spans="1:14">
      <c r="A64" s="1227"/>
      <c r="B64" s="614" t="s">
        <v>227</v>
      </c>
      <c r="C64" s="373">
        <v>35</v>
      </c>
      <c r="D64" s="373">
        <v>25</v>
      </c>
      <c r="E64" s="374">
        <f>C64+D64</f>
        <v>60</v>
      </c>
      <c r="F64" s="373">
        <v>1038</v>
      </c>
      <c r="G64" s="373">
        <v>1118</v>
      </c>
      <c r="H64" s="374">
        <f>F64+G64</f>
        <v>2156</v>
      </c>
      <c r="I64" s="373">
        <v>3169</v>
      </c>
      <c r="J64" s="373">
        <v>4891</v>
      </c>
      <c r="K64" s="374">
        <f>I64+J64</f>
        <v>8060</v>
      </c>
      <c r="L64" s="615"/>
      <c r="M64" s="615"/>
      <c r="N64" s="615"/>
    </row>
    <row r="65" spans="1:14">
      <c r="A65" s="1227">
        <v>10</v>
      </c>
      <c r="B65" s="631" t="s">
        <v>25</v>
      </c>
      <c r="C65" s="632"/>
      <c r="D65" s="621"/>
      <c r="E65" s="621"/>
      <c r="F65" s="621"/>
      <c r="G65" s="621"/>
      <c r="H65" s="621"/>
      <c r="I65" s="621"/>
      <c r="J65" s="621"/>
      <c r="K65" s="621"/>
      <c r="L65" s="621"/>
      <c r="M65" s="621"/>
      <c r="N65" s="622"/>
    </row>
    <row r="66" spans="1:14">
      <c r="A66" s="1227"/>
      <c r="B66" s="614" t="s">
        <v>919</v>
      </c>
      <c r="C66" s="632">
        <v>2885</v>
      </c>
      <c r="D66" s="621">
        <v>2156</v>
      </c>
      <c r="E66" s="621">
        <v>5041</v>
      </c>
      <c r="F66" s="621">
        <v>19387</v>
      </c>
      <c r="G66" s="621">
        <v>16606</v>
      </c>
      <c r="H66" s="621">
        <v>35993</v>
      </c>
      <c r="I66" s="621">
        <v>6945</v>
      </c>
      <c r="J66" s="621">
        <v>7190</v>
      </c>
      <c r="K66" s="621">
        <v>14135</v>
      </c>
      <c r="L66" s="621">
        <v>35817</v>
      </c>
      <c r="M66" s="621">
        <v>24763</v>
      </c>
      <c r="N66" s="622">
        <v>60580</v>
      </c>
    </row>
    <row r="67" spans="1:14">
      <c r="A67" s="1227"/>
      <c r="B67" s="614" t="s">
        <v>876</v>
      </c>
      <c r="C67" s="372">
        <v>1143</v>
      </c>
      <c r="D67" s="372">
        <v>628</v>
      </c>
      <c r="E67" s="372">
        <v>1771</v>
      </c>
      <c r="F67" s="372">
        <v>18170</v>
      </c>
      <c r="G67" s="372">
        <v>14935</v>
      </c>
      <c r="H67" s="372">
        <v>33105</v>
      </c>
      <c r="I67" s="372">
        <v>5561</v>
      </c>
      <c r="J67" s="372">
        <v>5709</v>
      </c>
      <c r="K67" s="372">
        <v>11270</v>
      </c>
      <c r="L67" s="615">
        <v>23494</v>
      </c>
      <c r="M67" s="615">
        <v>16279</v>
      </c>
      <c r="N67" s="615">
        <v>39773</v>
      </c>
    </row>
    <row r="68" spans="1:14">
      <c r="A68" s="1227"/>
      <c r="B68" s="614" t="s">
        <v>229</v>
      </c>
      <c r="C68" s="372">
        <v>1207</v>
      </c>
      <c r="D68" s="372">
        <v>1130</v>
      </c>
      <c r="E68" s="372">
        <v>2337</v>
      </c>
      <c r="F68" s="372">
        <v>24664</v>
      </c>
      <c r="G68" s="372">
        <v>19350</v>
      </c>
      <c r="H68" s="372">
        <v>44014</v>
      </c>
      <c r="I68" s="372">
        <v>6049</v>
      </c>
      <c r="J68" s="372">
        <v>5647</v>
      </c>
      <c r="K68" s="372">
        <v>11696</v>
      </c>
      <c r="L68" s="615"/>
      <c r="M68" s="615"/>
      <c r="N68" s="615"/>
    </row>
    <row r="69" spans="1:14">
      <c r="A69" s="1227"/>
      <c r="B69" s="614" t="s">
        <v>228</v>
      </c>
      <c r="C69" s="615">
        <v>1127</v>
      </c>
      <c r="D69" s="615">
        <v>613</v>
      </c>
      <c r="E69" s="615">
        <v>1740</v>
      </c>
      <c r="F69" s="615">
        <v>20279</v>
      </c>
      <c r="G69" s="615">
        <v>15773</v>
      </c>
      <c r="H69" s="615">
        <v>36052</v>
      </c>
      <c r="I69" s="615">
        <v>5221</v>
      </c>
      <c r="J69" s="615">
        <v>4455</v>
      </c>
      <c r="K69" s="615">
        <v>9676</v>
      </c>
      <c r="L69" s="615"/>
      <c r="M69" s="615"/>
      <c r="N69" s="615"/>
    </row>
    <row r="70" spans="1:14">
      <c r="A70" s="1227"/>
      <c r="B70" s="614" t="s">
        <v>227</v>
      </c>
      <c r="C70" s="373">
        <v>1081</v>
      </c>
      <c r="D70" s="373">
        <v>744</v>
      </c>
      <c r="E70" s="374">
        <f>C70+D70</f>
        <v>1825</v>
      </c>
      <c r="F70" s="373">
        <v>19839</v>
      </c>
      <c r="G70" s="373">
        <v>15556</v>
      </c>
      <c r="H70" s="374">
        <f>F70+G70</f>
        <v>35395</v>
      </c>
      <c r="I70" s="373">
        <v>5550</v>
      </c>
      <c r="J70" s="373">
        <v>4544</v>
      </c>
      <c r="K70" s="374">
        <f>I70+J70</f>
        <v>10094</v>
      </c>
      <c r="L70" s="615"/>
      <c r="M70" s="615"/>
      <c r="N70" s="615"/>
    </row>
    <row r="71" spans="1:14">
      <c r="A71" s="1227">
        <v>11</v>
      </c>
      <c r="B71" s="631" t="s">
        <v>26</v>
      </c>
      <c r="C71" s="632"/>
      <c r="D71" s="621"/>
      <c r="E71" s="621"/>
      <c r="F71" s="621"/>
      <c r="G71" s="621"/>
      <c r="H71" s="621"/>
      <c r="I71" s="621"/>
      <c r="J71" s="621"/>
      <c r="K71" s="621"/>
      <c r="L71" s="621"/>
      <c r="M71" s="621"/>
      <c r="N71" s="622"/>
    </row>
    <row r="72" spans="1:14">
      <c r="A72" s="1227"/>
      <c r="B72" s="614" t="s">
        <v>919</v>
      </c>
      <c r="C72" s="632">
        <v>798</v>
      </c>
      <c r="D72" s="621">
        <v>483</v>
      </c>
      <c r="E72" s="621">
        <v>1281</v>
      </c>
      <c r="F72" s="621">
        <v>7869</v>
      </c>
      <c r="G72" s="621">
        <v>3092</v>
      </c>
      <c r="H72" s="621">
        <v>10961</v>
      </c>
      <c r="I72" s="621">
        <v>5629</v>
      </c>
      <c r="J72" s="621">
        <v>6447</v>
      </c>
      <c r="K72" s="621">
        <v>12076</v>
      </c>
      <c r="L72" s="621">
        <v>9445</v>
      </c>
      <c r="M72" s="621">
        <v>6252</v>
      </c>
      <c r="N72" s="622">
        <v>15697</v>
      </c>
    </row>
    <row r="73" spans="1:14">
      <c r="A73" s="1227"/>
      <c r="B73" s="614" t="s">
        <v>876</v>
      </c>
      <c r="C73" s="372">
        <v>646</v>
      </c>
      <c r="D73" s="372">
        <v>447</v>
      </c>
      <c r="E73" s="372">
        <v>1093</v>
      </c>
      <c r="F73" s="372">
        <v>7423</v>
      </c>
      <c r="G73" s="372">
        <v>3022</v>
      </c>
      <c r="H73" s="372">
        <v>10445</v>
      </c>
      <c r="I73" s="372">
        <v>4769</v>
      </c>
      <c r="J73" s="372">
        <v>6919</v>
      </c>
      <c r="K73" s="372">
        <v>11688</v>
      </c>
      <c r="L73" s="615">
        <v>5867</v>
      </c>
      <c r="M73" s="615">
        <v>4413</v>
      </c>
      <c r="N73" s="615">
        <v>10280</v>
      </c>
    </row>
    <row r="74" spans="1:14">
      <c r="A74" s="1227"/>
      <c r="B74" s="614" t="s">
        <v>229</v>
      </c>
      <c r="C74" s="372">
        <v>499</v>
      </c>
      <c r="D74" s="372">
        <v>215</v>
      </c>
      <c r="E74" s="372">
        <v>714</v>
      </c>
      <c r="F74" s="372">
        <v>9317</v>
      </c>
      <c r="G74" s="372">
        <v>3560</v>
      </c>
      <c r="H74" s="372">
        <v>12877</v>
      </c>
      <c r="I74" s="372">
        <v>5012</v>
      </c>
      <c r="J74" s="372">
        <v>6921</v>
      </c>
      <c r="K74" s="372">
        <v>11933</v>
      </c>
      <c r="L74" s="615"/>
      <c r="M74" s="615"/>
      <c r="N74" s="615"/>
    </row>
    <row r="75" spans="1:14">
      <c r="A75" s="1227"/>
      <c r="B75" s="614" t="s">
        <v>228</v>
      </c>
      <c r="C75" s="615">
        <v>505</v>
      </c>
      <c r="D75" s="615">
        <v>829</v>
      </c>
      <c r="E75" s="615">
        <v>1334</v>
      </c>
      <c r="F75" s="615">
        <v>7297</v>
      </c>
      <c r="G75" s="615">
        <v>2787</v>
      </c>
      <c r="H75" s="615">
        <v>10084</v>
      </c>
      <c r="I75" s="615">
        <v>6152</v>
      </c>
      <c r="J75" s="615">
        <v>6933</v>
      </c>
      <c r="K75" s="615">
        <v>13085</v>
      </c>
      <c r="L75" s="615"/>
      <c r="M75" s="615"/>
      <c r="N75" s="615"/>
    </row>
    <row r="76" spans="1:14">
      <c r="A76" s="1227"/>
      <c r="B76" s="614" t="s">
        <v>227</v>
      </c>
      <c r="C76" s="373">
        <v>419</v>
      </c>
      <c r="D76" s="373">
        <v>350</v>
      </c>
      <c r="E76" s="374">
        <f>C76+D76</f>
        <v>769</v>
      </c>
      <c r="F76" s="373">
        <v>5702</v>
      </c>
      <c r="G76" s="373">
        <v>1905</v>
      </c>
      <c r="H76" s="374">
        <f>F76+G76</f>
        <v>7607</v>
      </c>
      <c r="I76" s="373">
        <v>5967</v>
      </c>
      <c r="J76" s="373">
        <v>6437</v>
      </c>
      <c r="K76" s="374">
        <f>I76+J76</f>
        <v>12404</v>
      </c>
      <c r="L76" s="615"/>
      <c r="M76" s="615"/>
      <c r="N76" s="615"/>
    </row>
    <row r="77" spans="1:14">
      <c r="A77" s="1227">
        <v>12</v>
      </c>
      <c r="B77" s="631" t="s">
        <v>27</v>
      </c>
      <c r="C77" s="632"/>
      <c r="D77" s="621"/>
      <c r="E77" s="621"/>
      <c r="F77" s="621"/>
      <c r="G77" s="621"/>
      <c r="H77" s="621"/>
      <c r="I77" s="621"/>
      <c r="J77" s="621"/>
      <c r="K77" s="621"/>
      <c r="L77" s="621"/>
      <c r="M77" s="621"/>
      <c r="N77" s="622"/>
    </row>
    <row r="78" spans="1:14">
      <c r="A78" s="1227"/>
      <c r="B78" s="614" t="s">
        <v>919</v>
      </c>
      <c r="C78" s="632">
        <v>335</v>
      </c>
      <c r="D78" s="621">
        <v>170</v>
      </c>
      <c r="E78" s="621">
        <v>505</v>
      </c>
      <c r="F78" s="621">
        <v>746</v>
      </c>
      <c r="G78" s="621">
        <v>568</v>
      </c>
      <c r="H78" s="621">
        <v>1314</v>
      </c>
      <c r="I78" s="621">
        <v>1028</v>
      </c>
      <c r="J78" s="621">
        <v>1104</v>
      </c>
      <c r="K78" s="621">
        <v>2132</v>
      </c>
      <c r="L78" s="621">
        <v>2551</v>
      </c>
      <c r="M78" s="621">
        <v>2085</v>
      </c>
      <c r="N78" s="622">
        <v>4636</v>
      </c>
    </row>
    <row r="79" spans="1:14">
      <c r="A79" s="1227"/>
      <c r="B79" s="614" t="s">
        <v>876</v>
      </c>
      <c r="C79" s="372">
        <v>192</v>
      </c>
      <c r="D79" s="372">
        <v>91</v>
      </c>
      <c r="E79" s="372">
        <v>283</v>
      </c>
      <c r="F79" s="372">
        <v>616</v>
      </c>
      <c r="G79" s="372">
        <v>560</v>
      </c>
      <c r="H79" s="372">
        <v>1176</v>
      </c>
      <c r="I79" s="372">
        <v>1141</v>
      </c>
      <c r="J79" s="372">
        <v>1354</v>
      </c>
      <c r="K79" s="372">
        <v>2495</v>
      </c>
      <c r="L79" s="615">
        <v>1196</v>
      </c>
      <c r="M79" s="615">
        <v>1203</v>
      </c>
      <c r="N79" s="615">
        <v>2399</v>
      </c>
    </row>
    <row r="80" spans="1:14">
      <c r="A80" s="1227"/>
      <c r="B80" s="614" t="s">
        <v>229</v>
      </c>
      <c r="C80" s="372">
        <v>246</v>
      </c>
      <c r="D80" s="372">
        <v>123</v>
      </c>
      <c r="E80" s="372">
        <v>369</v>
      </c>
      <c r="F80" s="372">
        <v>1103</v>
      </c>
      <c r="G80" s="372">
        <v>661</v>
      </c>
      <c r="H80" s="372">
        <v>1764</v>
      </c>
      <c r="I80" s="372">
        <v>1753</v>
      </c>
      <c r="J80" s="372">
        <v>1531</v>
      </c>
      <c r="K80" s="372">
        <v>3284</v>
      </c>
      <c r="L80" s="615"/>
      <c r="M80" s="615"/>
      <c r="N80" s="615"/>
    </row>
    <row r="81" spans="1:14">
      <c r="A81" s="1227"/>
      <c r="B81" s="614" t="s">
        <v>228</v>
      </c>
      <c r="C81" s="615">
        <v>226</v>
      </c>
      <c r="D81" s="615">
        <v>83</v>
      </c>
      <c r="E81" s="615">
        <v>309</v>
      </c>
      <c r="F81" s="615">
        <v>1189</v>
      </c>
      <c r="G81" s="615">
        <v>608</v>
      </c>
      <c r="H81" s="615">
        <v>1797</v>
      </c>
      <c r="I81" s="615">
        <v>1048</v>
      </c>
      <c r="J81" s="615">
        <v>1404</v>
      </c>
      <c r="K81" s="615">
        <v>2452</v>
      </c>
      <c r="L81" s="615"/>
      <c r="M81" s="615"/>
      <c r="N81" s="615"/>
    </row>
    <row r="82" spans="1:14">
      <c r="A82" s="1227"/>
      <c r="B82" s="614" t="s">
        <v>227</v>
      </c>
      <c r="C82" s="373">
        <v>213</v>
      </c>
      <c r="D82" s="373">
        <v>77</v>
      </c>
      <c r="E82" s="374">
        <f>C82+D82</f>
        <v>290</v>
      </c>
      <c r="F82" s="373">
        <v>913</v>
      </c>
      <c r="G82" s="373">
        <v>489</v>
      </c>
      <c r="H82" s="374">
        <f>F82+G82</f>
        <v>1402</v>
      </c>
      <c r="I82" s="373">
        <v>553</v>
      </c>
      <c r="J82" s="373">
        <v>1190</v>
      </c>
      <c r="K82" s="374">
        <f>I82+J82</f>
        <v>1743</v>
      </c>
      <c r="L82" s="615"/>
      <c r="M82" s="615"/>
      <c r="N82" s="615"/>
    </row>
    <row r="83" spans="1:14">
      <c r="A83" s="1227">
        <v>13</v>
      </c>
      <c r="B83" s="631" t="s">
        <v>57</v>
      </c>
      <c r="C83" s="632"/>
      <c r="D83" s="621"/>
      <c r="E83" s="621"/>
      <c r="F83" s="621"/>
      <c r="G83" s="621"/>
      <c r="H83" s="621"/>
      <c r="I83" s="621"/>
      <c r="J83" s="621"/>
      <c r="K83" s="621"/>
      <c r="L83" s="621"/>
      <c r="M83" s="621"/>
      <c r="N83" s="622"/>
    </row>
    <row r="84" spans="1:14">
      <c r="A84" s="1227"/>
      <c r="B84" s="614" t="s">
        <v>919</v>
      </c>
      <c r="C84" s="632">
        <v>514</v>
      </c>
      <c r="D84" s="621">
        <v>221</v>
      </c>
      <c r="E84" s="621">
        <v>735</v>
      </c>
      <c r="F84" s="621">
        <v>63796</v>
      </c>
      <c r="G84" s="621">
        <v>74346</v>
      </c>
      <c r="H84" s="621">
        <v>138142</v>
      </c>
      <c r="I84" s="621">
        <v>2323</v>
      </c>
      <c r="J84" s="621">
        <v>2997</v>
      </c>
      <c r="K84" s="621">
        <v>5320</v>
      </c>
      <c r="L84" s="621">
        <v>3604</v>
      </c>
      <c r="M84" s="621">
        <v>3970</v>
      </c>
      <c r="N84" s="622">
        <v>7574</v>
      </c>
    </row>
    <row r="85" spans="1:14">
      <c r="A85" s="1227"/>
      <c r="B85" s="614" t="s">
        <v>876</v>
      </c>
      <c r="C85" s="372">
        <v>297</v>
      </c>
      <c r="D85" s="372">
        <v>291</v>
      </c>
      <c r="E85" s="372">
        <v>588</v>
      </c>
      <c r="F85" s="372">
        <v>65193</v>
      </c>
      <c r="G85" s="372">
        <v>66149</v>
      </c>
      <c r="H85" s="372">
        <v>131342</v>
      </c>
      <c r="I85" s="372">
        <v>2465</v>
      </c>
      <c r="J85" s="372">
        <v>3328</v>
      </c>
      <c r="K85" s="372">
        <v>5793</v>
      </c>
      <c r="L85" s="615">
        <v>2500</v>
      </c>
      <c r="M85" s="615">
        <v>3192</v>
      </c>
      <c r="N85" s="615">
        <v>5692</v>
      </c>
    </row>
    <row r="86" spans="1:14">
      <c r="A86" s="1227"/>
      <c r="B86" s="614" t="s">
        <v>229</v>
      </c>
      <c r="C86" s="372">
        <v>334</v>
      </c>
      <c r="D86" s="372">
        <v>262</v>
      </c>
      <c r="E86" s="372">
        <v>596</v>
      </c>
      <c r="F86" s="372">
        <v>89608</v>
      </c>
      <c r="G86" s="372">
        <v>89068</v>
      </c>
      <c r="H86" s="372">
        <v>178676</v>
      </c>
      <c r="I86" s="372">
        <v>2447</v>
      </c>
      <c r="J86" s="372">
        <v>3229</v>
      </c>
      <c r="K86" s="372">
        <v>5676</v>
      </c>
      <c r="L86" s="615"/>
      <c r="M86" s="615"/>
      <c r="N86" s="615"/>
    </row>
    <row r="87" spans="1:14">
      <c r="A87" s="1227"/>
      <c r="B87" s="614" t="s">
        <v>228</v>
      </c>
      <c r="C87" s="615">
        <v>660</v>
      </c>
      <c r="D87" s="615">
        <v>1675</v>
      </c>
      <c r="E87" s="615">
        <v>2335</v>
      </c>
      <c r="F87" s="615">
        <v>81908</v>
      </c>
      <c r="G87" s="615">
        <v>75806</v>
      </c>
      <c r="H87" s="615">
        <v>157714</v>
      </c>
      <c r="I87" s="615">
        <v>2675</v>
      </c>
      <c r="J87" s="615">
        <v>3986</v>
      </c>
      <c r="K87" s="615">
        <v>6661</v>
      </c>
      <c r="L87" s="615"/>
      <c r="M87" s="615"/>
      <c r="N87" s="615"/>
    </row>
    <row r="88" spans="1:14">
      <c r="A88" s="1227"/>
      <c r="B88" s="614" t="s">
        <v>227</v>
      </c>
      <c r="C88" s="373">
        <v>286</v>
      </c>
      <c r="D88" s="373">
        <v>180</v>
      </c>
      <c r="E88" s="374">
        <f>C88+D88</f>
        <v>466</v>
      </c>
      <c r="F88" s="373">
        <v>72401</v>
      </c>
      <c r="G88" s="373">
        <v>69561</v>
      </c>
      <c r="H88" s="374">
        <f>F88+G88</f>
        <v>141962</v>
      </c>
      <c r="I88" s="373">
        <v>2325</v>
      </c>
      <c r="J88" s="373">
        <v>3568</v>
      </c>
      <c r="K88" s="374">
        <f>I88+J88</f>
        <v>5893</v>
      </c>
      <c r="L88" s="615"/>
      <c r="M88" s="615"/>
      <c r="N88" s="615"/>
    </row>
    <row r="89" spans="1:14">
      <c r="A89" s="1227">
        <v>14</v>
      </c>
      <c r="B89" s="631" t="s">
        <v>29</v>
      </c>
      <c r="C89" s="632"/>
      <c r="D89" s="621"/>
      <c r="E89" s="621"/>
      <c r="F89" s="621"/>
      <c r="G89" s="621"/>
      <c r="H89" s="621"/>
      <c r="I89" s="621"/>
      <c r="J89" s="621"/>
      <c r="K89" s="621"/>
      <c r="L89" s="621"/>
      <c r="M89" s="621"/>
      <c r="N89" s="622"/>
    </row>
    <row r="90" spans="1:14">
      <c r="A90" s="1227"/>
      <c r="B90" s="614" t="s">
        <v>919</v>
      </c>
      <c r="C90" s="632">
        <v>881</v>
      </c>
      <c r="D90" s="621">
        <v>294</v>
      </c>
      <c r="E90" s="621">
        <v>1175</v>
      </c>
      <c r="F90" s="621">
        <v>19532</v>
      </c>
      <c r="G90" s="621">
        <v>18668</v>
      </c>
      <c r="H90" s="621">
        <v>38200</v>
      </c>
      <c r="I90" s="621">
        <v>4976</v>
      </c>
      <c r="J90" s="621">
        <v>7421</v>
      </c>
      <c r="K90" s="621">
        <v>12397</v>
      </c>
      <c r="L90" s="621">
        <v>5837</v>
      </c>
      <c r="M90" s="621">
        <v>3365</v>
      </c>
      <c r="N90" s="622">
        <v>9202</v>
      </c>
    </row>
    <row r="91" spans="1:14">
      <c r="A91" s="1227"/>
      <c r="B91" s="614" t="s">
        <v>876</v>
      </c>
      <c r="C91" s="372">
        <v>546</v>
      </c>
      <c r="D91" s="372">
        <v>225</v>
      </c>
      <c r="E91" s="372">
        <v>771</v>
      </c>
      <c r="F91" s="372">
        <v>17069</v>
      </c>
      <c r="G91" s="372">
        <v>17244</v>
      </c>
      <c r="H91" s="372">
        <v>34313</v>
      </c>
      <c r="I91" s="372">
        <v>4916</v>
      </c>
      <c r="J91" s="372">
        <v>6884</v>
      </c>
      <c r="K91" s="372">
        <v>11800</v>
      </c>
      <c r="L91" s="615">
        <v>3010</v>
      </c>
      <c r="M91" s="615">
        <v>1700</v>
      </c>
      <c r="N91" s="615">
        <v>4710</v>
      </c>
    </row>
    <row r="92" spans="1:14">
      <c r="A92" s="1227"/>
      <c r="B92" s="614" t="s">
        <v>229</v>
      </c>
      <c r="C92" s="372">
        <v>773</v>
      </c>
      <c r="D92" s="372">
        <v>384</v>
      </c>
      <c r="E92" s="372">
        <v>1157</v>
      </c>
      <c r="F92" s="372">
        <v>21742</v>
      </c>
      <c r="G92" s="372">
        <v>21834</v>
      </c>
      <c r="H92" s="372">
        <v>43576</v>
      </c>
      <c r="I92" s="372">
        <v>6150</v>
      </c>
      <c r="J92" s="372">
        <v>6989</v>
      </c>
      <c r="K92" s="372">
        <v>13139</v>
      </c>
      <c r="L92" s="615"/>
      <c r="M92" s="615"/>
      <c r="N92" s="615"/>
    </row>
    <row r="93" spans="1:14">
      <c r="A93" s="1227"/>
      <c r="B93" s="614" t="s">
        <v>228</v>
      </c>
      <c r="C93" s="615">
        <v>459</v>
      </c>
      <c r="D93" s="615">
        <v>180</v>
      </c>
      <c r="E93" s="615">
        <v>639</v>
      </c>
      <c r="F93" s="615">
        <v>20388</v>
      </c>
      <c r="G93" s="615">
        <v>20122</v>
      </c>
      <c r="H93" s="615">
        <v>40510</v>
      </c>
      <c r="I93" s="615">
        <v>5602</v>
      </c>
      <c r="J93" s="615">
        <v>7056</v>
      </c>
      <c r="K93" s="615">
        <v>12658</v>
      </c>
      <c r="L93" s="615"/>
      <c r="M93" s="615"/>
      <c r="N93" s="615"/>
    </row>
    <row r="94" spans="1:14">
      <c r="A94" s="1227"/>
      <c r="B94" s="614" t="s">
        <v>227</v>
      </c>
      <c r="C94" s="373">
        <v>500</v>
      </c>
      <c r="D94" s="373">
        <v>252</v>
      </c>
      <c r="E94" s="374">
        <f>C94+D94</f>
        <v>752</v>
      </c>
      <c r="F94" s="373">
        <v>18085</v>
      </c>
      <c r="G94" s="373">
        <v>18702</v>
      </c>
      <c r="H94" s="374">
        <f>F94+G94</f>
        <v>36787</v>
      </c>
      <c r="I94" s="373">
        <v>5050</v>
      </c>
      <c r="J94" s="373">
        <v>7315</v>
      </c>
      <c r="K94" s="374">
        <f>I94+J94</f>
        <v>12365</v>
      </c>
      <c r="L94" s="615"/>
      <c r="M94" s="615"/>
      <c r="N94" s="615"/>
    </row>
    <row r="95" spans="1:14">
      <c r="A95" s="1227">
        <v>15</v>
      </c>
      <c r="B95" s="631" t="s">
        <v>30</v>
      </c>
      <c r="C95" s="632"/>
      <c r="D95" s="621"/>
      <c r="E95" s="621"/>
      <c r="F95" s="621"/>
      <c r="G95" s="621"/>
      <c r="H95" s="621"/>
      <c r="I95" s="621"/>
      <c r="J95" s="621"/>
      <c r="K95" s="621"/>
      <c r="L95" s="621"/>
      <c r="M95" s="621"/>
      <c r="N95" s="622"/>
    </row>
    <row r="96" spans="1:14">
      <c r="A96" s="1227"/>
      <c r="B96" s="614" t="s">
        <v>919</v>
      </c>
      <c r="C96" s="632">
        <v>3397</v>
      </c>
      <c r="D96" s="621">
        <v>2660</v>
      </c>
      <c r="E96" s="621">
        <v>6057</v>
      </c>
      <c r="F96" s="621">
        <v>78638</v>
      </c>
      <c r="G96" s="621">
        <v>68611</v>
      </c>
      <c r="H96" s="621">
        <v>147249</v>
      </c>
      <c r="I96" s="621">
        <v>42716</v>
      </c>
      <c r="J96" s="621">
        <v>51895</v>
      </c>
      <c r="K96" s="621">
        <v>94611</v>
      </c>
      <c r="L96" s="621">
        <v>26058</v>
      </c>
      <c r="M96" s="621">
        <v>26549</v>
      </c>
      <c r="N96" s="622">
        <v>52607</v>
      </c>
    </row>
    <row r="97" spans="1:14">
      <c r="A97" s="1227"/>
      <c r="B97" s="614" t="s">
        <v>876</v>
      </c>
      <c r="C97" s="372">
        <v>2665</v>
      </c>
      <c r="D97" s="372">
        <v>1830</v>
      </c>
      <c r="E97" s="372">
        <v>4495</v>
      </c>
      <c r="F97" s="372">
        <v>72487</v>
      </c>
      <c r="G97" s="372">
        <v>65871</v>
      </c>
      <c r="H97" s="372">
        <v>138358</v>
      </c>
      <c r="I97" s="372">
        <v>36086</v>
      </c>
      <c r="J97" s="372">
        <v>45593</v>
      </c>
      <c r="K97" s="372">
        <v>81679</v>
      </c>
      <c r="L97" s="615">
        <v>15920</v>
      </c>
      <c r="M97" s="615">
        <v>35128</v>
      </c>
      <c r="N97" s="615">
        <v>51048</v>
      </c>
    </row>
    <row r="98" spans="1:14">
      <c r="A98" s="1227"/>
      <c r="B98" s="614" t="s">
        <v>229</v>
      </c>
      <c r="C98" s="372">
        <v>2398</v>
      </c>
      <c r="D98" s="372">
        <v>2204</v>
      </c>
      <c r="E98" s="372">
        <v>4602</v>
      </c>
      <c r="F98" s="372">
        <v>75198</v>
      </c>
      <c r="G98" s="372">
        <v>69313</v>
      </c>
      <c r="H98" s="372">
        <v>144511</v>
      </c>
      <c r="I98" s="372">
        <v>38600</v>
      </c>
      <c r="J98" s="372">
        <v>49170</v>
      </c>
      <c r="K98" s="372">
        <v>87770</v>
      </c>
      <c r="L98" s="615"/>
      <c r="M98" s="615"/>
      <c r="N98" s="615"/>
    </row>
    <row r="99" spans="1:14">
      <c r="A99" s="1227"/>
      <c r="B99" s="614" t="s">
        <v>228</v>
      </c>
      <c r="C99" s="615">
        <v>2310</v>
      </c>
      <c r="D99" s="615">
        <v>1986</v>
      </c>
      <c r="E99" s="615">
        <v>4296</v>
      </c>
      <c r="F99" s="615">
        <v>65642</v>
      </c>
      <c r="G99" s="615">
        <v>59894</v>
      </c>
      <c r="H99" s="615">
        <v>125536</v>
      </c>
      <c r="I99" s="615">
        <v>36255</v>
      </c>
      <c r="J99" s="615">
        <v>45244</v>
      </c>
      <c r="K99" s="615">
        <v>81499</v>
      </c>
      <c r="L99" s="615"/>
      <c r="M99" s="615"/>
      <c r="N99" s="615"/>
    </row>
    <row r="100" spans="1:14">
      <c r="A100" s="1227"/>
      <c r="B100" s="614" t="s">
        <v>227</v>
      </c>
      <c r="C100" s="373">
        <v>2098</v>
      </c>
      <c r="D100" s="373">
        <v>1510</v>
      </c>
      <c r="E100" s="374">
        <f>C100+D100</f>
        <v>3608</v>
      </c>
      <c r="F100" s="373">
        <v>61778</v>
      </c>
      <c r="G100" s="373">
        <v>57689</v>
      </c>
      <c r="H100" s="374">
        <f>F100+G100</f>
        <v>119467</v>
      </c>
      <c r="I100" s="373">
        <v>30409</v>
      </c>
      <c r="J100" s="373">
        <v>40700</v>
      </c>
      <c r="K100" s="374">
        <f>I100+J100</f>
        <v>71109</v>
      </c>
      <c r="L100" s="615"/>
      <c r="M100" s="615"/>
      <c r="N100" s="615"/>
    </row>
    <row r="101" spans="1:14">
      <c r="A101" s="1227">
        <v>16</v>
      </c>
      <c r="B101" s="631" t="s">
        <v>31</v>
      </c>
      <c r="C101" s="632"/>
      <c r="D101" s="621"/>
      <c r="E101" s="621"/>
      <c r="F101" s="621"/>
      <c r="G101" s="621"/>
      <c r="H101" s="621"/>
      <c r="I101" s="621"/>
      <c r="J101" s="621"/>
      <c r="K101" s="621"/>
      <c r="L101" s="621"/>
      <c r="M101" s="621"/>
      <c r="N101" s="622"/>
    </row>
    <row r="102" spans="1:14">
      <c r="A102" s="1227"/>
      <c r="B102" s="614" t="s">
        <v>919</v>
      </c>
      <c r="C102" s="632">
        <v>2843</v>
      </c>
      <c r="D102" s="621">
        <v>2472</v>
      </c>
      <c r="E102" s="621">
        <v>5315</v>
      </c>
      <c r="F102" s="621">
        <v>76375</v>
      </c>
      <c r="G102" s="621">
        <v>110983</v>
      </c>
      <c r="H102" s="621">
        <v>187358</v>
      </c>
      <c r="I102" s="621">
        <v>55951</v>
      </c>
      <c r="J102" s="621">
        <v>65238</v>
      </c>
      <c r="K102" s="621">
        <v>121189</v>
      </c>
      <c r="L102" s="621">
        <v>10383</v>
      </c>
      <c r="M102" s="621">
        <v>16815</v>
      </c>
      <c r="N102" s="622">
        <v>27198</v>
      </c>
    </row>
    <row r="103" spans="1:14">
      <c r="A103" s="1227"/>
      <c r="B103" s="614" t="s">
        <v>876</v>
      </c>
      <c r="C103" s="372">
        <v>2103</v>
      </c>
      <c r="D103" s="372">
        <v>1888</v>
      </c>
      <c r="E103" s="372">
        <v>3991</v>
      </c>
      <c r="F103" s="372">
        <v>68170</v>
      </c>
      <c r="G103" s="372">
        <v>102759</v>
      </c>
      <c r="H103" s="372">
        <v>170929</v>
      </c>
      <c r="I103" s="372">
        <v>51334</v>
      </c>
      <c r="J103" s="372">
        <v>63552</v>
      </c>
      <c r="K103" s="372">
        <v>114886</v>
      </c>
      <c r="L103" s="615">
        <v>6189</v>
      </c>
      <c r="M103" s="615">
        <v>10363</v>
      </c>
      <c r="N103" s="615">
        <v>16552</v>
      </c>
    </row>
    <row r="104" spans="1:14">
      <c r="A104" s="1227"/>
      <c r="B104" s="614" t="s">
        <v>229</v>
      </c>
      <c r="C104" s="372">
        <v>1975</v>
      </c>
      <c r="D104" s="372">
        <v>1735</v>
      </c>
      <c r="E104" s="372">
        <v>3710</v>
      </c>
      <c r="F104" s="372">
        <v>68848</v>
      </c>
      <c r="G104" s="372">
        <v>97179</v>
      </c>
      <c r="H104" s="372">
        <v>166027</v>
      </c>
      <c r="I104" s="372">
        <v>51070</v>
      </c>
      <c r="J104" s="372">
        <v>66907</v>
      </c>
      <c r="K104" s="372">
        <v>117977</v>
      </c>
      <c r="L104" s="615"/>
      <c r="M104" s="615"/>
      <c r="N104" s="615"/>
    </row>
    <row r="105" spans="1:14">
      <c r="A105" s="1227"/>
      <c r="B105" s="614" t="s">
        <v>228</v>
      </c>
      <c r="C105" s="615">
        <v>1807</v>
      </c>
      <c r="D105" s="615">
        <v>1704</v>
      </c>
      <c r="E105" s="615">
        <v>3511</v>
      </c>
      <c r="F105" s="615">
        <v>67175</v>
      </c>
      <c r="G105" s="615">
        <v>92073</v>
      </c>
      <c r="H105" s="615">
        <v>159248</v>
      </c>
      <c r="I105" s="615">
        <v>48761</v>
      </c>
      <c r="J105" s="615">
        <v>68145</v>
      </c>
      <c r="K105" s="615">
        <v>116906</v>
      </c>
      <c r="L105" s="615"/>
      <c r="M105" s="615"/>
      <c r="N105" s="615"/>
    </row>
    <row r="106" spans="1:14">
      <c r="A106" s="1227"/>
      <c r="B106" s="614" t="s">
        <v>227</v>
      </c>
      <c r="C106" s="373">
        <v>1388</v>
      </c>
      <c r="D106" s="373">
        <v>1356</v>
      </c>
      <c r="E106" s="374">
        <f>C106+D106</f>
        <v>2744</v>
      </c>
      <c r="F106" s="373">
        <v>63875</v>
      </c>
      <c r="G106" s="373">
        <v>85316</v>
      </c>
      <c r="H106" s="374">
        <f>F106+G106</f>
        <v>149191</v>
      </c>
      <c r="I106" s="373">
        <v>48606</v>
      </c>
      <c r="J106" s="373">
        <v>68548</v>
      </c>
      <c r="K106" s="374">
        <f>I106+J106</f>
        <v>117154</v>
      </c>
      <c r="L106" s="615"/>
      <c r="M106" s="615"/>
      <c r="N106" s="615"/>
    </row>
    <row r="107" spans="1:14">
      <c r="A107" s="1228">
        <v>17</v>
      </c>
      <c r="B107" s="631" t="s">
        <v>154</v>
      </c>
      <c r="C107" s="632"/>
      <c r="D107" s="621"/>
      <c r="E107" s="621"/>
      <c r="F107" s="621"/>
      <c r="G107" s="621"/>
      <c r="H107" s="621"/>
      <c r="I107" s="621"/>
      <c r="J107" s="621"/>
      <c r="K107" s="621"/>
      <c r="L107" s="621"/>
      <c r="M107" s="621"/>
      <c r="N107" s="622"/>
    </row>
    <row r="108" spans="1:14">
      <c r="A108" s="1229"/>
      <c r="B108" s="614" t="s">
        <v>919</v>
      </c>
      <c r="C108" s="632">
        <v>1</v>
      </c>
      <c r="D108" s="621">
        <v>0</v>
      </c>
      <c r="E108" s="621">
        <v>1</v>
      </c>
      <c r="F108" s="621">
        <v>421</v>
      </c>
      <c r="G108" s="621">
        <v>727</v>
      </c>
      <c r="H108" s="621">
        <v>1148</v>
      </c>
      <c r="I108" s="621">
        <v>451</v>
      </c>
      <c r="J108" s="621">
        <v>886</v>
      </c>
      <c r="K108" s="621">
        <v>1337</v>
      </c>
      <c r="L108" s="621">
        <v>0</v>
      </c>
      <c r="M108" s="621">
        <v>0</v>
      </c>
      <c r="N108" s="622">
        <v>0</v>
      </c>
    </row>
    <row r="109" spans="1:14">
      <c r="A109" s="1229"/>
      <c r="B109" s="614" t="s">
        <v>876</v>
      </c>
      <c r="C109" s="615">
        <v>0</v>
      </c>
      <c r="D109" s="615">
        <v>0</v>
      </c>
      <c r="E109" s="615">
        <v>0</v>
      </c>
      <c r="F109" s="372">
        <v>679</v>
      </c>
      <c r="G109" s="372">
        <v>1341</v>
      </c>
      <c r="H109" s="372">
        <v>2020</v>
      </c>
      <c r="I109" s="372">
        <v>226</v>
      </c>
      <c r="J109" s="372">
        <v>564</v>
      </c>
      <c r="K109" s="372">
        <v>790</v>
      </c>
      <c r="L109" s="615">
        <v>0</v>
      </c>
      <c r="M109" s="615">
        <v>0</v>
      </c>
      <c r="N109" s="615">
        <v>0</v>
      </c>
    </row>
    <row r="110" spans="1:14">
      <c r="A110" s="1230"/>
      <c r="B110" s="614" t="s">
        <v>229</v>
      </c>
      <c r="C110" s="615">
        <v>0</v>
      </c>
      <c r="D110" s="615">
        <v>0</v>
      </c>
      <c r="E110" s="615">
        <v>0</v>
      </c>
      <c r="F110" s="372">
        <v>652</v>
      </c>
      <c r="G110" s="372">
        <v>1302</v>
      </c>
      <c r="H110" s="372">
        <v>1954</v>
      </c>
      <c r="I110" s="372">
        <v>307</v>
      </c>
      <c r="J110" s="372">
        <v>583</v>
      </c>
      <c r="K110" s="372">
        <v>890</v>
      </c>
      <c r="L110" s="615"/>
      <c r="M110" s="615"/>
      <c r="N110" s="615"/>
    </row>
    <row r="111" spans="1:14">
      <c r="A111" s="1227">
        <v>18</v>
      </c>
      <c r="B111" s="631" t="s">
        <v>32</v>
      </c>
      <c r="C111" s="632"/>
      <c r="D111" s="621"/>
      <c r="E111" s="621"/>
      <c r="F111" s="621"/>
      <c r="G111" s="621"/>
      <c r="H111" s="621"/>
      <c r="I111" s="621"/>
      <c r="J111" s="621"/>
      <c r="K111" s="621"/>
      <c r="L111" s="621"/>
      <c r="M111" s="621"/>
      <c r="N111" s="622"/>
    </row>
    <row r="112" spans="1:14">
      <c r="A112" s="1227"/>
      <c r="B112" s="614" t="s">
        <v>919</v>
      </c>
      <c r="C112" s="632">
        <v>0</v>
      </c>
      <c r="D112" s="621">
        <v>0</v>
      </c>
      <c r="E112" s="621">
        <v>0</v>
      </c>
      <c r="F112" s="621">
        <v>14</v>
      </c>
      <c r="G112" s="621">
        <v>74</v>
      </c>
      <c r="H112" s="621">
        <v>88</v>
      </c>
      <c r="I112" s="621">
        <v>0</v>
      </c>
      <c r="J112" s="621">
        <v>0</v>
      </c>
      <c r="K112" s="621">
        <v>0</v>
      </c>
      <c r="L112" s="621">
        <v>0</v>
      </c>
      <c r="M112" s="621">
        <v>0</v>
      </c>
      <c r="N112" s="622">
        <v>0</v>
      </c>
    </row>
    <row r="113" spans="1:14">
      <c r="A113" s="1227"/>
      <c r="B113" s="614" t="s">
        <v>876</v>
      </c>
      <c r="C113" s="615">
        <v>0</v>
      </c>
      <c r="D113" s="615">
        <v>0</v>
      </c>
      <c r="E113" s="615">
        <v>0</v>
      </c>
      <c r="F113" s="372">
        <v>70</v>
      </c>
      <c r="G113" s="372">
        <v>256</v>
      </c>
      <c r="H113" s="372">
        <v>326</v>
      </c>
      <c r="I113" s="615">
        <v>0</v>
      </c>
      <c r="J113" s="615">
        <v>0</v>
      </c>
      <c r="K113" s="615">
        <v>0</v>
      </c>
      <c r="L113" s="615">
        <v>0</v>
      </c>
      <c r="M113" s="615">
        <v>0</v>
      </c>
      <c r="N113" s="615">
        <v>0</v>
      </c>
    </row>
    <row r="114" spans="1:14">
      <c r="A114" s="1227"/>
      <c r="B114" s="614" t="s">
        <v>229</v>
      </c>
      <c r="C114" s="615">
        <v>0</v>
      </c>
      <c r="D114" s="615">
        <v>0</v>
      </c>
      <c r="E114" s="615">
        <v>0</v>
      </c>
      <c r="F114" s="372">
        <v>70</v>
      </c>
      <c r="G114" s="372">
        <v>256</v>
      </c>
      <c r="H114" s="372">
        <v>326</v>
      </c>
      <c r="I114" s="615">
        <v>0</v>
      </c>
      <c r="J114" s="615">
        <v>0</v>
      </c>
      <c r="K114" s="615">
        <v>0</v>
      </c>
      <c r="L114" s="615"/>
      <c r="M114" s="615"/>
      <c r="N114" s="615"/>
    </row>
    <row r="115" spans="1:14">
      <c r="A115" s="1227"/>
      <c r="B115" s="614" t="s">
        <v>228</v>
      </c>
      <c r="C115" s="615">
        <v>0</v>
      </c>
      <c r="D115" s="615">
        <v>0</v>
      </c>
      <c r="E115" s="615">
        <v>0</v>
      </c>
      <c r="F115" s="615">
        <v>64</v>
      </c>
      <c r="G115" s="615">
        <v>246</v>
      </c>
      <c r="H115" s="615">
        <v>310</v>
      </c>
      <c r="I115" s="615">
        <v>0</v>
      </c>
      <c r="J115" s="615">
        <v>0</v>
      </c>
      <c r="K115" s="615">
        <v>0</v>
      </c>
      <c r="L115" s="615"/>
      <c r="M115" s="615"/>
      <c r="N115" s="615"/>
    </row>
    <row r="116" spans="1:14">
      <c r="A116" s="1227"/>
      <c r="B116" s="614" t="s">
        <v>227</v>
      </c>
      <c r="C116" s="373">
        <v>0</v>
      </c>
      <c r="D116" s="373">
        <v>0</v>
      </c>
      <c r="E116" s="374">
        <f>C116+D116</f>
        <v>0</v>
      </c>
      <c r="F116" s="373">
        <v>56</v>
      </c>
      <c r="G116" s="373">
        <v>182</v>
      </c>
      <c r="H116" s="374">
        <f>F116+G116</f>
        <v>238</v>
      </c>
      <c r="I116" s="373">
        <v>0</v>
      </c>
      <c r="J116" s="373">
        <v>0</v>
      </c>
      <c r="K116" s="374">
        <f>I116+J116</f>
        <v>0</v>
      </c>
      <c r="L116" s="615"/>
      <c r="M116" s="615"/>
      <c r="N116" s="615"/>
    </row>
    <row r="117" spans="1:14">
      <c r="A117" s="1227">
        <v>19</v>
      </c>
      <c r="B117" s="631" t="s">
        <v>33</v>
      </c>
      <c r="C117" s="632"/>
      <c r="D117" s="621"/>
      <c r="E117" s="621"/>
      <c r="F117" s="621"/>
      <c r="G117" s="621"/>
      <c r="H117" s="621"/>
      <c r="I117" s="621"/>
      <c r="J117" s="621"/>
      <c r="K117" s="621"/>
      <c r="L117" s="621"/>
      <c r="M117" s="621"/>
      <c r="N117" s="622"/>
    </row>
    <row r="118" spans="1:14">
      <c r="A118" s="1227"/>
      <c r="B118" s="614" t="s">
        <v>919</v>
      </c>
      <c r="C118" s="632">
        <v>2277</v>
      </c>
      <c r="D118" s="621">
        <v>1778</v>
      </c>
      <c r="E118" s="621">
        <v>4055</v>
      </c>
      <c r="F118" s="621">
        <v>22617</v>
      </c>
      <c r="G118" s="621">
        <v>16588</v>
      </c>
      <c r="H118" s="621">
        <v>39205</v>
      </c>
      <c r="I118" s="621">
        <v>10826</v>
      </c>
      <c r="J118" s="621">
        <v>9856</v>
      </c>
      <c r="K118" s="621">
        <v>20682</v>
      </c>
      <c r="L118" s="621">
        <v>11964</v>
      </c>
      <c r="M118" s="621">
        <v>6875</v>
      </c>
      <c r="N118" s="622">
        <v>18839</v>
      </c>
    </row>
    <row r="119" spans="1:14">
      <c r="A119" s="1227"/>
      <c r="B119" s="614" t="s">
        <v>876</v>
      </c>
      <c r="C119" s="372">
        <v>1886</v>
      </c>
      <c r="D119" s="372">
        <v>708</v>
      </c>
      <c r="E119" s="372">
        <v>2594</v>
      </c>
      <c r="F119" s="372">
        <v>20995</v>
      </c>
      <c r="G119" s="372">
        <v>20432</v>
      </c>
      <c r="H119" s="372">
        <v>41427</v>
      </c>
      <c r="I119" s="372">
        <v>8968</v>
      </c>
      <c r="J119" s="372">
        <v>9814</v>
      </c>
      <c r="K119" s="372">
        <v>18782</v>
      </c>
      <c r="L119" s="615">
        <v>7293</v>
      </c>
      <c r="M119" s="615">
        <v>5162</v>
      </c>
      <c r="N119" s="615">
        <v>12455</v>
      </c>
    </row>
    <row r="120" spans="1:14">
      <c r="A120" s="1227"/>
      <c r="B120" s="614" t="s">
        <v>229</v>
      </c>
      <c r="C120" s="372">
        <v>1403</v>
      </c>
      <c r="D120" s="372">
        <v>1039</v>
      </c>
      <c r="E120" s="372">
        <v>2442</v>
      </c>
      <c r="F120" s="372">
        <v>24366</v>
      </c>
      <c r="G120" s="372">
        <v>19923</v>
      </c>
      <c r="H120" s="372">
        <v>44289</v>
      </c>
      <c r="I120" s="372">
        <v>12788</v>
      </c>
      <c r="J120" s="372">
        <v>12749</v>
      </c>
      <c r="K120" s="372">
        <v>25537</v>
      </c>
      <c r="L120" s="615"/>
      <c r="M120" s="615"/>
      <c r="N120" s="615"/>
    </row>
    <row r="121" spans="1:14">
      <c r="A121" s="1227"/>
      <c r="B121" s="614" t="s">
        <v>228</v>
      </c>
      <c r="C121" s="372">
        <v>1763</v>
      </c>
      <c r="D121" s="372">
        <v>1565</v>
      </c>
      <c r="E121" s="372">
        <v>3328</v>
      </c>
      <c r="F121" s="372">
        <v>20195</v>
      </c>
      <c r="G121" s="372">
        <v>16562</v>
      </c>
      <c r="H121" s="372">
        <v>36757</v>
      </c>
      <c r="I121" s="372">
        <v>14070</v>
      </c>
      <c r="J121" s="372">
        <v>11958</v>
      </c>
      <c r="K121" s="372">
        <v>26028</v>
      </c>
      <c r="L121" s="615"/>
      <c r="M121" s="615"/>
      <c r="N121" s="615"/>
    </row>
    <row r="122" spans="1:14">
      <c r="A122" s="1227"/>
      <c r="B122" s="614" t="s">
        <v>227</v>
      </c>
      <c r="C122" s="373">
        <v>1781</v>
      </c>
      <c r="D122" s="373">
        <v>1099</v>
      </c>
      <c r="E122" s="374">
        <f>C122+D122</f>
        <v>2880</v>
      </c>
      <c r="F122" s="373">
        <v>22406</v>
      </c>
      <c r="G122" s="373">
        <v>17062</v>
      </c>
      <c r="H122" s="374">
        <f>F122+G122</f>
        <v>39468</v>
      </c>
      <c r="I122" s="373">
        <v>7038</v>
      </c>
      <c r="J122" s="373">
        <v>8692</v>
      </c>
      <c r="K122" s="374">
        <f>I122+J122</f>
        <v>15730</v>
      </c>
      <c r="L122" s="615"/>
      <c r="M122" s="615"/>
      <c r="N122" s="615"/>
    </row>
    <row r="123" spans="1:14">
      <c r="A123" s="1227">
        <v>20</v>
      </c>
      <c r="B123" s="631" t="s">
        <v>34</v>
      </c>
      <c r="C123" s="632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2"/>
    </row>
    <row r="124" spans="1:14">
      <c r="A124" s="1227"/>
      <c r="B124" s="614" t="s">
        <v>919</v>
      </c>
      <c r="C124" s="632">
        <v>4955</v>
      </c>
      <c r="D124" s="621">
        <v>3216</v>
      </c>
      <c r="E124" s="621">
        <v>8171</v>
      </c>
      <c r="F124" s="621">
        <v>79193</v>
      </c>
      <c r="G124" s="621">
        <v>75322</v>
      </c>
      <c r="H124" s="621">
        <v>154515</v>
      </c>
      <c r="I124" s="621">
        <v>54185</v>
      </c>
      <c r="J124" s="621">
        <v>52601</v>
      </c>
      <c r="K124" s="621">
        <v>106786</v>
      </c>
      <c r="L124" s="621">
        <v>45510</v>
      </c>
      <c r="M124" s="621">
        <v>32387</v>
      </c>
      <c r="N124" s="622">
        <v>77897</v>
      </c>
    </row>
    <row r="125" spans="1:14">
      <c r="A125" s="1227"/>
      <c r="B125" s="614" t="s">
        <v>876</v>
      </c>
      <c r="C125" s="372">
        <v>3949</v>
      </c>
      <c r="D125" s="372">
        <v>2214</v>
      </c>
      <c r="E125" s="372">
        <v>6163</v>
      </c>
      <c r="F125" s="372">
        <v>79148</v>
      </c>
      <c r="G125" s="372">
        <v>71656</v>
      </c>
      <c r="H125" s="372">
        <v>150804</v>
      </c>
      <c r="I125" s="372">
        <v>42054</v>
      </c>
      <c r="J125" s="372">
        <v>39620</v>
      </c>
      <c r="K125" s="372">
        <v>81674</v>
      </c>
      <c r="L125" s="615">
        <v>29953</v>
      </c>
      <c r="M125" s="615">
        <v>21698</v>
      </c>
      <c r="N125" s="615">
        <v>51651</v>
      </c>
    </row>
    <row r="126" spans="1:14">
      <c r="A126" s="1227"/>
      <c r="B126" s="614" t="s">
        <v>229</v>
      </c>
      <c r="C126" s="372">
        <v>4714</v>
      </c>
      <c r="D126" s="372">
        <v>3083</v>
      </c>
      <c r="E126" s="372">
        <v>7797</v>
      </c>
      <c r="F126" s="372">
        <v>83037</v>
      </c>
      <c r="G126" s="372">
        <v>83191</v>
      </c>
      <c r="H126" s="372">
        <v>166228</v>
      </c>
      <c r="I126" s="372">
        <v>46074</v>
      </c>
      <c r="J126" s="372">
        <v>49948</v>
      </c>
      <c r="K126" s="372">
        <v>96022</v>
      </c>
      <c r="L126" s="615"/>
      <c r="M126" s="615"/>
      <c r="N126" s="615"/>
    </row>
    <row r="127" spans="1:14">
      <c r="A127" s="1227"/>
      <c r="B127" s="614" t="s">
        <v>228</v>
      </c>
      <c r="C127" s="372">
        <v>4400</v>
      </c>
      <c r="D127" s="372">
        <v>3535</v>
      </c>
      <c r="E127" s="372">
        <v>7935</v>
      </c>
      <c r="F127" s="372">
        <v>78777</v>
      </c>
      <c r="G127" s="372">
        <v>73589</v>
      </c>
      <c r="H127" s="372">
        <v>152366</v>
      </c>
      <c r="I127" s="372">
        <v>41535</v>
      </c>
      <c r="J127" s="372">
        <v>43125</v>
      </c>
      <c r="K127" s="372">
        <v>84660</v>
      </c>
      <c r="L127" s="615"/>
      <c r="M127" s="615"/>
      <c r="N127" s="615"/>
    </row>
    <row r="128" spans="1:14">
      <c r="A128" s="1227"/>
      <c r="B128" s="614" t="s">
        <v>227</v>
      </c>
      <c r="C128" s="373">
        <v>4935</v>
      </c>
      <c r="D128" s="373">
        <v>2971</v>
      </c>
      <c r="E128" s="374">
        <f>C128+D128</f>
        <v>7906</v>
      </c>
      <c r="F128" s="373">
        <v>79997</v>
      </c>
      <c r="G128" s="373">
        <v>71393</v>
      </c>
      <c r="H128" s="374">
        <f>F128+G128</f>
        <v>151390</v>
      </c>
      <c r="I128" s="373">
        <v>39357</v>
      </c>
      <c r="J128" s="373">
        <v>42592</v>
      </c>
      <c r="K128" s="374">
        <f>I128+J128</f>
        <v>81949</v>
      </c>
      <c r="L128" s="615"/>
      <c r="M128" s="615"/>
      <c r="N128" s="615"/>
    </row>
    <row r="129" spans="1:14">
      <c r="A129" s="1227">
        <v>21</v>
      </c>
      <c r="B129" s="631" t="s">
        <v>35</v>
      </c>
      <c r="C129" s="632"/>
      <c r="D129" s="621"/>
      <c r="E129" s="621"/>
      <c r="F129" s="621"/>
      <c r="G129" s="621"/>
      <c r="H129" s="621"/>
      <c r="I129" s="621"/>
      <c r="J129" s="621"/>
      <c r="K129" s="621"/>
      <c r="L129" s="621"/>
      <c r="M129" s="621"/>
      <c r="N129" s="622"/>
    </row>
    <row r="130" spans="1:14">
      <c r="A130" s="1227"/>
      <c r="B130" s="614" t="s">
        <v>919</v>
      </c>
      <c r="C130" s="632">
        <v>85</v>
      </c>
      <c r="D130" s="621">
        <v>91</v>
      </c>
      <c r="E130" s="621">
        <v>176</v>
      </c>
      <c r="F130" s="621">
        <v>964</v>
      </c>
      <c r="G130" s="621">
        <v>1000</v>
      </c>
      <c r="H130" s="621">
        <v>1964</v>
      </c>
      <c r="I130" s="621">
        <v>1080</v>
      </c>
      <c r="J130" s="621">
        <v>2702</v>
      </c>
      <c r="K130" s="621">
        <v>3782</v>
      </c>
      <c r="L130" s="621">
        <v>133</v>
      </c>
      <c r="M130" s="621">
        <v>62</v>
      </c>
      <c r="N130" s="622">
        <v>195</v>
      </c>
    </row>
    <row r="131" spans="1:14">
      <c r="A131" s="1227"/>
      <c r="B131" s="614" t="s">
        <v>876</v>
      </c>
      <c r="C131" s="372">
        <v>123</v>
      </c>
      <c r="D131" s="372">
        <v>110</v>
      </c>
      <c r="E131" s="372">
        <v>233</v>
      </c>
      <c r="F131" s="372">
        <v>1904</v>
      </c>
      <c r="G131" s="372">
        <v>2526</v>
      </c>
      <c r="H131" s="372">
        <v>4430</v>
      </c>
      <c r="I131" s="372">
        <v>2519</v>
      </c>
      <c r="J131" s="372">
        <v>2630</v>
      </c>
      <c r="K131" s="372">
        <v>5149</v>
      </c>
      <c r="L131" s="615">
        <v>115</v>
      </c>
      <c r="M131" s="615">
        <v>59</v>
      </c>
      <c r="N131" s="615">
        <v>174</v>
      </c>
    </row>
    <row r="132" spans="1:14">
      <c r="A132" s="1227"/>
      <c r="B132" s="614" t="s">
        <v>229</v>
      </c>
      <c r="C132" s="372">
        <v>88</v>
      </c>
      <c r="D132" s="372">
        <v>80</v>
      </c>
      <c r="E132" s="372">
        <v>168</v>
      </c>
      <c r="F132" s="372">
        <v>3380</v>
      </c>
      <c r="G132" s="372">
        <v>3099</v>
      </c>
      <c r="H132" s="372">
        <v>6479</v>
      </c>
      <c r="I132" s="372">
        <v>1977</v>
      </c>
      <c r="J132" s="372">
        <v>2409</v>
      </c>
      <c r="K132" s="372">
        <v>4386</v>
      </c>
      <c r="L132" s="615"/>
      <c r="M132" s="615"/>
      <c r="N132" s="615"/>
    </row>
    <row r="133" spans="1:14">
      <c r="A133" s="1227"/>
      <c r="B133" s="614" t="s">
        <v>228</v>
      </c>
      <c r="C133" s="372">
        <v>81</v>
      </c>
      <c r="D133" s="372">
        <v>48</v>
      </c>
      <c r="E133" s="372">
        <v>129</v>
      </c>
      <c r="F133" s="372">
        <v>3047</v>
      </c>
      <c r="G133" s="372">
        <v>2554</v>
      </c>
      <c r="H133" s="372">
        <v>5601</v>
      </c>
      <c r="I133" s="372">
        <v>1496</v>
      </c>
      <c r="J133" s="372">
        <v>1623</v>
      </c>
      <c r="K133" s="372">
        <v>3119</v>
      </c>
      <c r="L133" s="615"/>
      <c r="M133" s="615"/>
      <c r="N133" s="615"/>
    </row>
    <row r="134" spans="1:14">
      <c r="A134" s="1227"/>
      <c r="B134" s="614" t="s">
        <v>227</v>
      </c>
      <c r="C134" s="373">
        <v>67</v>
      </c>
      <c r="D134" s="373">
        <v>32</v>
      </c>
      <c r="E134" s="374">
        <f>C134+D134</f>
        <v>99</v>
      </c>
      <c r="F134" s="373">
        <v>2548</v>
      </c>
      <c r="G134" s="373">
        <v>2336</v>
      </c>
      <c r="H134" s="374">
        <f>F134+G134</f>
        <v>4884</v>
      </c>
      <c r="I134" s="373">
        <v>3046</v>
      </c>
      <c r="J134" s="373">
        <v>3126</v>
      </c>
      <c r="K134" s="374">
        <f>I134+J134</f>
        <v>6172</v>
      </c>
      <c r="L134" s="615"/>
      <c r="M134" s="615"/>
      <c r="N134" s="615"/>
    </row>
    <row r="135" spans="1:14">
      <c r="A135" s="1227">
        <v>22</v>
      </c>
      <c r="B135" s="631" t="s">
        <v>36</v>
      </c>
      <c r="C135" s="632"/>
      <c r="D135" s="621"/>
      <c r="E135" s="621"/>
      <c r="F135" s="621"/>
      <c r="G135" s="621"/>
      <c r="H135" s="621"/>
      <c r="I135" s="621"/>
      <c r="J135" s="621"/>
      <c r="K135" s="621"/>
      <c r="L135" s="621"/>
      <c r="M135" s="621"/>
      <c r="N135" s="622"/>
    </row>
    <row r="136" spans="1:14">
      <c r="A136" s="1227"/>
      <c r="B136" s="614" t="s">
        <v>919</v>
      </c>
      <c r="C136" s="632">
        <v>477</v>
      </c>
      <c r="D136" s="621">
        <v>588</v>
      </c>
      <c r="E136" s="621">
        <v>1065</v>
      </c>
      <c r="F136" s="621">
        <v>1324</v>
      </c>
      <c r="G136" s="621">
        <v>795</v>
      </c>
      <c r="H136" s="621">
        <v>2119</v>
      </c>
      <c r="I136" s="621">
        <v>6253</v>
      </c>
      <c r="J136" s="621">
        <v>8492</v>
      </c>
      <c r="K136" s="621">
        <v>14745</v>
      </c>
      <c r="L136" s="621">
        <v>240</v>
      </c>
      <c r="M136" s="621">
        <v>214</v>
      </c>
      <c r="N136" s="622">
        <v>454</v>
      </c>
    </row>
    <row r="137" spans="1:14">
      <c r="A137" s="1227"/>
      <c r="B137" s="614" t="s">
        <v>876</v>
      </c>
      <c r="C137" s="372">
        <v>188</v>
      </c>
      <c r="D137" s="372">
        <v>139</v>
      </c>
      <c r="E137" s="372">
        <v>327</v>
      </c>
      <c r="F137" s="372">
        <v>1150</v>
      </c>
      <c r="G137" s="372">
        <v>912</v>
      </c>
      <c r="H137" s="372">
        <v>2062</v>
      </c>
      <c r="I137" s="372">
        <v>13119</v>
      </c>
      <c r="J137" s="372">
        <v>17005</v>
      </c>
      <c r="K137" s="372">
        <v>30124</v>
      </c>
      <c r="L137" s="615">
        <v>207</v>
      </c>
      <c r="M137" s="615">
        <v>136</v>
      </c>
      <c r="N137" s="615">
        <v>343</v>
      </c>
    </row>
    <row r="138" spans="1:14">
      <c r="A138" s="1227"/>
      <c r="B138" s="614" t="s">
        <v>229</v>
      </c>
      <c r="C138" s="372">
        <v>204</v>
      </c>
      <c r="D138" s="372">
        <v>163</v>
      </c>
      <c r="E138" s="372">
        <v>367</v>
      </c>
      <c r="F138" s="372">
        <v>1177</v>
      </c>
      <c r="G138" s="372">
        <v>901</v>
      </c>
      <c r="H138" s="372">
        <v>2078</v>
      </c>
      <c r="I138" s="372">
        <v>10928</v>
      </c>
      <c r="J138" s="372">
        <v>13402</v>
      </c>
      <c r="K138" s="372">
        <v>24330</v>
      </c>
      <c r="L138" s="615"/>
      <c r="M138" s="615"/>
      <c r="N138" s="615"/>
    </row>
    <row r="139" spans="1:14">
      <c r="A139" s="1227"/>
      <c r="B139" s="614" t="s">
        <v>228</v>
      </c>
      <c r="C139" s="372">
        <v>110</v>
      </c>
      <c r="D139" s="372">
        <v>182</v>
      </c>
      <c r="E139" s="372">
        <v>292</v>
      </c>
      <c r="F139" s="372">
        <v>1318</v>
      </c>
      <c r="G139" s="372">
        <v>934</v>
      </c>
      <c r="H139" s="372">
        <v>2252</v>
      </c>
      <c r="I139" s="372">
        <v>10694</v>
      </c>
      <c r="J139" s="372">
        <v>13278</v>
      </c>
      <c r="K139" s="372">
        <v>23972</v>
      </c>
      <c r="L139" s="615"/>
      <c r="M139" s="615"/>
      <c r="N139" s="615"/>
    </row>
    <row r="140" spans="1:14">
      <c r="A140" s="1227"/>
      <c r="B140" s="614" t="s">
        <v>227</v>
      </c>
      <c r="C140" s="373">
        <v>35</v>
      </c>
      <c r="D140" s="373">
        <v>30</v>
      </c>
      <c r="E140" s="374">
        <f>C140+D140</f>
        <v>65</v>
      </c>
      <c r="F140" s="373">
        <v>891</v>
      </c>
      <c r="G140" s="373">
        <v>588</v>
      </c>
      <c r="H140" s="374">
        <f>F140+G140</f>
        <v>1479</v>
      </c>
      <c r="I140" s="373">
        <v>10951</v>
      </c>
      <c r="J140" s="373">
        <v>12522</v>
      </c>
      <c r="K140" s="374">
        <f>I140+J140</f>
        <v>23473</v>
      </c>
      <c r="L140" s="615"/>
      <c r="M140" s="615"/>
      <c r="N140" s="615"/>
    </row>
    <row r="141" spans="1:14">
      <c r="A141" s="1227">
        <v>23</v>
      </c>
      <c r="B141" s="631" t="s">
        <v>37</v>
      </c>
      <c r="C141" s="632"/>
      <c r="D141" s="621"/>
      <c r="E141" s="621"/>
      <c r="F141" s="621"/>
      <c r="G141" s="621"/>
      <c r="H141" s="621"/>
      <c r="I141" s="621"/>
      <c r="J141" s="621"/>
      <c r="K141" s="621"/>
      <c r="L141" s="621"/>
      <c r="M141" s="621"/>
      <c r="N141" s="622"/>
    </row>
    <row r="142" spans="1:14">
      <c r="A142" s="1227"/>
      <c r="B142" s="614" t="s">
        <v>919</v>
      </c>
      <c r="C142" s="632">
        <v>14</v>
      </c>
      <c r="D142" s="621">
        <v>17</v>
      </c>
      <c r="E142" s="621">
        <v>31</v>
      </c>
      <c r="F142" s="621">
        <v>77</v>
      </c>
      <c r="G142" s="621">
        <v>53</v>
      </c>
      <c r="H142" s="621">
        <v>130</v>
      </c>
      <c r="I142" s="621">
        <v>9504</v>
      </c>
      <c r="J142" s="621">
        <v>9709</v>
      </c>
      <c r="K142" s="621">
        <v>19213</v>
      </c>
      <c r="L142" s="621">
        <v>62</v>
      </c>
      <c r="M142" s="621">
        <v>37</v>
      </c>
      <c r="N142" s="622">
        <v>99</v>
      </c>
    </row>
    <row r="143" spans="1:14">
      <c r="A143" s="1227"/>
      <c r="B143" s="614" t="s">
        <v>876</v>
      </c>
      <c r="C143" s="372">
        <v>14</v>
      </c>
      <c r="D143" s="372">
        <v>13</v>
      </c>
      <c r="E143" s="372">
        <v>27</v>
      </c>
      <c r="F143" s="372">
        <v>50</v>
      </c>
      <c r="G143" s="372">
        <v>28</v>
      </c>
      <c r="H143" s="372">
        <v>78</v>
      </c>
      <c r="I143" s="372">
        <v>9747</v>
      </c>
      <c r="J143" s="372">
        <v>10304</v>
      </c>
      <c r="K143" s="372">
        <v>20051</v>
      </c>
      <c r="L143" s="615">
        <v>18</v>
      </c>
      <c r="M143" s="615">
        <v>8</v>
      </c>
      <c r="N143" s="615">
        <v>26</v>
      </c>
    </row>
    <row r="144" spans="1:14">
      <c r="A144" s="1227"/>
      <c r="B144" s="614" t="s">
        <v>229</v>
      </c>
      <c r="C144" s="372">
        <v>15</v>
      </c>
      <c r="D144" s="372">
        <v>8</v>
      </c>
      <c r="E144" s="372">
        <v>23</v>
      </c>
      <c r="F144" s="372">
        <v>48</v>
      </c>
      <c r="G144" s="372">
        <v>22</v>
      </c>
      <c r="H144" s="372">
        <v>70</v>
      </c>
      <c r="I144" s="372">
        <v>8560</v>
      </c>
      <c r="J144" s="372">
        <v>8270</v>
      </c>
      <c r="K144" s="372">
        <v>16830</v>
      </c>
      <c r="L144" s="615"/>
      <c r="M144" s="615"/>
      <c r="N144" s="615"/>
    </row>
    <row r="145" spans="1:14">
      <c r="A145" s="1227"/>
      <c r="B145" s="614" t="s">
        <v>228</v>
      </c>
      <c r="C145" s="372">
        <v>12</v>
      </c>
      <c r="D145" s="372">
        <v>14</v>
      </c>
      <c r="E145" s="372">
        <v>26</v>
      </c>
      <c r="F145" s="372">
        <v>54</v>
      </c>
      <c r="G145" s="372">
        <v>29</v>
      </c>
      <c r="H145" s="372">
        <v>83</v>
      </c>
      <c r="I145" s="372">
        <v>9675</v>
      </c>
      <c r="J145" s="372">
        <v>8980</v>
      </c>
      <c r="K145" s="372">
        <v>18655</v>
      </c>
      <c r="L145" s="615"/>
      <c r="M145" s="615"/>
      <c r="N145" s="615"/>
    </row>
    <row r="146" spans="1:14">
      <c r="A146" s="1227"/>
      <c r="B146" s="614" t="s">
        <v>227</v>
      </c>
      <c r="C146" s="373">
        <v>14</v>
      </c>
      <c r="D146" s="373">
        <v>14</v>
      </c>
      <c r="E146" s="374">
        <f>C146+D146</f>
        <v>28</v>
      </c>
      <c r="F146" s="373">
        <v>58</v>
      </c>
      <c r="G146" s="373">
        <v>10</v>
      </c>
      <c r="H146" s="374">
        <f>F146+G146</f>
        <v>68</v>
      </c>
      <c r="I146" s="373">
        <v>11861</v>
      </c>
      <c r="J146" s="373">
        <v>11377</v>
      </c>
      <c r="K146" s="374">
        <f>I146+J146</f>
        <v>23238</v>
      </c>
      <c r="L146" s="615"/>
      <c r="M146" s="615"/>
      <c r="N146" s="615"/>
    </row>
    <row r="147" spans="1:14">
      <c r="A147" s="1227">
        <v>24</v>
      </c>
      <c r="B147" s="631" t="s">
        <v>38</v>
      </c>
      <c r="C147" s="632"/>
      <c r="D147" s="621"/>
      <c r="E147" s="621"/>
      <c r="F147" s="621"/>
      <c r="G147" s="621"/>
      <c r="H147" s="621"/>
      <c r="I147" s="621"/>
      <c r="J147" s="621"/>
      <c r="K147" s="621"/>
      <c r="L147" s="621"/>
      <c r="M147" s="621"/>
      <c r="N147" s="622"/>
    </row>
    <row r="148" spans="1:14">
      <c r="A148" s="1227"/>
      <c r="B148" s="614" t="s">
        <v>919</v>
      </c>
      <c r="C148" s="632">
        <v>14</v>
      </c>
      <c r="D148" s="621">
        <v>7</v>
      </c>
      <c r="E148" s="621">
        <v>21</v>
      </c>
      <c r="F148" s="621">
        <v>112</v>
      </c>
      <c r="G148" s="621">
        <v>141</v>
      </c>
      <c r="H148" s="621">
        <v>253</v>
      </c>
      <c r="I148" s="621">
        <v>8303</v>
      </c>
      <c r="J148" s="621">
        <v>9698</v>
      </c>
      <c r="K148" s="621">
        <v>18001</v>
      </c>
      <c r="L148" s="621">
        <v>43</v>
      </c>
      <c r="M148" s="621">
        <v>260</v>
      </c>
      <c r="N148" s="622">
        <v>303</v>
      </c>
    </row>
    <row r="149" spans="1:14">
      <c r="A149" s="1227"/>
      <c r="B149" s="614" t="s">
        <v>876</v>
      </c>
      <c r="C149" s="372">
        <v>3</v>
      </c>
      <c r="D149" s="372">
        <v>5</v>
      </c>
      <c r="E149" s="372">
        <v>8</v>
      </c>
      <c r="F149" s="372">
        <v>113</v>
      </c>
      <c r="G149" s="372">
        <v>144</v>
      </c>
      <c r="H149" s="372">
        <v>257</v>
      </c>
      <c r="I149" s="372">
        <v>4719</v>
      </c>
      <c r="J149" s="372">
        <v>6615</v>
      </c>
      <c r="K149" s="382">
        <v>11334</v>
      </c>
      <c r="L149" s="615">
        <v>173</v>
      </c>
      <c r="M149" s="615">
        <v>60</v>
      </c>
      <c r="N149" s="615">
        <v>233</v>
      </c>
    </row>
    <row r="150" spans="1:14">
      <c r="A150" s="1227"/>
      <c r="B150" s="614" t="s">
        <v>229</v>
      </c>
      <c r="C150" s="372">
        <v>17</v>
      </c>
      <c r="D150" s="372">
        <v>19</v>
      </c>
      <c r="E150" s="372">
        <v>36</v>
      </c>
      <c r="F150" s="372">
        <v>100</v>
      </c>
      <c r="G150" s="372">
        <v>112</v>
      </c>
      <c r="H150" s="372">
        <v>212</v>
      </c>
      <c r="I150" s="372">
        <v>7118</v>
      </c>
      <c r="J150" s="372">
        <v>8878</v>
      </c>
      <c r="K150" s="382">
        <v>15996</v>
      </c>
      <c r="L150" s="615"/>
      <c r="M150" s="615"/>
      <c r="N150" s="615"/>
    </row>
    <row r="151" spans="1:14">
      <c r="A151" s="1227"/>
      <c r="B151" s="614" t="s">
        <v>228</v>
      </c>
      <c r="C151" s="372">
        <v>9</v>
      </c>
      <c r="D151" s="372">
        <v>15</v>
      </c>
      <c r="E151" s="372">
        <v>24</v>
      </c>
      <c r="F151" s="372">
        <v>89</v>
      </c>
      <c r="G151" s="372">
        <v>115</v>
      </c>
      <c r="H151" s="372">
        <v>204</v>
      </c>
      <c r="I151" s="372">
        <v>8214</v>
      </c>
      <c r="J151" s="372">
        <v>10155</v>
      </c>
      <c r="K151" s="382">
        <v>18369</v>
      </c>
      <c r="L151" s="615"/>
      <c r="M151" s="615"/>
      <c r="N151" s="615"/>
    </row>
    <row r="152" spans="1:14">
      <c r="A152" s="1227"/>
      <c r="B152" s="614" t="s">
        <v>227</v>
      </c>
      <c r="C152" s="373">
        <v>7</v>
      </c>
      <c r="D152" s="373">
        <v>6</v>
      </c>
      <c r="E152" s="374">
        <f>C152+D152</f>
        <v>13</v>
      </c>
      <c r="F152" s="373">
        <v>103</v>
      </c>
      <c r="G152" s="373">
        <v>112</v>
      </c>
      <c r="H152" s="374">
        <f>F152+G152</f>
        <v>215</v>
      </c>
      <c r="I152" s="373">
        <v>6551</v>
      </c>
      <c r="J152" s="373">
        <v>7988</v>
      </c>
      <c r="K152" s="383">
        <f>I152+J152</f>
        <v>14539</v>
      </c>
      <c r="L152" s="615"/>
      <c r="M152" s="615"/>
      <c r="N152" s="615"/>
    </row>
    <row r="153" spans="1:14">
      <c r="A153" s="1227">
        <v>25</v>
      </c>
      <c r="B153" s="631" t="s">
        <v>39</v>
      </c>
      <c r="C153" s="632"/>
      <c r="D153" s="621"/>
      <c r="E153" s="621"/>
      <c r="F153" s="621"/>
      <c r="G153" s="621"/>
      <c r="H153" s="621"/>
      <c r="I153" s="621"/>
      <c r="J153" s="621"/>
      <c r="K153" s="621"/>
      <c r="L153" s="621"/>
      <c r="M153" s="621"/>
      <c r="N153" s="622"/>
    </row>
    <row r="154" spans="1:14">
      <c r="A154" s="1227"/>
      <c r="B154" s="614" t="s">
        <v>919</v>
      </c>
      <c r="C154" s="632">
        <v>1214</v>
      </c>
      <c r="D154" s="621">
        <v>806</v>
      </c>
      <c r="E154" s="621">
        <v>2020</v>
      </c>
      <c r="F154" s="621">
        <v>4412</v>
      </c>
      <c r="G154" s="621">
        <v>4097</v>
      </c>
      <c r="H154" s="621">
        <v>8509</v>
      </c>
      <c r="I154" s="621">
        <v>2468</v>
      </c>
      <c r="J154" s="621">
        <v>2478</v>
      </c>
      <c r="K154" s="621">
        <v>4946</v>
      </c>
      <c r="L154" s="621">
        <v>13816</v>
      </c>
      <c r="M154" s="621">
        <v>9796</v>
      </c>
      <c r="N154" s="622">
        <v>23612</v>
      </c>
    </row>
    <row r="155" spans="1:14">
      <c r="A155" s="1227"/>
      <c r="B155" s="614" t="s">
        <v>876</v>
      </c>
      <c r="C155" s="372">
        <v>1041</v>
      </c>
      <c r="D155" s="372">
        <v>693</v>
      </c>
      <c r="E155" s="372">
        <v>1734</v>
      </c>
      <c r="F155" s="372">
        <v>4728</v>
      </c>
      <c r="G155" s="372">
        <v>3759</v>
      </c>
      <c r="H155" s="372">
        <v>8487</v>
      </c>
      <c r="I155" s="372">
        <v>1562</v>
      </c>
      <c r="J155" s="372">
        <v>1548</v>
      </c>
      <c r="K155" s="382">
        <v>3110</v>
      </c>
      <c r="L155" s="615">
        <v>7257</v>
      </c>
      <c r="M155" s="615">
        <v>7991</v>
      </c>
      <c r="N155" s="615">
        <v>15248</v>
      </c>
    </row>
    <row r="156" spans="1:14">
      <c r="A156" s="1227"/>
      <c r="B156" s="614" t="s">
        <v>229</v>
      </c>
      <c r="C156" s="372">
        <v>1358</v>
      </c>
      <c r="D156" s="372">
        <v>736</v>
      </c>
      <c r="E156" s="372">
        <v>2094</v>
      </c>
      <c r="F156" s="372">
        <v>5614</v>
      </c>
      <c r="G156" s="372">
        <v>4232</v>
      </c>
      <c r="H156" s="372">
        <v>9846</v>
      </c>
      <c r="I156" s="372">
        <v>1641</v>
      </c>
      <c r="J156" s="372">
        <v>1918</v>
      </c>
      <c r="K156" s="382">
        <v>3559</v>
      </c>
      <c r="L156" s="615"/>
      <c r="M156" s="615"/>
      <c r="N156" s="615"/>
    </row>
    <row r="157" spans="1:14">
      <c r="A157" s="1227"/>
      <c r="B157" s="614" t="s">
        <v>228</v>
      </c>
      <c r="C157" s="372">
        <v>1158</v>
      </c>
      <c r="D157" s="372">
        <v>803</v>
      </c>
      <c r="E157" s="372">
        <v>1961</v>
      </c>
      <c r="F157" s="372">
        <v>5741</v>
      </c>
      <c r="G157" s="372">
        <v>4600</v>
      </c>
      <c r="H157" s="372">
        <v>10341</v>
      </c>
      <c r="I157" s="372">
        <v>1779</v>
      </c>
      <c r="J157" s="372">
        <v>1831</v>
      </c>
      <c r="K157" s="382">
        <v>3610</v>
      </c>
      <c r="L157" s="615"/>
      <c r="M157" s="615"/>
      <c r="N157" s="615"/>
    </row>
    <row r="158" spans="1:14">
      <c r="A158" s="1227"/>
      <c r="B158" s="614" t="s">
        <v>227</v>
      </c>
      <c r="C158" s="373">
        <v>967</v>
      </c>
      <c r="D158" s="373">
        <v>600</v>
      </c>
      <c r="E158" s="374">
        <f>C158+D158</f>
        <v>1567</v>
      </c>
      <c r="F158" s="373">
        <v>5862</v>
      </c>
      <c r="G158" s="373">
        <v>5236</v>
      </c>
      <c r="H158" s="374">
        <f>F158+G158</f>
        <v>11098</v>
      </c>
      <c r="I158" s="373">
        <v>1645</v>
      </c>
      <c r="J158" s="373">
        <v>1786</v>
      </c>
      <c r="K158" s="383">
        <f>I158+J158</f>
        <v>3431</v>
      </c>
      <c r="L158" s="615"/>
      <c r="M158" s="615"/>
      <c r="N158" s="615"/>
    </row>
    <row r="159" spans="1:14">
      <c r="A159" s="1227">
        <v>26</v>
      </c>
      <c r="B159" s="631" t="s">
        <v>40</v>
      </c>
      <c r="C159" s="632"/>
      <c r="D159" s="621"/>
      <c r="E159" s="621"/>
      <c r="F159" s="621"/>
      <c r="G159" s="621"/>
      <c r="H159" s="621"/>
      <c r="I159" s="621"/>
      <c r="J159" s="621"/>
      <c r="K159" s="621"/>
      <c r="L159" s="621"/>
      <c r="M159" s="621"/>
      <c r="N159" s="622"/>
    </row>
    <row r="160" spans="1:14">
      <c r="A160" s="1227"/>
      <c r="B160" s="614" t="s">
        <v>919</v>
      </c>
      <c r="C160" s="632">
        <v>94</v>
      </c>
      <c r="D160" s="621">
        <v>193</v>
      </c>
      <c r="E160" s="621">
        <v>287</v>
      </c>
      <c r="F160" s="621">
        <v>1565</v>
      </c>
      <c r="G160" s="621">
        <v>1705</v>
      </c>
      <c r="H160" s="621">
        <v>3270</v>
      </c>
      <c r="I160" s="621">
        <v>1035</v>
      </c>
      <c r="J160" s="621">
        <v>2012</v>
      </c>
      <c r="K160" s="621">
        <v>3047</v>
      </c>
      <c r="L160" s="621">
        <v>233</v>
      </c>
      <c r="M160" s="621">
        <v>150</v>
      </c>
      <c r="N160" s="622">
        <v>383</v>
      </c>
    </row>
    <row r="161" spans="1:14">
      <c r="A161" s="1227"/>
      <c r="B161" s="614" t="s">
        <v>876</v>
      </c>
      <c r="C161" s="372">
        <v>120</v>
      </c>
      <c r="D161" s="372">
        <v>202</v>
      </c>
      <c r="E161" s="372">
        <v>322</v>
      </c>
      <c r="F161" s="372">
        <v>1202</v>
      </c>
      <c r="G161" s="372">
        <v>1139</v>
      </c>
      <c r="H161" s="372">
        <v>2341</v>
      </c>
      <c r="I161" s="372">
        <v>851</v>
      </c>
      <c r="J161" s="372">
        <v>1866</v>
      </c>
      <c r="K161" s="382">
        <v>2717</v>
      </c>
      <c r="L161" s="615">
        <v>176</v>
      </c>
      <c r="M161" s="615">
        <v>122</v>
      </c>
      <c r="N161" s="615">
        <v>298</v>
      </c>
    </row>
    <row r="162" spans="1:14">
      <c r="A162" s="1227"/>
      <c r="B162" s="614" t="s">
        <v>229</v>
      </c>
      <c r="C162" s="372">
        <v>131</v>
      </c>
      <c r="D162" s="372">
        <v>154</v>
      </c>
      <c r="E162" s="372">
        <v>285</v>
      </c>
      <c r="F162" s="372">
        <v>1637</v>
      </c>
      <c r="G162" s="372">
        <v>1489</v>
      </c>
      <c r="H162" s="372">
        <v>3126</v>
      </c>
      <c r="I162" s="372">
        <v>1013</v>
      </c>
      <c r="J162" s="372">
        <v>2025</v>
      </c>
      <c r="K162" s="382">
        <v>3038</v>
      </c>
      <c r="L162" s="615"/>
      <c r="M162" s="615"/>
      <c r="N162" s="615"/>
    </row>
    <row r="163" spans="1:14">
      <c r="A163" s="1227"/>
      <c r="B163" s="614" t="s">
        <v>228</v>
      </c>
      <c r="C163" s="372">
        <v>158</v>
      </c>
      <c r="D163" s="372">
        <v>99</v>
      </c>
      <c r="E163" s="372">
        <v>257</v>
      </c>
      <c r="F163" s="372">
        <v>1456</v>
      </c>
      <c r="G163" s="372">
        <v>1197</v>
      </c>
      <c r="H163" s="372">
        <v>2653</v>
      </c>
      <c r="I163" s="372">
        <v>950</v>
      </c>
      <c r="J163" s="372">
        <v>1894</v>
      </c>
      <c r="K163" s="382">
        <v>2844</v>
      </c>
      <c r="L163" s="615"/>
      <c r="M163" s="615"/>
      <c r="N163" s="615"/>
    </row>
    <row r="164" spans="1:14">
      <c r="A164" s="1227"/>
      <c r="B164" s="614" t="s">
        <v>227</v>
      </c>
      <c r="C164" s="373">
        <v>122</v>
      </c>
      <c r="D164" s="373">
        <v>83</v>
      </c>
      <c r="E164" s="374">
        <f>C164+D164</f>
        <v>205</v>
      </c>
      <c r="F164" s="373">
        <v>1395</v>
      </c>
      <c r="G164" s="373">
        <v>1060</v>
      </c>
      <c r="H164" s="374">
        <f>F164+G164</f>
        <v>2455</v>
      </c>
      <c r="I164" s="373">
        <v>904</v>
      </c>
      <c r="J164" s="373">
        <v>1794</v>
      </c>
      <c r="K164" s="383">
        <f>I164+J164</f>
        <v>2698</v>
      </c>
      <c r="L164" s="615"/>
      <c r="M164" s="615"/>
      <c r="N164" s="615"/>
    </row>
    <row r="165" spans="1:14">
      <c r="A165" s="1227">
        <v>27</v>
      </c>
      <c r="B165" s="631" t="s">
        <v>41</v>
      </c>
      <c r="C165" s="632"/>
      <c r="D165" s="621"/>
      <c r="E165" s="621"/>
      <c r="F165" s="621"/>
      <c r="G165" s="621"/>
      <c r="H165" s="621"/>
      <c r="I165" s="621"/>
      <c r="J165" s="621"/>
      <c r="K165" s="621"/>
      <c r="L165" s="621"/>
      <c r="M165" s="621"/>
      <c r="N165" s="622"/>
    </row>
    <row r="166" spans="1:14">
      <c r="A166" s="1227"/>
      <c r="B166" s="614" t="s">
        <v>919</v>
      </c>
      <c r="C166" s="632">
        <v>599</v>
      </c>
      <c r="D166" s="621">
        <v>468</v>
      </c>
      <c r="E166" s="621">
        <v>1067</v>
      </c>
      <c r="F166" s="621">
        <v>14277</v>
      </c>
      <c r="G166" s="621">
        <v>5640</v>
      </c>
      <c r="H166" s="621">
        <v>19917</v>
      </c>
      <c r="I166" s="621">
        <v>60736</v>
      </c>
      <c r="J166" s="621">
        <v>69745</v>
      </c>
      <c r="K166" s="621">
        <v>130481</v>
      </c>
      <c r="L166" s="621">
        <v>6712</v>
      </c>
      <c r="M166" s="621">
        <v>5732</v>
      </c>
      <c r="N166" s="622">
        <v>12444</v>
      </c>
    </row>
    <row r="167" spans="1:14">
      <c r="A167" s="1227"/>
      <c r="B167" s="614" t="s">
        <v>876</v>
      </c>
      <c r="C167" s="372">
        <v>318</v>
      </c>
      <c r="D167" s="372">
        <v>255</v>
      </c>
      <c r="E167" s="372">
        <v>573</v>
      </c>
      <c r="F167" s="372">
        <v>11803</v>
      </c>
      <c r="G167" s="372">
        <v>4682</v>
      </c>
      <c r="H167" s="372">
        <v>16485</v>
      </c>
      <c r="I167" s="372">
        <v>53417</v>
      </c>
      <c r="J167" s="372">
        <v>65836</v>
      </c>
      <c r="K167" s="382">
        <v>119253</v>
      </c>
      <c r="L167" s="615">
        <v>5937</v>
      </c>
      <c r="M167" s="615">
        <v>3337</v>
      </c>
      <c r="N167" s="615">
        <v>9274</v>
      </c>
    </row>
    <row r="168" spans="1:14">
      <c r="A168" s="1227"/>
      <c r="B168" s="614" t="s">
        <v>229</v>
      </c>
      <c r="C168" s="372">
        <v>427</v>
      </c>
      <c r="D168" s="372">
        <v>311</v>
      </c>
      <c r="E168" s="372">
        <v>738</v>
      </c>
      <c r="F168" s="372">
        <v>9558</v>
      </c>
      <c r="G168" s="372">
        <v>4226</v>
      </c>
      <c r="H168" s="372">
        <v>13784</v>
      </c>
      <c r="I168" s="372">
        <v>65018</v>
      </c>
      <c r="J168" s="372">
        <v>77450</v>
      </c>
      <c r="K168" s="382">
        <v>142468</v>
      </c>
      <c r="L168" s="615"/>
      <c r="M168" s="615"/>
      <c r="N168" s="615"/>
    </row>
    <row r="169" spans="1:14">
      <c r="A169" s="1227"/>
      <c r="B169" s="614" t="s">
        <v>228</v>
      </c>
      <c r="C169" s="372">
        <v>559</v>
      </c>
      <c r="D169" s="372">
        <v>523</v>
      </c>
      <c r="E169" s="372">
        <v>1082</v>
      </c>
      <c r="F169" s="372">
        <v>7526</v>
      </c>
      <c r="G169" s="372">
        <v>3308</v>
      </c>
      <c r="H169" s="372">
        <v>10834</v>
      </c>
      <c r="I169" s="372">
        <v>68769</v>
      </c>
      <c r="J169" s="372">
        <v>88929</v>
      </c>
      <c r="K169" s="382">
        <v>157698</v>
      </c>
      <c r="L169" s="615"/>
      <c r="M169" s="615"/>
      <c r="N169" s="615"/>
    </row>
    <row r="170" spans="1:14">
      <c r="A170" s="1227"/>
      <c r="B170" s="614" t="s">
        <v>227</v>
      </c>
      <c r="C170" s="373">
        <v>499</v>
      </c>
      <c r="D170" s="373">
        <v>335</v>
      </c>
      <c r="E170" s="374">
        <f>C170+D170</f>
        <v>834</v>
      </c>
      <c r="F170" s="373">
        <v>6106</v>
      </c>
      <c r="G170" s="373">
        <v>2324</v>
      </c>
      <c r="H170" s="374">
        <f>F170+G170</f>
        <v>8430</v>
      </c>
      <c r="I170" s="373">
        <v>62604</v>
      </c>
      <c r="J170" s="373">
        <v>82694</v>
      </c>
      <c r="K170" s="383">
        <f>I170+J170</f>
        <v>145298</v>
      </c>
      <c r="L170" s="615"/>
      <c r="M170" s="615"/>
      <c r="N170" s="615"/>
    </row>
    <row r="171" spans="1:14">
      <c r="A171" s="1227">
        <v>28</v>
      </c>
      <c r="B171" s="631" t="s">
        <v>42</v>
      </c>
      <c r="C171" s="632"/>
      <c r="D171" s="621"/>
      <c r="E171" s="621"/>
      <c r="F171" s="621"/>
      <c r="G171" s="621"/>
      <c r="H171" s="621"/>
      <c r="I171" s="621"/>
      <c r="J171" s="621"/>
      <c r="K171" s="621"/>
      <c r="L171" s="621"/>
      <c r="M171" s="621"/>
      <c r="N171" s="622"/>
    </row>
    <row r="172" spans="1:14">
      <c r="A172" s="1227"/>
      <c r="B172" s="614" t="s">
        <v>919</v>
      </c>
      <c r="C172" s="632">
        <v>3563</v>
      </c>
      <c r="D172" s="621">
        <v>1661</v>
      </c>
      <c r="E172" s="621">
        <v>5224</v>
      </c>
      <c r="F172" s="621">
        <v>26212</v>
      </c>
      <c r="G172" s="621">
        <v>20199</v>
      </c>
      <c r="H172" s="621">
        <v>46411</v>
      </c>
      <c r="I172" s="621">
        <v>9186</v>
      </c>
      <c r="J172" s="621">
        <v>10366</v>
      </c>
      <c r="K172" s="621">
        <v>19552</v>
      </c>
      <c r="L172" s="621">
        <v>24977</v>
      </c>
      <c r="M172" s="621">
        <v>25717</v>
      </c>
      <c r="N172" s="622">
        <v>50694</v>
      </c>
    </row>
    <row r="173" spans="1:14">
      <c r="A173" s="1227"/>
      <c r="B173" s="614" t="s">
        <v>876</v>
      </c>
      <c r="C173" s="372">
        <v>4579</v>
      </c>
      <c r="D173" s="372">
        <v>1729</v>
      </c>
      <c r="E173" s="372">
        <v>6308</v>
      </c>
      <c r="F173" s="372">
        <v>24356</v>
      </c>
      <c r="G173" s="372">
        <v>18634</v>
      </c>
      <c r="H173" s="372">
        <v>42990</v>
      </c>
      <c r="I173" s="372">
        <v>8595</v>
      </c>
      <c r="J173" s="372">
        <v>11274</v>
      </c>
      <c r="K173" s="382">
        <v>19869</v>
      </c>
      <c r="L173" s="615">
        <v>14756</v>
      </c>
      <c r="M173" s="615">
        <v>13941</v>
      </c>
      <c r="N173" s="615">
        <v>28697</v>
      </c>
    </row>
    <row r="174" spans="1:14">
      <c r="A174" s="1227"/>
      <c r="B174" s="614" t="s">
        <v>229</v>
      </c>
      <c r="C174" s="372">
        <v>3442</v>
      </c>
      <c r="D174" s="372">
        <v>6519</v>
      </c>
      <c r="E174" s="372">
        <v>9961</v>
      </c>
      <c r="F174" s="372">
        <v>25128</v>
      </c>
      <c r="G174" s="372">
        <v>19055</v>
      </c>
      <c r="H174" s="372">
        <v>44183</v>
      </c>
      <c r="I174" s="372">
        <v>8366</v>
      </c>
      <c r="J174" s="372">
        <v>10998</v>
      </c>
      <c r="K174" s="382">
        <v>19364</v>
      </c>
      <c r="L174" s="615"/>
      <c r="M174" s="615"/>
      <c r="N174" s="615"/>
    </row>
    <row r="175" spans="1:14">
      <c r="A175" s="1227"/>
      <c r="B175" s="614" t="s">
        <v>228</v>
      </c>
      <c r="C175" s="372">
        <v>2848</v>
      </c>
      <c r="D175" s="372">
        <v>1864</v>
      </c>
      <c r="E175" s="372">
        <v>4712</v>
      </c>
      <c r="F175" s="372">
        <v>26100</v>
      </c>
      <c r="G175" s="372">
        <v>18258</v>
      </c>
      <c r="H175" s="372">
        <v>44358</v>
      </c>
      <c r="I175" s="372">
        <v>7629</v>
      </c>
      <c r="J175" s="372">
        <v>10011</v>
      </c>
      <c r="K175" s="382">
        <v>17640</v>
      </c>
      <c r="L175" s="615"/>
      <c r="M175" s="615"/>
      <c r="N175" s="615"/>
    </row>
    <row r="176" spans="1:14">
      <c r="A176" s="1227"/>
      <c r="B176" s="614" t="s">
        <v>227</v>
      </c>
      <c r="C176" s="373">
        <v>2528</v>
      </c>
      <c r="D176" s="373">
        <v>2496</v>
      </c>
      <c r="E176" s="374">
        <f>C176+D176</f>
        <v>5024</v>
      </c>
      <c r="F176" s="373">
        <v>22280</v>
      </c>
      <c r="G176" s="373">
        <v>16276</v>
      </c>
      <c r="H176" s="374">
        <f>F176+G176</f>
        <v>38556</v>
      </c>
      <c r="I176" s="373">
        <v>7776</v>
      </c>
      <c r="J176" s="373">
        <v>10198</v>
      </c>
      <c r="K176" s="383">
        <f>I176+J176</f>
        <v>17974</v>
      </c>
      <c r="L176" s="615"/>
      <c r="M176" s="615"/>
      <c r="N176" s="615"/>
    </row>
    <row r="177" spans="1:14">
      <c r="A177" s="1227">
        <v>29</v>
      </c>
      <c r="B177" s="631" t="s">
        <v>43</v>
      </c>
      <c r="C177" s="632"/>
      <c r="D177" s="621"/>
      <c r="E177" s="621"/>
      <c r="F177" s="621"/>
      <c r="G177" s="621"/>
      <c r="H177" s="621"/>
      <c r="I177" s="621"/>
      <c r="J177" s="621"/>
      <c r="K177" s="621"/>
      <c r="L177" s="621"/>
      <c r="M177" s="621"/>
      <c r="N177" s="622"/>
    </row>
    <row r="178" spans="1:14">
      <c r="A178" s="1227"/>
      <c r="B178" s="614" t="s">
        <v>919</v>
      </c>
      <c r="C178" s="632">
        <v>17</v>
      </c>
      <c r="D178" s="621">
        <v>3</v>
      </c>
      <c r="E178" s="621">
        <v>20</v>
      </c>
      <c r="F178" s="621">
        <v>111</v>
      </c>
      <c r="G178" s="621">
        <v>51</v>
      </c>
      <c r="H178" s="621">
        <v>162</v>
      </c>
      <c r="I178" s="621">
        <v>889</v>
      </c>
      <c r="J178" s="621">
        <v>1368</v>
      </c>
      <c r="K178" s="621">
        <v>2257</v>
      </c>
      <c r="L178" s="621">
        <v>140</v>
      </c>
      <c r="M178" s="621">
        <v>139</v>
      </c>
      <c r="N178" s="622">
        <v>279</v>
      </c>
    </row>
    <row r="179" spans="1:14">
      <c r="A179" s="1227"/>
      <c r="B179" s="614" t="s">
        <v>876</v>
      </c>
      <c r="C179" s="372">
        <v>7</v>
      </c>
      <c r="D179" s="372">
        <v>1</v>
      </c>
      <c r="E179" s="372">
        <v>8</v>
      </c>
      <c r="F179" s="372">
        <v>102</v>
      </c>
      <c r="G179" s="372">
        <v>45</v>
      </c>
      <c r="H179" s="372">
        <v>147</v>
      </c>
      <c r="I179" s="372">
        <v>572</v>
      </c>
      <c r="J179" s="372">
        <v>784</v>
      </c>
      <c r="K179" s="382">
        <v>1356</v>
      </c>
      <c r="L179" s="615">
        <v>46</v>
      </c>
      <c r="M179" s="615">
        <v>41</v>
      </c>
      <c r="N179" s="615">
        <v>87</v>
      </c>
    </row>
    <row r="180" spans="1:14">
      <c r="A180" s="1227"/>
      <c r="B180" s="614" t="s">
        <v>229</v>
      </c>
      <c r="C180" s="372">
        <v>8</v>
      </c>
      <c r="D180" s="372">
        <v>4</v>
      </c>
      <c r="E180" s="372">
        <v>12</v>
      </c>
      <c r="F180" s="372">
        <v>96</v>
      </c>
      <c r="G180" s="372">
        <v>50</v>
      </c>
      <c r="H180" s="372">
        <v>146</v>
      </c>
      <c r="I180" s="372">
        <v>223</v>
      </c>
      <c r="J180" s="372">
        <v>502</v>
      </c>
      <c r="K180" s="382">
        <v>725</v>
      </c>
      <c r="L180" s="615"/>
      <c r="M180" s="615"/>
      <c r="N180" s="615"/>
    </row>
    <row r="181" spans="1:14">
      <c r="A181" s="1227"/>
      <c r="B181" s="614" t="s">
        <v>228</v>
      </c>
      <c r="C181" s="372">
        <v>7</v>
      </c>
      <c r="D181" s="372">
        <v>1</v>
      </c>
      <c r="E181" s="372">
        <v>8</v>
      </c>
      <c r="F181" s="372">
        <v>136</v>
      </c>
      <c r="G181" s="372">
        <v>60</v>
      </c>
      <c r="H181" s="372">
        <v>196</v>
      </c>
      <c r="I181" s="372">
        <v>781</v>
      </c>
      <c r="J181" s="372">
        <v>1346</v>
      </c>
      <c r="K181" s="382">
        <v>2127</v>
      </c>
      <c r="L181" s="615"/>
      <c r="M181" s="615"/>
      <c r="N181" s="615"/>
    </row>
    <row r="182" spans="1:14">
      <c r="A182" s="1227"/>
      <c r="B182" s="614" t="s">
        <v>227</v>
      </c>
      <c r="C182" s="373">
        <v>6</v>
      </c>
      <c r="D182" s="373">
        <v>1</v>
      </c>
      <c r="E182" s="374">
        <f>C182+D182</f>
        <v>7</v>
      </c>
      <c r="F182" s="373">
        <v>70</v>
      </c>
      <c r="G182" s="373">
        <v>36</v>
      </c>
      <c r="H182" s="374">
        <f>F182+G182</f>
        <v>106</v>
      </c>
      <c r="I182" s="373">
        <v>258</v>
      </c>
      <c r="J182" s="373">
        <v>709</v>
      </c>
      <c r="K182" s="383">
        <f>I182+J182</f>
        <v>967</v>
      </c>
      <c r="L182" s="615"/>
      <c r="M182" s="615"/>
      <c r="N182" s="615"/>
    </row>
    <row r="183" spans="1:14">
      <c r="A183" s="1227">
        <v>30</v>
      </c>
      <c r="B183" s="631" t="s">
        <v>44</v>
      </c>
      <c r="C183" s="632"/>
      <c r="D183" s="621"/>
      <c r="E183" s="621"/>
      <c r="F183" s="621"/>
      <c r="G183" s="621"/>
      <c r="H183" s="621"/>
      <c r="I183" s="621"/>
      <c r="J183" s="621"/>
      <c r="K183" s="621"/>
      <c r="L183" s="621"/>
      <c r="M183" s="621"/>
      <c r="N183" s="622"/>
    </row>
    <row r="184" spans="1:14">
      <c r="A184" s="1227"/>
      <c r="B184" s="614" t="s">
        <v>919</v>
      </c>
      <c r="C184" s="632">
        <v>4141</v>
      </c>
      <c r="D184" s="621">
        <v>4670</v>
      </c>
      <c r="E184" s="621">
        <v>8811</v>
      </c>
      <c r="F184" s="621">
        <v>64355</v>
      </c>
      <c r="G184" s="621">
        <v>51335</v>
      </c>
      <c r="H184" s="621">
        <v>115690</v>
      </c>
      <c r="I184" s="621">
        <v>82102</v>
      </c>
      <c r="J184" s="621">
        <v>86618</v>
      </c>
      <c r="K184" s="621">
        <v>168720</v>
      </c>
      <c r="L184" s="621">
        <v>15193</v>
      </c>
      <c r="M184" s="621">
        <v>14612</v>
      </c>
      <c r="N184" s="622">
        <v>29805</v>
      </c>
    </row>
    <row r="185" spans="1:14">
      <c r="A185" s="1227"/>
      <c r="B185" s="614" t="s">
        <v>876</v>
      </c>
      <c r="C185" s="372">
        <v>2831</v>
      </c>
      <c r="D185" s="372">
        <v>2038</v>
      </c>
      <c r="E185" s="372">
        <v>4869</v>
      </c>
      <c r="F185" s="372">
        <v>65103</v>
      </c>
      <c r="G185" s="372">
        <v>49869</v>
      </c>
      <c r="H185" s="372">
        <v>114972</v>
      </c>
      <c r="I185" s="372">
        <v>76594</v>
      </c>
      <c r="J185" s="372">
        <v>85648</v>
      </c>
      <c r="K185" s="382">
        <v>162242</v>
      </c>
      <c r="L185" s="615">
        <v>20557</v>
      </c>
      <c r="M185" s="615">
        <v>18667</v>
      </c>
      <c r="N185" s="615">
        <v>39224</v>
      </c>
    </row>
    <row r="186" spans="1:14">
      <c r="A186" s="1227"/>
      <c r="B186" s="614" t="s">
        <v>229</v>
      </c>
      <c r="C186" s="372">
        <v>3464</v>
      </c>
      <c r="D186" s="372">
        <v>7437</v>
      </c>
      <c r="E186" s="372">
        <v>10901</v>
      </c>
      <c r="F186" s="372">
        <v>72794</v>
      </c>
      <c r="G186" s="372">
        <v>56771</v>
      </c>
      <c r="H186" s="372">
        <v>129565</v>
      </c>
      <c r="I186" s="372">
        <v>76670</v>
      </c>
      <c r="J186" s="372">
        <v>87694</v>
      </c>
      <c r="K186" s="382">
        <v>164364</v>
      </c>
      <c r="L186" s="615"/>
      <c r="M186" s="615"/>
      <c r="N186" s="615"/>
    </row>
    <row r="187" spans="1:14">
      <c r="A187" s="1227"/>
      <c r="B187" s="614" t="s">
        <v>228</v>
      </c>
      <c r="C187" s="372">
        <v>5889</v>
      </c>
      <c r="D187" s="372">
        <v>4310</v>
      </c>
      <c r="E187" s="372">
        <v>10199</v>
      </c>
      <c r="F187" s="372">
        <v>71882</v>
      </c>
      <c r="G187" s="372">
        <v>51689</v>
      </c>
      <c r="H187" s="372">
        <v>123571</v>
      </c>
      <c r="I187" s="372">
        <v>72974</v>
      </c>
      <c r="J187" s="372">
        <v>80926</v>
      </c>
      <c r="K187" s="382">
        <v>153900</v>
      </c>
      <c r="L187" s="615"/>
      <c r="M187" s="615"/>
      <c r="N187" s="615"/>
    </row>
    <row r="188" spans="1:14">
      <c r="A188" s="1227"/>
      <c r="B188" s="614" t="s">
        <v>227</v>
      </c>
      <c r="C188" s="373">
        <v>3356</v>
      </c>
      <c r="D188" s="373">
        <v>2466</v>
      </c>
      <c r="E188" s="374">
        <f>C188+D188</f>
        <v>5822</v>
      </c>
      <c r="F188" s="373">
        <v>68582</v>
      </c>
      <c r="G188" s="373">
        <v>49215</v>
      </c>
      <c r="H188" s="374">
        <f>F188+G188</f>
        <v>117797</v>
      </c>
      <c r="I188" s="373">
        <v>64975</v>
      </c>
      <c r="J188" s="373">
        <v>82103</v>
      </c>
      <c r="K188" s="383">
        <f>I188+J188</f>
        <v>147078</v>
      </c>
      <c r="L188" s="615"/>
      <c r="M188" s="615"/>
      <c r="N188" s="615"/>
    </row>
    <row r="189" spans="1:14">
      <c r="A189" s="1227">
        <v>31</v>
      </c>
      <c r="B189" s="631" t="s">
        <v>131</v>
      </c>
      <c r="C189" s="632"/>
      <c r="D189" s="621"/>
      <c r="E189" s="621"/>
      <c r="F189" s="621"/>
      <c r="G189" s="621"/>
      <c r="H189" s="621"/>
      <c r="I189" s="621"/>
      <c r="J189" s="621"/>
      <c r="K189" s="621"/>
      <c r="L189" s="621"/>
      <c r="M189" s="621"/>
      <c r="N189" s="622"/>
    </row>
    <row r="190" spans="1:14">
      <c r="A190" s="1227"/>
      <c r="B190" s="614" t="s">
        <v>919</v>
      </c>
      <c r="C190" s="632">
        <v>2371</v>
      </c>
      <c r="D190" s="621">
        <v>1618</v>
      </c>
      <c r="E190" s="621">
        <v>3989</v>
      </c>
      <c r="F190" s="621">
        <v>64775</v>
      </c>
      <c r="G190" s="621">
        <v>56543</v>
      </c>
      <c r="H190" s="621">
        <v>121318</v>
      </c>
      <c r="I190" s="621">
        <v>4036</v>
      </c>
      <c r="J190" s="621">
        <v>5531</v>
      </c>
      <c r="K190" s="621">
        <v>9567</v>
      </c>
      <c r="L190" s="621">
        <v>10800</v>
      </c>
      <c r="M190" s="621">
        <v>10724</v>
      </c>
      <c r="N190" s="622">
        <v>21524</v>
      </c>
    </row>
    <row r="191" spans="1:14">
      <c r="A191" s="1227"/>
      <c r="B191" s="614" t="s">
        <v>876</v>
      </c>
      <c r="C191" s="372">
        <v>1761</v>
      </c>
      <c r="D191" s="372">
        <v>1343</v>
      </c>
      <c r="E191" s="372">
        <v>3104</v>
      </c>
      <c r="F191" s="372">
        <v>65893</v>
      </c>
      <c r="G191" s="372">
        <v>63061</v>
      </c>
      <c r="H191" s="372">
        <v>128954</v>
      </c>
      <c r="I191" s="372">
        <v>3769</v>
      </c>
      <c r="J191" s="372">
        <v>5896</v>
      </c>
      <c r="K191" s="382">
        <v>9665</v>
      </c>
      <c r="L191" s="615">
        <v>7201</v>
      </c>
      <c r="M191" s="615">
        <v>7214</v>
      </c>
      <c r="N191" s="615">
        <v>14415</v>
      </c>
    </row>
    <row r="192" spans="1:14">
      <c r="A192" s="1227"/>
      <c r="B192" s="614" t="s">
        <v>229</v>
      </c>
      <c r="C192" s="372">
        <v>1468</v>
      </c>
      <c r="D192" s="372">
        <v>1472</v>
      </c>
      <c r="E192" s="372">
        <v>2940</v>
      </c>
      <c r="F192" s="372">
        <v>62229</v>
      </c>
      <c r="G192" s="372">
        <v>59689</v>
      </c>
      <c r="H192" s="372">
        <v>121918</v>
      </c>
      <c r="I192" s="372">
        <v>3744</v>
      </c>
      <c r="J192" s="372">
        <v>5161</v>
      </c>
      <c r="K192" s="382">
        <v>8905</v>
      </c>
      <c r="L192" s="615"/>
      <c r="M192" s="615"/>
      <c r="N192" s="615"/>
    </row>
    <row r="193" spans="1:14">
      <c r="A193" s="1227"/>
      <c r="B193" s="614" t="s">
        <v>228</v>
      </c>
      <c r="C193" s="372">
        <v>1583</v>
      </c>
      <c r="D193" s="372">
        <v>1120</v>
      </c>
      <c r="E193" s="372">
        <v>2703</v>
      </c>
      <c r="F193" s="372">
        <v>67314</v>
      </c>
      <c r="G193" s="372">
        <v>62968</v>
      </c>
      <c r="H193" s="372">
        <v>130282</v>
      </c>
      <c r="I193" s="372">
        <v>5054</v>
      </c>
      <c r="J193" s="372">
        <v>5350</v>
      </c>
      <c r="K193" s="382">
        <v>10404</v>
      </c>
      <c r="L193" s="615"/>
      <c r="M193" s="615"/>
      <c r="N193" s="615"/>
    </row>
    <row r="194" spans="1:14">
      <c r="A194" s="1227"/>
      <c r="B194" s="614" t="s">
        <v>227</v>
      </c>
      <c r="C194" s="373">
        <v>1617</v>
      </c>
      <c r="D194" s="373">
        <v>1054</v>
      </c>
      <c r="E194" s="374">
        <f>C194+D194</f>
        <v>2671</v>
      </c>
      <c r="F194" s="373">
        <v>58234</v>
      </c>
      <c r="G194" s="373">
        <v>51006</v>
      </c>
      <c r="H194" s="374">
        <f>F194+G194</f>
        <v>109240</v>
      </c>
      <c r="I194" s="373">
        <v>4286</v>
      </c>
      <c r="J194" s="373">
        <v>5580</v>
      </c>
      <c r="K194" s="383">
        <f>I194+J194</f>
        <v>9866</v>
      </c>
      <c r="L194" s="615"/>
      <c r="M194" s="615"/>
      <c r="N194" s="615"/>
    </row>
    <row r="195" spans="1:14">
      <c r="A195" s="1227">
        <v>32</v>
      </c>
      <c r="B195" s="634" t="s">
        <v>1062</v>
      </c>
      <c r="C195" s="632"/>
      <c r="D195" s="621"/>
      <c r="E195" s="621"/>
      <c r="F195" s="621"/>
      <c r="G195" s="621"/>
      <c r="H195" s="621"/>
      <c r="I195" s="621"/>
      <c r="J195" s="621"/>
      <c r="K195" s="621"/>
      <c r="L195" s="621"/>
      <c r="M195" s="621"/>
      <c r="N195" s="622"/>
    </row>
    <row r="196" spans="1:14">
      <c r="A196" s="1227"/>
      <c r="B196" s="614" t="s">
        <v>919</v>
      </c>
      <c r="C196" s="621">
        <v>12</v>
      </c>
      <c r="D196" s="621">
        <v>8</v>
      </c>
      <c r="E196" s="621">
        <v>20</v>
      </c>
      <c r="F196" s="621">
        <v>108</v>
      </c>
      <c r="G196" s="621">
        <v>120</v>
      </c>
      <c r="H196" s="621">
        <v>228</v>
      </c>
      <c r="I196" s="621">
        <v>19</v>
      </c>
      <c r="J196" s="621">
        <v>333</v>
      </c>
      <c r="K196" s="621">
        <v>352</v>
      </c>
      <c r="L196" s="621">
        <v>74</v>
      </c>
      <c r="M196" s="621">
        <v>79</v>
      </c>
      <c r="N196" s="622">
        <v>153</v>
      </c>
    </row>
    <row r="197" spans="1:14">
      <c r="A197" s="1227"/>
      <c r="B197" s="614" t="s">
        <v>876</v>
      </c>
      <c r="C197" s="384">
        <v>10</v>
      </c>
      <c r="D197" s="384">
        <v>10</v>
      </c>
      <c r="E197" s="385">
        <v>20</v>
      </c>
      <c r="F197" s="384">
        <v>135</v>
      </c>
      <c r="G197" s="384">
        <v>132</v>
      </c>
      <c r="H197" s="386">
        <v>267</v>
      </c>
      <c r="I197" s="384">
        <v>10</v>
      </c>
      <c r="J197" s="384">
        <v>297</v>
      </c>
      <c r="K197" s="386">
        <v>307</v>
      </c>
      <c r="L197" s="615">
        <v>45</v>
      </c>
      <c r="M197" s="615">
        <v>39</v>
      </c>
      <c r="N197" s="615">
        <v>84</v>
      </c>
    </row>
    <row r="198" spans="1:14">
      <c r="A198" s="1227"/>
      <c r="B198" s="614" t="s">
        <v>229</v>
      </c>
      <c r="C198" s="387">
        <v>15</v>
      </c>
      <c r="D198" s="387">
        <v>10</v>
      </c>
      <c r="E198" s="387">
        <v>25</v>
      </c>
      <c r="F198" s="387">
        <v>129</v>
      </c>
      <c r="G198" s="387">
        <v>102</v>
      </c>
      <c r="H198" s="387">
        <v>231</v>
      </c>
      <c r="I198" s="387">
        <v>12</v>
      </c>
      <c r="J198" s="387">
        <v>302</v>
      </c>
      <c r="K198" s="387">
        <v>314</v>
      </c>
      <c r="L198" s="615"/>
      <c r="M198" s="615"/>
      <c r="N198" s="615"/>
    </row>
    <row r="199" spans="1:14">
      <c r="A199" s="1227"/>
      <c r="B199" s="614" t="s">
        <v>228</v>
      </c>
      <c r="C199" s="387">
        <v>8</v>
      </c>
      <c r="D199" s="387">
        <v>7</v>
      </c>
      <c r="E199" s="387">
        <v>15</v>
      </c>
      <c r="F199" s="387">
        <v>127</v>
      </c>
      <c r="G199" s="387">
        <v>113</v>
      </c>
      <c r="H199" s="387">
        <v>240</v>
      </c>
      <c r="I199" s="387">
        <v>17</v>
      </c>
      <c r="J199" s="387">
        <v>276</v>
      </c>
      <c r="K199" s="387">
        <v>293</v>
      </c>
      <c r="L199" s="615"/>
      <c r="M199" s="615"/>
      <c r="N199" s="615"/>
    </row>
    <row r="200" spans="1:14">
      <c r="A200" s="1227"/>
      <c r="B200" s="614" t="s">
        <v>227</v>
      </c>
      <c r="C200" s="387">
        <v>4</v>
      </c>
      <c r="D200" s="387">
        <v>6</v>
      </c>
      <c r="E200" s="387">
        <v>10</v>
      </c>
      <c r="F200" s="387">
        <v>116</v>
      </c>
      <c r="G200" s="387">
        <v>104</v>
      </c>
      <c r="H200" s="387">
        <v>220</v>
      </c>
      <c r="I200" s="387">
        <v>31</v>
      </c>
      <c r="J200" s="387">
        <v>55</v>
      </c>
      <c r="K200" s="387">
        <v>86</v>
      </c>
      <c r="L200" s="615"/>
      <c r="M200" s="615"/>
      <c r="N200" s="615"/>
    </row>
    <row r="201" spans="1:14">
      <c r="A201" s="1227">
        <v>33</v>
      </c>
      <c r="B201" s="631" t="s">
        <v>45</v>
      </c>
      <c r="C201" s="632"/>
      <c r="D201" s="621"/>
      <c r="E201" s="621"/>
      <c r="F201" s="621"/>
      <c r="G201" s="621"/>
      <c r="H201" s="621"/>
      <c r="I201" s="621"/>
      <c r="J201" s="621"/>
      <c r="K201" s="621"/>
      <c r="L201" s="621"/>
      <c r="M201" s="621"/>
      <c r="N201" s="622"/>
    </row>
    <row r="202" spans="1:14">
      <c r="A202" s="1227"/>
      <c r="B202" s="614" t="s">
        <v>919</v>
      </c>
      <c r="C202" s="632">
        <v>157</v>
      </c>
      <c r="D202" s="621">
        <v>54</v>
      </c>
      <c r="E202" s="621">
        <v>211</v>
      </c>
      <c r="F202" s="621">
        <v>1796</v>
      </c>
      <c r="G202" s="621">
        <v>1206</v>
      </c>
      <c r="H202" s="621">
        <v>3002</v>
      </c>
      <c r="I202" s="621">
        <v>219</v>
      </c>
      <c r="J202" s="621">
        <v>227</v>
      </c>
      <c r="K202" s="621">
        <v>446</v>
      </c>
      <c r="L202" s="621">
        <v>445</v>
      </c>
      <c r="M202" s="621">
        <v>227</v>
      </c>
      <c r="N202" s="622">
        <v>672</v>
      </c>
    </row>
    <row r="203" spans="1:14">
      <c r="A203" s="1227"/>
      <c r="B203" s="614" t="s">
        <v>876</v>
      </c>
      <c r="C203" s="372">
        <v>90</v>
      </c>
      <c r="D203" s="372">
        <v>47</v>
      </c>
      <c r="E203" s="372">
        <v>137</v>
      </c>
      <c r="F203" s="372">
        <v>656</v>
      </c>
      <c r="G203" s="372">
        <v>691</v>
      </c>
      <c r="H203" s="372">
        <v>1347</v>
      </c>
      <c r="I203" s="372">
        <v>333</v>
      </c>
      <c r="J203" s="372">
        <v>295</v>
      </c>
      <c r="K203" s="382">
        <v>628</v>
      </c>
      <c r="L203" s="615">
        <v>355</v>
      </c>
      <c r="M203" s="615">
        <v>166</v>
      </c>
      <c r="N203" s="615">
        <v>521</v>
      </c>
    </row>
    <row r="204" spans="1:14">
      <c r="A204" s="1227"/>
      <c r="B204" s="614" t="s">
        <v>229</v>
      </c>
      <c r="C204" s="372">
        <v>290</v>
      </c>
      <c r="D204" s="372">
        <v>74</v>
      </c>
      <c r="E204" s="372">
        <v>364</v>
      </c>
      <c r="F204" s="372">
        <v>1233</v>
      </c>
      <c r="G204" s="372">
        <v>882</v>
      </c>
      <c r="H204" s="372">
        <v>2115</v>
      </c>
      <c r="I204" s="372">
        <v>300</v>
      </c>
      <c r="J204" s="372">
        <v>188</v>
      </c>
      <c r="K204" s="382">
        <v>488</v>
      </c>
      <c r="L204" s="615"/>
      <c r="M204" s="615"/>
      <c r="N204" s="615"/>
    </row>
    <row r="205" spans="1:14">
      <c r="A205" s="1227"/>
      <c r="B205" s="614" t="s">
        <v>228</v>
      </c>
      <c r="C205" s="372">
        <v>165</v>
      </c>
      <c r="D205" s="372">
        <v>66</v>
      </c>
      <c r="E205" s="372">
        <v>231</v>
      </c>
      <c r="F205" s="372">
        <v>1346</v>
      </c>
      <c r="G205" s="372">
        <v>1002</v>
      </c>
      <c r="H205" s="372">
        <v>2348</v>
      </c>
      <c r="I205" s="372">
        <v>482</v>
      </c>
      <c r="J205" s="372">
        <v>304</v>
      </c>
      <c r="K205" s="382">
        <v>786</v>
      </c>
      <c r="L205" s="615"/>
      <c r="M205" s="615"/>
      <c r="N205" s="615"/>
    </row>
    <row r="206" spans="1:14">
      <c r="A206" s="1227"/>
      <c r="B206" s="614" t="s">
        <v>227</v>
      </c>
      <c r="C206" s="373">
        <v>124</v>
      </c>
      <c r="D206" s="373">
        <v>36</v>
      </c>
      <c r="E206" s="374">
        <f>C206+D206</f>
        <v>160</v>
      </c>
      <c r="F206" s="373">
        <v>1052</v>
      </c>
      <c r="G206" s="373">
        <v>840</v>
      </c>
      <c r="H206" s="374">
        <f>F206+G206</f>
        <v>1892</v>
      </c>
      <c r="I206" s="373">
        <v>555</v>
      </c>
      <c r="J206" s="373">
        <v>388</v>
      </c>
      <c r="K206" s="383">
        <f>I206+J206</f>
        <v>943</v>
      </c>
      <c r="L206" s="615"/>
      <c r="M206" s="615"/>
      <c r="N206" s="615"/>
    </row>
    <row r="207" spans="1:14">
      <c r="A207" s="1227">
        <v>34</v>
      </c>
      <c r="B207" s="631" t="s">
        <v>47</v>
      </c>
      <c r="C207" s="632"/>
      <c r="D207" s="621"/>
      <c r="E207" s="621"/>
      <c r="F207" s="621"/>
      <c r="G207" s="621"/>
      <c r="H207" s="621"/>
      <c r="I207" s="621"/>
      <c r="J207" s="621"/>
      <c r="K207" s="621"/>
      <c r="L207" s="621"/>
      <c r="M207" s="621"/>
      <c r="N207" s="622"/>
    </row>
    <row r="208" spans="1:14">
      <c r="A208" s="1227"/>
      <c r="B208" s="614" t="s">
        <v>919</v>
      </c>
      <c r="C208" s="632">
        <v>6006</v>
      </c>
      <c r="D208" s="621">
        <v>5858</v>
      </c>
      <c r="E208" s="621">
        <v>11864</v>
      </c>
      <c r="F208" s="621">
        <v>157372</v>
      </c>
      <c r="G208" s="621">
        <v>169447</v>
      </c>
      <c r="H208" s="621">
        <v>326819</v>
      </c>
      <c r="I208" s="621">
        <v>13717</v>
      </c>
      <c r="J208" s="621">
        <v>15277</v>
      </c>
      <c r="K208" s="621">
        <v>28994</v>
      </c>
      <c r="L208" s="621">
        <v>33485</v>
      </c>
      <c r="M208" s="621">
        <v>24019</v>
      </c>
      <c r="N208" s="622">
        <v>57504</v>
      </c>
    </row>
    <row r="209" spans="1:14">
      <c r="A209" s="1227"/>
      <c r="B209" s="614" t="s">
        <v>876</v>
      </c>
      <c r="C209" s="372">
        <v>9484</v>
      </c>
      <c r="D209" s="372">
        <v>5519</v>
      </c>
      <c r="E209" s="372">
        <v>15003</v>
      </c>
      <c r="F209" s="372">
        <v>137654</v>
      </c>
      <c r="G209" s="372">
        <v>161657</v>
      </c>
      <c r="H209" s="372">
        <v>299311</v>
      </c>
      <c r="I209" s="372">
        <v>10725</v>
      </c>
      <c r="J209" s="372">
        <v>12255</v>
      </c>
      <c r="K209" s="382">
        <v>22980</v>
      </c>
      <c r="L209" s="615">
        <v>23733</v>
      </c>
      <c r="M209" s="615">
        <v>16288</v>
      </c>
      <c r="N209" s="615">
        <v>40021</v>
      </c>
    </row>
    <row r="210" spans="1:14">
      <c r="A210" s="1227"/>
      <c r="B210" s="614" t="s">
        <v>229</v>
      </c>
      <c r="C210" s="372">
        <v>9356</v>
      </c>
      <c r="D210" s="372">
        <v>8694</v>
      </c>
      <c r="E210" s="372">
        <v>18050</v>
      </c>
      <c r="F210" s="372">
        <v>158790</v>
      </c>
      <c r="G210" s="372">
        <v>198886</v>
      </c>
      <c r="H210" s="372">
        <v>357676</v>
      </c>
      <c r="I210" s="372">
        <v>13009</v>
      </c>
      <c r="J210" s="372">
        <v>14124</v>
      </c>
      <c r="K210" s="382">
        <v>27133</v>
      </c>
      <c r="L210" s="615"/>
      <c r="M210" s="615"/>
      <c r="N210" s="615"/>
    </row>
    <row r="211" spans="1:14">
      <c r="A211" s="1227"/>
      <c r="B211" s="614" t="s">
        <v>228</v>
      </c>
      <c r="C211" s="372">
        <v>7790</v>
      </c>
      <c r="D211" s="372">
        <v>7001</v>
      </c>
      <c r="E211" s="372">
        <v>14791</v>
      </c>
      <c r="F211" s="372">
        <v>142299</v>
      </c>
      <c r="G211" s="372">
        <v>177217</v>
      </c>
      <c r="H211" s="372">
        <v>319516</v>
      </c>
      <c r="I211" s="372">
        <v>12012</v>
      </c>
      <c r="J211" s="372">
        <v>11943</v>
      </c>
      <c r="K211" s="382">
        <v>23955</v>
      </c>
      <c r="L211" s="615"/>
      <c r="M211" s="615"/>
      <c r="N211" s="615"/>
    </row>
    <row r="212" spans="1:14">
      <c r="A212" s="1227"/>
      <c r="B212" s="614" t="s">
        <v>227</v>
      </c>
      <c r="C212" s="373">
        <v>8531</v>
      </c>
      <c r="D212" s="373">
        <v>8106</v>
      </c>
      <c r="E212" s="374">
        <f>C212+D212</f>
        <v>16637</v>
      </c>
      <c r="F212" s="373">
        <v>135983</v>
      </c>
      <c r="G212" s="373">
        <v>162990</v>
      </c>
      <c r="H212" s="374">
        <f>F212+G212</f>
        <v>298973</v>
      </c>
      <c r="I212" s="373">
        <v>9186</v>
      </c>
      <c r="J212" s="373">
        <v>9371</v>
      </c>
      <c r="K212" s="383">
        <f>I212+J212</f>
        <v>18557</v>
      </c>
      <c r="L212" s="615"/>
      <c r="M212" s="615"/>
      <c r="N212" s="615"/>
    </row>
    <row r="213" spans="1:14">
      <c r="A213" s="1227">
        <v>35</v>
      </c>
      <c r="B213" s="631" t="s">
        <v>46</v>
      </c>
      <c r="C213" s="632"/>
      <c r="D213" s="621"/>
      <c r="E213" s="621"/>
      <c r="F213" s="621"/>
      <c r="G213" s="621"/>
      <c r="H213" s="621"/>
      <c r="I213" s="621"/>
      <c r="J213" s="621"/>
      <c r="K213" s="621"/>
      <c r="L213" s="621"/>
      <c r="M213" s="621"/>
      <c r="N213" s="622"/>
    </row>
    <row r="214" spans="1:14">
      <c r="A214" s="1227"/>
      <c r="B214" s="614" t="s">
        <v>919</v>
      </c>
      <c r="C214" s="632">
        <v>934</v>
      </c>
      <c r="D214" s="621">
        <v>730</v>
      </c>
      <c r="E214" s="621">
        <v>1664</v>
      </c>
      <c r="F214" s="621">
        <v>7998</v>
      </c>
      <c r="G214" s="621">
        <v>8838</v>
      </c>
      <c r="H214" s="621">
        <v>16836</v>
      </c>
      <c r="I214" s="621">
        <v>1998</v>
      </c>
      <c r="J214" s="621">
        <v>2169</v>
      </c>
      <c r="K214" s="621">
        <v>4167</v>
      </c>
      <c r="L214" s="621">
        <v>3750</v>
      </c>
      <c r="M214" s="621">
        <v>2644</v>
      </c>
      <c r="N214" s="622">
        <v>6394</v>
      </c>
    </row>
    <row r="215" spans="1:14">
      <c r="A215" s="1227"/>
      <c r="B215" s="614" t="s">
        <v>876</v>
      </c>
      <c r="C215" s="372">
        <v>1497</v>
      </c>
      <c r="D215" s="372">
        <v>1458</v>
      </c>
      <c r="E215" s="372">
        <v>2955</v>
      </c>
      <c r="F215" s="372">
        <v>11100</v>
      </c>
      <c r="G215" s="372">
        <v>12540</v>
      </c>
      <c r="H215" s="372">
        <v>23640</v>
      </c>
      <c r="I215" s="372">
        <v>1889</v>
      </c>
      <c r="J215" s="372">
        <v>2369</v>
      </c>
      <c r="K215" s="372">
        <v>4258</v>
      </c>
      <c r="L215" s="615">
        <v>1970</v>
      </c>
      <c r="M215" s="615">
        <v>1234</v>
      </c>
      <c r="N215" s="615">
        <v>3204</v>
      </c>
    </row>
    <row r="216" spans="1:14">
      <c r="A216" s="1227"/>
      <c r="B216" s="614" t="s">
        <v>229</v>
      </c>
      <c r="C216" s="372">
        <v>2009</v>
      </c>
      <c r="D216" s="372">
        <v>2200</v>
      </c>
      <c r="E216" s="372">
        <v>4209</v>
      </c>
      <c r="F216" s="372">
        <v>8380</v>
      </c>
      <c r="G216" s="372">
        <v>6979</v>
      </c>
      <c r="H216" s="372">
        <v>15359</v>
      </c>
      <c r="I216" s="372">
        <v>1864</v>
      </c>
      <c r="J216" s="372">
        <v>1927</v>
      </c>
      <c r="K216" s="372">
        <v>3791</v>
      </c>
      <c r="L216" s="615"/>
      <c r="M216" s="615"/>
      <c r="N216" s="615"/>
    </row>
    <row r="217" spans="1:14">
      <c r="A217" s="1227"/>
      <c r="B217" s="614" t="s">
        <v>228</v>
      </c>
      <c r="C217" s="372">
        <v>879</v>
      </c>
      <c r="D217" s="372">
        <v>969</v>
      </c>
      <c r="E217" s="372">
        <v>1848</v>
      </c>
      <c r="F217" s="372">
        <v>7135</v>
      </c>
      <c r="G217" s="372">
        <v>5609</v>
      </c>
      <c r="H217" s="372">
        <v>12744</v>
      </c>
      <c r="I217" s="372">
        <v>1686</v>
      </c>
      <c r="J217" s="372">
        <v>1722</v>
      </c>
      <c r="K217" s="372">
        <v>3408</v>
      </c>
      <c r="L217" s="615"/>
      <c r="M217" s="615"/>
      <c r="N217" s="615"/>
    </row>
    <row r="218" spans="1:14">
      <c r="A218" s="1227"/>
      <c r="B218" s="614" t="s">
        <v>227</v>
      </c>
      <c r="C218" s="373">
        <v>304</v>
      </c>
      <c r="D218" s="373">
        <v>96</v>
      </c>
      <c r="E218" s="374">
        <f>C218+D218</f>
        <v>400</v>
      </c>
      <c r="F218" s="373">
        <v>5670</v>
      </c>
      <c r="G218" s="373">
        <v>4230</v>
      </c>
      <c r="H218" s="374">
        <f>F218+G218</f>
        <v>9900</v>
      </c>
      <c r="I218" s="373">
        <v>1404</v>
      </c>
      <c r="J218" s="373">
        <v>1455</v>
      </c>
      <c r="K218" s="374">
        <f>I218+J218</f>
        <v>2859</v>
      </c>
      <c r="L218" s="615"/>
      <c r="M218" s="615"/>
      <c r="N218" s="615"/>
    </row>
    <row r="219" spans="1:14">
      <c r="A219" s="1227">
        <v>36</v>
      </c>
      <c r="B219" s="631" t="s">
        <v>48</v>
      </c>
      <c r="C219" s="632"/>
      <c r="D219" s="621"/>
      <c r="E219" s="621"/>
      <c r="F219" s="621"/>
      <c r="G219" s="621"/>
      <c r="H219" s="621"/>
      <c r="I219" s="621"/>
      <c r="J219" s="621"/>
      <c r="K219" s="621"/>
      <c r="L219" s="621"/>
      <c r="M219" s="621"/>
      <c r="N219" s="622"/>
    </row>
    <row r="220" spans="1:14">
      <c r="A220" s="1227"/>
      <c r="B220" s="614" t="s">
        <v>919</v>
      </c>
      <c r="C220" s="632">
        <v>2597</v>
      </c>
      <c r="D220" s="621">
        <v>1364</v>
      </c>
      <c r="E220" s="621">
        <v>3961</v>
      </c>
      <c r="F220" s="621">
        <v>164066</v>
      </c>
      <c r="G220" s="621">
        <v>171346</v>
      </c>
      <c r="H220" s="621">
        <v>335412</v>
      </c>
      <c r="I220" s="621">
        <v>9901</v>
      </c>
      <c r="J220" s="621">
        <v>10437</v>
      </c>
      <c r="K220" s="621">
        <v>20338</v>
      </c>
      <c r="L220" s="621">
        <v>11202</v>
      </c>
      <c r="M220" s="621">
        <v>14421</v>
      </c>
      <c r="N220" s="622">
        <v>25623</v>
      </c>
    </row>
    <row r="221" spans="1:14">
      <c r="A221" s="1227"/>
      <c r="B221" s="614" t="s">
        <v>876</v>
      </c>
      <c r="C221" s="372">
        <v>4491</v>
      </c>
      <c r="D221" s="372">
        <v>2591</v>
      </c>
      <c r="E221" s="372">
        <v>7082</v>
      </c>
      <c r="F221" s="372">
        <v>110860</v>
      </c>
      <c r="G221" s="372">
        <v>127310</v>
      </c>
      <c r="H221" s="372">
        <v>238170</v>
      </c>
      <c r="I221" s="372">
        <v>7381</v>
      </c>
      <c r="J221" s="372">
        <v>7702</v>
      </c>
      <c r="K221" s="372">
        <v>15083</v>
      </c>
      <c r="L221" s="615">
        <v>8753</v>
      </c>
      <c r="M221" s="615">
        <v>8574</v>
      </c>
      <c r="N221" s="615">
        <v>17327</v>
      </c>
    </row>
    <row r="222" spans="1:14">
      <c r="A222" s="1227"/>
      <c r="B222" s="614" t="s">
        <v>229</v>
      </c>
      <c r="C222" s="372">
        <v>2408</v>
      </c>
      <c r="D222" s="372">
        <v>1181</v>
      </c>
      <c r="E222" s="372">
        <v>3589</v>
      </c>
      <c r="F222" s="372">
        <v>111879</v>
      </c>
      <c r="G222" s="372">
        <v>123454</v>
      </c>
      <c r="H222" s="372">
        <v>235333</v>
      </c>
      <c r="I222" s="372">
        <v>5575</v>
      </c>
      <c r="J222" s="372">
        <v>10201</v>
      </c>
      <c r="K222" s="372">
        <v>15776</v>
      </c>
      <c r="L222" s="615"/>
      <c r="M222" s="615"/>
      <c r="N222" s="615"/>
    </row>
    <row r="223" spans="1:14">
      <c r="A223" s="1227"/>
      <c r="B223" s="614" t="s">
        <v>228</v>
      </c>
      <c r="C223" s="372">
        <v>2474</v>
      </c>
      <c r="D223" s="372">
        <v>1364</v>
      </c>
      <c r="E223" s="372">
        <v>3838</v>
      </c>
      <c r="F223" s="372">
        <v>111257</v>
      </c>
      <c r="G223" s="372">
        <v>120913</v>
      </c>
      <c r="H223" s="372">
        <v>232170</v>
      </c>
      <c r="I223" s="372">
        <v>5758</v>
      </c>
      <c r="J223" s="372">
        <v>6736</v>
      </c>
      <c r="K223" s="372">
        <v>12494</v>
      </c>
      <c r="L223" s="615"/>
      <c r="M223" s="615"/>
      <c r="N223" s="615"/>
    </row>
    <row r="224" spans="1:14">
      <c r="A224" s="1227"/>
      <c r="B224" s="614" t="s">
        <v>227</v>
      </c>
      <c r="C224" s="373">
        <v>2640</v>
      </c>
      <c r="D224" s="373">
        <v>1947</v>
      </c>
      <c r="E224" s="374">
        <f>C224+D224</f>
        <v>4587</v>
      </c>
      <c r="F224" s="373">
        <v>113100</v>
      </c>
      <c r="G224" s="373">
        <v>117635</v>
      </c>
      <c r="H224" s="374">
        <f>F224+G224</f>
        <v>230735</v>
      </c>
      <c r="I224" s="373">
        <v>5996</v>
      </c>
      <c r="J224" s="373">
        <v>6978</v>
      </c>
      <c r="K224" s="374">
        <f>I224+J224</f>
        <v>12974</v>
      </c>
      <c r="L224" s="615"/>
      <c r="M224" s="615"/>
      <c r="N224" s="615"/>
    </row>
  </sheetData>
  <mergeCells count="44">
    <mergeCell ref="A35:A40"/>
    <mergeCell ref="C1:N1"/>
    <mergeCell ref="A2:A3"/>
    <mergeCell ref="B2:B3"/>
    <mergeCell ref="C2:E2"/>
    <mergeCell ref="F2:H2"/>
    <mergeCell ref="I2:K2"/>
    <mergeCell ref="L2:N2"/>
    <mergeCell ref="A5:A10"/>
    <mergeCell ref="A11:A16"/>
    <mergeCell ref="A17:A22"/>
    <mergeCell ref="A23:A28"/>
    <mergeCell ref="A29:A34"/>
    <mergeCell ref="A107:A110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77:A182"/>
    <mergeCell ref="A111:A116"/>
    <mergeCell ref="A117:A122"/>
    <mergeCell ref="A123:A128"/>
    <mergeCell ref="A129:A134"/>
    <mergeCell ref="A135:A140"/>
    <mergeCell ref="A141:A146"/>
    <mergeCell ref="A147:A152"/>
    <mergeCell ref="A153:A158"/>
    <mergeCell ref="A159:A164"/>
    <mergeCell ref="A165:A170"/>
    <mergeCell ref="A171:A176"/>
    <mergeCell ref="A219:A224"/>
    <mergeCell ref="A183:A188"/>
    <mergeCell ref="A189:A194"/>
    <mergeCell ref="A195:A200"/>
    <mergeCell ref="A201:A206"/>
    <mergeCell ref="A207:A212"/>
    <mergeCell ref="A213:A218"/>
  </mergeCells>
  <printOptions horizontalCentered="1"/>
  <pageMargins left="0.39370078740157483" right="0.39370078740157483" top="0.39370078740157483" bottom="0.39370078740157483" header="0.27559055118110237" footer="0.23622047244094491"/>
  <pageSetup paperSize="9" scale="53" firstPageNumber="2" pageOrder="overThenDown" orientation="portrait" useFirstPageNumber="1" r:id="rId1"/>
  <headerFooter alignWithMargins="0">
    <oddFooter>&amp;LAISHE 2021-22&amp;CT-46</oddFooter>
  </headerFooter>
  <rowBreaks count="2" manualBreakCount="2">
    <brk id="94" max="16383" man="1"/>
    <brk id="182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F663-776D-4B63-A761-D57553BE32B4}">
  <sheetPr>
    <tabColor rgb="FF00B050"/>
  </sheetPr>
  <dimension ref="A1:K224"/>
  <sheetViews>
    <sheetView showZeros="0" view="pageBreakPreview" zoomScaleSheetLayoutView="100" workbookViewId="0">
      <pane xSplit="2" ySplit="3" topLeftCell="C199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"/>
  <cols>
    <col min="1" max="1" width="7.5703125" style="635" customWidth="1"/>
    <col min="2" max="2" width="29.28515625" style="637" customWidth="1"/>
    <col min="3" max="11" width="10.42578125" style="637" customWidth="1"/>
    <col min="12" max="12" width="11.7109375" style="637" customWidth="1"/>
    <col min="13" max="13" width="12" style="637" customWidth="1"/>
    <col min="14" max="16384" width="9.28515625" style="637"/>
  </cols>
  <sheetData>
    <row r="1" spans="1:11" ht="26.25" customHeight="1">
      <c r="B1" s="636" t="s">
        <v>246</v>
      </c>
      <c r="C1" s="1240" t="s">
        <v>247</v>
      </c>
      <c r="D1" s="1240"/>
      <c r="E1" s="1240"/>
      <c r="F1" s="1240"/>
      <c r="G1" s="1240"/>
      <c r="H1" s="1240"/>
      <c r="I1" s="1240"/>
      <c r="J1" s="1240"/>
      <c r="K1" s="1240"/>
    </row>
    <row r="2" spans="1:11" ht="16.5" customHeight="1">
      <c r="A2" s="1208" t="s">
        <v>988</v>
      </c>
      <c r="B2" s="1241" t="s">
        <v>168</v>
      </c>
      <c r="C2" s="1242" t="s">
        <v>248</v>
      </c>
      <c r="D2" s="1242"/>
      <c r="E2" s="1242"/>
      <c r="F2" s="1242" t="s">
        <v>108</v>
      </c>
      <c r="G2" s="1242"/>
      <c r="H2" s="1242"/>
      <c r="I2" s="1242" t="s">
        <v>109</v>
      </c>
      <c r="J2" s="1242"/>
      <c r="K2" s="1242"/>
    </row>
    <row r="3" spans="1:11" ht="16.5" customHeight="1">
      <c r="A3" s="1209"/>
      <c r="B3" s="1241"/>
      <c r="C3" s="638" t="s">
        <v>87</v>
      </c>
      <c r="D3" s="638" t="s">
        <v>88</v>
      </c>
      <c r="E3" s="638" t="s">
        <v>236</v>
      </c>
      <c r="F3" s="638" t="s">
        <v>87</v>
      </c>
      <c r="G3" s="638" t="s">
        <v>88</v>
      </c>
      <c r="H3" s="638" t="s">
        <v>236</v>
      </c>
      <c r="I3" s="638" t="s">
        <v>87</v>
      </c>
      <c r="J3" s="638" t="s">
        <v>88</v>
      </c>
      <c r="K3" s="638" t="s">
        <v>236</v>
      </c>
    </row>
    <row r="4" spans="1:11" ht="12" customHeight="1">
      <c r="A4" s="639">
        <v>1</v>
      </c>
      <c r="B4" s="640">
        <v>1</v>
      </c>
      <c r="C4" s="640">
        <v>2</v>
      </c>
      <c r="D4" s="641">
        <v>3</v>
      </c>
      <c r="E4" s="641">
        <v>4</v>
      </c>
      <c r="F4" s="641">
        <v>5</v>
      </c>
      <c r="G4" s="640">
        <v>6</v>
      </c>
      <c r="H4" s="640">
        <v>7</v>
      </c>
      <c r="I4" s="640">
        <v>8</v>
      </c>
      <c r="J4" s="641">
        <v>9</v>
      </c>
      <c r="K4" s="641">
        <v>10</v>
      </c>
    </row>
    <row r="5" spans="1:11">
      <c r="A5" s="1243"/>
      <c r="B5" s="642" t="s">
        <v>230</v>
      </c>
      <c r="C5" s="643"/>
      <c r="D5" s="643"/>
      <c r="E5" s="643"/>
      <c r="F5" s="643"/>
      <c r="G5" s="643"/>
      <c r="H5" s="643"/>
      <c r="I5" s="643"/>
      <c r="J5" s="644"/>
      <c r="K5" s="644"/>
    </row>
    <row r="6" spans="1:11">
      <c r="A6" s="1243"/>
      <c r="B6" s="645" t="s">
        <v>919</v>
      </c>
      <c r="C6" s="643">
        <v>28.3</v>
      </c>
      <c r="D6" s="643">
        <v>28.5</v>
      </c>
      <c r="E6" s="643">
        <v>28.4</v>
      </c>
      <c r="F6" s="643">
        <v>25.8</v>
      </c>
      <c r="G6" s="643">
        <v>26</v>
      </c>
      <c r="H6" s="643">
        <v>25.9</v>
      </c>
      <c r="I6" s="643">
        <v>21.4</v>
      </c>
      <c r="J6" s="644">
        <v>20.9</v>
      </c>
      <c r="K6" s="644">
        <v>21.2</v>
      </c>
    </row>
    <row r="7" spans="1:11">
      <c r="A7" s="1243"/>
      <c r="B7" s="645" t="s">
        <v>876</v>
      </c>
      <c r="C7" s="388">
        <v>26.711725716227374</v>
      </c>
      <c r="D7" s="388">
        <v>27.930727845029608</v>
      </c>
      <c r="E7" s="388">
        <v>27.291517192729735</v>
      </c>
      <c r="F7" s="388">
        <v>22.420931288622658</v>
      </c>
      <c r="G7" s="388">
        <v>23.931475240287789</v>
      </c>
      <c r="H7" s="388">
        <v>23.139777334943947</v>
      </c>
      <c r="I7" s="388">
        <v>18.760653940481273</v>
      </c>
      <c r="J7" s="388">
        <v>19.081669122527202</v>
      </c>
      <c r="K7" s="388">
        <v>18.921795991063082</v>
      </c>
    </row>
    <row r="8" spans="1:11">
      <c r="A8" s="1243"/>
      <c r="B8" s="645" t="s">
        <v>229</v>
      </c>
      <c r="C8" s="388">
        <v>24.82445858882231</v>
      </c>
      <c r="D8" s="388">
        <v>26.358719218695505</v>
      </c>
      <c r="E8" s="388">
        <v>25.553663067826331</v>
      </c>
      <c r="F8" s="388">
        <v>21.455807049406612</v>
      </c>
      <c r="G8" s="388">
        <v>23.24252663573311</v>
      </c>
      <c r="H8" s="388">
        <v>22.305427578400455</v>
      </c>
      <c r="I8" s="388">
        <v>16.979428166374795</v>
      </c>
      <c r="J8" s="388">
        <v>17.02898704479696</v>
      </c>
      <c r="K8" s="388">
        <v>17.004294471415182</v>
      </c>
    </row>
    <row r="9" spans="1:11">
      <c r="A9" s="1243"/>
      <c r="B9" s="647" t="s">
        <v>228</v>
      </c>
      <c r="C9" s="648">
        <v>24.392450481132144</v>
      </c>
      <c r="D9" s="648">
        <v>25.535215419819469</v>
      </c>
      <c r="E9" s="648">
        <v>24.935183463547791</v>
      </c>
      <c r="F9" s="648">
        <v>21.393192806506356</v>
      </c>
      <c r="G9" s="648">
        <v>22.762148273656287</v>
      </c>
      <c r="H9" s="648">
        <v>22.043651917121466</v>
      </c>
      <c r="I9" s="648">
        <v>16.737354768046465</v>
      </c>
      <c r="J9" s="648">
        <v>16.054940074584881</v>
      </c>
      <c r="K9" s="648">
        <v>16.395068447445183</v>
      </c>
    </row>
    <row r="10" spans="1:11">
      <c r="A10" s="1243"/>
      <c r="B10" s="647" t="s">
        <v>227</v>
      </c>
      <c r="C10" s="388">
        <v>24.503192287116025</v>
      </c>
      <c r="D10" s="388">
        <v>24.63265481398469</v>
      </c>
      <c r="E10" s="388">
        <v>24.564631938436996</v>
      </c>
      <c r="F10" s="388">
        <v>21.011494284205533</v>
      </c>
      <c r="G10" s="388">
        <v>20.986491447811321</v>
      </c>
      <c r="H10" s="388">
        <v>20.999624339223192</v>
      </c>
      <c r="I10" s="388">
        <v>16.019513324400464</v>
      </c>
      <c r="J10" s="388">
        <v>14.49853166344168</v>
      </c>
      <c r="K10" s="388">
        <v>15.256924457392051</v>
      </c>
    </row>
    <row r="11" spans="1:11">
      <c r="A11" s="1236">
        <v>1</v>
      </c>
      <c r="B11" s="642" t="s">
        <v>1061</v>
      </c>
      <c r="C11" s="649"/>
      <c r="D11" s="649"/>
      <c r="E11" s="649"/>
      <c r="F11" s="649"/>
      <c r="G11" s="649"/>
      <c r="H11" s="649"/>
      <c r="I11" s="649"/>
      <c r="J11" s="650"/>
      <c r="K11" s="650"/>
    </row>
    <row r="12" spans="1:11">
      <c r="A12" s="1236"/>
      <c r="B12" s="645" t="s">
        <v>919</v>
      </c>
      <c r="C12" s="649">
        <v>19.8</v>
      </c>
      <c r="D12" s="649">
        <v>25.7</v>
      </c>
      <c r="E12" s="649">
        <v>22.6</v>
      </c>
      <c r="F12" s="649">
        <v>0</v>
      </c>
      <c r="G12" s="649">
        <v>0</v>
      </c>
      <c r="H12" s="649">
        <v>0</v>
      </c>
      <c r="I12" s="649">
        <v>10.4</v>
      </c>
      <c r="J12" s="650">
        <v>16.100000000000001</v>
      </c>
      <c r="K12" s="650">
        <v>13.2</v>
      </c>
    </row>
    <row r="13" spans="1:11">
      <c r="A13" s="1236"/>
      <c r="B13" s="645" t="s">
        <v>876</v>
      </c>
      <c r="C13" s="651">
        <v>21.606215593643853</v>
      </c>
      <c r="D13" s="651">
        <v>27.131586718980721</v>
      </c>
      <c r="E13" s="651">
        <v>24.261902830724306</v>
      </c>
      <c r="F13" s="651"/>
      <c r="G13" s="651"/>
      <c r="H13" s="651"/>
      <c r="I13" s="651">
        <v>10.344827586206897</v>
      </c>
      <c r="J13" s="651">
        <v>15.990730011587488</v>
      </c>
      <c r="K13" s="651">
        <v>13.110102156640183</v>
      </c>
    </row>
    <row r="14" spans="1:11">
      <c r="A14" s="1236"/>
      <c r="B14" s="645" t="s">
        <v>229</v>
      </c>
      <c r="C14" s="652">
        <v>18.198610609163556</v>
      </c>
      <c r="D14" s="652">
        <v>24.127380849780231</v>
      </c>
      <c r="E14" s="652">
        <v>21.058429815627015</v>
      </c>
      <c r="F14" s="652"/>
      <c r="G14" s="652"/>
      <c r="H14" s="652"/>
      <c r="I14" s="652">
        <v>8.6384439359267731</v>
      </c>
      <c r="J14" s="652">
        <v>16.923076923076923</v>
      </c>
      <c r="K14" s="652">
        <v>12.7108784176847</v>
      </c>
    </row>
    <row r="15" spans="1:11">
      <c r="A15" s="1236"/>
      <c r="B15" s="647" t="s">
        <v>228</v>
      </c>
      <c r="C15" s="652">
        <v>21.092878105237052</v>
      </c>
      <c r="D15" s="652">
        <v>28.217887181293762</v>
      </c>
      <c r="E15" s="652">
        <v>24.542663425866699</v>
      </c>
      <c r="F15" s="652"/>
      <c r="G15" s="652"/>
      <c r="H15" s="652"/>
      <c r="I15" s="652">
        <v>11.54299175500589</v>
      </c>
      <c r="J15" s="652">
        <v>19.165659008464328</v>
      </c>
      <c r="K15" s="652">
        <v>15.304295942720763</v>
      </c>
    </row>
    <row r="16" spans="1:11">
      <c r="A16" s="1236"/>
      <c r="B16" s="647" t="s">
        <v>227</v>
      </c>
      <c r="C16" s="388">
        <v>22.318272793084361</v>
      </c>
      <c r="D16" s="388">
        <v>24.126598235188187</v>
      </c>
      <c r="E16" s="388">
        <v>23.197286355181092</v>
      </c>
      <c r="F16" s="652"/>
      <c r="G16" s="652"/>
      <c r="H16" s="652"/>
      <c r="I16" s="388">
        <v>13.106796116504855</v>
      </c>
      <c r="J16" s="388">
        <v>17.614338689740418</v>
      </c>
      <c r="K16" s="388">
        <v>15.339865278628292</v>
      </c>
    </row>
    <row r="17" spans="1:11">
      <c r="A17" s="1236">
        <v>2</v>
      </c>
      <c r="B17" s="642" t="s">
        <v>15</v>
      </c>
      <c r="C17" s="649"/>
      <c r="D17" s="649"/>
      <c r="E17" s="649"/>
      <c r="F17" s="649"/>
      <c r="G17" s="649"/>
      <c r="H17" s="649"/>
      <c r="I17" s="649"/>
      <c r="J17" s="650"/>
      <c r="K17" s="650"/>
    </row>
    <row r="18" spans="1:11">
      <c r="A18" s="1236"/>
      <c r="B18" s="645" t="s">
        <v>919</v>
      </c>
      <c r="C18" s="649">
        <v>37.700000000000003</v>
      </c>
      <c r="D18" s="649">
        <v>35.200000000000003</v>
      </c>
      <c r="E18" s="649">
        <v>36.5</v>
      </c>
      <c r="F18" s="649">
        <v>35</v>
      </c>
      <c r="G18" s="649">
        <v>33.9</v>
      </c>
      <c r="H18" s="649">
        <v>34.5</v>
      </c>
      <c r="I18" s="649">
        <v>35.700000000000003</v>
      </c>
      <c r="J18" s="650">
        <v>31.5</v>
      </c>
      <c r="K18" s="650">
        <v>33.6</v>
      </c>
    </row>
    <row r="19" spans="1:11">
      <c r="A19" s="1236"/>
      <c r="B19" s="645" t="s">
        <v>876</v>
      </c>
      <c r="C19" s="652">
        <v>38.290971718636698</v>
      </c>
      <c r="D19" s="652">
        <v>36.03407860126876</v>
      </c>
      <c r="E19" s="652">
        <v>37.199019314268604</v>
      </c>
      <c r="F19" s="652">
        <v>33.990284195202229</v>
      </c>
      <c r="G19" s="652">
        <v>33.196219638740629</v>
      </c>
      <c r="H19" s="652">
        <v>33.602393413862494</v>
      </c>
      <c r="I19" s="652">
        <v>34.134920076050982</v>
      </c>
      <c r="J19" s="652">
        <v>29.596104459193544</v>
      </c>
      <c r="K19" s="652">
        <v>31.804059261796695</v>
      </c>
    </row>
    <row r="20" spans="1:11">
      <c r="A20" s="1236"/>
      <c r="B20" s="645" t="s">
        <v>229</v>
      </c>
      <c r="C20" s="652">
        <v>36.638894869034807</v>
      </c>
      <c r="D20" s="652">
        <v>33.50761168910649</v>
      </c>
      <c r="E20" s="652">
        <v>35.123282852593775</v>
      </c>
      <c r="F20" s="652">
        <v>32.758512695641279</v>
      </c>
      <c r="G20" s="652">
        <v>30.56031163468943</v>
      </c>
      <c r="H20" s="652">
        <v>31.684263308075174</v>
      </c>
      <c r="I20" s="652">
        <v>32.955408597729665</v>
      </c>
      <c r="J20" s="652">
        <v>27.003192443670521</v>
      </c>
      <c r="K20" s="652">
        <v>29.897563967456314</v>
      </c>
    </row>
    <row r="21" spans="1:11">
      <c r="A21" s="1236"/>
      <c r="B21" s="647" t="s">
        <v>228</v>
      </c>
      <c r="C21" s="652">
        <v>34.261576704545455</v>
      </c>
      <c r="D21" s="652">
        <v>30.111363292479954</v>
      </c>
      <c r="E21" s="652">
        <v>32.25199648325885</v>
      </c>
      <c r="F21" s="652">
        <v>30.143549012010851</v>
      </c>
      <c r="G21" s="652">
        <v>27.384255789742323</v>
      </c>
      <c r="H21" s="652">
        <v>28.794615008347215</v>
      </c>
      <c r="I21" s="652">
        <v>29.075974509641643</v>
      </c>
      <c r="J21" s="652">
        <v>23.827477788939479</v>
      </c>
      <c r="K21" s="652">
        <v>26.378654902144831</v>
      </c>
    </row>
    <row r="22" spans="1:11">
      <c r="A22" s="1236"/>
      <c r="B22" s="647" t="s">
        <v>227</v>
      </c>
      <c r="C22" s="388">
        <v>33.279350325045073</v>
      </c>
      <c r="D22" s="388">
        <v>28.078586047283764</v>
      </c>
      <c r="E22" s="388">
        <v>30.76012114645933</v>
      </c>
      <c r="F22" s="388">
        <v>28.295009165586482</v>
      </c>
      <c r="G22" s="388">
        <v>25.269697157887776</v>
      </c>
      <c r="H22" s="388">
        <v>26.815442133149404</v>
      </c>
      <c r="I22" s="388">
        <v>26.77948514905556</v>
      </c>
      <c r="J22" s="388">
        <v>22.211039065776315</v>
      </c>
      <c r="K22" s="388">
        <v>24.430815565668492</v>
      </c>
    </row>
    <row r="23" spans="1:11">
      <c r="A23" s="1236">
        <v>3</v>
      </c>
      <c r="B23" s="642" t="s">
        <v>16</v>
      </c>
      <c r="C23" s="649"/>
      <c r="D23" s="649"/>
      <c r="E23" s="649"/>
      <c r="F23" s="649"/>
      <c r="G23" s="649"/>
      <c r="H23" s="649"/>
      <c r="I23" s="649"/>
      <c r="J23" s="650"/>
      <c r="K23" s="650"/>
    </row>
    <row r="24" spans="1:11">
      <c r="A24" s="1236"/>
      <c r="B24" s="645" t="s">
        <v>919</v>
      </c>
      <c r="C24" s="649">
        <v>38.4</v>
      </c>
      <c r="D24" s="649">
        <v>34.5</v>
      </c>
      <c r="E24" s="649">
        <v>36.5</v>
      </c>
      <c r="F24" s="649">
        <v>0</v>
      </c>
      <c r="G24" s="649">
        <v>0</v>
      </c>
      <c r="H24" s="649">
        <v>0</v>
      </c>
      <c r="I24" s="649">
        <v>42.2</v>
      </c>
      <c r="J24" s="650">
        <v>37.799999999999997</v>
      </c>
      <c r="K24" s="650">
        <v>39.9</v>
      </c>
    </row>
    <row r="25" spans="1:11">
      <c r="A25" s="1236"/>
      <c r="B25" s="645" t="s">
        <v>876</v>
      </c>
      <c r="C25" s="652">
        <v>34.685553657057817</v>
      </c>
      <c r="D25" s="652">
        <v>32.753267216609508</v>
      </c>
      <c r="E25" s="652">
        <v>33.743440266174083</v>
      </c>
      <c r="F25" s="652"/>
      <c r="G25" s="652"/>
      <c r="H25" s="652"/>
      <c r="I25" s="652">
        <v>35.176257393920743</v>
      </c>
      <c r="J25" s="652">
        <v>33.971407412177605</v>
      </c>
      <c r="K25" s="652">
        <v>34.555750862297693</v>
      </c>
    </row>
    <row r="26" spans="1:11">
      <c r="A26" s="1236"/>
      <c r="B26" s="645" t="s">
        <v>229</v>
      </c>
      <c r="C26" s="652">
        <v>31.903274402942088</v>
      </c>
      <c r="D26" s="652">
        <v>31.377399909404506</v>
      </c>
      <c r="E26" s="652">
        <v>31.646567218338404</v>
      </c>
      <c r="F26" s="652"/>
      <c r="G26" s="652"/>
      <c r="H26" s="652"/>
      <c r="I26" s="652">
        <v>32.773874353644501</v>
      </c>
      <c r="J26" s="652">
        <v>31.091026468689474</v>
      </c>
      <c r="K26" s="652">
        <v>31.906200331194711</v>
      </c>
    </row>
    <row r="27" spans="1:11">
      <c r="A27" s="1236"/>
      <c r="B27" s="647" t="s">
        <v>228</v>
      </c>
      <c r="C27" s="652">
        <v>26.407533560408737</v>
      </c>
      <c r="D27" s="652">
        <v>27.298238259917795</v>
      </c>
      <c r="E27" s="652">
        <v>26.842857061558512</v>
      </c>
      <c r="F27" s="652"/>
      <c r="G27" s="652"/>
      <c r="H27" s="652"/>
      <c r="I27" s="652">
        <v>28.459466924457949</v>
      </c>
      <c r="J27" s="652">
        <v>30.025078877113504</v>
      </c>
      <c r="K27" s="652">
        <v>29.267620455513516</v>
      </c>
    </row>
    <row r="28" spans="1:11">
      <c r="A28" s="1236"/>
      <c r="B28" s="647" t="s">
        <v>227</v>
      </c>
      <c r="C28" s="388">
        <v>28.202904064896146</v>
      </c>
      <c r="D28" s="388">
        <v>25.973846855047704</v>
      </c>
      <c r="E28" s="388">
        <v>27.112141120053508</v>
      </c>
      <c r="F28" s="652"/>
      <c r="G28" s="652"/>
      <c r="H28" s="652"/>
      <c r="I28" s="388">
        <v>32.413350449293965</v>
      </c>
      <c r="J28" s="388">
        <v>28.206001622060018</v>
      </c>
      <c r="K28" s="388">
        <v>30.239069206008583</v>
      </c>
    </row>
    <row r="29" spans="1:11">
      <c r="A29" s="1236">
        <v>4</v>
      </c>
      <c r="B29" s="642" t="s">
        <v>17</v>
      </c>
      <c r="C29" s="649"/>
      <c r="D29" s="649"/>
      <c r="E29" s="649"/>
      <c r="F29" s="649"/>
      <c r="G29" s="649"/>
      <c r="H29" s="649"/>
      <c r="I29" s="649"/>
      <c r="J29" s="650"/>
      <c r="K29" s="650"/>
    </row>
    <row r="30" spans="1:11">
      <c r="A30" s="1236"/>
      <c r="B30" s="645" t="s">
        <v>919</v>
      </c>
      <c r="C30" s="649">
        <v>16.2</v>
      </c>
      <c r="D30" s="649">
        <v>17.600000000000001</v>
      </c>
      <c r="E30" s="649">
        <v>16.899999999999999</v>
      </c>
      <c r="F30" s="649">
        <v>18.2</v>
      </c>
      <c r="G30" s="649">
        <v>19.5</v>
      </c>
      <c r="H30" s="649">
        <v>18.8</v>
      </c>
      <c r="I30" s="649">
        <v>25.4</v>
      </c>
      <c r="J30" s="650">
        <v>26.3</v>
      </c>
      <c r="K30" s="650">
        <v>25.8</v>
      </c>
    </row>
    <row r="31" spans="1:11">
      <c r="A31" s="1236"/>
      <c r="B31" s="645" t="s">
        <v>876</v>
      </c>
      <c r="C31" s="652">
        <v>16.760684179572632</v>
      </c>
      <c r="D31" s="652">
        <v>18.351834625322997</v>
      </c>
      <c r="E31" s="652">
        <v>17.535166272576344</v>
      </c>
      <c r="F31" s="652">
        <v>17.041863148389684</v>
      </c>
      <c r="G31" s="652">
        <v>18.966225597143911</v>
      </c>
      <c r="H31" s="652">
        <v>17.945477042615185</v>
      </c>
      <c r="I31" s="652">
        <v>23.783384694401644</v>
      </c>
      <c r="J31" s="652">
        <v>25.567509219391422</v>
      </c>
      <c r="K31" s="652">
        <v>24.67542368970685</v>
      </c>
    </row>
    <row r="32" spans="1:11">
      <c r="A32" s="1236"/>
      <c r="B32" s="645" t="s">
        <v>229</v>
      </c>
      <c r="C32" s="652">
        <v>15.705619982158787</v>
      </c>
      <c r="D32" s="652">
        <v>17.42522193211488</v>
      </c>
      <c r="E32" s="652">
        <v>16.542946501220506</v>
      </c>
      <c r="F32" s="652">
        <v>17.527551266280295</v>
      </c>
      <c r="G32" s="652">
        <v>18.981054017879508</v>
      </c>
      <c r="H32" s="652">
        <v>18.2103974877109</v>
      </c>
      <c r="I32" s="652">
        <v>20.389440711526603</v>
      </c>
      <c r="J32" s="652">
        <v>22.344989214525519</v>
      </c>
      <c r="K32" s="652">
        <v>21.367599369680153</v>
      </c>
    </row>
    <row r="33" spans="1:11">
      <c r="A33" s="1236"/>
      <c r="B33" s="647" t="s">
        <v>228</v>
      </c>
      <c r="C33" s="652">
        <v>17.415998396150762</v>
      </c>
      <c r="D33" s="652">
        <v>18.611029023746703</v>
      </c>
      <c r="E33" s="652">
        <v>17.998123489794871</v>
      </c>
      <c r="F33" s="652">
        <v>19.26714933403446</v>
      </c>
      <c r="G33" s="652">
        <v>20.341545271746206</v>
      </c>
      <c r="H33" s="652">
        <v>19.772054399662807</v>
      </c>
      <c r="I33" s="652">
        <v>23.300847370688771</v>
      </c>
      <c r="J33" s="652">
        <v>23.571206136397159</v>
      </c>
      <c r="K33" s="652">
        <v>23.436125696313866</v>
      </c>
    </row>
    <row r="34" spans="1:11">
      <c r="A34" s="1236"/>
      <c r="B34" s="647" t="s">
        <v>227</v>
      </c>
      <c r="C34" s="388">
        <v>17.08094323365097</v>
      </c>
      <c r="D34" s="388">
        <v>18.208258411011808</v>
      </c>
      <c r="E34" s="388">
        <v>17.630302823408631</v>
      </c>
      <c r="F34" s="388">
        <v>18.41048692053732</v>
      </c>
      <c r="G34" s="388">
        <v>19.130956036083454</v>
      </c>
      <c r="H34" s="388">
        <v>18.749205236332642</v>
      </c>
      <c r="I34" s="388">
        <v>20.552016103928445</v>
      </c>
      <c r="J34" s="388">
        <v>19.915022610942703</v>
      </c>
      <c r="K34" s="388">
        <v>20.233162179137707</v>
      </c>
    </row>
    <row r="35" spans="1:11">
      <c r="A35" s="1236">
        <v>5</v>
      </c>
      <c r="B35" s="642" t="s">
        <v>18</v>
      </c>
      <c r="C35" s="649"/>
      <c r="D35" s="649"/>
      <c r="E35" s="649"/>
      <c r="F35" s="649"/>
      <c r="G35" s="649"/>
      <c r="H35" s="649"/>
      <c r="I35" s="649"/>
      <c r="J35" s="650"/>
      <c r="K35" s="650"/>
    </row>
    <row r="36" spans="1:11">
      <c r="A36" s="1236"/>
      <c r="B36" s="645" t="s">
        <v>919</v>
      </c>
      <c r="C36" s="649">
        <v>17.8</v>
      </c>
      <c r="D36" s="649">
        <v>16.3</v>
      </c>
      <c r="E36" s="649">
        <v>17.100000000000001</v>
      </c>
      <c r="F36" s="649">
        <v>19</v>
      </c>
      <c r="G36" s="649">
        <v>13.6</v>
      </c>
      <c r="H36" s="649">
        <v>16.399999999999999</v>
      </c>
      <c r="I36" s="649">
        <v>38</v>
      </c>
      <c r="J36" s="650">
        <v>31</v>
      </c>
      <c r="K36" s="650">
        <v>34.6</v>
      </c>
    </row>
    <row r="37" spans="1:11">
      <c r="A37" s="1236"/>
      <c r="B37" s="645" t="s">
        <v>876</v>
      </c>
      <c r="C37" s="652">
        <v>16.567159269193784</v>
      </c>
      <c r="D37" s="652">
        <v>15.107450721222918</v>
      </c>
      <c r="E37" s="652">
        <v>15.883618137782562</v>
      </c>
      <c r="F37" s="652">
        <v>13.330785056015451</v>
      </c>
      <c r="G37" s="652">
        <v>9.6545275012480545</v>
      </c>
      <c r="H37" s="652">
        <v>11.536745975730781</v>
      </c>
      <c r="I37" s="652">
        <v>21.977165194544426</v>
      </c>
      <c r="J37" s="652">
        <v>17.370490104418938</v>
      </c>
      <c r="K37" s="652">
        <v>19.735096433231362</v>
      </c>
    </row>
    <row r="38" spans="1:11">
      <c r="A38" s="1236"/>
      <c r="B38" s="645" t="s">
        <v>229</v>
      </c>
      <c r="C38" s="652">
        <v>12.654967250332716</v>
      </c>
      <c r="D38" s="652">
        <v>11.489803851213971</v>
      </c>
      <c r="E38" s="652">
        <v>12.111976590259877</v>
      </c>
      <c r="F38" s="652">
        <v>11.153165131284011</v>
      </c>
      <c r="G38" s="652">
        <v>7.1208728245040227</v>
      </c>
      <c r="H38" s="652">
        <v>9.1944900320159277</v>
      </c>
      <c r="I38" s="652">
        <v>18.983842366702277</v>
      </c>
      <c r="J38" s="652">
        <v>15.573242061584988</v>
      </c>
      <c r="K38" s="652">
        <v>17.331607100269157</v>
      </c>
    </row>
    <row r="39" spans="1:11">
      <c r="A39" s="1236"/>
      <c r="B39" s="647" t="s">
        <v>228</v>
      </c>
      <c r="C39" s="652">
        <v>12.397438314836764</v>
      </c>
      <c r="D39" s="652">
        <v>10.698170541669263</v>
      </c>
      <c r="E39" s="652">
        <v>11.609651784424216</v>
      </c>
      <c r="F39" s="652">
        <v>10.412216782526597</v>
      </c>
      <c r="G39" s="652">
        <v>6.5751990237434974</v>
      </c>
      <c r="H39" s="652">
        <v>8.5577095155899112</v>
      </c>
      <c r="I39" s="652">
        <v>17.981513694191481</v>
      </c>
      <c r="J39" s="652">
        <v>13.107063006267639</v>
      </c>
      <c r="K39" s="652">
        <v>15.63195646796933</v>
      </c>
    </row>
    <row r="40" spans="1:11">
      <c r="A40" s="1236"/>
      <c r="B40" s="647" t="s">
        <v>227</v>
      </c>
      <c r="C40" s="388">
        <v>12.139477273359867</v>
      </c>
      <c r="D40" s="388">
        <v>10.451786644103098</v>
      </c>
      <c r="E40" s="388">
        <v>11.361450753881929</v>
      </c>
      <c r="F40" s="388">
        <v>9.5947637460805542</v>
      </c>
      <c r="G40" s="388">
        <v>6.2911260709278247</v>
      </c>
      <c r="H40" s="388">
        <v>8.0066869780794629</v>
      </c>
      <c r="I40" s="388">
        <v>15.326417687762126</v>
      </c>
      <c r="J40" s="388">
        <v>10.837532691203675</v>
      </c>
      <c r="K40" s="388">
        <v>13.174440081709541</v>
      </c>
    </row>
    <row r="41" spans="1:11">
      <c r="A41" s="1236">
        <v>6</v>
      </c>
      <c r="B41" s="642" t="s">
        <v>19</v>
      </c>
      <c r="C41" s="649"/>
      <c r="D41" s="649"/>
      <c r="E41" s="649"/>
      <c r="F41" s="649"/>
      <c r="G41" s="649"/>
      <c r="H41" s="649"/>
      <c r="I41" s="649"/>
      <c r="J41" s="650"/>
      <c r="K41" s="650"/>
    </row>
    <row r="42" spans="1:11">
      <c r="A42" s="1236"/>
      <c r="B42" s="645" t="s">
        <v>919</v>
      </c>
      <c r="C42" s="649">
        <v>56.8</v>
      </c>
      <c r="D42" s="649">
        <v>75.400000000000006</v>
      </c>
      <c r="E42" s="649">
        <v>64.8</v>
      </c>
      <c r="F42" s="649">
        <v>53.7</v>
      </c>
      <c r="G42" s="649">
        <v>52.9</v>
      </c>
      <c r="H42" s="649">
        <v>53.4</v>
      </c>
      <c r="I42" s="649">
        <v>0</v>
      </c>
      <c r="J42" s="650">
        <v>0</v>
      </c>
      <c r="K42" s="650">
        <v>0</v>
      </c>
    </row>
    <row r="43" spans="1:11">
      <c r="A43" s="1236"/>
      <c r="B43" s="645" t="s">
        <v>876</v>
      </c>
      <c r="C43" s="652">
        <v>57.815400843881861</v>
      </c>
      <c r="D43" s="652">
        <v>76.952644313861043</v>
      </c>
      <c r="E43" s="652">
        <v>66.097232610321612</v>
      </c>
      <c r="F43" s="652">
        <v>53.251962638244223</v>
      </c>
      <c r="G43" s="652">
        <v>50.427921904252472</v>
      </c>
      <c r="H43" s="652">
        <v>51.948653068781439</v>
      </c>
      <c r="I43" s="652"/>
      <c r="J43" s="652"/>
      <c r="K43" s="652"/>
    </row>
    <row r="44" spans="1:11">
      <c r="A44" s="1236"/>
      <c r="B44" s="645" t="s">
        <v>229</v>
      </c>
      <c r="C44" s="652">
        <v>57.660608163796468</v>
      </c>
      <c r="D44" s="652">
        <v>75.551130506009116</v>
      </c>
      <c r="E44" s="652">
        <v>65.431447482226218</v>
      </c>
      <c r="F44" s="652">
        <v>40.217967599410898</v>
      </c>
      <c r="G44" s="652">
        <v>41.22789045960527</v>
      </c>
      <c r="H44" s="652">
        <v>40.686972198500811</v>
      </c>
      <c r="I44" s="652"/>
      <c r="J44" s="652"/>
      <c r="K44" s="652"/>
    </row>
    <row r="45" spans="1:11">
      <c r="A45" s="1236"/>
      <c r="B45" s="647" t="s">
        <v>228</v>
      </c>
      <c r="C45" s="652">
        <v>54.188610193698118</v>
      </c>
      <c r="D45" s="652">
        <v>72.797725567165045</v>
      </c>
      <c r="E45" s="652">
        <v>62.302725968436157</v>
      </c>
      <c r="F45" s="652">
        <v>39.871499575706146</v>
      </c>
      <c r="G45" s="652">
        <v>40.568078721473931</v>
      </c>
      <c r="H45" s="652">
        <v>40.195283355500052</v>
      </c>
      <c r="I45" s="652"/>
      <c r="J45" s="652"/>
      <c r="K45" s="652"/>
    </row>
    <row r="46" spans="1:11">
      <c r="A46" s="1236"/>
      <c r="B46" s="647" t="s">
        <v>227</v>
      </c>
      <c r="C46" s="388">
        <v>62.109971605369438</v>
      </c>
      <c r="D46" s="388">
        <v>76.386266939133947</v>
      </c>
      <c r="E46" s="388">
        <v>68.359977523811693</v>
      </c>
      <c r="F46" s="388">
        <v>40.569217326176513</v>
      </c>
      <c r="G46" s="388">
        <v>38.822689975026762</v>
      </c>
      <c r="H46" s="388">
        <v>39.7543030262676</v>
      </c>
      <c r="I46" s="652"/>
      <c r="J46" s="652"/>
      <c r="K46" s="652"/>
    </row>
    <row r="47" spans="1:11">
      <c r="A47" s="1236">
        <v>7</v>
      </c>
      <c r="B47" s="642" t="s">
        <v>20</v>
      </c>
      <c r="C47" s="649"/>
      <c r="D47" s="649"/>
      <c r="E47" s="649"/>
      <c r="F47" s="649"/>
      <c r="G47" s="649"/>
      <c r="H47" s="649"/>
      <c r="I47" s="649"/>
      <c r="J47" s="650"/>
      <c r="K47" s="650"/>
    </row>
    <row r="48" spans="1:11">
      <c r="A48" s="1236"/>
      <c r="B48" s="645" t="s">
        <v>919</v>
      </c>
      <c r="C48" s="649">
        <v>17.600000000000001</v>
      </c>
      <c r="D48" s="649">
        <v>21.6</v>
      </c>
      <c r="E48" s="649">
        <v>19.600000000000001</v>
      </c>
      <c r="F48" s="649">
        <v>19.100000000000001</v>
      </c>
      <c r="G48" s="649">
        <v>21.7</v>
      </c>
      <c r="H48" s="649">
        <v>20.3</v>
      </c>
      <c r="I48" s="649">
        <v>10.8</v>
      </c>
      <c r="J48" s="650">
        <v>15.3</v>
      </c>
      <c r="K48" s="650">
        <v>13.1</v>
      </c>
    </row>
    <row r="49" spans="1:11">
      <c r="A49" s="1236"/>
      <c r="B49" s="645" t="s">
        <v>876</v>
      </c>
      <c r="C49" s="652">
        <v>18.004756242568369</v>
      </c>
      <c r="D49" s="652">
        <v>21.300583302952973</v>
      </c>
      <c r="E49" s="652">
        <v>19.634743674499671</v>
      </c>
      <c r="F49" s="652">
        <v>18.338804873948092</v>
      </c>
      <c r="G49" s="652">
        <v>20.415792204929438</v>
      </c>
      <c r="H49" s="652">
        <v>19.357957144563301</v>
      </c>
      <c r="I49" s="652">
        <v>11.958366096925051</v>
      </c>
      <c r="J49" s="652">
        <v>16.169724542611089</v>
      </c>
      <c r="K49" s="652">
        <v>14.106000087206146</v>
      </c>
    </row>
    <row r="50" spans="1:11">
      <c r="A50" s="1236"/>
      <c r="B50" s="645" t="s">
        <v>229</v>
      </c>
      <c r="C50" s="652">
        <v>16.345895745955662</v>
      </c>
      <c r="D50" s="652">
        <v>19.184020555487578</v>
      </c>
      <c r="E50" s="652">
        <v>17.750181620050853</v>
      </c>
      <c r="F50" s="652">
        <v>16.754283879770458</v>
      </c>
      <c r="G50" s="652">
        <v>18.520744806284707</v>
      </c>
      <c r="H50" s="652">
        <v>17.62147536443744</v>
      </c>
      <c r="I50" s="652">
        <v>9.6103435691569796</v>
      </c>
      <c r="J50" s="652">
        <v>12.57350041142212</v>
      </c>
      <c r="K50" s="652">
        <v>11.122142652125461</v>
      </c>
    </row>
    <row r="51" spans="1:11">
      <c r="A51" s="1236"/>
      <c r="B51" s="647" t="s">
        <v>228</v>
      </c>
      <c r="C51" s="652">
        <v>17.076388888888889</v>
      </c>
      <c r="D51" s="652">
        <v>18.734692620426266</v>
      </c>
      <c r="E51" s="652">
        <v>17.89729828627188</v>
      </c>
      <c r="F51" s="652">
        <v>17.028724991461594</v>
      </c>
      <c r="G51" s="652">
        <v>18.154942036407654</v>
      </c>
      <c r="H51" s="652">
        <v>17.58187480849001</v>
      </c>
      <c r="I51" s="652">
        <v>9.8035053353482322</v>
      </c>
      <c r="J51" s="652">
        <v>11.938378918849182</v>
      </c>
      <c r="K51" s="652">
        <v>10.89320000740852</v>
      </c>
    </row>
    <row r="52" spans="1:11">
      <c r="A52" s="1236"/>
      <c r="B52" s="647" t="s">
        <v>227</v>
      </c>
      <c r="C52" s="388">
        <v>17.476749847839319</v>
      </c>
      <c r="D52" s="388">
        <v>17.846296985485672</v>
      </c>
      <c r="E52" s="388">
        <v>17.659775129024329</v>
      </c>
      <c r="F52" s="388">
        <v>17.807108530326982</v>
      </c>
      <c r="G52" s="388">
        <v>16.982485420143643</v>
      </c>
      <c r="H52" s="388">
        <v>17.401891334646439</v>
      </c>
      <c r="I52" s="388">
        <v>10.345002902210339</v>
      </c>
      <c r="J52" s="388">
        <v>11.134860608717892</v>
      </c>
      <c r="K52" s="388">
        <v>10.748360105152296</v>
      </c>
    </row>
    <row r="53" spans="1:11">
      <c r="A53" s="1236">
        <v>8</v>
      </c>
      <c r="B53" s="642" t="s">
        <v>23</v>
      </c>
      <c r="C53" s="649"/>
      <c r="D53" s="649"/>
      <c r="E53" s="649"/>
      <c r="F53" s="649"/>
      <c r="G53" s="649"/>
      <c r="H53" s="649"/>
      <c r="I53" s="649"/>
      <c r="J53" s="650"/>
      <c r="K53" s="650"/>
    </row>
    <row r="54" spans="1:11">
      <c r="A54" s="1236"/>
      <c r="B54" s="645" t="s">
        <v>919</v>
      </c>
      <c r="C54" s="649">
        <v>48.3</v>
      </c>
      <c r="D54" s="649">
        <v>49.7</v>
      </c>
      <c r="E54" s="649">
        <v>49</v>
      </c>
      <c r="F54" s="649">
        <v>36.6</v>
      </c>
      <c r="G54" s="649">
        <v>35.6</v>
      </c>
      <c r="H54" s="649">
        <v>36.1</v>
      </c>
      <c r="I54" s="649">
        <v>0</v>
      </c>
      <c r="J54" s="650">
        <v>0</v>
      </c>
      <c r="K54" s="650">
        <v>0</v>
      </c>
    </row>
    <row r="55" spans="1:11">
      <c r="A55" s="1236"/>
      <c r="B55" s="645" t="s">
        <v>876</v>
      </c>
      <c r="C55" s="652">
        <v>46.674020823004462</v>
      </c>
      <c r="D55" s="652">
        <v>48.531911079239869</v>
      </c>
      <c r="E55" s="652">
        <v>47.565181872903942</v>
      </c>
      <c r="F55" s="652">
        <v>26.256958039749918</v>
      </c>
      <c r="G55" s="652">
        <v>23.842120254198903</v>
      </c>
      <c r="H55" s="652">
        <v>25.070379879270117</v>
      </c>
      <c r="I55" s="652"/>
      <c r="J55" s="652"/>
      <c r="K55" s="652"/>
    </row>
    <row r="56" spans="1:11">
      <c r="A56" s="1236"/>
      <c r="B56" s="645" t="s">
        <v>229</v>
      </c>
      <c r="C56" s="652">
        <v>47.973060344827587</v>
      </c>
      <c r="D56" s="652">
        <v>50.181941677232388</v>
      </c>
      <c r="E56" s="652">
        <v>49.028650566952308</v>
      </c>
      <c r="F56" s="652">
        <v>36.648717136522016</v>
      </c>
      <c r="G56" s="652">
        <v>38.351873342957155</v>
      </c>
      <c r="H56" s="652">
        <v>37.48247548878085</v>
      </c>
      <c r="I56" s="652"/>
      <c r="J56" s="652"/>
      <c r="K56" s="652"/>
    </row>
    <row r="57" spans="1:11">
      <c r="A57" s="1236"/>
      <c r="B57" s="647" t="s">
        <v>228</v>
      </c>
      <c r="C57" s="652">
        <v>45.716115083984697</v>
      </c>
      <c r="D57" s="652">
        <v>48.295571010248899</v>
      </c>
      <c r="E57" s="652">
        <v>46.944149167901017</v>
      </c>
      <c r="F57" s="652">
        <v>33.656840404187136</v>
      </c>
      <c r="G57" s="652">
        <v>35.075267177028017</v>
      </c>
      <c r="H57" s="652">
        <v>34.34872581845238</v>
      </c>
      <c r="I57" s="652"/>
      <c r="J57" s="652"/>
      <c r="K57" s="652"/>
    </row>
    <row r="58" spans="1:11">
      <c r="A58" s="1236"/>
      <c r="B58" s="647" t="s">
        <v>227</v>
      </c>
      <c r="C58" s="388">
        <v>47.137852915707128</v>
      </c>
      <c r="D58" s="388">
        <v>46.173230413032861</v>
      </c>
      <c r="E58" s="388">
        <v>46.68037428471338</v>
      </c>
      <c r="F58" s="388">
        <v>33.286277652801935</v>
      </c>
      <c r="G58" s="388">
        <v>30.761041826230628</v>
      </c>
      <c r="H58" s="388">
        <v>32.059054860064236</v>
      </c>
      <c r="I58" s="652"/>
      <c r="J58" s="652"/>
      <c r="K58" s="652"/>
    </row>
    <row r="59" spans="1:11">
      <c r="A59" s="1236">
        <v>9</v>
      </c>
      <c r="B59" s="642" t="s">
        <v>24</v>
      </c>
      <c r="C59" s="649"/>
      <c r="D59" s="649"/>
      <c r="E59" s="649"/>
      <c r="F59" s="649"/>
      <c r="G59" s="649"/>
      <c r="H59" s="649"/>
      <c r="I59" s="649"/>
      <c r="J59" s="650"/>
      <c r="K59" s="650"/>
    </row>
    <row r="60" spans="1:11">
      <c r="A60" s="1236"/>
      <c r="B60" s="645" t="s">
        <v>919</v>
      </c>
      <c r="C60" s="649">
        <v>36</v>
      </c>
      <c r="D60" s="649">
        <v>35.5</v>
      </c>
      <c r="E60" s="649">
        <v>35.799999999999997</v>
      </c>
      <c r="F60" s="649">
        <v>45.4</v>
      </c>
      <c r="G60" s="649">
        <v>33.5</v>
      </c>
      <c r="H60" s="649">
        <v>39.5</v>
      </c>
      <c r="I60" s="649">
        <v>23.7</v>
      </c>
      <c r="J60" s="650">
        <v>31.6</v>
      </c>
      <c r="K60" s="650">
        <v>27.6</v>
      </c>
    </row>
    <row r="61" spans="1:11">
      <c r="A61" s="1236"/>
      <c r="B61" s="645" t="s">
        <v>876</v>
      </c>
      <c r="C61" s="652">
        <v>30.756035312330027</v>
      </c>
      <c r="D61" s="652">
        <v>37.307157958320744</v>
      </c>
      <c r="E61" s="652">
        <v>33.79601858963219</v>
      </c>
      <c r="F61" s="652">
        <v>51.050539466212378</v>
      </c>
      <c r="G61" s="652">
        <v>38.959537572254341</v>
      </c>
      <c r="H61" s="652">
        <v>45.058722429103412</v>
      </c>
      <c r="I61" s="652">
        <v>24.183460736622656</v>
      </c>
      <c r="J61" s="652">
        <v>31.92771084337349</v>
      </c>
      <c r="K61" s="652">
        <v>28.055137263987028</v>
      </c>
    </row>
    <row r="62" spans="1:11">
      <c r="A62" s="1236"/>
      <c r="B62" s="645" t="s">
        <v>229</v>
      </c>
      <c r="C62" s="652">
        <v>26.942598447211648</v>
      </c>
      <c r="D62" s="652">
        <v>34.216079471833162</v>
      </c>
      <c r="E62" s="652">
        <v>30.329427853978359</v>
      </c>
      <c r="F62" s="652">
        <v>32.399299474605954</v>
      </c>
      <c r="G62" s="652">
        <v>31.877213695395511</v>
      </c>
      <c r="H62" s="652">
        <v>32.139712356912241</v>
      </c>
      <c r="I62" s="652">
        <v>22.029054536794476</v>
      </c>
      <c r="J62" s="652">
        <v>31.380901668441602</v>
      </c>
      <c r="K62" s="652">
        <v>26.719686628286542</v>
      </c>
    </row>
    <row r="63" spans="1:11">
      <c r="A63" s="1236"/>
      <c r="B63" s="647" t="s">
        <v>228</v>
      </c>
      <c r="C63" s="652">
        <v>29.836032926181627</v>
      </c>
      <c r="D63" s="652">
        <v>34.949680934244711</v>
      </c>
      <c r="E63" s="652">
        <v>32.225745235092354</v>
      </c>
      <c r="F63" s="652">
        <v>33.153153153153156</v>
      </c>
      <c r="G63" s="652">
        <v>31.019915509957759</v>
      </c>
      <c r="H63" s="652">
        <v>32.089102950030103</v>
      </c>
      <c r="I63" s="652">
        <v>24.40279309077545</v>
      </c>
      <c r="J63" s="652">
        <v>31.708791873261578</v>
      </c>
      <c r="K63" s="652">
        <v>28.079357351509248</v>
      </c>
    </row>
    <row r="64" spans="1:11">
      <c r="A64" s="1236"/>
      <c r="B64" s="647" t="s">
        <v>227</v>
      </c>
      <c r="C64" s="388">
        <v>28.189804771339883</v>
      </c>
      <c r="D64" s="388">
        <v>32.104243021709841</v>
      </c>
      <c r="E64" s="388">
        <v>30.026022870204201</v>
      </c>
      <c r="F64" s="388">
        <v>31.910946196660483</v>
      </c>
      <c r="G64" s="388">
        <v>29.117828500925352</v>
      </c>
      <c r="H64" s="388">
        <v>30.512662137121684</v>
      </c>
      <c r="I64" s="388">
        <v>23.375804213447708</v>
      </c>
      <c r="J64" s="388">
        <v>27.534619188921859</v>
      </c>
      <c r="K64" s="388">
        <v>25.4761161411177</v>
      </c>
    </row>
    <row r="65" spans="1:11">
      <c r="A65" s="1236">
        <v>10</v>
      </c>
      <c r="B65" s="642" t="s">
        <v>25</v>
      </c>
      <c r="C65" s="649"/>
      <c r="D65" s="649"/>
      <c r="E65" s="649"/>
      <c r="F65" s="649"/>
      <c r="G65" s="649"/>
      <c r="H65" s="649"/>
      <c r="I65" s="649"/>
      <c r="J65" s="650"/>
      <c r="K65" s="650"/>
    </row>
    <row r="66" spans="1:11">
      <c r="A66" s="1236"/>
      <c r="B66" s="645" t="s">
        <v>919</v>
      </c>
      <c r="C66" s="649">
        <v>25.2</v>
      </c>
      <c r="D66" s="649">
        <v>22.7</v>
      </c>
      <c r="E66" s="649">
        <v>24</v>
      </c>
      <c r="F66" s="649">
        <v>33.6</v>
      </c>
      <c r="G66" s="649">
        <v>30.8</v>
      </c>
      <c r="H66" s="649">
        <v>32.299999999999997</v>
      </c>
      <c r="I66" s="649">
        <v>19.899999999999999</v>
      </c>
      <c r="J66" s="650">
        <v>21</v>
      </c>
      <c r="K66" s="650">
        <v>20.399999999999999</v>
      </c>
    </row>
    <row r="67" spans="1:11">
      <c r="A67" s="1236"/>
      <c r="B67" s="645" t="s">
        <v>876</v>
      </c>
      <c r="C67" s="652">
        <v>23.55725190839695</v>
      </c>
      <c r="D67" s="652">
        <v>20.605971525736351</v>
      </c>
      <c r="E67" s="652">
        <v>22.183113711387243</v>
      </c>
      <c r="F67" s="652">
        <v>30.08968546229876</v>
      </c>
      <c r="G67" s="652">
        <v>26.707179323160634</v>
      </c>
      <c r="H67" s="652">
        <v>28.509950366343656</v>
      </c>
      <c r="I67" s="652">
        <v>17.700175991873664</v>
      </c>
      <c r="J67" s="652">
        <v>17.884121206178786</v>
      </c>
      <c r="K67" s="652">
        <v>17.790449152100603</v>
      </c>
    </row>
    <row r="68" spans="1:11">
      <c r="A68" s="1236"/>
      <c r="B68" s="645" t="s">
        <v>229</v>
      </c>
      <c r="C68" s="652">
        <v>21.799662281364988</v>
      </c>
      <c r="D68" s="652">
        <v>19.640426392419691</v>
      </c>
      <c r="E68" s="652">
        <v>20.793603790346463</v>
      </c>
      <c r="F68" s="652">
        <v>27.864521205949274</v>
      </c>
      <c r="G68" s="652">
        <v>25.697902336283619</v>
      </c>
      <c r="H68" s="652">
        <v>26.851939657624918</v>
      </c>
      <c r="I68" s="652">
        <v>15.67766219139919</v>
      </c>
      <c r="J68" s="652">
        <v>16.689974589927292</v>
      </c>
      <c r="K68" s="652">
        <v>16.17479668256739</v>
      </c>
    </row>
    <row r="69" spans="1:11">
      <c r="A69" s="1236"/>
      <c r="B69" s="647" t="s">
        <v>228</v>
      </c>
      <c r="C69" s="652">
        <v>21.070171000708289</v>
      </c>
      <c r="D69" s="652">
        <v>18.680315051832977</v>
      </c>
      <c r="E69" s="652">
        <v>19.955877190613776</v>
      </c>
      <c r="F69" s="652">
        <v>27.58758715829125</v>
      </c>
      <c r="G69" s="652">
        <v>24.817253989496933</v>
      </c>
      <c r="H69" s="652">
        <v>26.291948862339243</v>
      </c>
      <c r="I69" s="652">
        <v>14.351724233668417</v>
      </c>
      <c r="J69" s="652">
        <v>14.817787009063444</v>
      </c>
      <c r="K69" s="652">
        <v>14.580755129931367</v>
      </c>
    </row>
    <row r="70" spans="1:11">
      <c r="A70" s="1236"/>
      <c r="B70" s="647" t="s">
        <v>227</v>
      </c>
      <c r="C70" s="388">
        <v>21.012821814858071</v>
      </c>
      <c r="D70" s="388">
        <v>18.159874608150471</v>
      </c>
      <c r="E70" s="388">
        <v>19.681667975838998</v>
      </c>
      <c r="F70" s="388">
        <v>27.976784061641329</v>
      </c>
      <c r="G70" s="388">
        <v>24.200710298512938</v>
      </c>
      <c r="H70" s="388">
        <v>26.209536604309353</v>
      </c>
      <c r="I70" s="388">
        <v>13.259194531749174</v>
      </c>
      <c r="J70" s="388">
        <v>13.6069536594147</v>
      </c>
      <c r="K70" s="388">
        <v>13.430203972620202</v>
      </c>
    </row>
    <row r="71" spans="1:11">
      <c r="A71" s="1236">
        <v>11</v>
      </c>
      <c r="B71" s="642" t="s">
        <v>26</v>
      </c>
      <c r="C71" s="649"/>
      <c r="D71" s="649"/>
      <c r="E71" s="649"/>
      <c r="F71" s="649"/>
      <c r="G71" s="649"/>
      <c r="H71" s="649"/>
      <c r="I71" s="649"/>
      <c r="J71" s="650"/>
      <c r="K71" s="650"/>
    </row>
    <row r="72" spans="1:11">
      <c r="A72" s="1236"/>
      <c r="B72" s="645" t="s">
        <v>919</v>
      </c>
      <c r="C72" s="649">
        <v>30.3</v>
      </c>
      <c r="D72" s="649">
        <v>37</v>
      </c>
      <c r="E72" s="649">
        <v>33.299999999999997</v>
      </c>
      <c r="F72" s="649">
        <v>24.2</v>
      </c>
      <c r="G72" s="649">
        <v>29.2</v>
      </c>
      <c r="H72" s="649">
        <v>26.5</v>
      </c>
      <c r="I72" s="649">
        <v>0</v>
      </c>
      <c r="J72" s="650">
        <v>0</v>
      </c>
      <c r="K72" s="650">
        <v>0</v>
      </c>
    </row>
    <row r="73" spans="1:11">
      <c r="A73" s="1236"/>
      <c r="B73" s="645" t="s">
        <v>876</v>
      </c>
      <c r="C73" s="652">
        <v>28.908720410897722</v>
      </c>
      <c r="D73" s="652">
        <v>33.658899420747765</v>
      </c>
      <c r="E73" s="652">
        <v>31.088659980666989</v>
      </c>
      <c r="F73" s="652">
        <v>20.502186441700569</v>
      </c>
      <c r="G73" s="652">
        <v>23.783236642079906</v>
      </c>
      <c r="H73" s="652">
        <v>21.999731927951359</v>
      </c>
      <c r="I73" s="652"/>
      <c r="J73" s="652"/>
      <c r="K73" s="652"/>
    </row>
    <row r="74" spans="1:11">
      <c r="A74" s="1236"/>
      <c r="B74" s="645" t="s">
        <v>229</v>
      </c>
      <c r="C74" s="652">
        <v>25.691084579334973</v>
      </c>
      <c r="D74" s="652">
        <v>31.175299855015158</v>
      </c>
      <c r="E74" s="652">
        <v>28.205359840473744</v>
      </c>
      <c r="F74" s="652">
        <v>16.781748403535815</v>
      </c>
      <c r="G74" s="652">
        <v>20.630506926568057</v>
      </c>
      <c r="H74" s="652">
        <v>18.536609715051767</v>
      </c>
      <c r="I74" s="652"/>
      <c r="J74" s="652"/>
      <c r="K74" s="652"/>
    </row>
    <row r="75" spans="1:11">
      <c r="A75" s="1236"/>
      <c r="B75" s="647" t="s">
        <v>228</v>
      </c>
      <c r="C75" s="652">
        <v>25.495595450490633</v>
      </c>
      <c r="D75" s="652">
        <v>31.116653470572707</v>
      </c>
      <c r="E75" s="652">
        <v>28.070016922519038</v>
      </c>
      <c r="F75" s="652">
        <v>17.63499282203896</v>
      </c>
      <c r="G75" s="652">
        <v>21.122530783009534</v>
      </c>
      <c r="H75" s="652">
        <v>19.223571298155925</v>
      </c>
      <c r="I75" s="652"/>
      <c r="J75" s="652"/>
      <c r="K75" s="652"/>
    </row>
    <row r="76" spans="1:11">
      <c r="A76" s="1236"/>
      <c r="B76" s="647" t="s">
        <v>227</v>
      </c>
      <c r="C76" s="388">
        <v>26.041307292476677</v>
      </c>
      <c r="D76" s="388">
        <v>29.46583655389788</v>
      </c>
      <c r="E76" s="388">
        <v>27.608148976554357</v>
      </c>
      <c r="F76" s="388">
        <v>17.332628233489274</v>
      </c>
      <c r="G76" s="388">
        <v>18.677987038842716</v>
      </c>
      <c r="H76" s="388">
        <v>17.944822036945098</v>
      </c>
      <c r="I76" s="652"/>
      <c r="J76" s="652"/>
      <c r="K76" s="652"/>
    </row>
    <row r="77" spans="1:11">
      <c r="A77" s="1236">
        <v>12</v>
      </c>
      <c r="B77" s="653" t="s">
        <v>27</v>
      </c>
      <c r="C77" s="654"/>
      <c r="D77" s="654"/>
      <c r="E77" s="654"/>
      <c r="F77" s="654"/>
      <c r="G77" s="654"/>
      <c r="H77" s="654"/>
      <c r="I77" s="654"/>
      <c r="J77" s="655"/>
      <c r="K77" s="655"/>
    </row>
    <row r="78" spans="1:11">
      <c r="A78" s="1236"/>
      <c r="B78" s="645" t="s">
        <v>919</v>
      </c>
      <c r="C78" s="654">
        <v>37.299999999999997</v>
      </c>
      <c r="D78" s="654">
        <v>49.7</v>
      </c>
      <c r="E78" s="654">
        <v>43.1</v>
      </c>
      <c r="F78" s="654">
        <v>29.4</v>
      </c>
      <c r="G78" s="654">
        <v>39.9</v>
      </c>
      <c r="H78" s="654">
        <v>34.4</v>
      </c>
      <c r="I78" s="654">
        <v>38.700000000000003</v>
      </c>
      <c r="J78" s="655">
        <v>50.6</v>
      </c>
      <c r="K78" s="655">
        <v>44.5</v>
      </c>
    </row>
    <row r="79" spans="1:11">
      <c r="A79" s="1236"/>
      <c r="B79" s="645" t="s">
        <v>876</v>
      </c>
      <c r="C79" s="652">
        <v>33.5</v>
      </c>
      <c r="D79" s="652">
        <v>44.657053112507143</v>
      </c>
      <c r="E79" s="652">
        <v>38.724926450922709</v>
      </c>
      <c r="F79" s="652">
        <v>24.777430691136278</v>
      </c>
      <c r="G79" s="652">
        <v>33.519734351508333</v>
      </c>
      <c r="H79" s="652">
        <v>28.924589390075578</v>
      </c>
      <c r="I79" s="652">
        <v>35.385298689762379</v>
      </c>
      <c r="J79" s="652">
        <v>44.23058734512437</v>
      </c>
      <c r="K79" s="652">
        <v>39.669270057946449</v>
      </c>
    </row>
    <row r="80" spans="1:11">
      <c r="A80" s="1236"/>
      <c r="B80" s="645" t="s">
        <v>229</v>
      </c>
      <c r="C80" s="656">
        <v>35.743614556837137</v>
      </c>
      <c r="D80" s="656">
        <v>46.41848273663517</v>
      </c>
      <c r="E80" s="656">
        <v>40.846366145354189</v>
      </c>
      <c r="F80" s="656">
        <v>25.115664267285048</v>
      </c>
      <c r="G80" s="656">
        <v>33.584539930801604</v>
      </c>
      <c r="H80" s="656">
        <v>29.229618866903369</v>
      </c>
      <c r="I80" s="656">
        <v>35.35089146500453</v>
      </c>
      <c r="J80" s="656">
        <v>43.688962939248235</v>
      </c>
      <c r="K80" s="656">
        <v>39.484359467480111</v>
      </c>
    </row>
    <row r="81" spans="1:11">
      <c r="A81" s="1236"/>
      <c r="B81" s="647" t="s">
        <v>228</v>
      </c>
      <c r="C81" s="652">
        <v>32.297654690618756</v>
      </c>
      <c r="D81" s="652">
        <v>43.300897363993265</v>
      </c>
      <c r="E81" s="652">
        <v>37.478214945867435</v>
      </c>
      <c r="F81" s="652">
        <v>23.903549121193045</v>
      </c>
      <c r="G81" s="652">
        <v>32.160990843619217</v>
      </c>
      <c r="H81" s="652">
        <v>27.841464588388455</v>
      </c>
      <c r="I81" s="652">
        <v>33.265773704617551</v>
      </c>
      <c r="J81" s="652">
        <v>42.158547345934153</v>
      </c>
      <c r="K81" s="652">
        <v>37.595242940152389</v>
      </c>
    </row>
    <row r="82" spans="1:11">
      <c r="A82" s="1236"/>
      <c r="B82" s="647" t="s">
        <v>227</v>
      </c>
      <c r="C82" s="388">
        <v>31.892644135188871</v>
      </c>
      <c r="D82" s="388">
        <v>40.959421901056139</v>
      </c>
      <c r="E82" s="388">
        <v>36.172658094988194</v>
      </c>
      <c r="F82" s="388">
        <v>23.522092653143901</v>
      </c>
      <c r="G82" s="388">
        <v>29.477718003516273</v>
      </c>
      <c r="H82" s="388">
        <v>26.369649257037008</v>
      </c>
      <c r="I82" s="388">
        <v>34.168604906306228</v>
      </c>
      <c r="J82" s="388">
        <v>39.46423639878487</v>
      </c>
      <c r="K82" s="388">
        <v>36.753308022375485</v>
      </c>
    </row>
    <row r="83" spans="1:11">
      <c r="A83" s="1236">
        <v>13</v>
      </c>
      <c r="B83" s="653" t="s">
        <v>57</v>
      </c>
      <c r="C83" s="654"/>
      <c r="D83" s="654"/>
      <c r="E83" s="657"/>
      <c r="F83" s="654"/>
      <c r="G83" s="654"/>
      <c r="H83" s="657"/>
      <c r="I83" s="654"/>
      <c r="J83" s="655"/>
      <c r="K83" s="657"/>
    </row>
    <row r="84" spans="1:11">
      <c r="A84" s="1236"/>
      <c r="B84" s="645" t="s">
        <v>919</v>
      </c>
      <c r="C84" s="654">
        <v>22.6</v>
      </c>
      <c r="D84" s="654">
        <v>27.2</v>
      </c>
      <c r="E84" s="657">
        <v>24.8</v>
      </c>
      <c r="F84" s="654">
        <v>18.600000000000001</v>
      </c>
      <c r="G84" s="654">
        <v>22.5</v>
      </c>
      <c r="H84" s="657">
        <v>20.399999999999999</v>
      </c>
      <c r="I84" s="654">
        <v>19.899999999999999</v>
      </c>
      <c r="J84" s="655">
        <v>17.8</v>
      </c>
      <c r="K84" s="657">
        <v>18.899999999999999</v>
      </c>
    </row>
    <row r="85" spans="1:11">
      <c r="A85" s="1236"/>
      <c r="B85" s="645" t="s">
        <v>876</v>
      </c>
      <c r="C85" s="652">
        <v>23.03834246249107</v>
      </c>
      <c r="D85" s="652">
        <v>27.231238398302835</v>
      </c>
      <c r="E85" s="652">
        <v>25.022208281053953</v>
      </c>
      <c r="F85" s="652">
        <v>15.353826448927313</v>
      </c>
      <c r="G85" s="652">
        <v>19.435501005115466</v>
      </c>
      <c r="H85" s="652">
        <v>17.276527603489026</v>
      </c>
      <c r="I85" s="652">
        <v>17.132316835173693</v>
      </c>
      <c r="J85" s="652">
        <v>15.704707459947773</v>
      </c>
      <c r="K85" s="652">
        <v>16.459259456437831</v>
      </c>
    </row>
    <row r="86" spans="1:11">
      <c r="A86" s="1236"/>
      <c r="B86" s="645" t="s">
        <v>229</v>
      </c>
      <c r="C86" s="652">
        <v>24.075519574673756</v>
      </c>
      <c r="D86" s="652">
        <v>26.281752411575564</v>
      </c>
      <c r="E86" s="652">
        <v>25.121728081321475</v>
      </c>
      <c r="F86" s="652">
        <v>13.738406096768477</v>
      </c>
      <c r="G86" s="652">
        <v>19.326551507745155</v>
      </c>
      <c r="H86" s="652">
        <v>16.376635324570021</v>
      </c>
      <c r="I86" s="652">
        <v>15.665205892498946</v>
      </c>
      <c r="J86" s="652">
        <v>14.378423094477407</v>
      </c>
      <c r="K86" s="652">
        <v>15.057183871250363</v>
      </c>
    </row>
    <row r="87" spans="1:11">
      <c r="A87" s="1236"/>
      <c r="B87" s="647" t="s">
        <v>228</v>
      </c>
      <c r="C87" s="652">
        <v>23.947755702722588</v>
      </c>
      <c r="D87" s="652">
        <v>26.919712970484699</v>
      </c>
      <c r="E87" s="652">
        <v>25.360296010296011</v>
      </c>
      <c r="F87" s="652">
        <v>14.599010643081996</v>
      </c>
      <c r="G87" s="652">
        <v>19.480649521870465</v>
      </c>
      <c r="H87" s="652">
        <v>16.908971736778515</v>
      </c>
      <c r="I87" s="652">
        <v>16.898139142838616</v>
      </c>
      <c r="J87" s="652">
        <v>17.052710474351031</v>
      </c>
      <c r="K87" s="652">
        <v>16.971227686951774</v>
      </c>
    </row>
    <row r="88" spans="1:11">
      <c r="A88" s="1236"/>
      <c r="B88" s="647" t="s">
        <v>227</v>
      </c>
      <c r="C88" s="388">
        <v>22.039529870129421</v>
      </c>
      <c r="D88" s="388">
        <v>24.932718337104141</v>
      </c>
      <c r="E88" s="388">
        <v>23.417849382297039</v>
      </c>
      <c r="F88" s="388">
        <v>12.495434623813003</v>
      </c>
      <c r="G88" s="388">
        <v>15.986371609769263</v>
      </c>
      <c r="H88" s="388">
        <v>14.151199999999999</v>
      </c>
      <c r="I88" s="388">
        <v>14.877175429820172</v>
      </c>
      <c r="J88" s="388">
        <v>15.132489402304545</v>
      </c>
      <c r="K88" s="388">
        <v>14.99847864571808</v>
      </c>
    </row>
    <row r="89" spans="1:11">
      <c r="A89" s="1236">
        <v>14</v>
      </c>
      <c r="B89" s="653" t="s">
        <v>29</v>
      </c>
      <c r="C89" s="654"/>
      <c r="D89" s="654"/>
      <c r="E89" s="654"/>
      <c r="F89" s="654"/>
      <c r="G89" s="654"/>
      <c r="H89" s="654"/>
      <c r="I89" s="654"/>
      <c r="J89" s="655"/>
      <c r="K89" s="655"/>
    </row>
    <row r="90" spans="1:11">
      <c r="A90" s="1236"/>
      <c r="B90" s="645" t="s">
        <v>919</v>
      </c>
      <c r="C90" s="654">
        <v>18.600000000000001</v>
      </c>
      <c r="D90" s="654">
        <v>18.7</v>
      </c>
      <c r="E90" s="654">
        <v>18.600000000000001</v>
      </c>
      <c r="F90" s="654">
        <v>15.8</v>
      </c>
      <c r="G90" s="654">
        <v>13.7</v>
      </c>
      <c r="H90" s="654">
        <v>14.8</v>
      </c>
      <c r="I90" s="654">
        <v>13.1</v>
      </c>
      <c r="J90" s="655">
        <v>14.7</v>
      </c>
      <c r="K90" s="655">
        <v>13.9</v>
      </c>
    </row>
    <row r="91" spans="1:11">
      <c r="A91" s="1236"/>
      <c r="B91" s="645" t="s">
        <v>876</v>
      </c>
      <c r="C91" s="652">
        <v>16.543951884253026</v>
      </c>
      <c r="D91" s="652">
        <v>17.520623608017818</v>
      </c>
      <c r="E91" s="652">
        <v>17.018279755981482</v>
      </c>
      <c r="F91" s="652">
        <v>13.425943863084818</v>
      </c>
      <c r="G91" s="652">
        <v>12.556644317079888</v>
      </c>
      <c r="H91" s="652">
        <v>13.006244717129617</v>
      </c>
      <c r="I91" s="652">
        <v>11.59320903956764</v>
      </c>
      <c r="J91" s="652">
        <v>13.249771926255061</v>
      </c>
      <c r="K91" s="652">
        <v>12.444862849897888</v>
      </c>
    </row>
    <row r="92" spans="1:11">
      <c r="A92" s="1236"/>
      <c r="B92" s="645" t="s">
        <v>229</v>
      </c>
      <c r="C92" s="652">
        <v>17.538563829787236</v>
      </c>
      <c r="D92" s="652">
        <v>18.662146118721463</v>
      </c>
      <c r="E92" s="652">
        <v>18.082809873484916</v>
      </c>
      <c r="F92" s="652">
        <v>14.031892460834921</v>
      </c>
      <c r="G92" s="652">
        <v>13.08937177513557</v>
      </c>
      <c r="H92" s="652">
        <v>13.578041798361367</v>
      </c>
      <c r="I92" s="652">
        <v>12.179864013032086</v>
      </c>
      <c r="J92" s="652">
        <v>14.253299289176852</v>
      </c>
      <c r="K92" s="652">
        <v>13.243208505961885</v>
      </c>
    </row>
    <row r="93" spans="1:11">
      <c r="A93" s="1236"/>
      <c r="B93" s="647" t="s">
        <v>228</v>
      </c>
      <c r="C93" s="652">
        <v>16.532781862745097</v>
      </c>
      <c r="D93" s="652">
        <v>16.943466042154569</v>
      </c>
      <c r="E93" s="652">
        <v>16.731164306077197</v>
      </c>
      <c r="F93" s="652">
        <v>14.409600046915319</v>
      </c>
      <c r="G93" s="652">
        <v>13.379753615425816</v>
      </c>
      <c r="H93" s="652">
        <v>13.915069625836148</v>
      </c>
      <c r="I93" s="652">
        <v>11.340893447198741</v>
      </c>
      <c r="J93" s="652">
        <v>12.700335236399459</v>
      </c>
      <c r="K93" s="652">
        <v>12.03626482536102</v>
      </c>
    </row>
    <row r="94" spans="1:11">
      <c r="A94" s="1236"/>
      <c r="B94" s="647" t="s">
        <v>227</v>
      </c>
      <c r="C94" s="388">
        <v>15.819106670182698</v>
      </c>
      <c r="D94" s="388">
        <v>16.087853505488518</v>
      </c>
      <c r="E94" s="388">
        <v>15.948551237021366</v>
      </c>
      <c r="F94" s="388">
        <v>13.018769805193593</v>
      </c>
      <c r="G94" s="388">
        <v>11.450527790447644</v>
      </c>
      <c r="H94" s="388">
        <v>12.26788705315272</v>
      </c>
      <c r="I94" s="388">
        <v>10.435791236229388</v>
      </c>
      <c r="J94" s="388">
        <v>11.746537739524669</v>
      </c>
      <c r="K94" s="388">
        <v>11.104425997143469</v>
      </c>
    </row>
    <row r="95" spans="1:11">
      <c r="A95" s="1236">
        <v>15</v>
      </c>
      <c r="B95" s="642" t="s">
        <v>30</v>
      </c>
      <c r="C95" s="649"/>
      <c r="D95" s="649"/>
      <c r="E95" s="649"/>
      <c r="F95" s="649"/>
      <c r="G95" s="649"/>
      <c r="H95" s="649"/>
      <c r="I95" s="649"/>
      <c r="J95" s="650"/>
      <c r="K95" s="650"/>
    </row>
    <row r="96" spans="1:11">
      <c r="A96" s="1236"/>
      <c r="B96" s="645" t="s">
        <v>919</v>
      </c>
      <c r="C96" s="649">
        <v>36.1</v>
      </c>
      <c r="D96" s="649">
        <v>36.299999999999997</v>
      </c>
      <c r="E96" s="649">
        <v>36.200000000000003</v>
      </c>
      <c r="F96" s="649">
        <v>28.8</v>
      </c>
      <c r="G96" s="649">
        <v>26.8</v>
      </c>
      <c r="H96" s="649">
        <v>27.8</v>
      </c>
      <c r="I96" s="649">
        <v>26.4</v>
      </c>
      <c r="J96" s="650">
        <v>25</v>
      </c>
      <c r="K96" s="650">
        <v>25.8</v>
      </c>
    </row>
    <row r="97" spans="1:11">
      <c r="A97" s="1236"/>
      <c r="B97" s="645" t="s">
        <v>876</v>
      </c>
      <c r="C97" s="652">
        <v>34.834623925297507</v>
      </c>
      <c r="D97" s="652">
        <v>37.168916855030851</v>
      </c>
      <c r="E97" s="652">
        <v>35.96070081339149</v>
      </c>
      <c r="F97" s="652">
        <v>25.327307534176175</v>
      </c>
      <c r="G97" s="652">
        <v>25.873407523037411</v>
      </c>
      <c r="H97" s="652">
        <v>25.59433235994636</v>
      </c>
      <c r="I97" s="652">
        <v>23.155650319829423</v>
      </c>
      <c r="J97" s="652">
        <v>23.62630448642663</v>
      </c>
      <c r="K97" s="652">
        <v>23.383868789508366</v>
      </c>
    </row>
    <row r="98" spans="1:11">
      <c r="A98" s="1236"/>
      <c r="B98" s="645" t="s">
        <v>229</v>
      </c>
      <c r="C98" s="652">
        <v>30.722955815134583</v>
      </c>
      <c r="D98" s="652">
        <v>33.307340283670747</v>
      </c>
      <c r="E98" s="652">
        <v>31.968964610304219</v>
      </c>
      <c r="F98" s="652">
        <v>23.430857117389859</v>
      </c>
      <c r="G98" s="652">
        <v>23.807509500954257</v>
      </c>
      <c r="H98" s="652">
        <v>23.614923786728173</v>
      </c>
      <c r="I98" s="652">
        <v>21.059016431934069</v>
      </c>
      <c r="J98" s="652">
        <v>21.618730934257783</v>
      </c>
      <c r="K98" s="652">
        <v>21.330265052659602</v>
      </c>
    </row>
    <row r="99" spans="1:11">
      <c r="A99" s="1236"/>
      <c r="B99" s="647" t="s">
        <v>228</v>
      </c>
      <c r="C99" s="652">
        <v>27.781671234409082</v>
      </c>
      <c r="D99" s="652">
        <v>29.923527996631982</v>
      </c>
      <c r="E99" s="652">
        <v>28.813742537529706</v>
      </c>
      <c r="F99" s="652">
        <v>20.931468986004774</v>
      </c>
      <c r="G99" s="652">
        <v>21.251038979709534</v>
      </c>
      <c r="H99" s="652">
        <v>21.08757008568876</v>
      </c>
      <c r="I99" s="652">
        <v>18.761369498520271</v>
      </c>
      <c r="J99" s="652">
        <v>19.304939586894939</v>
      </c>
      <c r="K99" s="652">
        <v>19.024646837992492</v>
      </c>
    </row>
    <row r="100" spans="1:11">
      <c r="A100" s="1236"/>
      <c r="B100" s="647" t="s">
        <v>227</v>
      </c>
      <c r="C100" s="388">
        <v>26.927789012500845</v>
      </c>
      <c r="D100" s="388">
        <v>29.018339015198208</v>
      </c>
      <c r="E100" s="388">
        <v>27.934579339440084</v>
      </c>
      <c r="F100" s="388">
        <v>19.769336627779687</v>
      </c>
      <c r="G100" s="388">
        <v>19.736462378003989</v>
      </c>
      <c r="H100" s="388">
        <v>19.753288999740658</v>
      </c>
      <c r="I100" s="388">
        <v>17.719679347930565</v>
      </c>
      <c r="J100" s="388">
        <v>17.725009731811756</v>
      </c>
      <c r="K100" s="388">
        <v>17.722259689768716</v>
      </c>
    </row>
    <row r="101" spans="1:11">
      <c r="A101" s="1236">
        <v>16</v>
      </c>
      <c r="B101" s="642" t="s">
        <v>31</v>
      </c>
      <c r="C101" s="649"/>
      <c r="D101" s="649"/>
      <c r="E101" s="649"/>
      <c r="F101" s="649"/>
      <c r="G101" s="649"/>
      <c r="H101" s="649"/>
      <c r="I101" s="649"/>
      <c r="J101" s="650"/>
      <c r="K101" s="650"/>
    </row>
    <row r="102" spans="1:11">
      <c r="A102" s="1236"/>
      <c r="B102" s="645" t="s">
        <v>919</v>
      </c>
      <c r="C102" s="649">
        <v>34.1</v>
      </c>
      <c r="D102" s="649">
        <v>49</v>
      </c>
      <c r="E102" s="649">
        <v>41.3</v>
      </c>
      <c r="F102" s="649">
        <v>20.399999999999999</v>
      </c>
      <c r="G102" s="649">
        <v>36.799999999999997</v>
      </c>
      <c r="H102" s="649">
        <v>28.3</v>
      </c>
      <c r="I102" s="649">
        <v>24</v>
      </c>
      <c r="J102" s="650">
        <v>33.799999999999997</v>
      </c>
      <c r="K102" s="650">
        <v>28.9</v>
      </c>
    </row>
    <row r="103" spans="1:11">
      <c r="A103" s="1236"/>
      <c r="B103" s="645" t="s">
        <v>876</v>
      </c>
      <c r="C103" s="652">
        <v>34.455424208841272</v>
      </c>
      <c r="D103" s="652">
        <v>52.341721940434383</v>
      </c>
      <c r="E103" s="652">
        <v>43.154206198608478</v>
      </c>
      <c r="F103" s="652">
        <v>23.424573796101338</v>
      </c>
      <c r="G103" s="652">
        <v>44.64732438105645</v>
      </c>
      <c r="H103" s="652">
        <v>33.734956589764543</v>
      </c>
      <c r="I103" s="652">
        <v>23.103727714748786</v>
      </c>
      <c r="J103" s="652">
        <v>35.12903225806452</v>
      </c>
      <c r="K103" s="652">
        <v>29.130962004850446</v>
      </c>
    </row>
    <row r="104" spans="1:11">
      <c r="A104" s="1236"/>
      <c r="B104" s="645" t="s">
        <v>229</v>
      </c>
      <c r="C104" s="652">
        <v>29.847882295001231</v>
      </c>
      <c r="D104" s="652">
        <v>42.276576459924897</v>
      </c>
      <c r="E104" s="652">
        <v>35.905743136636161</v>
      </c>
      <c r="F104" s="652">
        <v>17.272900141258283</v>
      </c>
      <c r="G104" s="652">
        <v>33.522040036357652</v>
      </c>
      <c r="H104" s="652">
        <v>25.184426300915426</v>
      </c>
      <c r="I104" s="652">
        <v>17.663979256978486</v>
      </c>
      <c r="J104" s="652">
        <v>27.607386591730226</v>
      </c>
      <c r="K104" s="652">
        <v>22.658439699151089</v>
      </c>
    </row>
    <row r="105" spans="1:11">
      <c r="A105" s="1236"/>
      <c r="B105" s="647" t="s">
        <v>228</v>
      </c>
      <c r="C105" s="652">
        <v>28.203865566908775</v>
      </c>
      <c r="D105" s="652">
        <v>41.101070001289159</v>
      </c>
      <c r="E105" s="652">
        <v>34.503841309823677</v>
      </c>
      <c r="F105" s="652">
        <v>16.612116849782026</v>
      </c>
      <c r="G105" s="652">
        <v>32.027676039276606</v>
      </c>
      <c r="H105" s="652">
        <v>24.134226227729798</v>
      </c>
      <c r="I105" s="652">
        <v>17.305355262091872</v>
      </c>
      <c r="J105" s="652">
        <v>25.799360511590731</v>
      </c>
      <c r="K105" s="652">
        <v>21.581329846091943</v>
      </c>
    </row>
    <row r="106" spans="1:11">
      <c r="A106" s="1236"/>
      <c r="B106" s="647" t="s">
        <v>227</v>
      </c>
      <c r="C106" s="388">
        <v>29.553036891606986</v>
      </c>
      <c r="D106" s="388">
        <v>38.681751744096964</v>
      </c>
      <c r="E106" s="388">
        <v>34.021891268971075</v>
      </c>
      <c r="F106" s="388">
        <v>16.462073273403764</v>
      </c>
      <c r="G106" s="388">
        <v>30.87412116095436</v>
      </c>
      <c r="H106" s="388">
        <v>23.50982004392219</v>
      </c>
      <c r="I106" s="388">
        <v>16.144841832394992</v>
      </c>
      <c r="J106" s="388">
        <v>24.286680727446377</v>
      </c>
      <c r="K106" s="388">
        <v>20.251716247139587</v>
      </c>
    </row>
    <row r="107" spans="1:11">
      <c r="A107" s="1237">
        <v>17</v>
      </c>
      <c r="B107" s="642" t="s">
        <v>154</v>
      </c>
      <c r="C107" s="646"/>
      <c r="D107" s="646"/>
      <c r="E107" s="646"/>
      <c r="F107" s="646"/>
      <c r="G107" s="646"/>
      <c r="H107" s="646"/>
      <c r="I107" s="646"/>
      <c r="J107" s="658"/>
      <c r="K107" s="658"/>
    </row>
    <row r="108" spans="1:11">
      <c r="A108" s="1238"/>
      <c r="B108" s="645" t="s">
        <v>919</v>
      </c>
      <c r="C108" s="646">
        <v>7.5</v>
      </c>
      <c r="D108" s="646">
        <v>16.399999999999999</v>
      </c>
      <c r="E108" s="646">
        <v>11.5</v>
      </c>
      <c r="F108" s="646">
        <v>22.6</v>
      </c>
      <c r="G108" s="646">
        <v>335.4</v>
      </c>
      <c r="H108" s="646">
        <v>42.3</v>
      </c>
      <c r="I108" s="646">
        <v>10.1</v>
      </c>
      <c r="J108" s="658">
        <v>17</v>
      </c>
      <c r="K108" s="658">
        <v>13.6</v>
      </c>
    </row>
    <row r="109" spans="1:11">
      <c r="A109" s="1238"/>
      <c r="B109" s="645" t="s">
        <v>876</v>
      </c>
      <c r="C109" s="652">
        <v>5.4183578659103135</v>
      </c>
      <c r="D109" s="652">
        <v>11.928161928161927</v>
      </c>
      <c r="E109" s="652">
        <v>8.3823881948698826</v>
      </c>
      <c r="F109" s="652">
        <v>0</v>
      </c>
      <c r="G109" s="652">
        <v>266.66666666666663</v>
      </c>
      <c r="H109" s="652">
        <v>17.391304347826086</v>
      </c>
      <c r="I109" s="652">
        <v>6.1368893727037692</v>
      </c>
      <c r="J109" s="652">
        <v>12.354892205638475</v>
      </c>
      <c r="K109" s="652">
        <v>9.3461943639715557</v>
      </c>
    </row>
    <row r="110" spans="1:11">
      <c r="A110" s="1239"/>
      <c r="B110" s="645" t="s">
        <v>229</v>
      </c>
      <c r="C110" s="652">
        <v>5.0312248186946009</v>
      </c>
      <c r="D110" s="652">
        <v>11.343533349270858</v>
      </c>
      <c r="E110" s="652">
        <v>7.9178965781130426</v>
      </c>
      <c r="F110" s="652">
        <v>0</v>
      </c>
      <c r="G110" s="652">
        <v>0</v>
      </c>
      <c r="H110" s="652">
        <v>0</v>
      </c>
      <c r="I110" s="652">
        <v>6.4667554123169619</v>
      </c>
      <c r="J110" s="652">
        <v>12.328142307942921</v>
      </c>
      <c r="K110" s="652">
        <v>9.5040345724028494</v>
      </c>
    </row>
    <row r="111" spans="1:11">
      <c r="A111" s="1236">
        <v>18</v>
      </c>
      <c r="B111" s="642" t="s">
        <v>32</v>
      </c>
      <c r="C111" s="649"/>
      <c r="D111" s="649"/>
      <c r="E111" s="649"/>
      <c r="F111" s="649"/>
      <c r="G111" s="649"/>
      <c r="H111" s="649"/>
      <c r="I111" s="649"/>
      <c r="J111" s="650"/>
      <c r="K111" s="650"/>
    </row>
    <row r="112" spans="1:11">
      <c r="A112" s="1236"/>
      <c r="B112" s="645" t="s">
        <v>919</v>
      </c>
      <c r="C112" s="649">
        <v>0.3</v>
      </c>
      <c r="D112" s="649">
        <v>1.9</v>
      </c>
      <c r="E112" s="649">
        <v>1.1000000000000001</v>
      </c>
      <c r="F112" s="649">
        <v>0</v>
      </c>
      <c r="G112" s="649">
        <v>0</v>
      </c>
      <c r="H112" s="649">
        <v>0</v>
      </c>
      <c r="I112" s="649">
        <v>0.4</v>
      </c>
      <c r="J112" s="650">
        <v>2</v>
      </c>
      <c r="K112" s="650">
        <v>1.2</v>
      </c>
    </row>
    <row r="113" spans="1:11">
      <c r="A113" s="1236"/>
      <c r="B113" s="645" t="s">
        <v>876</v>
      </c>
      <c r="C113" s="652">
        <v>3.2734432685207975</v>
      </c>
      <c r="D113" s="652">
        <v>11.40491452991453</v>
      </c>
      <c r="E113" s="652">
        <v>7.1730498270782634</v>
      </c>
      <c r="F113" s="652"/>
      <c r="G113" s="652"/>
      <c r="H113" s="652"/>
      <c r="I113" s="652">
        <v>1.8959913326110509</v>
      </c>
      <c r="J113" s="652">
        <v>6.9716775599128544</v>
      </c>
      <c r="K113" s="652">
        <v>4.4269418794133628</v>
      </c>
    </row>
    <row r="114" spans="1:11">
      <c r="A114" s="1236"/>
      <c r="B114" s="645" t="s">
        <v>229</v>
      </c>
      <c r="C114" s="652">
        <v>3.3662363958491524</v>
      </c>
      <c r="D114" s="652">
        <v>11.65075034106412</v>
      </c>
      <c r="E114" s="652">
        <v>7.3529411764705888</v>
      </c>
      <c r="F114" s="652"/>
      <c r="G114" s="652"/>
      <c r="H114" s="652"/>
      <c r="I114" s="652">
        <v>1.9498607242339834</v>
      </c>
      <c r="J114" s="652">
        <v>7.1210013908205845</v>
      </c>
      <c r="K114" s="652">
        <v>4.5372303409881702</v>
      </c>
    </row>
    <row r="115" spans="1:11">
      <c r="A115" s="1236"/>
      <c r="B115" s="647" t="s">
        <v>228</v>
      </c>
      <c r="C115" s="652">
        <v>3.3072916666666665</v>
      </c>
      <c r="D115" s="652">
        <v>11.656441717791409</v>
      </c>
      <c r="E115" s="652">
        <v>7.34006734006734</v>
      </c>
      <c r="F115" s="652"/>
      <c r="G115" s="652"/>
      <c r="H115" s="652"/>
      <c r="I115" s="652">
        <v>1.8343364860991689</v>
      </c>
      <c r="J115" s="652">
        <v>6.9945976684674438</v>
      </c>
      <c r="K115" s="652">
        <v>4.4247787610619467</v>
      </c>
    </row>
    <row r="116" spans="1:11">
      <c r="A116" s="1236"/>
      <c r="B116" s="647" t="s">
        <v>227</v>
      </c>
      <c r="C116" s="388">
        <v>3.1115879828326181</v>
      </c>
      <c r="D116" s="388">
        <v>12.432278300541775</v>
      </c>
      <c r="E116" s="388">
        <v>7.6306331213713028</v>
      </c>
      <c r="F116" s="652"/>
      <c r="G116" s="652"/>
      <c r="H116" s="652"/>
      <c r="I116" s="388">
        <v>1.6533805727782698</v>
      </c>
      <c r="J116" s="388">
        <v>5.2906976744186052</v>
      </c>
      <c r="K116" s="388">
        <v>3.4861579024461693</v>
      </c>
    </row>
    <row r="117" spans="1:11">
      <c r="A117" s="1236">
        <v>19</v>
      </c>
      <c r="B117" s="642" t="s">
        <v>33</v>
      </c>
      <c r="C117" s="649"/>
      <c r="D117" s="649"/>
      <c r="E117" s="657"/>
      <c r="F117" s="649"/>
      <c r="G117" s="649"/>
      <c r="H117" s="649"/>
      <c r="I117" s="649"/>
      <c r="J117" s="650"/>
      <c r="K117" s="657"/>
    </row>
    <row r="118" spans="1:11">
      <c r="A118" s="1236"/>
      <c r="B118" s="645" t="s">
        <v>919</v>
      </c>
      <c r="C118" s="649">
        <v>29.7</v>
      </c>
      <c r="D118" s="649">
        <v>28</v>
      </c>
      <c r="E118" s="657">
        <v>28.9</v>
      </c>
      <c r="F118" s="649">
        <v>27.3</v>
      </c>
      <c r="G118" s="649">
        <v>26.7</v>
      </c>
      <c r="H118" s="649">
        <v>27</v>
      </c>
      <c r="I118" s="649">
        <v>17.8</v>
      </c>
      <c r="J118" s="650">
        <v>17.2</v>
      </c>
      <c r="K118" s="657">
        <v>17.5</v>
      </c>
    </row>
    <row r="119" spans="1:11">
      <c r="A119" s="1236"/>
      <c r="B119" s="645" t="s">
        <v>876</v>
      </c>
      <c r="C119" s="652">
        <v>27.333121145812612</v>
      </c>
      <c r="D119" s="652">
        <v>26.796030460851679</v>
      </c>
      <c r="E119" s="652">
        <v>27.077369539846615</v>
      </c>
      <c r="F119" s="652">
        <v>25.503974643823135</v>
      </c>
      <c r="G119" s="652">
        <v>25.781039693930353</v>
      </c>
      <c r="H119" s="652">
        <v>25.632876072313859</v>
      </c>
      <c r="I119" s="652">
        <v>15.292030858387479</v>
      </c>
      <c r="J119" s="652">
        <v>16.117247229833389</v>
      </c>
      <c r="K119" s="652">
        <v>15.712031219228944</v>
      </c>
    </row>
    <row r="120" spans="1:11">
      <c r="A120" s="1236"/>
      <c r="B120" s="645" t="s">
        <v>229</v>
      </c>
      <c r="C120" s="652">
        <v>22.946591820368887</v>
      </c>
      <c r="D120" s="652">
        <v>22.972545720232031</v>
      </c>
      <c r="E120" s="652">
        <v>22.958925152031647</v>
      </c>
      <c r="F120" s="652">
        <v>21.588199181612953</v>
      </c>
      <c r="G120" s="652">
        <v>21.830079563768145</v>
      </c>
      <c r="H120" s="652">
        <v>21.700495308978457</v>
      </c>
      <c r="I120" s="652">
        <v>11.820105681011594</v>
      </c>
      <c r="J120" s="652">
        <v>11.404172338391644</v>
      </c>
      <c r="K120" s="652">
        <v>11.60882080456939</v>
      </c>
    </row>
    <row r="121" spans="1:11">
      <c r="A121" s="1236"/>
      <c r="B121" s="647" t="s">
        <v>228</v>
      </c>
      <c r="C121" s="652">
        <v>20.766579106890283</v>
      </c>
      <c r="D121" s="652">
        <v>20.199982076443966</v>
      </c>
      <c r="E121" s="652">
        <v>20.497896391993539</v>
      </c>
      <c r="F121" s="652">
        <v>19.08464314591674</v>
      </c>
      <c r="G121" s="652">
        <v>18.453104315925213</v>
      </c>
      <c r="H121" s="652">
        <v>18.792058640627687</v>
      </c>
      <c r="I121" s="652">
        <v>11.16198092731492</v>
      </c>
      <c r="J121" s="652">
        <v>10.512873092065075</v>
      </c>
      <c r="K121" s="652">
        <v>10.832897443280318</v>
      </c>
    </row>
    <row r="122" spans="1:11">
      <c r="A122" s="1236"/>
      <c r="B122" s="647" t="s">
        <v>227</v>
      </c>
      <c r="C122" s="388">
        <v>20.84355291578602</v>
      </c>
      <c r="D122" s="388">
        <v>19.546968634403974</v>
      </c>
      <c r="E122" s="388">
        <v>20.230025738498934</v>
      </c>
      <c r="F122" s="388">
        <v>19.832057635613022</v>
      </c>
      <c r="G122" s="388">
        <v>17.943377928983224</v>
      </c>
      <c r="H122" s="388">
        <v>18.959006974693356</v>
      </c>
      <c r="I122" s="388">
        <v>10.714396991075601</v>
      </c>
      <c r="J122" s="388">
        <v>9.1935888701638646</v>
      </c>
      <c r="K122" s="388">
        <v>9.9449311901009185</v>
      </c>
    </row>
    <row r="123" spans="1:11">
      <c r="A123" s="1236">
        <v>20</v>
      </c>
      <c r="B123" s="653" t="s">
        <v>34</v>
      </c>
      <c r="C123" s="654"/>
      <c r="D123" s="654"/>
      <c r="E123" s="657"/>
      <c r="F123" s="654"/>
      <c r="G123" s="654"/>
      <c r="H123" s="657"/>
      <c r="I123" s="654"/>
      <c r="J123" s="655"/>
      <c r="K123" s="657"/>
    </row>
    <row r="124" spans="1:11">
      <c r="A124" s="1236"/>
      <c r="B124" s="645" t="s">
        <v>919</v>
      </c>
      <c r="C124" s="654">
        <v>37.1</v>
      </c>
      <c r="D124" s="654">
        <v>33.299999999999997</v>
      </c>
      <c r="E124" s="657">
        <v>35.299999999999997</v>
      </c>
      <c r="F124" s="654">
        <v>37.6</v>
      </c>
      <c r="G124" s="654">
        <v>34.9</v>
      </c>
      <c r="H124" s="657">
        <v>36.299999999999997</v>
      </c>
      <c r="I124" s="654">
        <v>19.399999999999999</v>
      </c>
      <c r="J124" s="655">
        <v>15.2</v>
      </c>
      <c r="K124" s="657">
        <v>17.3</v>
      </c>
    </row>
    <row r="125" spans="1:11">
      <c r="A125" s="1236"/>
      <c r="B125" s="645" t="s">
        <v>876</v>
      </c>
      <c r="C125" s="652">
        <v>36.226804873084639</v>
      </c>
      <c r="D125" s="652">
        <v>33.469955683003128</v>
      </c>
      <c r="E125" s="652">
        <v>34.926852691261658</v>
      </c>
      <c r="F125" s="652">
        <v>34.637798751894231</v>
      </c>
      <c r="G125" s="652">
        <v>33.080887167952625</v>
      </c>
      <c r="H125" s="652">
        <v>33.890932072491772</v>
      </c>
      <c r="I125" s="652">
        <v>18.591942474356429</v>
      </c>
      <c r="J125" s="652">
        <v>14.429389370184959</v>
      </c>
      <c r="K125" s="652">
        <v>16.509280283303823</v>
      </c>
    </row>
    <row r="126" spans="1:11">
      <c r="A126" s="1236"/>
      <c r="B126" s="645" t="s">
        <v>229</v>
      </c>
      <c r="C126" s="652">
        <v>33.475044124880647</v>
      </c>
      <c r="D126" s="652">
        <v>31.69638796855714</v>
      </c>
      <c r="E126" s="652">
        <v>32.637091220714034</v>
      </c>
      <c r="F126" s="652">
        <v>30.915749088953088</v>
      </c>
      <c r="G126" s="652">
        <v>31.380438456398174</v>
      </c>
      <c r="H126" s="652">
        <v>31.138470213690777</v>
      </c>
      <c r="I126" s="652">
        <v>17.563264093675169</v>
      </c>
      <c r="J126" s="652">
        <v>13.763261999505294</v>
      </c>
      <c r="K126" s="652">
        <v>15.6636004820029</v>
      </c>
    </row>
    <row r="127" spans="1:11">
      <c r="A127" s="1236"/>
      <c r="B127" s="647" t="s">
        <v>228</v>
      </c>
      <c r="C127" s="652">
        <v>33.465173198191714</v>
      </c>
      <c r="D127" s="652">
        <v>30.85581530889781</v>
      </c>
      <c r="E127" s="652">
        <v>32.236949994665693</v>
      </c>
      <c r="F127" s="652">
        <v>31.898347665071014</v>
      </c>
      <c r="G127" s="652">
        <v>30.936729240447402</v>
      </c>
      <c r="H127" s="652">
        <v>31.437854201523617</v>
      </c>
      <c r="I127" s="652">
        <v>17.3645218505686</v>
      </c>
      <c r="J127" s="652">
        <v>13.210391578975239</v>
      </c>
      <c r="K127" s="652">
        <v>15.289572481150056</v>
      </c>
    </row>
    <row r="128" spans="1:11">
      <c r="A128" s="1236"/>
      <c r="B128" s="647" t="s">
        <v>227</v>
      </c>
      <c r="C128" s="388">
        <v>32.539730394154795</v>
      </c>
      <c r="D128" s="388">
        <v>30.028383143127584</v>
      </c>
      <c r="E128" s="388">
        <v>31.358677850380225</v>
      </c>
      <c r="F128" s="388">
        <v>31.958214901846414</v>
      </c>
      <c r="G128" s="388">
        <v>29.678673108501503</v>
      </c>
      <c r="H128" s="388">
        <v>30.867546581946197</v>
      </c>
      <c r="I128" s="388">
        <v>17.777273765677105</v>
      </c>
      <c r="J128" s="388">
        <v>12.67357731758092</v>
      </c>
      <c r="K128" s="388">
        <v>15.230125178547171</v>
      </c>
    </row>
    <row r="129" spans="1:11">
      <c r="A129" s="1236">
        <v>21</v>
      </c>
      <c r="B129" s="653" t="s">
        <v>35</v>
      </c>
      <c r="C129" s="654"/>
      <c r="D129" s="654"/>
      <c r="E129" s="654"/>
      <c r="F129" s="654"/>
      <c r="G129" s="654"/>
      <c r="H129" s="654"/>
      <c r="I129" s="654"/>
      <c r="J129" s="655"/>
      <c r="K129" s="655"/>
    </row>
    <row r="130" spans="1:11">
      <c r="A130" s="1236"/>
      <c r="B130" s="645" t="s">
        <v>919</v>
      </c>
      <c r="C130" s="654">
        <v>35.299999999999997</v>
      </c>
      <c r="D130" s="654">
        <v>35.5</v>
      </c>
      <c r="E130" s="654">
        <v>35.4</v>
      </c>
      <c r="F130" s="654">
        <v>60.3</v>
      </c>
      <c r="G130" s="654">
        <v>61</v>
      </c>
      <c r="H130" s="654">
        <v>60.6</v>
      </c>
      <c r="I130" s="654">
        <v>22</v>
      </c>
      <c r="J130" s="655">
        <v>24.2</v>
      </c>
      <c r="K130" s="655">
        <v>23</v>
      </c>
    </row>
    <row r="131" spans="1:11">
      <c r="A131" s="1236"/>
      <c r="B131" s="645" t="s">
        <v>876</v>
      </c>
      <c r="C131" s="652">
        <v>36.931684208269921</v>
      </c>
      <c r="D131" s="652">
        <v>38.604034441436241</v>
      </c>
      <c r="E131" s="652">
        <v>37.753371932005273</v>
      </c>
      <c r="F131" s="652">
        <v>79.151177199504346</v>
      </c>
      <c r="G131" s="652">
        <v>68.943593087707853</v>
      </c>
      <c r="H131" s="652">
        <v>74.177918983320097</v>
      </c>
      <c r="I131" s="652">
        <v>18.543556138913836</v>
      </c>
      <c r="J131" s="652">
        <v>19.952391028353787</v>
      </c>
      <c r="K131" s="652">
        <v>19.223483397923911</v>
      </c>
    </row>
    <row r="132" spans="1:11">
      <c r="A132" s="1236"/>
      <c r="B132" s="645" t="s">
        <v>229</v>
      </c>
      <c r="C132" s="652">
        <v>32.814772519149763</v>
      </c>
      <c r="D132" s="652">
        <v>35.395374455466481</v>
      </c>
      <c r="E132" s="652">
        <v>34.084234898722713</v>
      </c>
      <c r="F132" s="652">
        <v>52.203020395453834</v>
      </c>
      <c r="G132" s="652">
        <v>53.277750531306204</v>
      </c>
      <c r="H132" s="652">
        <v>52.72727272727272</v>
      </c>
      <c r="I132" s="652">
        <v>17.518798484217211</v>
      </c>
      <c r="J132" s="652">
        <v>19.386975619071869</v>
      </c>
      <c r="K132" s="652">
        <v>18.421511329847228</v>
      </c>
    </row>
    <row r="133" spans="1:11">
      <c r="A133" s="1236"/>
      <c r="B133" s="647" t="s">
        <v>228</v>
      </c>
      <c r="C133" s="652">
        <v>29.607589384824479</v>
      </c>
      <c r="D133" s="652">
        <v>31.075577178437126</v>
      </c>
      <c r="E133" s="652">
        <v>30.330517649774396</v>
      </c>
      <c r="F133" s="652">
        <v>52.034428794992174</v>
      </c>
      <c r="G133" s="652">
        <v>49.565502541400228</v>
      </c>
      <c r="H133" s="652">
        <v>50.828729281767963</v>
      </c>
      <c r="I133" s="652">
        <v>18.2711100474652</v>
      </c>
      <c r="J133" s="652">
        <v>18.569391837255818</v>
      </c>
      <c r="K133" s="652">
        <v>18.41541755888651</v>
      </c>
    </row>
    <row r="134" spans="1:11">
      <c r="A134" s="1236"/>
      <c r="B134" s="647" t="s">
        <v>227</v>
      </c>
      <c r="C134" s="388">
        <v>27.907529209606626</v>
      </c>
      <c r="D134" s="388">
        <v>29.88289226267511</v>
      </c>
      <c r="E134" s="388">
        <v>28.881615450964137</v>
      </c>
      <c r="F134" s="388">
        <v>55.427942101950912</v>
      </c>
      <c r="G134" s="388">
        <v>51.216705031239727</v>
      </c>
      <c r="H134" s="388">
        <v>53.364418361604628</v>
      </c>
      <c r="I134" s="388">
        <v>17.678251019937651</v>
      </c>
      <c r="J134" s="388">
        <v>17.178280678168644</v>
      </c>
      <c r="K134" s="388">
        <v>17.43606706497695</v>
      </c>
    </row>
    <row r="135" spans="1:11">
      <c r="A135" s="1236">
        <v>22</v>
      </c>
      <c r="B135" s="653" t="s">
        <v>36</v>
      </c>
      <c r="C135" s="654"/>
      <c r="D135" s="654"/>
      <c r="E135" s="654"/>
      <c r="F135" s="654"/>
      <c r="G135" s="654"/>
      <c r="H135" s="654"/>
      <c r="I135" s="654"/>
      <c r="J135" s="655"/>
      <c r="K135" s="655"/>
    </row>
    <row r="136" spans="1:11">
      <c r="A136" s="1236"/>
      <c r="B136" s="645" t="s">
        <v>919</v>
      </c>
      <c r="C136" s="654">
        <v>22.7</v>
      </c>
      <c r="D136" s="654">
        <v>28.1</v>
      </c>
      <c r="E136" s="654">
        <v>25.4</v>
      </c>
      <c r="F136" s="654">
        <v>101.9</v>
      </c>
      <c r="G136" s="654">
        <v>119.4</v>
      </c>
      <c r="H136" s="654">
        <v>110</v>
      </c>
      <c r="I136" s="654">
        <v>20.2</v>
      </c>
      <c r="J136" s="655">
        <v>26.4</v>
      </c>
      <c r="K136" s="655">
        <v>23.3</v>
      </c>
    </row>
    <row r="137" spans="1:11">
      <c r="A137" s="1236"/>
      <c r="B137" s="645" t="s">
        <v>876</v>
      </c>
      <c r="C137" s="652">
        <v>22.583619750188618</v>
      </c>
      <c r="D137" s="652">
        <v>28.988591861059081</v>
      </c>
      <c r="E137" s="652">
        <v>25.761351636747627</v>
      </c>
      <c r="F137" s="652">
        <v>164.51361867704279</v>
      </c>
      <c r="G137" s="652">
        <v>154.97716894977168</v>
      </c>
      <c r="H137" s="652">
        <v>160.12605042016807</v>
      </c>
      <c r="I137" s="652">
        <v>18.728376647088314</v>
      </c>
      <c r="J137" s="652">
        <v>25.459777840235603</v>
      </c>
      <c r="K137" s="652">
        <v>22.115736427673188</v>
      </c>
    </row>
    <row r="138" spans="1:11">
      <c r="A138" s="1236"/>
      <c r="B138" s="645" t="s">
        <v>229</v>
      </c>
      <c r="C138" s="652">
        <v>20.980685384501967</v>
      </c>
      <c r="D138" s="652">
        <v>25.448986778499854</v>
      </c>
      <c r="E138" s="652">
        <v>23.200055124015783</v>
      </c>
      <c r="F138" s="652">
        <v>87.881157154026582</v>
      </c>
      <c r="G138" s="652">
        <v>75.45787545787546</v>
      </c>
      <c r="H138" s="652">
        <v>82.194092827004212</v>
      </c>
      <c r="I138" s="652">
        <v>18.168246622378145</v>
      </c>
      <c r="J138" s="652">
        <v>24.147311281162121</v>
      </c>
      <c r="K138" s="652">
        <v>21.180432306633374</v>
      </c>
    </row>
    <row r="139" spans="1:11">
      <c r="A139" s="1236"/>
      <c r="B139" s="647" t="s">
        <v>228</v>
      </c>
      <c r="C139" s="652">
        <v>20.884029361798966</v>
      </c>
      <c r="D139" s="652">
        <v>25.397521775418923</v>
      </c>
      <c r="E139" s="652">
        <v>23.128496970954686</v>
      </c>
      <c r="F139" s="652">
        <v>71.462264150943398</v>
      </c>
      <c r="G139" s="652">
        <v>193.93939393939394</v>
      </c>
      <c r="H139" s="652">
        <v>127.95425667090217</v>
      </c>
      <c r="I139" s="652">
        <v>18.530720948260772</v>
      </c>
      <c r="J139" s="652">
        <v>23.580981870234872</v>
      </c>
      <c r="K139" s="652">
        <v>21.077876967219972</v>
      </c>
    </row>
    <row r="140" spans="1:11">
      <c r="A140" s="1236"/>
      <c r="B140" s="647" t="s">
        <v>227</v>
      </c>
      <c r="C140" s="388">
        <v>21.504331688054471</v>
      </c>
      <c r="D140" s="388">
        <v>23.280840515830288</v>
      </c>
      <c r="E140" s="388">
        <v>22.388780571696337</v>
      </c>
      <c r="F140" s="388">
        <v>44.865718799368089</v>
      </c>
      <c r="G140" s="388">
        <v>34.622467771639045</v>
      </c>
      <c r="H140" s="388">
        <v>40.153126329221607</v>
      </c>
      <c r="I140" s="388">
        <v>16.330185300382666</v>
      </c>
      <c r="J140" s="388">
        <v>19.065572558586531</v>
      </c>
      <c r="K140" s="388">
        <v>17.711395429136687</v>
      </c>
    </row>
    <row r="141" spans="1:11">
      <c r="A141" s="1236">
        <v>23</v>
      </c>
      <c r="B141" s="653" t="s">
        <v>37</v>
      </c>
      <c r="C141" s="654"/>
      <c r="D141" s="654"/>
      <c r="E141" s="654"/>
      <c r="F141" s="654"/>
      <c r="G141" s="654"/>
      <c r="H141" s="654"/>
      <c r="I141" s="654"/>
      <c r="J141" s="655"/>
      <c r="K141" s="655"/>
    </row>
    <row r="142" spans="1:11">
      <c r="A142" s="1236"/>
      <c r="B142" s="645" t="s">
        <v>919</v>
      </c>
      <c r="C142" s="654">
        <v>31.4</v>
      </c>
      <c r="D142" s="654">
        <v>33.200000000000003</v>
      </c>
      <c r="E142" s="654">
        <v>32.299999999999997</v>
      </c>
      <c r="F142" s="654">
        <v>206.5</v>
      </c>
      <c r="G142" s="654">
        <v>304.8</v>
      </c>
      <c r="H142" s="654">
        <v>241.1</v>
      </c>
      <c r="I142" s="654">
        <v>31.8</v>
      </c>
      <c r="J142" s="655">
        <v>33.299999999999997</v>
      </c>
      <c r="K142" s="655">
        <v>32.5</v>
      </c>
    </row>
    <row r="143" spans="1:11">
      <c r="A143" s="1236"/>
      <c r="B143" s="645" t="s">
        <v>876</v>
      </c>
      <c r="C143" s="652">
        <v>26.15833140334864</v>
      </c>
      <c r="D143" s="652">
        <v>27.50884812250596</v>
      </c>
      <c r="E143" s="652">
        <v>26.821967544795665</v>
      </c>
      <c r="F143" s="652">
        <v>163.9344262295082</v>
      </c>
      <c r="G143" s="652">
        <v>168.18181818181819</v>
      </c>
      <c r="H143" s="652">
        <v>165.42553191489361</v>
      </c>
      <c r="I143" s="652">
        <v>26.313245246535612</v>
      </c>
      <c r="J143" s="652">
        <v>27.531552252889835</v>
      </c>
      <c r="K143" s="652">
        <v>26.920420310088911</v>
      </c>
    </row>
    <row r="144" spans="1:11">
      <c r="A144" s="1236"/>
      <c r="B144" s="645" t="s">
        <v>229</v>
      </c>
      <c r="C144" s="652">
        <v>23.497507259080699</v>
      </c>
      <c r="D144" s="652">
        <v>22.741093778726896</v>
      </c>
      <c r="E144" s="652">
        <v>23.12536094238142</v>
      </c>
      <c r="F144" s="652">
        <v>131.96721311475409</v>
      </c>
      <c r="G144" s="652">
        <v>92.424242424242422</v>
      </c>
      <c r="H144" s="652">
        <v>118.08510638297874</v>
      </c>
      <c r="I144" s="652">
        <v>23.389590880975526</v>
      </c>
      <c r="J144" s="652">
        <v>23.200343073465042</v>
      </c>
      <c r="K144" s="652">
        <v>23.295161076103479</v>
      </c>
    </row>
    <row r="145" spans="1:11">
      <c r="A145" s="1236"/>
      <c r="B145" s="647" t="s">
        <v>228</v>
      </c>
      <c r="C145" s="652">
        <v>23.20540890376062</v>
      </c>
      <c r="D145" s="652">
        <v>22.675177304964539</v>
      </c>
      <c r="E145" s="652">
        <v>22.944382336500837</v>
      </c>
      <c r="F145" s="652">
        <v>118.18181818181819</v>
      </c>
      <c r="G145" s="652">
        <v>116.66666666666667</v>
      </c>
      <c r="H145" s="652">
        <v>117.64705882352942</v>
      </c>
      <c r="I145" s="652">
        <v>23.447540643785722</v>
      </c>
      <c r="J145" s="652">
        <v>22.82718319886094</v>
      </c>
      <c r="K145" s="652">
        <v>23.137623923771137</v>
      </c>
    </row>
    <row r="146" spans="1:11">
      <c r="A146" s="1236"/>
      <c r="B146" s="647" t="s">
        <v>227</v>
      </c>
      <c r="C146" s="388">
        <v>21.959019797867921</v>
      </c>
      <c r="D146" s="388">
        <v>19.396784748897424</v>
      </c>
      <c r="E146" s="388">
        <v>20.695341004771258</v>
      </c>
      <c r="F146" s="388">
        <v>108.33333333333333</v>
      </c>
      <c r="G146" s="388">
        <v>92.424242424242422</v>
      </c>
      <c r="H146" s="388">
        <v>102.68817204301075</v>
      </c>
      <c r="I146" s="388">
        <v>22.158541123930036</v>
      </c>
      <c r="J146" s="388">
        <v>19.560269550600239</v>
      </c>
      <c r="K146" s="388">
        <v>20.858941353293947</v>
      </c>
    </row>
    <row r="147" spans="1:11">
      <c r="A147" s="1236">
        <v>24</v>
      </c>
      <c r="B147" s="653" t="s">
        <v>38</v>
      </c>
      <c r="C147" s="654"/>
      <c r="D147" s="654"/>
      <c r="E147" s="654"/>
      <c r="F147" s="654"/>
      <c r="G147" s="654"/>
      <c r="H147" s="654"/>
      <c r="I147" s="654"/>
      <c r="J147" s="655"/>
      <c r="K147" s="655"/>
    </row>
    <row r="148" spans="1:11">
      <c r="A148" s="1236"/>
      <c r="B148" s="645" t="s">
        <v>919</v>
      </c>
      <c r="C148" s="654">
        <v>16.5</v>
      </c>
      <c r="D148" s="654">
        <v>21.2</v>
      </c>
      <c r="E148" s="654">
        <v>18.8</v>
      </c>
      <c r="F148" s="654">
        <v>0</v>
      </c>
      <c r="G148" s="654">
        <v>0</v>
      </c>
      <c r="H148" s="654">
        <v>0</v>
      </c>
      <c r="I148" s="654">
        <v>17.2</v>
      </c>
      <c r="J148" s="655">
        <v>21.5</v>
      </c>
      <c r="K148" s="655">
        <v>19.3</v>
      </c>
    </row>
    <row r="149" spans="1:11">
      <c r="A149" s="1236"/>
      <c r="B149" s="645" t="s">
        <v>876</v>
      </c>
      <c r="C149" s="652">
        <v>15.352254840371844</v>
      </c>
      <c r="D149" s="652">
        <v>19.336524887988706</v>
      </c>
      <c r="E149" s="652">
        <v>17.261421161177427</v>
      </c>
      <c r="F149" s="652"/>
      <c r="G149" s="652"/>
      <c r="H149" s="652"/>
      <c r="I149" s="652">
        <v>15.169561621174523</v>
      </c>
      <c r="J149" s="652">
        <v>18.852748730592506</v>
      </c>
      <c r="K149" s="652">
        <v>16.973056028096362</v>
      </c>
    </row>
    <row r="150" spans="1:11">
      <c r="A150" s="1236"/>
      <c r="B150" s="645" t="s">
        <v>229</v>
      </c>
      <c r="C150" s="652">
        <v>14.368916886580971</v>
      </c>
      <c r="D150" s="652">
        <v>18.697642217008347</v>
      </c>
      <c r="E150" s="652">
        <v>16.445661520746683</v>
      </c>
      <c r="F150" s="652"/>
      <c r="G150" s="652"/>
      <c r="H150" s="652"/>
      <c r="I150" s="652">
        <v>15.345608711916539</v>
      </c>
      <c r="J150" s="652">
        <v>19.444540488209665</v>
      </c>
      <c r="K150" s="652">
        <v>17.355063712216559</v>
      </c>
    </row>
    <row r="151" spans="1:11">
      <c r="A151" s="1236"/>
      <c r="B151" s="647" t="s">
        <v>228</v>
      </c>
      <c r="C151" s="652">
        <v>15.676558244328149</v>
      </c>
      <c r="D151" s="652">
        <v>18.107138724979752</v>
      </c>
      <c r="E151" s="652">
        <v>16.844078710925199</v>
      </c>
      <c r="F151" s="652"/>
      <c r="G151" s="652"/>
      <c r="H151" s="652"/>
      <c r="I151" s="652">
        <v>15.552807693271728</v>
      </c>
      <c r="J151" s="652">
        <v>18.619828908707976</v>
      </c>
      <c r="K151" s="652">
        <v>17.058187913181829</v>
      </c>
    </row>
    <row r="152" spans="1:11">
      <c r="A152" s="1236"/>
      <c r="B152" s="647" t="s">
        <v>227</v>
      </c>
      <c r="C152" s="388">
        <v>15.850084202228674</v>
      </c>
      <c r="D152" s="388">
        <v>16.581332755847047</v>
      </c>
      <c r="E152" s="388">
        <v>16.201830084808808</v>
      </c>
      <c r="F152" s="652"/>
      <c r="G152" s="652"/>
      <c r="H152" s="652"/>
      <c r="I152" s="388">
        <v>14.799637230862247</v>
      </c>
      <c r="J152" s="388">
        <v>16.542679853301586</v>
      </c>
      <c r="K152" s="388">
        <v>15.656203288490284</v>
      </c>
    </row>
    <row r="153" spans="1:11">
      <c r="A153" s="1236">
        <v>25</v>
      </c>
      <c r="B153" s="653" t="s">
        <v>39</v>
      </c>
      <c r="C153" s="654"/>
      <c r="D153" s="654"/>
      <c r="E153" s="654"/>
      <c r="F153" s="654"/>
      <c r="G153" s="654"/>
      <c r="H153" s="654"/>
      <c r="I153" s="654"/>
      <c r="J153" s="655"/>
      <c r="K153" s="655"/>
    </row>
    <row r="154" spans="1:11">
      <c r="A154" s="1236"/>
      <c r="B154" s="645" t="s">
        <v>919</v>
      </c>
      <c r="C154" s="654">
        <v>23.5</v>
      </c>
      <c r="D154" s="654">
        <v>20.6</v>
      </c>
      <c r="E154" s="654">
        <v>22.1</v>
      </c>
      <c r="F154" s="654">
        <v>25.2</v>
      </c>
      <c r="G154" s="654">
        <v>19.899999999999999</v>
      </c>
      <c r="H154" s="654">
        <v>22.6</v>
      </c>
      <c r="I154" s="654">
        <v>16.7</v>
      </c>
      <c r="J154" s="655">
        <v>14.3</v>
      </c>
      <c r="K154" s="655">
        <v>15.5</v>
      </c>
    </row>
    <row r="155" spans="1:11">
      <c r="A155" s="1236"/>
      <c r="B155" s="645" t="s">
        <v>876</v>
      </c>
      <c r="C155" s="652">
        <v>21.332265130618204</v>
      </c>
      <c r="D155" s="652">
        <v>20.129654422224082</v>
      </c>
      <c r="E155" s="652">
        <v>20.740247971330888</v>
      </c>
      <c r="F155" s="652">
        <v>21.443933969723446</v>
      </c>
      <c r="G155" s="652">
        <v>18.415357600493572</v>
      </c>
      <c r="H155" s="652">
        <v>19.951568074217075</v>
      </c>
      <c r="I155" s="652">
        <v>14.203099021371953</v>
      </c>
      <c r="J155" s="652">
        <v>12.754841809580132</v>
      </c>
      <c r="K155" s="652">
        <v>13.458833629799452</v>
      </c>
    </row>
    <row r="156" spans="1:11">
      <c r="A156" s="1236"/>
      <c r="B156" s="645" t="s">
        <v>229</v>
      </c>
      <c r="C156" s="652">
        <v>21.553555428850697</v>
      </c>
      <c r="D156" s="652">
        <v>19.490374152506906</v>
      </c>
      <c r="E156" s="652">
        <v>20.536017998678997</v>
      </c>
      <c r="F156" s="652">
        <v>20.544070950480933</v>
      </c>
      <c r="G156" s="652">
        <v>16.939367972293894</v>
      </c>
      <c r="H156" s="652">
        <v>18.764523557019061</v>
      </c>
      <c r="I156" s="652">
        <v>13.736820941340316</v>
      </c>
      <c r="J156" s="652">
        <v>11.985085194448912</v>
      </c>
      <c r="K156" s="652">
        <v>12.835012938463544</v>
      </c>
    </row>
    <row r="157" spans="1:11">
      <c r="A157" s="1236"/>
      <c r="B157" s="647" t="s">
        <v>228</v>
      </c>
      <c r="C157" s="652">
        <v>22.831370624795554</v>
      </c>
      <c r="D157" s="652">
        <v>19.292807502302605</v>
      </c>
      <c r="E157" s="652">
        <v>21.082950643332921</v>
      </c>
      <c r="F157" s="652">
        <v>21.425019518905454</v>
      </c>
      <c r="G157" s="652">
        <v>16.7177979664623</v>
      </c>
      <c r="H157" s="652">
        <v>19.096877238722708</v>
      </c>
      <c r="I157" s="652">
        <v>13.582330582744156</v>
      </c>
      <c r="J157" s="652">
        <v>10.881947192644398</v>
      </c>
      <c r="K157" s="652">
        <v>12.189660171211452</v>
      </c>
    </row>
    <row r="158" spans="1:11">
      <c r="A158" s="1236"/>
      <c r="B158" s="647" t="s">
        <v>227</v>
      </c>
      <c r="C158" s="388">
        <v>22.562404269339233</v>
      </c>
      <c r="D158" s="388">
        <v>19.524313601194695</v>
      </c>
      <c r="E158" s="388">
        <v>21.058475067623601</v>
      </c>
      <c r="F158" s="388">
        <v>20.64498969966894</v>
      </c>
      <c r="G158" s="388">
        <v>15.331463169571279</v>
      </c>
      <c r="H158" s="388">
        <v>18.012085345988343</v>
      </c>
      <c r="I158" s="388">
        <v>13.557890990340789</v>
      </c>
      <c r="J158" s="388">
        <v>10.433296274166308</v>
      </c>
      <c r="K158" s="388">
        <v>11.943569413329866</v>
      </c>
    </row>
    <row r="159" spans="1:11">
      <c r="A159" s="1236">
        <v>26</v>
      </c>
      <c r="B159" s="642" t="s">
        <v>40</v>
      </c>
      <c r="C159" s="649"/>
      <c r="D159" s="649"/>
      <c r="E159" s="649"/>
      <c r="F159" s="649"/>
      <c r="G159" s="649"/>
      <c r="H159" s="649"/>
      <c r="I159" s="649"/>
      <c r="J159" s="650"/>
      <c r="K159" s="650"/>
    </row>
    <row r="160" spans="1:11">
      <c r="A160" s="1236"/>
      <c r="B160" s="645" t="s">
        <v>919</v>
      </c>
      <c r="C160" s="649">
        <v>61</v>
      </c>
      <c r="D160" s="649">
        <v>62.1</v>
      </c>
      <c r="E160" s="649">
        <v>61.5</v>
      </c>
      <c r="F160" s="649">
        <v>43</v>
      </c>
      <c r="G160" s="649">
        <v>43.4</v>
      </c>
      <c r="H160" s="649">
        <v>43.2</v>
      </c>
      <c r="I160" s="649">
        <v>0</v>
      </c>
      <c r="J160" s="650">
        <v>0</v>
      </c>
      <c r="K160" s="650">
        <v>0</v>
      </c>
    </row>
    <row r="161" spans="1:11">
      <c r="A161" s="1236"/>
      <c r="B161" s="645" t="s">
        <v>876</v>
      </c>
      <c r="C161" s="652">
        <v>60.321251484042179</v>
      </c>
      <c r="D161" s="652">
        <v>61.144892507314587</v>
      </c>
      <c r="E161" s="652">
        <v>60.752305182916679</v>
      </c>
      <c r="F161" s="652">
        <v>45.548521516147126</v>
      </c>
      <c r="G161" s="652">
        <v>45.617961305226686</v>
      </c>
      <c r="H161" s="652">
        <v>45.585051840036463</v>
      </c>
      <c r="I161" s="652"/>
      <c r="J161" s="652"/>
      <c r="K161" s="652"/>
    </row>
    <row r="162" spans="1:11">
      <c r="A162" s="1236"/>
      <c r="B162" s="645" t="s">
        <v>229</v>
      </c>
      <c r="C162" s="652">
        <v>54.768329792731244</v>
      </c>
      <c r="D162" s="652">
        <v>54.532224532224525</v>
      </c>
      <c r="E162" s="652">
        <v>54.644778928846662</v>
      </c>
      <c r="F162" s="652">
        <v>40.286584863707489</v>
      </c>
      <c r="G162" s="652">
        <v>38.087161713737927</v>
      </c>
      <c r="H162" s="652">
        <v>39.126206037970746</v>
      </c>
      <c r="I162" s="652"/>
      <c r="J162" s="652"/>
      <c r="K162" s="652"/>
    </row>
    <row r="163" spans="1:11">
      <c r="A163" s="1236"/>
      <c r="B163" s="647" t="s">
        <v>228</v>
      </c>
      <c r="C163" s="652">
        <v>54.463323541134613</v>
      </c>
      <c r="D163" s="652">
        <v>53.709384004567852</v>
      </c>
      <c r="E163" s="652">
        <v>54.066410346032853</v>
      </c>
      <c r="F163" s="652">
        <v>42.500211738799017</v>
      </c>
      <c r="G163" s="652">
        <v>39.477055233215282</v>
      </c>
      <c r="H163" s="652">
        <v>40.90039078076402</v>
      </c>
      <c r="I163" s="652"/>
      <c r="J163" s="652"/>
      <c r="K163" s="652"/>
    </row>
    <row r="164" spans="1:11">
      <c r="A164" s="1236"/>
      <c r="B164" s="647" t="s">
        <v>227</v>
      </c>
      <c r="C164" s="388">
        <v>54.842259617302204</v>
      </c>
      <c r="D164" s="388">
        <v>50.18631772882631</v>
      </c>
      <c r="E164" s="388">
        <v>52.383346253688842</v>
      </c>
      <c r="F164" s="388">
        <v>39.368843169732372</v>
      </c>
      <c r="G164" s="388">
        <v>35.10785824345146</v>
      </c>
      <c r="H164" s="388">
        <v>37.106866794814117</v>
      </c>
      <c r="I164" s="652"/>
      <c r="J164" s="652"/>
      <c r="K164" s="652"/>
    </row>
    <row r="165" spans="1:11">
      <c r="A165" s="1236">
        <v>27</v>
      </c>
      <c r="B165" s="642" t="s">
        <v>41</v>
      </c>
      <c r="C165" s="649"/>
      <c r="D165" s="649"/>
      <c r="E165" s="649"/>
      <c r="F165" s="649"/>
      <c r="G165" s="649"/>
      <c r="H165" s="649"/>
      <c r="I165" s="649"/>
      <c r="J165" s="650"/>
      <c r="K165" s="650"/>
    </row>
    <row r="166" spans="1:11">
      <c r="A166" s="1236"/>
      <c r="B166" s="645" t="s">
        <v>919</v>
      </c>
      <c r="C166" s="649">
        <v>25.2</v>
      </c>
      <c r="D166" s="649">
        <v>30.1</v>
      </c>
      <c r="E166" s="649">
        <v>27.4</v>
      </c>
      <c r="F166" s="649">
        <v>16.2</v>
      </c>
      <c r="G166" s="649">
        <v>22.8</v>
      </c>
      <c r="H166" s="649">
        <v>19.2</v>
      </c>
      <c r="I166" s="649">
        <v>0</v>
      </c>
      <c r="J166" s="650">
        <v>0</v>
      </c>
      <c r="K166" s="650">
        <v>0</v>
      </c>
    </row>
    <row r="167" spans="1:11">
      <c r="A167" s="1236"/>
      <c r="B167" s="645" t="s">
        <v>876</v>
      </c>
      <c r="C167" s="652">
        <v>23.943439432104419</v>
      </c>
      <c r="D167" s="652">
        <v>29.116933221099888</v>
      </c>
      <c r="E167" s="652">
        <v>26.2682826881856</v>
      </c>
      <c r="F167" s="652">
        <v>14.334025889900733</v>
      </c>
      <c r="G167" s="652">
        <v>21.258368683285799</v>
      </c>
      <c r="H167" s="652">
        <v>17.480687659369693</v>
      </c>
      <c r="I167" s="652"/>
      <c r="J167" s="652"/>
      <c r="K167" s="652"/>
    </row>
    <row r="168" spans="1:11">
      <c r="A168" s="1236"/>
      <c r="B168" s="645" t="s">
        <v>229</v>
      </c>
      <c r="C168" s="652">
        <v>24.076248160307937</v>
      </c>
      <c r="D168" s="652">
        <v>30.774113082039911</v>
      </c>
      <c r="E168" s="652">
        <v>27.087762477412923</v>
      </c>
      <c r="F168" s="652">
        <v>15.491527791263582</v>
      </c>
      <c r="G168" s="652">
        <v>22.050266820302859</v>
      </c>
      <c r="H168" s="652">
        <v>18.473671743280338</v>
      </c>
      <c r="I168" s="652"/>
      <c r="J168" s="652"/>
      <c r="K168" s="652"/>
    </row>
    <row r="169" spans="1:11">
      <c r="A169" s="1236"/>
      <c r="B169" s="647" t="s">
        <v>228</v>
      </c>
      <c r="C169" s="652">
        <v>24.447492163009404</v>
      </c>
      <c r="D169" s="652">
        <v>33.053532311062433</v>
      </c>
      <c r="E169" s="652">
        <v>28.319044099531904</v>
      </c>
      <c r="F169" s="652">
        <v>17.038427133993807</v>
      </c>
      <c r="G169" s="652">
        <v>24.256363573976106</v>
      </c>
      <c r="H169" s="652">
        <v>20.322059624279078</v>
      </c>
      <c r="I169" s="652"/>
      <c r="J169" s="652"/>
      <c r="K169" s="652"/>
    </row>
    <row r="170" spans="1:11">
      <c r="A170" s="1236"/>
      <c r="B170" s="647" t="s">
        <v>227</v>
      </c>
      <c r="C170" s="388">
        <v>26.525608776583599</v>
      </c>
      <c r="D170" s="388">
        <v>32.496649680263722</v>
      </c>
      <c r="E170" s="388">
        <v>29.213177086880343</v>
      </c>
      <c r="F170" s="388">
        <v>18.635912268658906</v>
      </c>
      <c r="G170" s="388">
        <v>22.959836938528859</v>
      </c>
      <c r="H170" s="388">
        <v>20.603993093694456</v>
      </c>
      <c r="I170" s="652"/>
      <c r="J170" s="652"/>
      <c r="K170" s="652"/>
    </row>
    <row r="171" spans="1:11">
      <c r="A171" s="1236">
        <v>28</v>
      </c>
      <c r="B171" s="642" t="s">
        <v>42</v>
      </c>
      <c r="C171" s="649"/>
      <c r="D171" s="649"/>
      <c r="E171" s="649"/>
      <c r="F171" s="649"/>
      <c r="G171" s="649"/>
      <c r="H171" s="649"/>
      <c r="I171" s="649"/>
      <c r="J171" s="650"/>
      <c r="K171" s="650"/>
    </row>
    <row r="172" spans="1:11">
      <c r="A172" s="1236"/>
      <c r="B172" s="645" t="s">
        <v>919</v>
      </c>
      <c r="C172" s="649">
        <v>29</v>
      </c>
      <c r="D172" s="649">
        <v>28.1</v>
      </c>
      <c r="E172" s="649">
        <v>28.6</v>
      </c>
      <c r="F172" s="649">
        <v>27.2</v>
      </c>
      <c r="G172" s="649">
        <v>26.1</v>
      </c>
      <c r="H172" s="649">
        <v>26.7</v>
      </c>
      <c r="I172" s="649">
        <v>28.9</v>
      </c>
      <c r="J172" s="650">
        <v>27.6</v>
      </c>
      <c r="K172" s="650">
        <v>28.2</v>
      </c>
    </row>
    <row r="173" spans="1:11">
      <c r="A173" s="1236"/>
      <c r="B173" s="645" t="s">
        <v>876</v>
      </c>
      <c r="C173" s="652">
        <v>26.088901587819912</v>
      </c>
      <c r="D173" s="652">
        <v>26.038296720645949</v>
      </c>
      <c r="E173" s="652">
        <v>26.064862432501929</v>
      </c>
      <c r="F173" s="652">
        <v>22.931161518679129</v>
      </c>
      <c r="G173" s="652">
        <v>22.604347956550441</v>
      </c>
      <c r="H173" s="652">
        <v>22.778587492696513</v>
      </c>
      <c r="I173" s="652">
        <v>22.821287588720253</v>
      </c>
      <c r="J173" s="652">
        <v>23.75791256646044</v>
      </c>
      <c r="K173" s="652">
        <v>23.281470648625771</v>
      </c>
    </row>
    <row r="174" spans="1:11">
      <c r="A174" s="1236"/>
      <c r="B174" s="645" t="s">
        <v>229</v>
      </c>
      <c r="C174" s="652">
        <v>23.674289474766585</v>
      </c>
      <c r="D174" s="652">
        <v>24.04162110442865</v>
      </c>
      <c r="E174" s="652">
        <v>23.848565746525153</v>
      </c>
      <c r="F174" s="652">
        <v>20.558212396507312</v>
      </c>
      <c r="G174" s="652">
        <v>20.848366675043664</v>
      </c>
      <c r="H174" s="652">
        <v>20.693510921118875</v>
      </c>
      <c r="I174" s="652">
        <v>21.256200652106063</v>
      </c>
      <c r="J174" s="652">
        <v>21.70739103317333</v>
      </c>
      <c r="K174" s="652">
        <v>21.477609189338175</v>
      </c>
    </row>
    <row r="175" spans="1:11">
      <c r="A175" s="1236"/>
      <c r="B175" s="647" t="s">
        <v>228</v>
      </c>
      <c r="C175" s="652">
        <v>22.432668794296845</v>
      </c>
      <c r="D175" s="652">
        <v>23.057647167119253</v>
      </c>
      <c r="E175" s="652">
        <v>22.728802285514895</v>
      </c>
      <c r="F175" s="652">
        <v>20.037686347314711</v>
      </c>
      <c r="G175" s="652">
        <v>19.253530847314053</v>
      </c>
      <c r="H175" s="652">
        <v>19.672545023277198</v>
      </c>
      <c r="I175" s="652">
        <v>21.518767105870701</v>
      </c>
      <c r="J175" s="652">
        <v>20.404760495821165</v>
      </c>
      <c r="K175" s="652">
        <v>20.972780237309244</v>
      </c>
    </row>
    <row r="176" spans="1:11">
      <c r="A176" s="1236"/>
      <c r="B176" s="647" t="s">
        <v>227</v>
      </c>
      <c r="C176" s="388">
        <v>22.023112876199658</v>
      </c>
      <c r="D176" s="388">
        <v>20.498774961571495</v>
      </c>
      <c r="E176" s="388">
        <v>21.301780088733089</v>
      </c>
      <c r="F176" s="388">
        <v>17.66534654574583</v>
      </c>
      <c r="G176" s="388">
        <v>16.107018394028128</v>
      </c>
      <c r="H176" s="388">
        <v>16.940675421441668</v>
      </c>
      <c r="I176" s="388">
        <v>19.212865786940327</v>
      </c>
      <c r="J176" s="388">
        <v>17.118149944260601</v>
      </c>
      <c r="K176" s="388">
        <v>18.187522216589478</v>
      </c>
    </row>
    <row r="177" spans="1:11">
      <c r="A177" s="1236">
        <v>29</v>
      </c>
      <c r="B177" s="642" t="s">
        <v>43</v>
      </c>
      <c r="C177" s="649"/>
      <c r="D177" s="649"/>
      <c r="E177" s="649"/>
      <c r="F177" s="649"/>
      <c r="G177" s="649"/>
      <c r="H177" s="649"/>
      <c r="I177" s="649"/>
      <c r="J177" s="650"/>
      <c r="K177" s="650"/>
    </row>
    <row r="178" spans="1:11">
      <c r="A178" s="1236"/>
      <c r="B178" s="645" t="s">
        <v>919</v>
      </c>
      <c r="C178" s="649">
        <v>35.1</v>
      </c>
      <c r="D178" s="649">
        <v>42.5</v>
      </c>
      <c r="E178" s="649">
        <v>38.6</v>
      </c>
      <c r="F178" s="649">
        <v>46.6</v>
      </c>
      <c r="G178" s="649">
        <v>39.1</v>
      </c>
      <c r="H178" s="649">
        <v>42.8</v>
      </c>
      <c r="I178" s="649">
        <v>29.6</v>
      </c>
      <c r="J178" s="650">
        <v>42.1</v>
      </c>
      <c r="K178" s="650">
        <v>35.799999999999997</v>
      </c>
    </row>
    <row r="179" spans="1:11">
      <c r="A179" s="1236"/>
      <c r="B179" s="645" t="s">
        <v>876</v>
      </c>
      <c r="C179" s="652">
        <v>36.273828650831561</v>
      </c>
      <c r="D179" s="652">
        <v>44.00253294040283</v>
      </c>
      <c r="E179" s="652">
        <v>39.916434220645797</v>
      </c>
      <c r="F179" s="652">
        <v>41.151079136690647</v>
      </c>
      <c r="G179" s="652">
        <v>36.578449905482039</v>
      </c>
      <c r="H179" s="652">
        <v>38.847893358724114</v>
      </c>
      <c r="I179" s="652">
        <v>28.763753160664251</v>
      </c>
      <c r="J179" s="652">
        <v>41.609649432178877</v>
      </c>
      <c r="K179" s="652">
        <v>35.085039916695592</v>
      </c>
    </row>
    <row r="180" spans="1:11">
      <c r="A180" s="1236"/>
      <c r="B180" s="645" t="s">
        <v>229</v>
      </c>
      <c r="C180" s="652">
        <v>72.14206195018663</v>
      </c>
      <c r="D180" s="652">
        <v>61.117217459270655</v>
      </c>
      <c r="E180" s="652">
        <v>66.939090741423826</v>
      </c>
      <c r="F180" s="652">
        <v>32.835101253616202</v>
      </c>
      <c r="G180" s="652">
        <v>29.431279620853079</v>
      </c>
      <c r="H180" s="652">
        <v>31.118546845124285</v>
      </c>
      <c r="I180" s="652">
        <v>24.637581587083478</v>
      </c>
      <c r="J180" s="652">
        <v>38.363044708545559</v>
      </c>
      <c r="K180" s="652">
        <v>31.400090620752152</v>
      </c>
    </row>
    <row r="181" spans="1:11">
      <c r="A181" s="1236"/>
      <c r="B181" s="647" t="s">
        <v>228</v>
      </c>
      <c r="C181" s="652">
        <v>47.163268441498587</v>
      </c>
      <c r="D181" s="652">
        <v>49.194101508916319</v>
      </c>
      <c r="E181" s="652">
        <v>48.122981467118898</v>
      </c>
      <c r="F181" s="652">
        <v>35.530780416868637</v>
      </c>
      <c r="G181" s="652">
        <v>29.800380228136881</v>
      </c>
      <c r="H181" s="652">
        <v>32.637389008879289</v>
      </c>
      <c r="I181" s="652">
        <v>23.860182370820667</v>
      </c>
      <c r="J181" s="652">
        <v>37.708407236608728</v>
      </c>
      <c r="K181" s="652">
        <v>30.690886182276355</v>
      </c>
    </row>
    <row r="182" spans="1:11">
      <c r="A182" s="1236"/>
      <c r="B182" s="647" t="s">
        <v>227</v>
      </c>
      <c r="C182" s="388">
        <v>29.984544328761309</v>
      </c>
      <c r="D182" s="388">
        <v>37.863162771283001</v>
      </c>
      <c r="E182" s="388">
        <v>33.712742258608195</v>
      </c>
      <c r="F182" s="388">
        <v>33.284600389863549</v>
      </c>
      <c r="G182" s="388">
        <v>25.166825548141087</v>
      </c>
      <c r="H182" s="388">
        <v>29.180722891566262</v>
      </c>
      <c r="I182" s="388">
        <v>26.225864703431036</v>
      </c>
      <c r="J182" s="388">
        <v>35.987193169690499</v>
      </c>
      <c r="K182" s="388">
        <v>31.048783916772106</v>
      </c>
    </row>
    <row r="183" spans="1:11">
      <c r="A183" s="1236">
        <v>30</v>
      </c>
      <c r="B183" s="642" t="s">
        <v>44</v>
      </c>
      <c r="C183" s="649"/>
      <c r="D183" s="649"/>
      <c r="E183" s="649"/>
      <c r="F183" s="649"/>
      <c r="G183" s="649"/>
      <c r="H183" s="649"/>
      <c r="I183" s="649"/>
      <c r="J183" s="650"/>
      <c r="K183" s="650"/>
    </row>
    <row r="184" spans="1:11">
      <c r="A184" s="1236"/>
      <c r="B184" s="645" t="s">
        <v>919</v>
      </c>
      <c r="C184" s="649">
        <v>46.8</v>
      </c>
      <c r="D184" s="649">
        <v>47.3</v>
      </c>
      <c r="E184" s="649">
        <v>47</v>
      </c>
      <c r="F184" s="649">
        <v>38.4</v>
      </c>
      <c r="G184" s="649">
        <v>40.4</v>
      </c>
      <c r="H184" s="649">
        <v>39.4</v>
      </c>
      <c r="I184" s="649">
        <v>50.2</v>
      </c>
      <c r="J184" s="650">
        <v>37.6</v>
      </c>
      <c r="K184" s="650">
        <v>43.9</v>
      </c>
    </row>
    <row r="185" spans="1:11">
      <c r="A185" s="1236"/>
      <c r="B185" s="645" t="s">
        <v>876</v>
      </c>
      <c r="C185" s="652">
        <v>45.404092001748253</v>
      </c>
      <c r="D185" s="652">
        <v>48.572265738323175</v>
      </c>
      <c r="E185" s="652">
        <v>46.94053012183798</v>
      </c>
      <c r="F185" s="652">
        <v>34.674994012881761</v>
      </c>
      <c r="G185" s="652">
        <v>38.924449135494122</v>
      </c>
      <c r="H185" s="652">
        <v>36.761768279305713</v>
      </c>
      <c r="I185" s="652">
        <v>42.877520905066405</v>
      </c>
      <c r="J185" s="652">
        <v>38.238138935046258</v>
      </c>
      <c r="K185" s="652">
        <v>40.567540534199381</v>
      </c>
    </row>
    <row r="186" spans="1:11">
      <c r="A186" s="1236"/>
      <c r="B186" s="645" t="s">
        <v>229</v>
      </c>
      <c r="C186" s="652">
        <v>48.12932387809235</v>
      </c>
      <c r="D186" s="652">
        <v>49.946244266055047</v>
      </c>
      <c r="E186" s="652">
        <v>49.0116531618077</v>
      </c>
      <c r="F186" s="652">
        <v>37.25238698880348</v>
      </c>
      <c r="G186" s="652">
        <v>40.742858839521887</v>
      </c>
      <c r="H186" s="652">
        <v>38.968745477120898</v>
      </c>
      <c r="I186" s="652">
        <v>42.011891997270688</v>
      </c>
      <c r="J186" s="652">
        <v>38.052988897330948</v>
      </c>
      <c r="K186" s="652">
        <v>40.038613812991834</v>
      </c>
    </row>
    <row r="187" spans="1:11">
      <c r="A187" s="1236"/>
      <c r="B187" s="647" t="s">
        <v>228</v>
      </c>
      <c r="C187" s="652">
        <v>46.584862139255442</v>
      </c>
      <c r="D187" s="652">
        <v>47.529781807877583</v>
      </c>
      <c r="E187" s="652">
        <v>47.04434094854907</v>
      </c>
      <c r="F187" s="652">
        <v>38.794213014529348</v>
      </c>
      <c r="G187" s="652">
        <v>41.008939257452148</v>
      </c>
      <c r="H187" s="652">
        <v>39.884655615971049</v>
      </c>
      <c r="I187" s="652">
        <v>40.532708700586802</v>
      </c>
      <c r="J187" s="652">
        <v>32.032461240310077</v>
      </c>
      <c r="K187" s="652">
        <v>36.289318063634497</v>
      </c>
    </row>
    <row r="188" spans="1:11">
      <c r="A188" s="1236"/>
      <c r="B188" s="647" t="s">
        <v>227</v>
      </c>
      <c r="C188" s="388">
        <v>46.231325568865707</v>
      </c>
      <c r="D188" s="388">
        <v>47.664706304045076</v>
      </c>
      <c r="E188" s="388">
        <v>46.929229230057487</v>
      </c>
      <c r="F188" s="388">
        <v>39.340156620816956</v>
      </c>
      <c r="G188" s="388">
        <v>42.006205539579234</v>
      </c>
      <c r="H188" s="388">
        <v>40.654526686917244</v>
      </c>
      <c r="I188" s="388">
        <v>43.034915165003468</v>
      </c>
      <c r="J188" s="388">
        <v>35.165229885057471</v>
      </c>
      <c r="K188" s="388">
        <v>39.101812175328561</v>
      </c>
    </row>
    <row r="189" spans="1:11">
      <c r="A189" s="1236">
        <v>31</v>
      </c>
      <c r="B189" s="642" t="s">
        <v>131</v>
      </c>
      <c r="C189" s="649"/>
      <c r="D189" s="649"/>
      <c r="E189" s="649"/>
      <c r="F189" s="649"/>
      <c r="G189" s="649"/>
      <c r="H189" s="649"/>
      <c r="I189" s="649"/>
      <c r="J189" s="650"/>
      <c r="K189" s="650"/>
    </row>
    <row r="190" spans="1:11">
      <c r="A190" s="1236"/>
      <c r="B190" s="645" t="s">
        <v>919</v>
      </c>
      <c r="C190" s="649">
        <v>38.5</v>
      </c>
      <c r="D190" s="649">
        <v>41.6</v>
      </c>
      <c r="E190" s="649">
        <v>40</v>
      </c>
      <c r="F190" s="649">
        <v>35.6</v>
      </c>
      <c r="G190" s="649">
        <v>42.9</v>
      </c>
      <c r="H190" s="649">
        <v>39.200000000000003</v>
      </c>
      <c r="I190" s="649">
        <v>39.1</v>
      </c>
      <c r="J190" s="650">
        <v>36.9</v>
      </c>
      <c r="K190" s="650">
        <v>38</v>
      </c>
    </row>
    <row r="191" spans="1:11">
      <c r="A191" s="1236"/>
      <c r="B191" s="645" t="s">
        <v>876</v>
      </c>
      <c r="C191" s="652">
        <v>37.40755572710605</v>
      </c>
      <c r="D191" s="652">
        <v>40.947538461538464</v>
      </c>
      <c r="E191" s="652">
        <v>39.123601650673692</v>
      </c>
      <c r="F191" s="652">
        <v>31.75869375545307</v>
      </c>
      <c r="G191" s="652">
        <v>39.279159176994256</v>
      </c>
      <c r="H191" s="652">
        <v>35.401438073917433</v>
      </c>
      <c r="I191" s="652">
        <v>34.153443710035091</v>
      </c>
      <c r="J191" s="652">
        <v>33.260792946612888</v>
      </c>
      <c r="K191" s="652">
        <v>33.715734118983157</v>
      </c>
    </row>
    <row r="192" spans="1:11">
      <c r="A192" s="1236"/>
      <c r="B192" s="645" t="s">
        <v>229</v>
      </c>
      <c r="C192" s="652">
        <v>32.233039478727484</v>
      </c>
      <c r="D192" s="652">
        <v>36.424796747967477</v>
      </c>
      <c r="E192" s="652">
        <v>34.267311106727163</v>
      </c>
      <c r="F192" s="652">
        <v>27.643153306870122</v>
      </c>
      <c r="G192" s="652">
        <v>36.220415752389115</v>
      </c>
      <c r="H192" s="652">
        <v>31.802437128875184</v>
      </c>
      <c r="I192" s="652">
        <v>29.660550409680543</v>
      </c>
      <c r="J192" s="652">
        <v>29.458262426483223</v>
      </c>
      <c r="K192" s="652">
        <v>29.561249312921429</v>
      </c>
    </row>
    <row r="193" spans="1:11">
      <c r="A193" s="1236"/>
      <c r="B193" s="647" t="s">
        <v>228</v>
      </c>
      <c r="C193" s="652">
        <v>33.363260062803313</v>
      </c>
      <c r="D193" s="652">
        <v>36.517220543806644</v>
      </c>
      <c r="E193" s="652">
        <v>34.89556729781301</v>
      </c>
      <c r="F193" s="652">
        <v>28.774146725468448</v>
      </c>
      <c r="G193" s="652">
        <v>36.381091224913924</v>
      </c>
      <c r="H193" s="652">
        <v>32.466951662618598</v>
      </c>
      <c r="I193" s="652">
        <v>30.4254133382872</v>
      </c>
      <c r="J193" s="652">
        <v>28.742495234851773</v>
      </c>
      <c r="K193" s="652">
        <v>29.59830695600299</v>
      </c>
    </row>
    <row r="194" spans="1:11">
      <c r="A194" s="1236"/>
      <c r="B194" s="647" t="s">
        <v>227</v>
      </c>
      <c r="C194" s="388">
        <v>34.744502075620062</v>
      </c>
      <c r="D194" s="388">
        <v>34.130456981745091</v>
      </c>
      <c r="E194" s="388">
        <v>34.445854767561272</v>
      </c>
      <c r="F194" s="388">
        <v>28.61485612650289</v>
      </c>
      <c r="G194" s="388">
        <v>32.36615925634468</v>
      </c>
      <c r="H194" s="388">
        <v>30.437900265760781</v>
      </c>
      <c r="I194" s="388">
        <v>30.188599681626027</v>
      </c>
      <c r="J194" s="388">
        <v>26.558374750273543</v>
      </c>
      <c r="K194" s="388">
        <v>28.402715477417885</v>
      </c>
    </row>
    <row r="195" spans="1:11">
      <c r="A195" s="1236">
        <v>32</v>
      </c>
      <c r="B195" s="659" t="s">
        <v>1062</v>
      </c>
      <c r="C195" s="660"/>
      <c r="D195" s="660"/>
      <c r="E195" s="660"/>
      <c r="F195" s="660"/>
      <c r="G195" s="660"/>
      <c r="H195" s="660"/>
      <c r="I195" s="660"/>
      <c r="J195" s="661"/>
      <c r="K195" s="661"/>
    </row>
    <row r="196" spans="1:11">
      <c r="A196" s="1236"/>
      <c r="B196" s="645" t="s">
        <v>919</v>
      </c>
      <c r="C196" s="660">
        <v>8.6</v>
      </c>
      <c r="D196" s="660">
        <v>16.600000000000001</v>
      </c>
      <c r="E196" s="660">
        <v>11.2</v>
      </c>
      <c r="F196" s="660">
        <v>24.8</v>
      </c>
      <c r="G196" s="660">
        <v>31.7</v>
      </c>
      <c r="H196" s="660">
        <v>27.8</v>
      </c>
      <c r="I196" s="660">
        <v>6.9</v>
      </c>
      <c r="J196" s="661">
        <v>8.1</v>
      </c>
      <c r="K196" s="661">
        <v>7.5</v>
      </c>
    </row>
    <row r="197" spans="1:11">
      <c r="A197" s="1236"/>
      <c r="B197" s="645" t="s">
        <v>876</v>
      </c>
      <c r="C197" s="652">
        <v>7.901588819809767</v>
      </c>
      <c r="D197" s="652">
        <v>15.55229743561371</v>
      </c>
      <c r="E197" s="652">
        <v>10.383666143145613</v>
      </c>
      <c r="F197" s="652">
        <v>22.602739726027394</v>
      </c>
      <c r="G197" s="652">
        <v>30.424242424242426</v>
      </c>
      <c r="H197" s="652">
        <v>26.096372495939363</v>
      </c>
      <c r="I197" s="652">
        <v>6.2701705855232825</v>
      </c>
      <c r="J197" s="652">
        <v>7.5122714661734369</v>
      </c>
      <c r="K197" s="652">
        <v>6.9151490524915964</v>
      </c>
    </row>
    <row r="198" spans="1:11">
      <c r="A198" s="1236"/>
      <c r="B198" s="645" t="s">
        <v>229</v>
      </c>
      <c r="C198" s="652">
        <v>7.2661713286713283</v>
      </c>
      <c r="D198" s="652">
        <v>14.140415312897304</v>
      </c>
      <c r="E198" s="652">
        <v>9.5064035871136454</v>
      </c>
      <c r="F198" s="652">
        <v>20.22132796780684</v>
      </c>
      <c r="G198" s="652">
        <v>28.836633663366335</v>
      </c>
      <c r="H198" s="652">
        <v>24.084350721420645</v>
      </c>
      <c r="I198" s="652">
        <v>5.6969026548672561</v>
      </c>
      <c r="J198" s="652">
        <v>7.2513260190365472</v>
      </c>
      <c r="K198" s="652">
        <v>6.5066807979105956</v>
      </c>
    </row>
    <row r="199" spans="1:11">
      <c r="A199" s="1236"/>
      <c r="B199" s="647" t="s">
        <v>228</v>
      </c>
      <c r="C199" s="652">
        <v>7.0184807813927348</v>
      </c>
      <c r="D199" s="652">
        <v>13.022517321016167</v>
      </c>
      <c r="E199" s="652">
        <v>8.9843565385887807</v>
      </c>
      <c r="F199" s="652">
        <v>19.23474663908997</v>
      </c>
      <c r="G199" s="652">
        <v>27.054361567635905</v>
      </c>
      <c r="H199" s="652">
        <v>22.766078542970973</v>
      </c>
      <c r="I199" s="652">
        <v>6.3831517319889413</v>
      </c>
      <c r="J199" s="652">
        <v>6.8077208611729763</v>
      </c>
      <c r="K199" s="652">
        <v>6.6053479256413237</v>
      </c>
    </row>
    <row r="200" spans="1:11">
      <c r="A200" s="1236"/>
      <c r="B200" s="647" t="s">
        <v>227</v>
      </c>
      <c r="C200" s="652">
        <v>6.7415405100298145</v>
      </c>
      <c r="D200" s="652">
        <v>12.418474251143575</v>
      </c>
      <c r="E200" s="652">
        <v>8.6095223297953947</v>
      </c>
      <c r="F200" s="652">
        <v>21.85501066098081</v>
      </c>
      <c r="G200" s="652">
        <v>29.974160206718349</v>
      </c>
      <c r="H200" s="652">
        <v>25.540619520748098</v>
      </c>
      <c r="I200" s="652">
        <v>6.8263673674512111</v>
      </c>
      <c r="J200" s="652">
        <v>6.9216757741347905</v>
      </c>
      <c r="K200" s="652">
        <v>6.8760949195731804</v>
      </c>
    </row>
    <row r="201" spans="1:11">
      <c r="A201" s="1236">
        <v>33</v>
      </c>
      <c r="B201" s="642" t="s">
        <v>45</v>
      </c>
      <c r="C201" s="649"/>
      <c r="D201" s="649"/>
      <c r="E201" s="649"/>
      <c r="F201" s="649"/>
      <c r="G201" s="649"/>
      <c r="H201" s="649"/>
      <c r="I201" s="649"/>
      <c r="J201" s="650"/>
      <c r="K201" s="650"/>
    </row>
    <row r="202" spans="1:11">
      <c r="A202" s="1236"/>
      <c r="B202" s="645" t="s">
        <v>919</v>
      </c>
      <c r="C202" s="649">
        <v>21.9</v>
      </c>
      <c r="D202" s="649">
        <v>19.5</v>
      </c>
      <c r="E202" s="649">
        <v>20.7</v>
      </c>
      <c r="F202" s="649">
        <v>21.2</v>
      </c>
      <c r="G202" s="649">
        <v>18.8</v>
      </c>
      <c r="H202" s="649">
        <v>20</v>
      </c>
      <c r="I202" s="649">
        <v>17.3</v>
      </c>
      <c r="J202" s="650">
        <v>14.6</v>
      </c>
      <c r="K202" s="650">
        <v>15.9</v>
      </c>
    </row>
    <row r="203" spans="1:11">
      <c r="A203" s="1236"/>
      <c r="B203" s="645" t="s">
        <v>876</v>
      </c>
      <c r="C203" s="652">
        <v>19.953852492789451</v>
      </c>
      <c r="D203" s="652">
        <v>18.385415367733245</v>
      </c>
      <c r="E203" s="652">
        <v>19.173070795105136</v>
      </c>
      <c r="F203" s="652">
        <v>16.862387654739699</v>
      </c>
      <c r="G203" s="652">
        <v>15.795844260641518</v>
      </c>
      <c r="H203" s="652">
        <v>16.344006362418153</v>
      </c>
      <c r="I203" s="652">
        <v>13.995515103548344</v>
      </c>
      <c r="J203" s="652">
        <v>12.413479946983456</v>
      </c>
      <c r="K203" s="652">
        <v>13.175963482396021</v>
      </c>
    </row>
    <row r="204" spans="1:11">
      <c r="A204" s="1236"/>
      <c r="B204" s="645" t="s">
        <v>229</v>
      </c>
      <c r="C204" s="652">
        <v>19.482278669781778</v>
      </c>
      <c r="D204" s="652">
        <v>16.347151878947038</v>
      </c>
      <c r="E204" s="652">
        <v>17.919667233190246</v>
      </c>
      <c r="F204" s="652">
        <v>17.20654675645725</v>
      </c>
      <c r="G204" s="652">
        <v>13.582106327975721</v>
      </c>
      <c r="H204" s="652">
        <v>15.442511760201292</v>
      </c>
      <c r="I204" s="652">
        <v>13.646309926397453</v>
      </c>
      <c r="J204" s="652">
        <v>9.8411096478812556</v>
      </c>
      <c r="K204" s="652">
        <v>11.672709631294046</v>
      </c>
    </row>
    <row r="205" spans="1:11">
      <c r="A205" s="1236"/>
      <c r="B205" s="647" t="s">
        <v>228</v>
      </c>
      <c r="C205" s="652">
        <v>18.515001582621153</v>
      </c>
      <c r="D205" s="652">
        <v>15.989080587106564</v>
      </c>
      <c r="E205" s="652">
        <v>17.254415154960725</v>
      </c>
      <c r="F205" s="652">
        <v>16.834143937608467</v>
      </c>
      <c r="G205" s="652">
        <v>14.258983723341901</v>
      </c>
      <c r="H205" s="652">
        <v>15.57947929254092</v>
      </c>
      <c r="I205" s="652">
        <v>13.958666666666666</v>
      </c>
      <c r="J205" s="652">
        <v>11.302426621244662</v>
      </c>
      <c r="K205" s="652">
        <v>12.579317771026419</v>
      </c>
    </row>
    <row r="206" spans="1:11">
      <c r="A206" s="1236"/>
      <c r="B206" s="647" t="s">
        <v>227</v>
      </c>
      <c r="C206" s="388">
        <v>21.040241706294267</v>
      </c>
      <c r="D206" s="388">
        <v>17.371685136217167</v>
      </c>
      <c r="E206" s="388">
        <v>19.207089355958292</v>
      </c>
      <c r="F206" s="388">
        <v>17.920768617651493</v>
      </c>
      <c r="G206" s="388">
        <v>14.98304318335971</v>
      </c>
      <c r="H206" s="388">
        <v>16.487407750603964</v>
      </c>
      <c r="I206" s="388">
        <v>14.49541530376964</v>
      </c>
      <c r="J206" s="388">
        <v>10.8200779847744</v>
      </c>
      <c r="K206" s="388">
        <v>12.584550234584665</v>
      </c>
    </row>
    <row r="207" spans="1:11">
      <c r="A207" s="1236">
        <v>34</v>
      </c>
      <c r="B207" s="642" t="s">
        <v>47</v>
      </c>
      <c r="C207" s="649"/>
      <c r="D207" s="649"/>
      <c r="E207" s="649"/>
      <c r="F207" s="649"/>
      <c r="G207" s="649"/>
      <c r="H207" s="649"/>
      <c r="I207" s="649"/>
      <c r="J207" s="650"/>
      <c r="K207" s="650"/>
    </row>
    <row r="208" spans="1:11">
      <c r="A208" s="1236"/>
      <c r="B208" s="645" t="s">
        <v>919</v>
      </c>
      <c r="C208" s="649">
        <v>23.9</v>
      </c>
      <c r="D208" s="649">
        <v>24.4</v>
      </c>
      <c r="E208" s="649">
        <v>24.1</v>
      </c>
      <c r="F208" s="649">
        <v>21</v>
      </c>
      <c r="G208" s="649">
        <v>22.6</v>
      </c>
      <c r="H208" s="649">
        <v>21.8</v>
      </c>
      <c r="I208" s="649">
        <v>41.4</v>
      </c>
      <c r="J208" s="650">
        <v>37.4</v>
      </c>
      <c r="K208" s="650">
        <v>39.4</v>
      </c>
    </row>
    <row r="209" spans="1:11">
      <c r="A209" s="1236"/>
      <c r="B209" s="645" t="s">
        <v>876</v>
      </c>
      <c r="C209" s="652">
        <v>22.32467600746563</v>
      </c>
      <c r="D209" s="652">
        <v>24.274572553934295</v>
      </c>
      <c r="E209" s="652">
        <v>23.237928697207703</v>
      </c>
      <c r="F209" s="652">
        <v>18.548713506601651</v>
      </c>
      <c r="G209" s="652">
        <v>21.942870137734367</v>
      </c>
      <c r="H209" s="652">
        <v>20.111224321394776</v>
      </c>
      <c r="I209" s="652">
        <v>39.763522696384889</v>
      </c>
      <c r="J209" s="652">
        <v>44.175612441508392</v>
      </c>
      <c r="K209" s="652">
        <v>41.955689277899346</v>
      </c>
    </row>
    <row r="210" spans="1:11">
      <c r="A210" s="1236"/>
      <c r="B210" s="645" t="s">
        <v>229</v>
      </c>
      <c r="C210" s="652">
        <v>20.792069363242256</v>
      </c>
      <c r="D210" s="652">
        <v>24.5245580160502</v>
      </c>
      <c r="E210" s="652">
        <v>22.537993663606663</v>
      </c>
      <c r="F210" s="652">
        <v>18.66359177384911</v>
      </c>
      <c r="G210" s="652">
        <v>23.092397548246741</v>
      </c>
      <c r="H210" s="652">
        <v>20.699775828141696</v>
      </c>
      <c r="I210" s="652">
        <v>33.142786642539889</v>
      </c>
      <c r="J210" s="652">
        <v>35.285604953732694</v>
      </c>
      <c r="K210" s="652">
        <v>34.20618314654071</v>
      </c>
    </row>
    <row r="211" spans="1:11">
      <c r="A211" s="1236"/>
      <c r="B211" s="647" t="s">
        <v>228</v>
      </c>
      <c r="C211" s="652">
        <v>21.327163795870334</v>
      </c>
      <c r="D211" s="652">
        <v>25.01484944629183</v>
      </c>
      <c r="E211" s="652">
        <v>23.049891686975361</v>
      </c>
      <c r="F211" s="652">
        <v>19.302986069033174</v>
      </c>
      <c r="G211" s="652">
        <v>23.974372194858759</v>
      </c>
      <c r="H211" s="652">
        <v>21.447869036187416</v>
      </c>
      <c r="I211" s="652">
        <v>38.165299998617201</v>
      </c>
      <c r="J211" s="652">
        <v>38.12210668505255</v>
      </c>
      <c r="K211" s="652">
        <v>38.144157338633747</v>
      </c>
    </row>
    <row r="212" spans="1:11">
      <c r="A212" s="1236"/>
      <c r="B212" s="647" t="s">
        <v>227</v>
      </c>
      <c r="C212" s="388">
        <v>22.316382613171381</v>
      </c>
      <c r="D212" s="388">
        <v>24.27388726224601</v>
      </c>
      <c r="E212" s="388">
        <v>23.229632135446881</v>
      </c>
      <c r="F212" s="388">
        <v>18.685710996929807</v>
      </c>
      <c r="G212" s="388">
        <v>20.374896151867667</v>
      </c>
      <c r="H212" s="388">
        <v>19.460262405724304</v>
      </c>
      <c r="I212" s="388">
        <v>33.829950477784756</v>
      </c>
      <c r="J212" s="388">
        <v>30.004411367096896</v>
      </c>
      <c r="K212" s="388">
        <v>31.936206483607826</v>
      </c>
    </row>
    <row r="213" spans="1:11">
      <c r="A213" s="1236">
        <v>35</v>
      </c>
      <c r="B213" s="642" t="s">
        <v>46</v>
      </c>
      <c r="C213" s="649"/>
      <c r="D213" s="649"/>
      <c r="E213" s="649"/>
      <c r="F213" s="649"/>
      <c r="G213" s="649"/>
      <c r="H213" s="649"/>
      <c r="I213" s="649"/>
      <c r="J213" s="650"/>
      <c r="K213" s="650"/>
    </row>
    <row r="214" spans="1:11">
      <c r="A214" s="1236"/>
      <c r="B214" s="645" t="s">
        <v>919</v>
      </c>
      <c r="C214" s="649">
        <v>40.1</v>
      </c>
      <c r="D214" s="649">
        <v>43.7</v>
      </c>
      <c r="E214" s="649">
        <v>41.8</v>
      </c>
      <c r="F214" s="649">
        <v>29.1</v>
      </c>
      <c r="G214" s="649">
        <v>35.6</v>
      </c>
      <c r="H214" s="649">
        <v>32.200000000000003</v>
      </c>
      <c r="I214" s="649">
        <v>42.1</v>
      </c>
      <c r="J214" s="650">
        <v>42</v>
      </c>
      <c r="K214" s="650">
        <v>42.1</v>
      </c>
    </row>
    <row r="215" spans="1:11">
      <c r="A215" s="1236"/>
      <c r="B215" s="645" t="s">
        <v>876</v>
      </c>
      <c r="C215" s="652">
        <v>42.76795735129069</v>
      </c>
      <c r="D215" s="652">
        <v>48.88387596899225</v>
      </c>
      <c r="E215" s="652">
        <v>45.673221387538668</v>
      </c>
      <c r="F215" s="652">
        <v>31.663715634052199</v>
      </c>
      <c r="G215" s="652">
        <v>39.621371338499934</v>
      </c>
      <c r="H215" s="652">
        <v>35.438433889302111</v>
      </c>
      <c r="I215" s="652">
        <v>46.606768220377631</v>
      </c>
      <c r="J215" s="652">
        <v>51.95594379035321</v>
      </c>
      <c r="K215" s="652">
        <v>49.227727378460109</v>
      </c>
    </row>
    <row r="216" spans="1:11">
      <c r="A216" s="1236"/>
      <c r="B216" s="645" t="s">
        <v>229</v>
      </c>
      <c r="C216" s="652">
        <v>35.02575288488601</v>
      </c>
      <c r="D216" s="652">
        <v>37.830650154798761</v>
      </c>
      <c r="E216" s="652">
        <v>36.361418251511132</v>
      </c>
      <c r="F216" s="652">
        <v>25.879686396908557</v>
      </c>
      <c r="G216" s="652">
        <v>29.464658967023777</v>
      </c>
      <c r="H216" s="652">
        <v>27.584365572454221</v>
      </c>
      <c r="I216" s="652">
        <v>39.701711044011347</v>
      </c>
      <c r="J216" s="652">
        <v>41.514979142965494</v>
      </c>
      <c r="K216" s="652">
        <v>40.591316494005355</v>
      </c>
    </row>
    <row r="217" spans="1:11">
      <c r="A217" s="1236"/>
      <c r="B217" s="647" t="s">
        <v>228</v>
      </c>
      <c r="C217" s="652">
        <v>34.032044042913604</v>
      </c>
      <c r="D217" s="652">
        <v>35.11159196290572</v>
      </c>
      <c r="E217" s="652">
        <v>34.547366091190788</v>
      </c>
      <c r="F217" s="652">
        <v>25.453230760056055</v>
      </c>
      <c r="G217" s="652">
        <v>27.580082824546182</v>
      </c>
      <c r="H217" s="652">
        <v>26.467031295107162</v>
      </c>
      <c r="I217" s="652">
        <v>41.104125556422375</v>
      </c>
      <c r="J217" s="652">
        <v>43.390600596336789</v>
      </c>
      <c r="K217" s="652">
        <v>42.229729729729733</v>
      </c>
    </row>
    <row r="218" spans="1:11">
      <c r="A218" s="1236"/>
      <c r="B218" s="647" t="s">
        <v>227</v>
      </c>
      <c r="C218" s="388">
        <v>31.805136423829016</v>
      </c>
      <c r="D218" s="388">
        <v>32.799771859920483</v>
      </c>
      <c r="E218" s="388">
        <v>32.281080717572387</v>
      </c>
      <c r="F218" s="388">
        <v>23.138814943319474</v>
      </c>
      <c r="G218" s="388">
        <v>24.153626149131767</v>
      </c>
      <c r="H218" s="388">
        <v>23.6238120153374</v>
      </c>
      <c r="I218" s="388">
        <v>36.864153201675641</v>
      </c>
      <c r="J218" s="388">
        <v>38.460447972781402</v>
      </c>
      <c r="K218" s="388">
        <v>37.651859624577362</v>
      </c>
    </row>
    <row r="219" spans="1:11">
      <c r="A219" s="1236">
        <v>36</v>
      </c>
      <c r="B219" s="642" t="s">
        <v>48</v>
      </c>
      <c r="C219" s="649"/>
      <c r="D219" s="649"/>
      <c r="E219" s="649"/>
      <c r="F219" s="649"/>
      <c r="G219" s="649"/>
      <c r="H219" s="649"/>
      <c r="I219" s="649"/>
      <c r="J219" s="650"/>
      <c r="K219" s="650"/>
    </row>
    <row r="220" spans="1:11">
      <c r="A220" s="1236"/>
      <c r="B220" s="645" t="s">
        <v>919</v>
      </c>
      <c r="C220" s="649">
        <v>25.9</v>
      </c>
      <c r="D220" s="649">
        <v>26.8</v>
      </c>
      <c r="E220" s="649">
        <v>26.3</v>
      </c>
      <c r="F220" s="649">
        <v>23.4</v>
      </c>
      <c r="G220" s="649">
        <v>22.4</v>
      </c>
      <c r="H220" s="649">
        <v>22.9</v>
      </c>
      <c r="I220" s="649">
        <v>15</v>
      </c>
      <c r="J220" s="650">
        <v>15.7</v>
      </c>
      <c r="K220" s="650">
        <v>15.3</v>
      </c>
    </row>
    <row r="221" spans="1:11">
      <c r="A221" s="1236"/>
      <c r="B221" s="645" t="s">
        <v>876</v>
      </c>
      <c r="C221" s="652">
        <v>20.307040831588395</v>
      </c>
      <c r="D221" s="652">
        <v>22.279601499309528</v>
      </c>
      <c r="E221" s="652">
        <v>21.266831768703565</v>
      </c>
      <c r="F221" s="652">
        <v>16.675465884053921</v>
      </c>
      <c r="G221" s="652">
        <v>17.451658636421779</v>
      </c>
      <c r="H221" s="652">
        <v>17.057880782760844</v>
      </c>
      <c r="I221" s="652">
        <v>11.452265204304096</v>
      </c>
      <c r="J221" s="652">
        <v>11.788763177788249</v>
      </c>
      <c r="K221" s="652">
        <v>11.621282409761058</v>
      </c>
    </row>
    <row r="222" spans="1:11">
      <c r="A222" s="1236"/>
      <c r="B222" s="645" t="s">
        <v>229</v>
      </c>
      <c r="C222" s="652">
        <v>19.835125913288582</v>
      </c>
      <c r="D222" s="652">
        <v>21.372189580885234</v>
      </c>
      <c r="E222" s="652">
        <v>20.582677690358715</v>
      </c>
      <c r="F222" s="652">
        <v>16.985400697877786</v>
      </c>
      <c r="G222" s="652">
        <v>17.49389970201797</v>
      </c>
      <c r="H222" s="652">
        <v>17.235815997849432</v>
      </c>
      <c r="I222" s="652">
        <v>11.297839467085433</v>
      </c>
      <c r="J222" s="652">
        <v>11.476614384626254</v>
      </c>
      <c r="K222" s="652">
        <v>11.387595713787988</v>
      </c>
    </row>
    <row r="223" spans="1:11">
      <c r="A223" s="1236"/>
      <c r="B223" s="647" t="s">
        <v>228</v>
      </c>
      <c r="C223" s="652">
        <v>19.434018835994408</v>
      </c>
      <c r="D223" s="652">
        <v>20.239140579428351</v>
      </c>
      <c r="E223" s="652">
        <v>19.825415429986577</v>
      </c>
      <c r="F223" s="652">
        <v>16.283349134554257</v>
      </c>
      <c r="G223" s="652">
        <v>16.022721502252711</v>
      </c>
      <c r="H223" s="652">
        <v>16.1550571743917</v>
      </c>
      <c r="I223" s="652">
        <v>10.678550566243947</v>
      </c>
      <c r="J223" s="652">
        <v>10.340054618233511</v>
      </c>
      <c r="K223" s="652">
        <v>10.508678225117571</v>
      </c>
    </row>
    <row r="224" spans="1:11">
      <c r="A224" s="1236"/>
      <c r="B224" s="647" t="s">
        <v>227</v>
      </c>
      <c r="C224" s="388">
        <v>19.370095981898473</v>
      </c>
      <c r="D224" s="388">
        <v>18.811988416988417</v>
      </c>
      <c r="E224" s="388">
        <v>19.098900583478734</v>
      </c>
      <c r="F224" s="388">
        <v>16.370190061052263</v>
      </c>
      <c r="G224" s="388">
        <v>14.985200735399582</v>
      </c>
      <c r="H224" s="388">
        <v>15.688735903947965</v>
      </c>
      <c r="I224" s="388">
        <v>10.664872156745457</v>
      </c>
      <c r="J224" s="388">
        <v>9.5109570385043938</v>
      </c>
      <c r="K224" s="388">
        <v>10.086032490812178</v>
      </c>
    </row>
  </sheetData>
  <mergeCells count="43">
    <mergeCell ref="A35:A40"/>
    <mergeCell ref="C1:K1"/>
    <mergeCell ref="A2:A3"/>
    <mergeCell ref="B2:B3"/>
    <mergeCell ref="C2:E2"/>
    <mergeCell ref="F2:H2"/>
    <mergeCell ref="I2:K2"/>
    <mergeCell ref="A5:A10"/>
    <mergeCell ref="A11:A16"/>
    <mergeCell ref="A17:A22"/>
    <mergeCell ref="A23:A28"/>
    <mergeCell ref="A29:A34"/>
    <mergeCell ref="A107:A110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77:A182"/>
    <mergeCell ref="A111:A116"/>
    <mergeCell ref="A117:A122"/>
    <mergeCell ref="A123:A128"/>
    <mergeCell ref="A129:A134"/>
    <mergeCell ref="A135:A140"/>
    <mergeCell ref="A141:A146"/>
    <mergeCell ref="A147:A152"/>
    <mergeCell ref="A153:A158"/>
    <mergeCell ref="A159:A164"/>
    <mergeCell ref="A165:A170"/>
    <mergeCell ref="A171:A176"/>
    <mergeCell ref="A219:A224"/>
    <mergeCell ref="A183:A188"/>
    <mergeCell ref="A189:A194"/>
    <mergeCell ref="A195:A200"/>
    <mergeCell ref="A201:A206"/>
    <mergeCell ref="A207:A212"/>
    <mergeCell ref="A213:A218"/>
  </mergeCells>
  <printOptions horizontalCentered="1"/>
  <pageMargins left="0.23622047244094491" right="0.19685039370078741" top="0.31496062992125984" bottom="0.35433070866141736" header="0.19685039370078741" footer="0.15748031496062992"/>
  <pageSetup paperSize="9" scale="74" firstPageNumber="2" pageOrder="overThenDown" orientation="portrait" useFirstPageNumber="1" r:id="rId1"/>
  <headerFooter alignWithMargins="0">
    <oddFooter>&amp;LAISHE 2021-22&amp;CT-47</oddFooter>
  </headerFooter>
  <rowBreaks count="3" manualBreakCount="3">
    <brk id="70" max="10" man="1"/>
    <brk id="134" max="10" man="1"/>
    <brk id="200" max="10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606E-9266-4656-BB63-16459C61D563}">
  <sheetPr>
    <tabColor rgb="FF00B050"/>
  </sheetPr>
  <dimension ref="A1:S41"/>
  <sheetViews>
    <sheetView showZeros="0" tabSelected="1" view="pageBreakPreview" zoomScaleSheetLayoutView="100" workbookViewId="0">
      <pane ySplit="3" topLeftCell="A25" activePane="bottomLeft" state="frozen"/>
      <selection activeCell="F15" sqref="F15"/>
      <selection pane="bottomLeft" activeCell="C1" sqref="C1:C1048576"/>
    </sheetView>
  </sheetViews>
  <sheetFormatPr defaultColWidth="9.28515625" defaultRowHeight="15"/>
  <cols>
    <col min="1" max="1" width="8.28515625" style="637" bestFit="1" customWidth="1"/>
    <col min="2" max="2" width="33.42578125" style="389" customWidth="1"/>
    <col min="3" max="3" width="15.28515625" style="1270" customWidth="1"/>
    <col min="4" max="17" width="15.28515625" style="389" customWidth="1"/>
    <col min="18" max="18" width="17.42578125" style="389" customWidth="1"/>
    <col min="19" max="16384" width="9.28515625" style="389"/>
  </cols>
  <sheetData>
    <row r="1" spans="1:19" ht="33" customHeight="1">
      <c r="B1" s="662" t="s">
        <v>249</v>
      </c>
      <c r="C1" s="1264" t="s">
        <v>250</v>
      </c>
      <c r="D1" s="663"/>
      <c r="E1" s="663"/>
      <c r="F1" s="663"/>
      <c r="G1" s="663"/>
      <c r="H1" s="663" t="s">
        <v>250</v>
      </c>
      <c r="I1" s="663"/>
      <c r="J1" s="663"/>
      <c r="K1" s="663"/>
      <c r="L1" s="663"/>
      <c r="M1" s="663" t="s">
        <v>250</v>
      </c>
      <c r="N1" s="663"/>
      <c r="O1" s="663"/>
    </row>
    <row r="2" spans="1:19" s="390" customFormat="1" ht="27" customHeight="1">
      <c r="A2" s="1208" t="s">
        <v>988</v>
      </c>
      <c r="B2" s="1244" t="s">
        <v>168</v>
      </c>
      <c r="C2" s="1244" t="s">
        <v>130</v>
      </c>
      <c r="D2" s="1244"/>
      <c r="E2" s="1244"/>
      <c r="F2" s="1244"/>
      <c r="G2" s="1244"/>
      <c r="H2" s="1244" t="s">
        <v>108</v>
      </c>
      <c r="I2" s="1244"/>
      <c r="J2" s="1244"/>
      <c r="K2" s="1244"/>
      <c r="L2" s="1244"/>
      <c r="M2" s="1244" t="s">
        <v>109</v>
      </c>
      <c r="N2" s="1244"/>
      <c r="O2" s="1244"/>
      <c r="P2" s="1244"/>
      <c r="Q2" s="1244"/>
    </row>
    <row r="3" spans="1:19" s="390" customFormat="1" ht="27.75" customHeight="1">
      <c r="A3" s="1209"/>
      <c r="B3" s="1244"/>
      <c r="C3" s="1265" t="s">
        <v>227</v>
      </c>
      <c r="D3" s="664" t="s">
        <v>228</v>
      </c>
      <c r="E3" s="664" t="s">
        <v>229</v>
      </c>
      <c r="F3" s="664" t="s">
        <v>876</v>
      </c>
      <c r="G3" s="664" t="s">
        <v>919</v>
      </c>
      <c r="H3" s="664" t="s">
        <v>227</v>
      </c>
      <c r="I3" s="664" t="s">
        <v>228</v>
      </c>
      <c r="J3" s="664" t="s">
        <v>229</v>
      </c>
      <c r="K3" s="664" t="s">
        <v>876</v>
      </c>
      <c r="L3" s="664" t="s">
        <v>919</v>
      </c>
      <c r="M3" s="664" t="s">
        <v>227</v>
      </c>
      <c r="N3" s="664" t="s">
        <v>228</v>
      </c>
      <c r="O3" s="664" t="s">
        <v>229</v>
      </c>
      <c r="P3" s="664" t="s">
        <v>876</v>
      </c>
      <c r="Q3" s="664" t="s">
        <v>919</v>
      </c>
    </row>
    <row r="4" spans="1:19" s="390" customFormat="1" ht="12.75">
      <c r="A4" s="640">
        <v>1</v>
      </c>
      <c r="B4" s="640">
        <v>2</v>
      </c>
      <c r="C4" s="1266">
        <v>3</v>
      </c>
      <c r="D4" s="640">
        <v>4</v>
      </c>
      <c r="E4" s="640">
        <v>5</v>
      </c>
      <c r="F4" s="640">
        <v>6</v>
      </c>
      <c r="G4" s="640">
        <v>7</v>
      </c>
      <c r="H4" s="640">
        <v>4</v>
      </c>
      <c r="I4" s="640">
        <v>5</v>
      </c>
      <c r="J4" s="640">
        <v>6</v>
      </c>
      <c r="K4" s="640">
        <v>7</v>
      </c>
      <c r="L4" s="640">
        <v>8</v>
      </c>
      <c r="M4" s="640">
        <v>3</v>
      </c>
      <c r="N4" s="640">
        <v>4</v>
      </c>
      <c r="O4" s="640">
        <v>5</v>
      </c>
      <c r="P4" s="640">
        <v>6</v>
      </c>
      <c r="Q4" s="640">
        <v>7</v>
      </c>
    </row>
    <row r="5" spans="1:19" s="391" customFormat="1" ht="25.5" customHeight="1">
      <c r="A5" s="665"/>
      <c r="B5" s="666" t="s">
        <v>230</v>
      </c>
      <c r="C5" s="1267">
        <v>1.0052834963441371</v>
      </c>
      <c r="D5" s="667">
        <v>1.0468491240587439</v>
      </c>
      <c r="E5" s="668">
        <v>1.0618043944194628</v>
      </c>
      <c r="F5" s="667">
        <v>1.0456354689229865</v>
      </c>
      <c r="G5" s="667">
        <v>1.0090487675228519</v>
      </c>
      <c r="H5" s="667">
        <v>0.99881004006397556</v>
      </c>
      <c r="I5" s="667">
        <v>1.0639902364986673</v>
      </c>
      <c r="J5" s="667">
        <v>1.0832744059550961</v>
      </c>
      <c r="K5" s="667">
        <v>1.0673720432135505</v>
      </c>
      <c r="L5" s="667">
        <v>1.0103008318058746</v>
      </c>
      <c r="M5" s="667">
        <v>0.90505444015942305</v>
      </c>
      <c r="N5" s="667">
        <v>0.95922804392218575</v>
      </c>
      <c r="O5" s="667">
        <v>1.0029187601570888</v>
      </c>
      <c r="P5" s="667">
        <f>'[3]47GER  19'!J6/'[3]47GER  19'!I6</f>
        <v>1.0171110870156423</v>
      </c>
      <c r="Q5" s="667">
        <v>0.97828107798707631</v>
      </c>
    </row>
    <row r="6" spans="1:19" ht="30.75" customHeight="1">
      <c r="A6" s="669">
        <v>1</v>
      </c>
      <c r="B6" s="666" t="s">
        <v>1061</v>
      </c>
      <c r="C6" s="1268">
        <v>1.0810244349492923</v>
      </c>
      <c r="D6" s="392">
        <v>1.3377921704429552</v>
      </c>
      <c r="E6" s="670">
        <v>1.3257814768360041</v>
      </c>
      <c r="F6" s="392">
        <v>1.2557306299841944</v>
      </c>
      <c r="G6" s="392">
        <v>1.2979797979797978</v>
      </c>
      <c r="H6" s="392"/>
      <c r="I6" s="392"/>
      <c r="J6" s="392"/>
      <c r="K6" s="392"/>
      <c r="L6" s="392"/>
      <c r="M6" s="392">
        <v>1.3439088037357503</v>
      </c>
      <c r="N6" s="392">
        <v>1.6603718875700217</v>
      </c>
      <c r="O6" s="392">
        <v>1.9590422822210902</v>
      </c>
      <c r="P6" s="392">
        <v>1.5457705677867903</v>
      </c>
      <c r="Q6" s="392">
        <v>1.5480769230769231</v>
      </c>
    </row>
    <row r="7" spans="1:19" ht="25.5" customHeight="1">
      <c r="A7" s="669">
        <v>2</v>
      </c>
      <c r="B7" s="666" t="s">
        <v>15</v>
      </c>
      <c r="C7" s="1268">
        <v>0.84372398418344829</v>
      </c>
      <c r="D7" s="392">
        <v>0.87886682951415673</v>
      </c>
      <c r="E7" s="670">
        <v>0.91453663678664321</v>
      </c>
      <c r="F7" s="392">
        <v>0.94105939295686558</v>
      </c>
      <c r="G7" s="392">
        <v>0.93368700265251992</v>
      </c>
      <c r="H7" s="392">
        <v>0.89307965973807812</v>
      </c>
      <c r="I7" s="392">
        <v>0.90846156764191655</v>
      </c>
      <c r="J7" s="392">
        <v>0.93289679902823142</v>
      </c>
      <c r="K7" s="392">
        <v>0.97663848434154366</v>
      </c>
      <c r="L7" s="392">
        <v>0.96857142857142853</v>
      </c>
      <c r="M7" s="392">
        <v>0.82940500693530472</v>
      </c>
      <c r="N7" s="392">
        <v>0.81949025581372159</v>
      </c>
      <c r="O7" s="392">
        <v>0.81938575768503141</v>
      </c>
      <c r="P7" s="392">
        <v>0.86703306740589481</v>
      </c>
      <c r="Q7" s="392">
        <v>0.88235294117647056</v>
      </c>
    </row>
    <row r="8" spans="1:19" ht="25.5" customHeight="1">
      <c r="A8" s="669">
        <v>3</v>
      </c>
      <c r="B8" s="666" t="s">
        <v>16</v>
      </c>
      <c r="C8" s="1268">
        <v>0.92096355734433299</v>
      </c>
      <c r="D8" s="392">
        <v>1.0337291893418035</v>
      </c>
      <c r="E8" s="670">
        <v>0.98351659811166325</v>
      </c>
      <c r="F8" s="392">
        <v>0.94429131910209174</v>
      </c>
      <c r="G8" s="392">
        <v>0.8984375</v>
      </c>
      <c r="H8" s="392"/>
      <c r="I8" s="392"/>
      <c r="J8" s="392"/>
      <c r="K8" s="392"/>
      <c r="L8" s="392"/>
      <c r="M8" s="392">
        <v>0.87019704014197052</v>
      </c>
      <c r="N8" s="392">
        <v>1.0550119915039615</v>
      </c>
      <c r="O8" s="392">
        <v>0.94865276327124592</v>
      </c>
      <c r="P8" s="392">
        <v>0.9657482043001151</v>
      </c>
      <c r="Q8" s="392">
        <v>0.89573459715639803</v>
      </c>
      <c r="R8" s="522"/>
      <c r="S8" s="522"/>
    </row>
    <row r="9" spans="1:19" ht="25.5" customHeight="1">
      <c r="A9" s="669">
        <v>4</v>
      </c>
      <c r="B9" s="666" t="s">
        <v>17</v>
      </c>
      <c r="C9" s="1268">
        <v>1.0659984148381179</v>
      </c>
      <c r="D9" s="392">
        <v>1.0686168315139524</v>
      </c>
      <c r="E9" s="670">
        <v>1.1094895936556164</v>
      </c>
      <c r="F9" s="392">
        <v>1.0949335020398276</v>
      </c>
      <c r="G9" s="392">
        <v>1.0864197530864199</v>
      </c>
      <c r="H9" s="392">
        <v>1.0391336263215523</v>
      </c>
      <c r="I9" s="392">
        <v>1.0557630980631825</v>
      </c>
      <c r="J9" s="392">
        <v>1.0829267437029539</v>
      </c>
      <c r="K9" s="392">
        <v>1.1129197219809892</v>
      </c>
      <c r="L9" s="392">
        <v>1.0714285714285714</v>
      </c>
      <c r="M9" s="392">
        <v>0.96900579048962587</v>
      </c>
      <c r="N9" s="392">
        <v>1.0116029585279582</v>
      </c>
      <c r="O9" s="392">
        <v>1.0959098648494758</v>
      </c>
      <c r="P9" s="392">
        <v>1.075015585372495</v>
      </c>
      <c r="Q9" s="392">
        <v>1.0354330708661419</v>
      </c>
    </row>
    <row r="10" spans="1:19" ht="25.5" customHeight="1">
      <c r="A10" s="669">
        <v>5</v>
      </c>
      <c r="B10" s="666" t="s">
        <v>18</v>
      </c>
      <c r="C10" s="1268">
        <v>0.86097501636578588</v>
      </c>
      <c r="D10" s="392">
        <v>0.86293396022516333</v>
      </c>
      <c r="E10" s="670">
        <v>0.90792837499535128</v>
      </c>
      <c r="F10" s="392">
        <v>0.91189143991117672</v>
      </c>
      <c r="G10" s="392">
        <v>0.9157303370786517</v>
      </c>
      <c r="H10" s="392">
        <v>0.65568327031478391</v>
      </c>
      <c r="I10" s="392">
        <v>0.63148887130142706</v>
      </c>
      <c r="J10" s="392">
        <v>0.6384620635204592</v>
      </c>
      <c r="K10" s="392">
        <v>0.72422797762323055</v>
      </c>
      <c r="L10" s="392">
        <v>0.71578947368421053</v>
      </c>
      <c r="M10" s="392">
        <v>0.70711453334964591</v>
      </c>
      <c r="N10" s="392">
        <v>0.72891877898475133</v>
      </c>
      <c r="O10" s="392">
        <v>0.820341939253589</v>
      </c>
      <c r="P10" s="392">
        <v>0.79038811196318248</v>
      </c>
      <c r="Q10" s="392">
        <v>0.81578947368421051</v>
      </c>
    </row>
    <row r="11" spans="1:19" ht="25.5" customHeight="1">
      <c r="A11" s="669">
        <v>6</v>
      </c>
      <c r="B11" s="666" t="s">
        <v>19</v>
      </c>
      <c r="C11" s="1268">
        <v>1.2298551257513426</v>
      </c>
      <c r="D11" s="392">
        <v>1.3434137784111517</v>
      </c>
      <c r="E11" s="670">
        <v>1.3102728693285899</v>
      </c>
      <c r="F11" s="392">
        <v>1.3310059809436454</v>
      </c>
      <c r="G11" s="392">
        <v>1.3274647887323945</v>
      </c>
      <c r="H11" s="392">
        <v>0.95694944427673645</v>
      </c>
      <c r="I11" s="392">
        <v>1.0174706031421055</v>
      </c>
      <c r="J11" s="392">
        <v>1.0251112356112486</v>
      </c>
      <c r="K11" s="392">
        <v>0.94696832578404166</v>
      </c>
      <c r="L11" s="392">
        <v>0.98510242085661071</v>
      </c>
      <c r="M11" s="392"/>
      <c r="N11" s="392"/>
      <c r="O11" s="392"/>
      <c r="P11" s="392"/>
      <c r="Q11" s="392"/>
    </row>
    <row r="12" spans="1:19" ht="25.5" customHeight="1">
      <c r="A12" s="669">
        <v>7</v>
      </c>
      <c r="B12" s="666" t="s">
        <v>20</v>
      </c>
      <c r="C12" s="1268">
        <v>1.0211450722167339</v>
      </c>
      <c r="D12" s="392">
        <v>1.0971109139249215</v>
      </c>
      <c r="E12" s="670">
        <v>1.1736292004819699</v>
      </c>
      <c r="F12" s="392">
        <v>1.1830531341819741</v>
      </c>
      <c r="G12" s="392">
        <v>1.2272727272727273</v>
      </c>
      <c r="H12" s="392">
        <v>0.95369135259781579</v>
      </c>
      <c r="I12" s="392">
        <v>1.0661363105875958</v>
      </c>
      <c r="J12" s="392">
        <v>1.1054333888091223</v>
      </c>
      <c r="K12" s="392">
        <v>1.1132564169397916</v>
      </c>
      <c r="L12" s="392">
        <v>1.1361256544502616</v>
      </c>
      <c r="M12" s="392">
        <v>1.0763516176818848</v>
      </c>
      <c r="N12" s="392">
        <v>1.2177663509605379</v>
      </c>
      <c r="O12" s="392">
        <v>1.3083299593757467</v>
      </c>
      <c r="P12" s="392">
        <v>1.3521683824990889</v>
      </c>
      <c r="Q12" s="392">
        <v>1.4166666666666667</v>
      </c>
    </row>
    <row r="13" spans="1:19" ht="25.5" customHeight="1">
      <c r="A13" s="669">
        <v>8</v>
      </c>
      <c r="B13" s="666" t="s">
        <v>23</v>
      </c>
      <c r="C13" s="1268">
        <v>0.97953613830483066</v>
      </c>
      <c r="D13" s="392">
        <v>1.0564233404681369</v>
      </c>
      <c r="E13" s="670">
        <v>1.0460442030699624</v>
      </c>
      <c r="F13" s="392">
        <v>1.0398056611252935</v>
      </c>
      <c r="G13" s="392">
        <v>1.0289855072463769</v>
      </c>
      <c r="H13" s="392">
        <v>0.92413582999843957</v>
      </c>
      <c r="I13" s="392">
        <v>1.0421437887753842</v>
      </c>
      <c r="J13" s="392">
        <v>1.0464724645092112</v>
      </c>
      <c r="K13" s="392">
        <v>0.90803055777081121</v>
      </c>
      <c r="L13" s="392">
        <v>0.97267759562841527</v>
      </c>
      <c r="M13" s="392"/>
      <c r="N13" s="392"/>
      <c r="O13" s="392"/>
      <c r="P13" s="392"/>
      <c r="Q13" s="392"/>
    </row>
    <row r="14" spans="1:19" ht="25.5" customHeight="1">
      <c r="A14" s="669">
        <v>9</v>
      </c>
      <c r="B14" s="666" t="s">
        <v>24</v>
      </c>
      <c r="C14" s="1268">
        <v>1.1388600695223581</v>
      </c>
      <c r="D14" s="392">
        <v>1.1713916867136773</v>
      </c>
      <c r="E14" s="670">
        <v>1.269962121095052</v>
      </c>
      <c r="F14" s="392">
        <v>1.2130028327599294</v>
      </c>
      <c r="G14" s="392">
        <v>0.98611111111111116</v>
      </c>
      <c r="H14" s="392">
        <v>0.91247148616271889</v>
      </c>
      <c r="I14" s="392">
        <v>0.93565506021883449</v>
      </c>
      <c r="J14" s="392">
        <v>0.98388589297680207</v>
      </c>
      <c r="K14" s="392">
        <v>0.76315623653770737</v>
      </c>
      <c r="L14" s="392">
        <v>0.73788546255506615</v>
      </c>
      <c r="M14" s="392">
        <v>1.1779110971968894</v>
      </c>
      <c r="N14" s="392">
        <v>1.2993919079389271</v>
      </c>
      <c r="O14" s="392">
        <v>1.4245233092517435</v>
      </c>
      <c r="P14" s="392">
        <v>1.3202291926325991</v>
      </c>
      <c r="Q14" s="392">
        <v>1.3333333333333335</v>
      </c>
    </row>
    <row r="15" spans="1:19" ht="25.5" customHeight="1">
      <c r="A15" s="669">
        <v>10</v>
      </c>
      <c r="B15" s="666" t="s">
        <v>25</v>
      </c>
      <c r="C15" s="1268">
        <v>0.86422826825237276</v>
      </c>
      <c r="D15" s="392">
        <v>0.88657633823688597</v>
      </c>
      <c r="E15" s="670">
        <v>0.90095094772220041</v>
      </c>
      <c r="F15" s="392">
        <v>0.87471881719749245</v>
      </c>
      <c r="G15" s="392">
        <v>0.90079365079365081</v>
      </c>
      <c r="H15" s="392">
        <v>0.86502831223172194</v>
      </c>
      <c r="I15" s="392">
        <v>0.89958044707212781</v>
      </c>
      <c r="J15" s="392">
        <v>0.92224453262082007</v>
      </c>
      <c r="K15" s="392">
        <v>0.88758585916837585</v>
      </c>
      <c r="L15" s="392">
        <v>0.91666666666666663</v>
      </c>
      <c r="M15" s="392">
        <v>1.0262277717423043</v>
      </c>
      <c r="N15" s="392">
        <v>1.0324743402121446</v>
      </c>
      <c r="O15" s="392">
        <v>1.0645703668167732</v>
      </c>
      <c r="P15" s="392">
        <v>1.0103922816580793</v>
      </c>
      <c r="Q15" s="392">
        <v>1.0552763819095479</v>
      </c>
    </row>
    <row r="16" spans="1:19" ht="25.5" customHeight="1">
      <c r="A16" s="669">
        <v>11</v>
      </c>
      <c r="B16" s="666" t="s">
        <v>26</v>
      </c>
      <c r="C16" s="1268">
        <v>1.1315037383860735</v>
      </c>
      <c r="D16" s="392">
        <v>1.2204717293619398</v>
      </c>
      <c r="E16" s="670">
        <v>1.2134676431718847</v>
      </c>
      <c r="F16" s="392">
        <v>1.1643164741411165</v>
      </c>
      <c r="G16" s="392">
        <v>1.221122112211221</v>
      </c>
      <c r="H16" s="392">
        <v>1.0776200116468202</v>
      </c>
      <c r="I16" s="392">
        <v>1.1977623691806722</v>
      </c>
      <c r="J16" s="392">
        <v>1.2293419273418096</v>
      </c>
      <c r="K16" s="392">
        <v>1.1600341607325266</v>
      </c>
      <c r="L16" s="392">
        <v>1.2066115702479339</v>
      </c>
      <c r="M16" s="392"/>
      <c r="N16" s="392"/>
      <c r="O16" s="392"/>
      <c r="P16" s="392"/>
      <c r="Q16" s="392"/>
    </row>
    <row r="17" spans="1:17" ht="25.5" customHeight="1">
      <c r="A17" s="669">
        <v>12</v>
      </c>
      <c r="B17" s="666" t="s">
        <v>27</v>
      </c>
      <c r="C17" s="1268">
        <v>1.284290563285827</v>
      </c>
      <c r="D17" s="392">
        <v>1.3406824049230588</v>
      </c>
      <c r="E17" s="670">
        <v>1.3433856086005993</v>
      </c>
      <c r="F17" s="392">
        <v>1.3330463615673773</v>
      </c>
      <c r="G17" s="392">
        <v>1.3324396782841825</v>
      </c>
      <c r="H17" s="392">
        <v>1.2531928361219324</v>
      </c>
      <c r="I17" s="392">
        <v>1.3454483549936553</v>
      </c>
      <c r="J17" s="392">
        <v>1.3925763122474542</v>
      </c>
      <c r="K17" s="392">
        <v>1.3528333413318545</v>
      </c>
      <c r="L17" s="392">
        <v>1.3571428571428572</v>
      </c>
      <c r="M17" s="392">
        <v>1.1549853003071036</v>
      </c>
      <c r="N17" s="392">
        <v>1.267325020613671</v>
      </c>
      <c r="O17" s="392">
        <v>1.2870379390352003</v>
      </c>
      <c r="P17" s="392">
        <v>1.2499707218218592</v>
      </c>
      <c r="Q17" s="392">
        <v>1.3074935400516796</v>
      </c>
    </row>
    <row r="18" spans="1:17" ht="25.5" customHeight="1">
      <c r="A18" s="669">
        <v>13</v>
      </c>
      <c r="B18" s="666" t="s">
        <v>57</v>
      </c>
      <c r="C18" s="1268">
        <v>1.1312726942917195</v>
      </c>
      <c r="D18" s="392">
        <v>1.1241017030846123</v>
      </c>
      <c r="E18" s="670">
        <v>1.091638015539347</v>
      </c>
      <c r="F18" s="392">
        <v>1.1819964236853522</v>
      </c>
      <c r="G18" s="392">
        <v>1.2035398230088494</v>
      </c>
      <c r="H18" s="392">
        <v>1.2793769957631931</v>
      </c>
      <c r="I18" s="392">
        <v>1.3343814863989925</v>
      </c>
      <c r="J18" s="392">
        <v>1.4067535470720371</v>
      </c>
      <c r="K18" s="392">
        <v>1.2658408683832243</v>
      </c>
      <c r="L18" s="392">
        <v>1.2096774193548385</v>
      </c>
      <c r="M18" s="392">
        <v>1.0171614547189258</v>
      </c>
      <c r="N18" s="392">
        <v>1.0091472398354537</v>
      </c>
      <c r="O18" s="392">
        <v>0.91785726872331141</v>
      </c>
      <c r="P18" s="392">
        <v>0.91667155184201643</v>
      </c>
      <c r="Q18" s="392">
        <v>0.89447236180904532</v>
      </c>
    </row>
    <row r="19" spans="1:17" ht="25.5" customHeight="1">
      <c r="A19" s="669">
        <v>14</v>
      </c>
      <c r="B19" s="666" t="s">
        <v>29</v>
      </c>
      <c r="C19" s="1268">
        <v>1.0169887491695329</v>
      </c>
      <c r="D19" s="392">
        <v>1.0248405974759098</v>
      </c>
      <c r="E19" s="670">
        <v>1.0640635287950972</v>
      </c>
      <c r="F19" s="392">
        <v>1.0590349712449547</v>
      </c>
      <c r="G19" s="392">
        <v>1.0053763440860215</v>
      </c>
      <c r="H19" s="392">
        <v>0.87953992287963123</v>
      </c>
      <c r="I19" s="392">
        <v>0.92853053324613521</v>
      </c>
      <c r="J19" s="392">
        <v>0.93283010910110198</v>
      </c>
      <c r="K19" s="392">
        <v>0.93525225824941038</v>
      </c>
      <c r="L19" s="392">
        <v>0.86708860759493667</v>
      </c>
      <c r="M19" s="392">
        <v>1.1256010659493485</v>
      </c>
      <c r="N19" s="392">
        <v>1.1198707840374347</v>
      </c>
      <c r="O19" s="392">
        <v>1.1702346819247123</v>
      </c>
      <c r="P19" s="392">
        <v>1.1428907976241582</v>
      </c>
      <c r="Q19" s="392">
        <v>1.1221374045801527</v>
      </c>
    </row>
    <row r="20" spans="1:17" ht="25.5" customHeight="1">
      <c r="A20" s="669">
        <v>15</v>
      </c>
      <c r="B20" s="666" t="s">
        <v>30</v>
      </c>
      <c r="C20" s="1268">
        <v>1.0776354123142771</v>
      </c>
      <c r="D20" s="392">
        <v>1.0770960373172258</v>
      </c>
      <c r="E20" s="670">
        <v>1.0841190048277536</v>
      </c>
      <c r="F20" s="392">
        <v>1.0670107113755329</v>
      </c>
      <c r="G20" s="392">
        <v>1.0055401662049861</v>
      </c>
      <c r="H20" s="392">
        <v>0.99833710911020135</v>
      </c>
      <c r="I20" s="392">
        <v>1.0152674422382124</v>
      </c>
      <c r="J20" s="392">
        <v>1.016075057846896</v>
      </c>
      <c r="K20" s="392">
        <v>1.0215617071859826</v>
      </c>
      <c r="L20" s="392">
        <v>0.93055555555555558</v>
      </c>
      <c r="M20" s="392">
        <v>1.0003008171748782</v>
      </c>
      <c r="N20" s="392">
        <v>1.0289728363602422</v>
      </c>
      <c r="O20" s="392">
        <v>1.0265783781561117</v>
      </c>
      <c r="P20" s="392">
        <v>1.0203256725721999</v>
      </c>
      <c r="Q20" s="392">
        <v>0.94696969696969702</v>
      </c>
    </row>
    <row r="21" spans="1:17" ht="25.5" customHeight="1">
      <c r="A21" s="669">
        <v>16</v>
      </c>
      <c r="B21" s="666" t="s">
        <v>31</v>
      </c>
      <c r="C21" s="1268">
        <v>1.3088926151979501</v>
      </c>
      <c r="D21" s="392">
        <v>1.4572849917960362</v>
      </c>
      <c r="E21" s="670">
        <v>1.4164012053546982</v>
      </c>
      <c r="F21" s="392">
        <v>1.5191141349234494</v>
      </c>
      <c r="G21" s="392">
        <v>1.4369501466275658</v>
      </c>
      <c r="H21" s="392">
        <v>1.8754697933968498</v>
      </c>
      <c r="I21" s="392">
        <v>1.9279707895683897</v>
      </c>
      <c r="J21" s="392">
        <v>1.9407302631413037</v>
      </c>
      <c r="K21" s="392">
        <v>1.9060037023378975</v>
      </c>
      <c r="L21" s="392">
        <v>1.803921568627451</v>
      </c>
      <c r="M21" s="392">
        <v>1.5042997001503353</v>
      </c>
      <c r="N21" s="392">
        <v>1.4908310243191218</v>
      </c>
      <c r="O21" s="392">
        <v>1.5629200074396266</v>
      </c>
      <c r="P21" s="392">
        <v>1.5204919609418315</v>
      </c>
      <c r="Q21" s="392">
        <v>1.4083333333333332</v>
      </c>
    </row>
    <row r="22" spans="1:17" ht="25.5" customHeight="1">
      <c r="A22" s="669">
        <v>17</v>
      </c>
      <c r="B22" s="666" t="s">
        <v>154</v>
      </c>
      <c r="C22" s="1269"/>
      <c r="D22" s="393"/>
      <c r="E22" s="1263">
        <v>2.2546266084396613</v>
      </c>
      <c r="F22" s="393">
        <v>2.2014348670485853</v>
      </c>
      <c r="G22" s="393">
        <v>2.1866666666666665</v>
      </c>
      <c r="H22" s="393"/>
      <c r="I22" s="393"/>
      <c r="J22" s="393"/>
      <c r="K22" s="393"/>
      <c r="L22" s="393">
        <v>14.840707964601767</v>
      </c>
      <c r="M22" s="393"/>
      <c r="N22" s="393"/>
      <c r="O22" s="393">
        <v>1.9063875965467965</v>
      </c>
      <c r="P22" s="393">
        <v>2.0132173574110235</v>
      </c>
      <c r="Q22" s="392">
        <v>1.6831683168316833</v>
      </c>
    </row>
    <row r="23" spans="1:17" ht="25.5" customHeight="1">
      <c r="A23" s="669">
        <v>18</v>
      </c>
      <c r="B23" s="666" t="s">
        <v>32</v>
      </c>
      <c r="C23" s="1269">
        <v>3.9954770262430808</v>
      </c>
      <c r="D23" s="393">
        <v>3.524467417032993</v>
      </c>
      <c r="E23" s="1263">
        <v>3.4610612479356639</v>
      </c>
      <c r="F23" s="393">
        <v>3.4840727620332883</v>
      </c>
      <c r="G23" s="393">
        <v>6.333333333333333</v>
      </c>
      <c r="H23" s="393"/>
      <c r="I23" s="393"/>
      <c r="J23" s="393"/>
      <c r="K23" s="393"/>
      <c r="L23" s="393"/>
      <c r="M23" s="393">
        <v>3.1999273255813958</v>
      </c>
      <c r="N23" s="393">
        <v>3.8131486352004549</v>
      </c>
      <c r="O23" s="393">
        <v>3.6520564275779854</v>
      </c>
      <c r="P23" s="393">
        <v>3.6770619358854657</v>
      </c>
      <c r="Q23" s="392">
        <v>5</v>
      </c>
    </row>
    <row r="24" spans="1:17" ht="25.5" customHeight="1">
      <c r="A24" s="669">
        <v>19</v>
      </c>
      <c r="B24" s="666" t="s">
        <v>33</v>
      </c>
      <c r="C24" s="1269">
        <v>0.93779446879231088</v>
      </c>
      <c r="D24" s="393">
        <v>0.97271591880733388</v>
      </c>
      <c r="E24" s="1263">
        <v>1.0011310568500245</v>
      </c>
      <c r="F24" s="393">
        <v>0.98035018825344744</v>
      </c>
      <c r="G24" s="393">
        <v>0.9427609427609428</v>
      </c>
      <c r="H24" s="393">
        <v>0.90476632625158171</v>
      </c>
      <c r="I24" s="393">
        <v>0.96690853346520922</v>
      </c>
      <c r="J24" s="393">
        <v>1.0112042871255886</v>
      </c>
      <c r="K24" s="393">
        <v>1.0108636027904114</v>
      </c>
      <c r="L24" s="393">
        <v>0.97802197802197799</v>
      </c>
      <c r="M24" s="393">
        <v>0.85805938288655248</v>
      </c>
      <c r="N24" s="393">
        <v>0.94184653786126904</v>
      </c>
      <c r="O24" s="393">
        <v>0.96481136854062777</v>
      </c>
      <c r="P24" s="393">
        <v>1.0539638180885105</v>
      </c>
      <c r="Q24" s="392">
        <v>0.96629213483146059</v>
      </c>
    </row>
    <row r="25" spans="1:17" ht="25.5" customHeight="1">
      <c r="A25" s="669">
        <v>20</v>
      </c>
      <c r="B25" s="666" t="s">
        <v>34</v>
      </c>
      <c r="C25" s="1269">
        <v>0.92282212481150949</v>
      </c>
      <c r="D25" s="393">
        <v>0.92202765920736662</v>
      </c>
      <c r="E25" s="1263">
        <v>0.94686620427778601</v>
      </c>
      <c r="F25" s="393">
        <v>0.92390029427823595</v>
      </c>
      <c r="G25" s="393">
        <v>0.89757412398921821</v>
      </c>
      <c r="H25" s="393">
        <v>0.92867117890201034</v>
      </c>
      <c r="I25" s="393">
        <v>0.96985366029863063</v>
      </c>
      <c r="J25" s="393">
        <v>1.0150308299536281</v>
      </c>
      <c r="K25" s="393">
        <v>0.95505165916883028</v>
      </c>
      <c r="L25" s="393">
        <v>0.92819148936170204</v>
      </c>
      <c r="M25" s="393">
        <v>0.71290893556750068</v>
      </c>
      <c r="N25" s="393">
        <v>0.76076909532309789</v>
      </c>
      <c r="O25" s="393">
        <v>0.78363918723181303</v>
      </c>
      <c r="P25" s="393">
        <v>0.77610983306812542</v>
      </c>
      <c r="Q25" s="392">
        <v>0.78350515463917525</v>
      </c>
    </row>
    <row r="26" spans="1:17" ht="25.5" customHeight="1">
      <c r="A26" s="669">
        <v>21</v>
      </c>
      <c r="B26" s="666" t="s">
        <v>35</v>
      </c>
      <c r="C26" s="1269">
        <v>1.0707824414777825</v>
      </c>
      <c r="D26" s="393">
        <v>1.0495814696202546</v>
      </c>
      <c r="E26" s="1263">
        <v>1.0786414696250219</v>
      </c>
      <c r="F26" s="393">
        <v>1.0452822628866689</v>
      </c>
      <c r="G26" s="393">
        <v>1.0056657223796035</v>
      </c>
      <c r="H26" s="393">
        <v>0.92402321083894323</v>
      </c>
      <c r="I26" s="393">
        <v>0.95255206387833824</v>
      </c>
      <c r="J26" s="393">
        <v>1.0205875086864891</v>
      </c>
      <c r="K26" s="393">
        <v>0.8710368629632913</v>
      </c>
      <c r="L26" s="393">
        <v>1.0116086235489221</v>
      </c>
      <c r="M26" s="393">
        <v>0.97171833677408825</v>
      </c>
      <c r="N26" s="393">
        <v>1.0163253239138581</v>
      </c>
      <c r="O26" s="393">
        <v>1.1066384282311204</v>
      </c>
      <c r="P26" s="393">
        <v>1.0759743642959345</v>
      </c>
      <c r="Q26" s="392">
        <v>1.0999999999999999</v>
      </c>
    </row>
    <row r="27" spans="1:17" ht="25.5" customHeight="1">
      <c r="A27" s="669">
        <v>22</v>
      </c>
      <c r="B27" s="666" t="s">
        <v>36</v>
      </c>
      <c r="C27" s="1269">
        <v>1.0826116734779838</v>
      </c>
      <c r="D27" s="393">
        <v>1.2161217232281827</v>
      </c>
      <c r="E27" s="1263">
        <v>1.2129721366156387</v>
      </c>
      <c r="F27" s="393">
        <v>1.2836114042708751</v>
      </c>
      <c r="G27" s="393">
        <v>1.2378854625550662</v>
      </c>
      <c r="H27" s="393">
        <v>0.77169091899463083</v>
      </c>
      <c r="I27" s="393">
        <v>2.7138713871387137</v>
      </c>
      <c r="J27" s="393">
        <v>0.85863543336852954</v>
      </c>
      <c r="K27" s="393">
        <v>0.94203246026706067</v>
      </c>
      <c r="L27" s="393">
        <v>1.1717369970559373</v>
      </c>
      <c r="M27" s="393">
        <v>1.1675049736355267</v>
      </c>
      <c r="N27" s="393">
        <v>1.2725345082943522</v>
      </c>
      <c r="O27" s="393">
        <v>1.3290942039183604</v>
      </c>
      <c r="P27" s="393">
        <v>1.3594225660873718</v>
      </c>
      <c r="Q27" s="392">
        <v>1.306930693069307</v>
      </c>
    </row>
    <row r="28" spans="1:17" ht="25.5" customHeight="1">
      <c r="A28" s="669">
        <v>23</v>
      </c>
      <c r="B28" s="666" t="s">
        <v>37</v>
      </c>
      <c r="C28" s="1269">
        <v>0.88331742160825988</v>
      </c>
      <c r="D28" s="393">
        <v>0.97715051689047572</v>
      </c>
      <c r="E28" s="1263">
        <v>0.96780877767102358</v>
      </c>
      <c r="F28" s="393">
        <v>1.0516285499381828</v>
      </c>
      <c r="G28" s="393">
        <v>1.0573248407643314</v>
      </c>
      <c r="H28" s="393">
        <v>0.85314685314685312</v>
      </c>
      <c r="I28" s="393">
        <v>0.98717948717948723</v>
      </c>
      <c r="J28" s="393">
        <v>0.70035761340109171</v>
      </c>
      <c r="K28" s="393">
        <v>1.0259090909090909</v>
      </c>
      <c r="L28" s="393">
        <v>1.4760290556900726</v>
      </c>
      <c r="M28" s="393">
        <v>0.88274175818714873</v>
      </c>
      <c r="N28" s="393">
        <v>0.97354274999031953</v>
      </c>
      <c r="O28" s="393">
        <v>0.99190888765547358</v>
      </c>
      <c r="P28" s="393">
        <v>1.0463001425684892</v>
      </c>
      <c r="Q28" s="392">
        <v>1.0471698113207546</v>
      </c>
    </row>
    <row r="29" spans="1:17" ht="25.5" customHeight="1">
      <c r="A29" s="669">
        <v>24</v>
      </c>
      <c r="B29" s="666" t="s">
        <v>38</v>
      </c>
      <c r="C29" s="1269">
        <v>1.0461353103421087</v>
      </c>
      <c r="D29" s="393">
        <v>1.1550455426994632</v>
      </c>
      <c r="E29" s="1263">
        <v>1.3012562021616216</v>
      </c>
      <c r="F29" s="393">
        <v>1.2595234438878269</v>
      </c>
      <c r="G29" s="393">
        <v>1.2848484848484849</v>
      </c>
      <c r="H29" s="393"/>
      <c r="I29" s="393"/>
      <c r="J29" s="393"/>
      <c r="K29" s="393"/>
      <c r="L29" s="393"/>
      <c r="M29" s="393">
        <v>1.1177760370236984</v>
      </c>
      <c r="N29" s="393">
        <v>1.1972004846921027</v>
      </c>
      <c r="O29" s="393">
        <v>1.2671077995824385</v>
      </c>
      <c r="P29" s="393">
        <v>1.2428011567767907</v>
      </c>
      <c r="Q29" s="392">
        <v>1.25</v>
      </c>
    </row>
    <row r="30" spans="1:17" ht="25.5" customHeight="1">
      <c r="A30" s="669">
        <v>25</v>
      </c>
      <c r="B30" s="666" t="s">
        <v>39</v>
      </c>
      <c r="C30" s="1269">
        <v>0.86534721070160525</v>
      </c>
      <c r="D30" s="393">
        <v>0.84501311022256531</v>
      </c>
      <c r="E30" s="1263">
        <v>0.90427652258327174</v>
      </c>
      <c r="F30" s="393">
        <v>0.94362480022489437</v>
      </c>
      <c r="G30" s="393">
        <v>0.87659574468085111</v>
      </c>
      <c r="H30" s="393">
        <v>0.74262391953710361</v>
      </c>
      <c r="I30" s="393">
        <v>0.78029324322017546</v>
      </c>
      <c r="J30" s="393">
        <v>0.8245380388884096</v>
      </c>
      <c r="K30" s="393">
        <v>0.85876768817205362</v>
      </c>
      <c r="L30" s="393">
        <v>0.78968253968253965</v>
      </c>
      <c r="M30" s="393">
        <v>0.7695368167216734</v>
      </c>
      <c r="N30" s="393">
        <v>0.80118409181333772</v>
      </c>
      <c r="O30" s="393">
        <v>0.87247881046337017</v>
      </c>
      <c r="P30" s="393">
        <v>0.89803230903251663</v>
      </c>
      <c r="Q30" s="392">
        <v>0.85628742514970069</v>
      </c>
    </row>
    <row r="31" spans="1:17" ht="25.5" customHeight="1">
      <c r="A31" s="669">
        <v>26</v>
      </c>
      <c r="B31" s="666" t="s">
        <v>40</v>
      </c>
      <c r="C31" s="1269">
        <v>0.91510302600648152</v>
      </c>
      <c r="D31" s="393">
        <v>0.98615693116859948</v>
      </c>
      <c r="E31" s="1263">
        <v>0.99568901842725077</v>
      </c>
      <c r="F31" s="393">
        <v>1.0136542429576465</v>
      </c>
      <c r="G31" s="393">
        <v>1.0180327868852459</v>
      </c>
      <c r="H31" s="393">
        <v>0.89176758616171758</v>
      </c>
      <c r="I31" s="393">
        <v>0.92886726014063936</v>
      </c>
      <c r="J31" s="393">
        <v>0.94540556968503597</v>
      </c>
      <c r="K31" s="393">
        <v>1.0015245234481418</v>
      </c>
      <c r="L31" s="393">
        <v>1.0093023255813953</v>
      </c>
      <c r="M31" s="393"/>
      <c r="N31" s="393"/>
      <c r="O31" s="393"/>
      <c r="P31" s="393"/>
      <c r="Q31" s="392"/>
    </row>
    <row r="32" spans="1:17" ht="25.5" customHeight="1">
      <c r="A32" s="669">
        <v>27</v>
      </c>
      <c r="B32" s="666" t="s">
        <v>41</v>
      </c>
      <c r="C32" s="1269">
        <v>1.2251047640026744</v>
      </c>
      <c r="D32" s="393">
        <v>1.3520213889698882</v>
      </c>
      <c r="E32" s="1263">
        <v>1.2781938812532287</v>
      </c>
      <c r="F32" s="393">
        <v>1.2160714547158424</v>
      </c>
      <c r="G32" s="393">
        <v>1.1944444444444446</v>
      </c>
      <c r="H32" s="393">
        <v>1.2320210895788422</v>
      </c>
      <c r="I32" s="393">
        <v>1.4236269218525228</v>
      </c>
      <c r="J32" s="393">
        <v>1.423375868243161</v>
      </c>
      <c r="K32" s="393">
        <v>1.4830703423149054</v>
      </c>
      <c r="L32" s="393">
        <v>1.4074074074074074</v>
      </c>
      <c r="M32" s="393"/>
      <c r="N32" s="393"/>
      <c r="O32" s="393"/>
      <c r="P32" s="393"/>
      <c r="Q32" s="392"/>
    </row>
    <row r="33" spans="1:17" ht="25.5" customHeight="1">
      <c r="A33" s="669">
        <v>28</v>
      </c>
      <c r="B33" s="666" t="s">
        <v>42</v>
      </c>
      <c r="C33" s="1269">
        <v>0.93078462962084196</v>
      </c>
      <c r="D33" s="393">
        <v>1.0278601881280081</v>
      </c>
      <c r="E33" s="1263">
        <v>1.0155160572000941</v>
      </c>
      <c r="F33" s="393">
        <v>0.99806029138468644</v>
      </c>
      <c r="G33" s="393">
        <v>0.96896551724137936</v>
      </c>
      <c r="H33" s="393">
        <v>0.91178615445316702</v>
      </c>
      <c r="I33" s="393">
        <v>0.96086596593993778</v>
      </c>
      <c r="J33" s="393">
        <v>1.0141137893188441</v>
      </c>
      <c r="K33" s="393">
        <v>0.98574805895189943</v>
      </c>
      <c r="L33" s="393">
        <v>0.9595588235294118</v>
      </c>
      <c r="M33" s="393">
        <v>0.89097327458022535</v>
      </c>
      <c r="N33" s="393">
        <v>0.94823092770284156</v>
      </c>
      <c r="O33" s="393">
        <v>1.0212262947857789</v>
      </c>
      <c r="P33" s="393">
        <v>1.0410417236143648</v>
      </c>
      <c r="Q33" s="392">
        <v>0.95501730103806237</v>
      </c>
    </row>
    <row r="34" spans="1:17" ht="25.5" customHeight="1">
      <c r="A34" s="669">
        <v>29</v>
      </c>
      <c r="B34" s="666" t="s">
        <v>43</v>
      </c>
      <c r="C34" s="1269">
        <v>1.2627559837540865</v>
      </c>
      <c r="D34" s="393">
        <v>1.0430596337897315</v>
      </c>
      <c r="E34" s="1263">
        <v>0.84717868892452064</v>
      </c>
      <c r="F34" s="393">
        <v>1.2130655786012292</v>
      </c>
      <c r="G34" s="393">
        <v>1.2108262108262107</v>
      </c>
      <c r="H34" s="393">
        <v>0.75611019069964147</v>
      </c>
      <c r="I34" s="393">
        <v>0.83872011474278829</v>
      </c>
      <c r="J34" s="393">
        <v>0.89633588742509962</v>
      </c>
      <c r="K34" s="393">
        <v>0.88888191203881173</v>
      </c>
      <c r="L34" s="393">
        <v>0.83905579399141628</v>
      </c>
      <c r="M34" s="393">
        <v>1.3722023497277642</v>
      </c>
      <c r="N34" s="393">
        <v>1.5803905708081876</v>
      </c>
      <c r="O34" s="393">
        <v>1.5570945781731194</v>
      </c>
      <c r="P34" s="393">
        <v>1.446600142886846</v>
      </c>
      <c r="Q34" s="392">
        <v>1.4222972972972974</v>
      </c>
    </row>
    <row r="35" spans="1:17" ht="25.5" customHeight="1">
      <c r="A35" s="669">
        <v>30</v>
      </c>
      <c r="B35" s="666" t="s">
        <v>44</v>
      </c>
      <c r="C35" s="1269">
        <v>1.031004534642733</v>
      </c>
      <c r="D35" s="393">
        <v>1.0202838352466839</v>
      </c>
      <c r="E35" s="1263">
        <v>1.0377507980906777</v>
      </c>
      <c r="F35" s="393">
        <v>1.0697772733006736</v>
      </c>
      <c r="G35" s="393">
        <v>1.0106837606837606</v>
      </c>
      <c r="H35" s="393">
        <v>1.0677691485689595</v>
      </c>
      <c r="I35" s="393">
        <v>1.0570890880578847</v>
      </c>
      <c r="J35" s="393">
        <v>1.0936979381151468</v>
      </c>
      <c r="K35" s="393">
        <v>1.1225509980198898</v>
      </c>
      <c r="L35" s="393">
        <v>1.0520833333333333</v>
      </c>
      <c r="M35" s="393">
        <v>0.8171325480770153</v>
      </c>
      <c r="N35" s="393">
        <v>0.79028671577151066</v>
      </c>
      <c r="O35" s="393">
        <v>0.90576708375340653</v>
      </c>
      <c r="P35" s="393">
        <v>0.89179920219053621</v>
      </c>
      <c r="Q35" s="392">
        <v>0.74900398406374502</v>
      </c>
    </row>
    <row r="36" spans="1:17" ht="25.5" customHeight="1">
      <c r="A36" s="669">
        <v>31</v>
      </c>
      <c r="B36" s="666" t="s">
        <v>131</v>
      </c>
      <c r="C36" s="1269">
        <v>0.98232684145138915</v>
      </c>
      <c r="D36" s="393">
        <v>1.0945339416791491</v>
      </c>
      <c r="E36" s="1263">
        <v>1.1300453614374897</v>
      </c>
      <c r="F36" s="393">
        <v>1.0946328265941014</v>
      </c>
      <c r="G36" s="393">
        <v>1.0805194805194807</v>
      </c>
      <c r="H36" s="393">
        <v>1.1310963477592801</v>
      </c>
      <c r="I36" s="393">
        <v>1.2643673354425642</v>
      </c>
      <c r="J36" s="393">
        <v>1.3102852395420206</v>
      </c>
      <c r="K36" s="393">
        <v>1.2368002122332218</v>
      </c>
      <c r="L36" s="393">
        <v>1.2050561797752808</v>
      </c>
      <c r="M36" s="393">
        <v>0.87974848222052571</v>
      </c>
      <c r="N36" s="393">
        <v>0.94468709152037555</v>
      </c>
      <c r="O36" s="393">
        <v>0.99317989786422523</v>
      </c>
      <c r="P36" s="393">
        <v>0.97386352102584839</v>
      </c>
      <c r="Q36" s="392">
        <v>0.94373401534526846</v>
      </c>
    </row>
    <row r="37" spans="1:17" ht="30.75" customHeight="1">
      <c r="A37" s="669">
        <v>32</v>
      </c>
      <c r="B37" s="666" t="s">
        <v>1062</v>
      </c>
      <c r="C37" s="1269">
        <v>1.8420825674291845</v>
      </c>
      <c r="D37" s="393">
        <v>1.8555145588083684</v>
      </c>
      <c r="E37" s="1263">
        <v>1.9461163503775543</v>
      </c>
      <c r="F37" s="393">
        <v>1.9682493977189939</v>
      </c>
      <c r="G37" s="393">
        <v>1.9302325581395352</v>
      </c>
      <c r="H37" s="393">
        <v>1.3715005987269175</v>
      </c>
      <c r="I37" s="393">
        <v>1.4065358944034365</v>
      </c>
      <c r="J37" s="393">
        <v>1.4260504408649821</v>
      </c>
      <c r="K37" s="393">
        <v>1.3460422405876953</v>
      </c>
      <c r="L37" s="393">
        <v>1.2782258064516128</v>
      </c>
      <c r="M37" s="393">
        <v>1.0139618045079173</v>
      </c>
      <c r="N37" s="393">
        <v>1.0665140273975193</v>
      </c>
      <c r="O37" s="393">
        <v>1.2728541206231143</v>
      </c>
      <c r="P37" s="393">
        <v>1.1980968242742782</v>
      </c>
      <c r="Q37" s="392">
        <v>1.1739130434782608</v>
      </c>
    </row>
    <row r="38" spans="1:17" ht="25.5" customHeight="1">
      <c r="A38" s="669">
        <v>33</v>
      </c>
      <c r="B38" s="666" t="s">
        <v>45</v>
      </c>
      <c r="C38" s="1269">
        <v>0.82564094931572773</v>
      </c>
      <c r="D38" s="393">
        <v>0.86357435702919361</v>
      </c>
      <c r="E38" s="1263">
        <v>0.83907802347075988</v>
      </c>
      <c r="F38" s="393">
        <v>0.92139677660627295</v>
      </c>
      <c r="G38" s="393">
        <v>0.8904109589041096</v>
      </c>
      <c r="H38" s="393">
        <v>0.83607146004897359</v>
      </c>
      <c r="I38" s="393">
        <v>0.8470275516348944</v>
      </c>
      <c r="J38" s="393">
        <v>0.78935689538510367</v>
      </c>
      <c r="K38" s="393">
        <v>0.93675015567570608</v>
      </c>
      <c r="L38" s="393">
        <v>0.8867924528301887</v>
      </c>
      <c r="M38" s="393">
        <v>0.74644829127183121</v>
      </c>
      <c r="N38" s="393">
        <v>0.80970675001752757</v>
      </c>
      <c r="O38" s="393">
        <v>0.72115536734546759</v>
      </c>
      <c r="P38" s="393">
        <v>0.88696127689049553</v>
      </c>
      <c r="Q38" s="392">
        <v>0.8439306358381502</v>
      </c>
    </row>
    <row r="39" spans="1:17" ht="25.5" customHeight="1">
      <c r="A39" s="669">
        <v>34</v>
      </c>
      <c r="B39" s="666" t="s">
        <v>47</v>
      </c>
      <c r="C39" s="1269">
        <v>1.087716037272066</v>
      </c>
      <c r="D39" s="393">
        <v>1.1729102700067207</v>
      </c>
      <c r="E39" s="1263">
        <v>1.1795150154417295</v>
      </c>
      <c r="F39" s="393">
        <v>1.0873426582234205</v>
      </c>
      <c r="G39" s="393">
        <v>1.0209205020920502</v>
      </c>
      <c r="H39" s="393">
        <v>1.0903998330711315</v>
      </c>
      <c r="I39" s="393">
        <v>1.2420032894972481</v>
      </c>
      <c r="J39" s="393">
        <v>1.2372965412050614</v>
      </c>
      <c r="K39" s="393">
        <v>1.1829860938832608</v>
      </c>
      <c r="L39" s="393">
        <v>1.0761904761904764</v>
      </c>
      <c r="M39" s="393">
        <v>0.88691857195593615</v>
      </c>
      <c r="N39" s="393">
        <v>0.99886825693584969</v>
      </c>
      <c r="O39" s="393">
        <v>1.064654138298752</v>
      </c>
      <c r="P39" s="393">
        <v>1.1109582211518858</v>
      </c>
      <c r="Q39" s="392">
        <v>0.90338164251207731</v>
      </c>
    </row>
    <row r="40" spans="1:17" ht="25.5" customHeight="1">
      <c r="A40" s="669">
        <v>35</v>
      </c>
      <c r="B40" s="666" t="s">
        <v>46</v>
      </c>
      <c r="C40" s="1269">
        <v>1.0312727926344081</v>
      </c>
      <c r="D40" s="393">
        <v>1.0317215127786867</v>
      </c>
      <c r="E40" s="1263">
        <v>1.0800809986620756</v>
      </c>
      <c r="F40" s="393">
        <v>1.1430023549515391</v>
      </c>
      <c r="G40" s="393">
        <v>1.0897755610972568</v>
      </c>
      <c r="H40" s="393">
        <v>1.0438575272025885</v>
      </c>
      <c r="I40" s="393">
        <v>1.0835592182595466</v>
      </c>
      <c r="J40" s="393">
        <v>1.1385245754192548</v>
      </c>
      <c r="K40" s="393">
        <v>1.2513178111001544</v>
      </c>
      <c r="L40" s="393">
        <v>1.2233676975945018</v>
      </c>
      <c r="M40" s="393">
        <v>1.0433020870538592</v>
      </c>
      <c r="N40" s="393">
        <v>1.0556264124090375</v>
      </c>
      <c r="O40" s="393">
        <v>1.0456722909736573</v>
      </c>
      <c r="P40" s="393">
        <v>1.1147725056730449</v>
      </c>
      <c r="Q40" s="392">
        <v>0.99762470308788598</v>
      </c>
    </row>
    <row r="41" spans="1:17" ht="25.5" customHeight="1">
      <c r="A41" s="669">
        <v>36</v>
      </c>
      <c r="B41" s="666" t="s">
        <v>48</v>
      </c>
      <c r="C41" s="1269">
        <v>0.9711871554259921</v>
      </c>
      <c r="D41" s="393">
        <v>1.0414284739676567</v>
      </c>
      <c r="E41" s="1263">
        <v>1.0774920045537444</v>
      </c>
      <c r="F41" s="393">
        <v>1.097136785417437</v>
      </c>
      <c r="G41" s="393">
        <v>1.0347490347490349</v>
      </c>
      <c r="H41" s="393">
        <v>0.91539564779105231</v>
      </c>
      <c r="I41" s="393">
        <v>0.98399422439770223</v>
      </c>
      <c r="J41" s="393">
        <v>1.0299374158540586</v>
      </c>
      <c r="K41" s="393">
        <v>1.0465469905167748</v>
      </c>
      <c r="L41" s="393">
        <v>0.95726495726495731</v>
      </c>
      <c r="M41" s="393">
        <v>0.89180225498425503</v>
      </c>
      <c r="N41" s="393">
        <v>0.96830132086647991</v>
      </c>
      <c r="O41" s="393">
        <v>1.0158238146383347</v>
      </c>
      <c r="P41" s="393">
        <v>1.0293826563986388</v>
      </c>
      <c r="Q41" s="392">
        <v>1.0466666666666666</v>
      </c>
    </row>
  </sheetData>
  <mergeCells count="5">
    <mergeCell ref="A2:A3"/>
    <mergeCell ref="B2:B3"/>
    <mergeCell ref="C2:G2"/>
    <mergeCell ref="H2:L2"/>
    <mergeCell ref="M2:Q2"/>
  </mergeCells>
  <printOptions horizontalCentered="1"/>
  <pageMargins left="0.31496062992125984" right="0.51181102362204722" top="0.27" bottom="0.35" header="0.21" footer="0.16"/>
  <pageSetup paperSize="9" scale="75" firstPageNumber="2" pageOrder="overThenDown" orientation="portrait" useFirstPageNumber="1" r:id="rId1"/>
  <headerFooter alignWithMargins="0">
    <oddFooter>&amp;LAISHE 2021-22&amp;CT-48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58BE-50EE-4123-9BF0-A95DA5A64567}">
  <sheetPr>
    <tabColor rgb="FF00B050"/>
  </sheetPr>
  <dimension ref="A1:H224"/>
  <sheetViews>
    <sheetView view="pageBreakPreview" topLeftCell="A196" zoomScaleSheetLayoutView="100" workbookViewId="0"/>
  </sheetViews>
  <sheetFormatPr defaultColWidth="9.28515625" defaultRowHeight="15"/>
  <cols>
    <col min="1" max="1" width="9.7109375" style="671" customWidth="1"/>
    <col min="2" max="2" width="32" style="674" customWidth="1"/>
    <col min="3" max="7" width="17.7109375" style="674" customWidth="1"/>
    <col min="8" max="8" width="18.5703125" style="674" customWidth="1"/>
    <col min="9" max="9" width="31.28515625" style="674" customWidth="1"/>
    <col min="10" max="10" width="12.7109375" style="674" customWidth="1"/>
    <col min="11" max="11" width="34" style="674" customWidth="1"/>
    <col min="12" max="16384" width="9.28515625" style="674"/>
  </cols>
  <sheetData>
    <row r="1" spans="1:8" s="673" customFormat="1" ht="22.9" customHeight="1">
      <c r="A1" s="671"/>
      <c r="B1" s="672" t="s">
        <v>251</v>
      </c>
      <c r="C1" s="1246" t="s">
        <v>252</v>
      </c>
      <c r="D1" s="1246"/>
      <c r="E1" s="1246"/>
      <c r="F1" s="1246"/>
      <c r="G1" s="1246"/>
      <c r="H1" s="1246"/>
    </row>
    <row r="2" spans="1:8" ht="28.5" customHeight="1">
      <c r="A2" s="1208" t="s">
        <v>988</v>
      </c>
      <c r="B2" s="1247" t="s">
        <v>168</v>
      </c>
      <c r="C2" s="1248" t="s">
        <v>253</v>
      </c>
      <c r="D2" s="1249"/>
      <c r="E2" s="1248" t="s">
        <v>254</v>
      </c>
      <c r="F2" s="1249"/>
      <c r="G2" s="1248" t="s">
        <v>255</v>
      </c>
      <c r="H2" s="1249"/>
    </row>
    <row r="3" spans="1:8" s="676" customFormat="1" ht="27" customHeight="1">
      <c r="A3" s="1209"/>
      <c r="B3" s="1247"/>
      <c r="C3" s="675" t="s">
        <v>256</v>
      </c>
      <c r="D3" s="675" t="s">
        <v>257</v>
      </c>
      <c r="E3" s="675" t="s">
        <v>256</v>
      </c>
      <c r="F3" s="675" t="s">
        <v>257</v>
      </c>
      <c r="G3" s="675" t="s">
        <v>256</v>
      </c>
      <c r="H3" s="675" t="s">
        <v>257</v>
      </c>
    </row>
    <row r="4" spans="1:8" s="676" customFormat="1" ht="12.75">
      <c r="A4" s="677">
        <v>1</v>
      </c>
      <c r="B4" s="678">
        <v>2</v>
      </c>
      <c r="C4" s="677">
        <v>3</v>
      </c>
      <c r="D4" s="678">
        <v>4</v>
      </c>
      <c r="E4" s="677">
        <v>5</v>
      </c>
      <c r="F4" s="678">
        <v>6</v>
      </c>
      <c r="G4" s="677">
        <v>7</v>
      </c>
      <c r="H4" s="677">
        <v>8</v>
      </c>
    </row>
    <row r="5" spans="1:8" ht="15" customHeight="1">
      <c r="A5" s="1250"/>
      <c r="B5" s="679" t="s">
        <v>230</v>
      </c>
      <c r="C5" s="680"/>
      <c r="D5" s="680"/>
      <c r="E5" s="680"/>
      <c r="F5" s="680"/>
      <c r="G5" s="680"/>
      <c r="H5" s="681"/>
    </row>
    <row r="6" spans="1:8" ht="15" customHeight="1">
      <c r="A6" s="1250"/>
      <c r="B6" s="682" t="s">
        <v>919</v>
      </c>
      <c r="C6" s="683">
        <v>26</v>
      </c>
      <c r="D6" s="683">
        <v>23</v>
      </c>
      <c r="E6" s="683">
        <v>28</v>
      </c>
      <c r="F6" s="683">
        <v>24</v>
      </c>
      <c r="G6" s="683">
        <v>36</v>
      </c>
      <c r="H6" s="684">
        <v>18</v>
      </c>
    </row>
    <row r="7" spans="1:8" ht="15" customHeight="1">
      <c r="A7" s="1250"/>
      <c r="B7" s="682" t="s">
        <v>876</v>
      </c>
      <c r="C7" s="218">
        <v>26.678817203607831</v>
      </c>
      <c r="D7" s="218">
        <v>23.731255842740818</v>
      </c>
      <c r="E7" s="218">
        <v>26.898640291319836</v>
      </c>
      <c r="F7" s="218">
        <v>24</v>
      </c>
      <c r="G7" s="218">
        <v>38.250026479572597</v>
      </c>
      <c r="H7" s="218">
        <v>18.881608771729137</v>
      </c>
    </row>
    <row r="8" spans="1:8" ht="15" customHeight="1">
      <c r="A8" s="1250"/>
      <c r="B8" s="682" t="s">
        <v>229</v>
      </c>
      <c r="C8" s="218">
        <v>25.6369658239065</v>
      </c>
      <c r="D8" s="218">
        <v>22.785018321451666</v>
      </c>
      <c r="E8" s="218">
        <v>32</v>
      </c>
      <c r="F8" s="218">
        <v>28</v>
      </c>
      <c r="G8" s="218">
        <v>38</v>
      </c>
      <c r="H8" s="218">
        <v>18</v>
      </c>
    </row>
    <row r="9" spans="1:8" ht="15" customHeight="1">
      <c r="A9" s="1250"/>
      <c r="B9" s="682" t="s">
        <v>228</v>
      </c>
      <c r="C9" s="394">
        <v>26.406421242971998</v>
      </c>
      <c r="D9" s="394">
        <v>23.599454634932314</v>
      </c>
      <c r="E9" s="394">
        <v>33</v>
      </c>
      <c r="F9" s="394">
        <v>29</v>
      </c>
      <c r="G9" s="394">
        <v>39</v>
      </c>
      <c r="H9" s="394">
        <v>18</v>
      </c>
    </row>
    <row r="10" spans="1:8" ht="15" customHeight="1">
      <c r="A10" s="1250"/>
      <c r="B10" s="682" t="s">
        <v>227</v>
      </c>
      <c r="C10" s="394">
        <v>28.520906774609401</v>
      </c>
      <c r="D10" s="394">
        <v>25.382881236666371</v>
      </c>
      <c r="E10" s="394">
        <v>34</v>
      </c>
      <c r="F10" s="394">
        <v>30</v>
      </c>
      <c r="G10" s="394">
        <v>46</v>
      </c>
      <c r="H10" s="394">
        <v>20</v>
      </c>
    </row>
    <row r="11" spans="1:8" ht="15" customHeight="1">
      <c r="A11" s="1245">
        <v>1</v>
      </c>
      <c r="B11" s="679" t="s">
        <v>1061</v>
      </c>
      <c r="C11" s="683"/>
      <c r="D11" s="683"/>
      <c r="E11" s="683"/>
      <c r="F11" s="683"/>
      <c r="G11" s="683"/>
      <c r="H11" s="684"/>
    </row>
    <row r="12" spans="1:8" ht="15" customHeight="1">
      <c r="A12" s="1245"/>
      <c r="B12" s="682" t="s">
        <v>919</v>
      </c>
      <c r="C12" s="683">
        <v>25</v>
      </c>
      <c r="D12" s="683">
        <v>16</v>
      </c>
      <c r="E12" s="683">
        <v>26</v>
      </c>
      <c r="F12" s="683">
        <v>17</v>
      </c>
      <c r="G12" s="683"/>
      <c r="H12" s="684"/>
    </row>
    <row r="13" spans="1:8" ht="15" customHeight="1">
      <c r="A13" s="1245"/>
      <c r="B13" s="682" t="s">
        <v>876</v>
      </c>
      <c r="C13" s="218">
        <v>26.401766004415013</v>
      </c>
      <c r="D13" s="218">
        <v>17.068432671081677</v>
      </c>
      <c r="E13" s="218">
        <v>26.9</v>
      </c>
      <c r="F13" s="218">
        <v>17</v>
      </c>
      <c r="G13" s="218"/>
      <c r="H13" s="218"/>
    </row>
    <row r="14" spans="1:8" ht="15" customHeight="1">
      <c r="A14" s="1245"/>
      <c r="B14" s="682" t="s">
        <v>229</v>
      </c>
      <c r="C14" s="218">
        <v>21.881209503239742</v>
      </c>
      <c r="D14" s="218">
        <v>13.025917926565874</v>
      </c>
      <c r="E14" s="218">
        <v>22</v>
      </c>
      <c r="F14" s="218">
        <v>13</v>
      </c>
      <c r="G14" s="218" t="s">
        <v>921</v>
      </c>
      <c r="H14" s="218" t="s">
        <v>921</v>
      </c>
    </row>
    <row r="15" spans="1:8" ht="15" customHeight="1">
      <c r="A15" s="1245"/>
      <c r="B15" s="682" t="s">
        <v>228</v>
      </c>
      <c r="C15" s="394">
        <v>25.188183807439824</v>
      </c>
      <c r="D15" s="394">
        <v>16.312910284463896</v>
      </c>
      <c r="E15" s="394">
        <v>26</v>
      </c>
      <c r="F15" s="394">
        <v>17</v>
      </c>
      <c r="G15" s="394">
        <v>467</v>
      </c>
      <c r="H15" s="394">
        <v>16</v>
      </c>
    </row>
    <row r="16" spans="1:8" ht="15" customHeight="1">
      <c r="A16" s="1245"/>
      <c r="B16" s="685" t="s">
        <v>227</v>
      </c>
      <c r="C16" s="394">
        <v>28.961748633879782</v>
      </c>
      <c r="D16" s="394">
        <v>18.084699453551913</v>
      </c>
      <c r="E16" s="394">
        <v>30</v>
      </c>
      <c r="F16" s="394">
        <v>19</v>
      </c>
      <c r="G16" s="394">
        <v>456</v>
      </c>
      <c r="H16" s="394">
        <v>14</v>
      </c>
    </row>
    <row r="17" spans="1:8" ht="15" customHeight="1">
      <c r="A17" s="1245">
        <v>2</v>
      </c>
      <c r="B17" s="679" t="s">
        <v>15</v>
      </c>
      <c r="C17" s="683"/>
      <c r="D17" s="683"/>
      <c r="E17" s="683"/>
      <c r="F17" s="683"/>
      <c r="G17" s="683"/>
      <c r="H17" s="684"/>
    </row>
    <row r="18" spans="1:8" ht="15" customHeight="1">
      <c r="A18" s="1245"/>
      <c r="B18" s="682" t="s">
        <v>919</v>
      </c>
      <c r="C18" s="683">
        <v>18</v>
      </c>
      <c r="D18" s="683">
        <v>16</v>
      </c>
      <c r="E18" s="683">
        <v>18</v>
      </c>
      <c r="F18" s="683">
        <v>16</v>
      </c>
      <c r="G18" s="683">
        <v>40</v>
      </c>
      <c r="H18" s="684">
        <v>18</v>
      </c>
    </row>
    <row r="19" spans="1:8" ht="15" customHeight="1">
      <c r="A19" s="1245"/>
      <c r="B19" s="682" t="s">
        <v>876</v>
      </c>
      <c r="C19" s="218">
        <v>19.080828752972362</v>
      </c>
      <c r="D19" s="218">
        <v>17.590067438506217</v>
      </c>
      <c r="E19" s="218">
        <v>19.09401296063449</v>
      </c>
      <c r="F19" s="218">
        <v>18</v>
      </c>
      <c r="G19" s="218">
        <v>42.904062029857656</v>
      </c>
      <c r="H19" s="218">
        <v>25.201249855340816</v>
      </c>
    </row>
    <row r="20" spans="1:8" ht="15" customHeight="1">
      <c r="A20" s="1245"/>
      <c r="B20" s="682" t="s">
        <v>229</v>
      </c>
      <c r="C20" s="218">
        <v>19.021516588628092</v>
      </c>
      <c r="D20" s="218">
        <v>16.368138203475141</v>
      </c>
      <c r="E20" s="218">
        <v>22</v>
      </c>
      <c r="F20" s="218">
        <v>19</v>
      </c>
      <c r="G20" s="218">
        <v>46</v>
      </c>
      <c r="H20" s="218">
        <v>16</v>
      </c>
    </row>
    <row r="21" spans="1:8" ht="15" customHeight="1">
      <c r="A21" s="1245"/>
      <c r="B21" s="682" t="s">
        <v>228</v>
      </c>
      <c r="C21" s="394">
        <v>17.714943962655184</v>
      </c>
      <c r="D21" s="394">
        <v>15.857270770035614</v>
      </c>
      <c r="E21" s="394">
        <v>20</v>
      </c>
      <c r="F21" s="394">
        <v>18</v>
      </c>
      <c r="G21" s="394">
        <v>39</v>
      </c>
      <c r="H21" s="394">
        <v>16</v>
      </c>
    </row>
    <row r="22" spans="1:8" ht="15" customHeight="1">
      <c r="A22" s="1245"/>
      <c r="B22" s="685" t="s">
        <v>227</v>
      </c>
      <c r="C22" s="394">
        <v>18.808740839540917</v>
      </c>
      <c r="D22" s="394">
        <v>17.570606551705282</v>
      </c>
      <c r="E22" s="394">
        <v>20</v>
      </c>
      <c r="F22" s="394">
        <v>19</v>
      </c>
      <c r="G22" s="394">
        <v>47</v>
      </c>
      <c r="H22" s="394">
        <v>27</v>
      </c>
    </row>
    <row r="23" spans="1:8" ht="15" customHeight="1">
      <c r="A23" s="1245">
        <v>3</v>
      </c>
      <c r="B23" s="679" t="s">
        <v>16</v>
      </c>
      <c r="C23" s="683"/>
      <c r="D23" s="683"/>
      <c r="E23" s="683"/>
      <c r="F23" s="683"/>
      <c r="G23" s="683"/>
      <c r="H23" s="684"/>
    </row>
    <row r="24" spans="1:8" ht="15" customHeight="1">
      <c r="A24" s="1245"/>
      <c r="B24" s="682" t="s">
        <v>919</v>
      </c>
      <c r="C24" s="683">
        <v>28</v>
      </c>
      <c r="D24" s="683">
        <v>23</v>
      </c>
      <c r="E24" s="683">
        <v>30</v>
      </c>
      <c r="F24" s="683">
        <v>24</v>
      </c>
      <c r="G24" s="683">
        <v>31</v>
      </c>
      <c r="H24" s="684">
        <v>21</v>
      </c>
    </row>
    <row r="25" spans="1:8" ht="15" customHeight="1">
      <c r="A25" s="1245"/>
      <c r="B25" s="682" t="s">
        <v>876</v>
      </c>
      <c r="C25" s="218">
        <v>27.593330245484019</v>
      </c>
      <c r="D25" s="218">
        <v>22.529874942102825</v>
      </c>
      <c r="E25" s="218">
        <v>28.904244817374135</v>
      </c>
      <c r="F25" s="218">
        <v>24</v>
      </c>
      <c r="G25" s="218">
        <v>32.673094582185492</v>
      </c>
      <c r="H25" s="218">
        <v>22.634527089072545</v>
      </c>
    </row>
    <row r="26" spans="1:8" ht="15" customHeight="1">
      <c r="A26" s="1245"/>
      <c r="B26" s="682" t="s">
        <v>229</v>
      </c>
      <c r="C26" s="218">
        <v>27.852295409181636</v>
      </c>
      <c r="D26" s="218">
        <v>19.83882235528942</v>
      </c>
      <c r="E26" s="218">
        <v>63</v>
      </c>
      <c r="F26" s="218">
        <v>45</v>
      </c>
      <c r="G26" s="218">
        <v>33</v>
      </c>
      <c r="H26" s="218">
        <v>18</v>
      </c>
    </row>
    <row r="27" spans="1:8" ht="15" customHeight="1">
      <c r="A27" s="1245"/>
      <c r="B27" s="682" t="s">
        <v>228</v>
      </c>
      <c r="C27" s="394">
        <v>31.361702127659573</v>
      </c>
      <c r="D27" s="394">
        <v>22.472074468085108</v>
      </c>
      <c r="E27" s="394">
        <v>63</v>
      </c>
      <c r="F27" s="394">
        <v>45</v>
      </c>
      <c r="G27" s="394">
        <v>36</v>
      </c>
      <c r="H27" s="394">
        <v>17</v>
      </c>
    </row>
    <row r="28" spans="1:8" ht="15" customHeight="1">
      <c r="A28" s="1245"/>
      <c r="B28" s="685" t="s">
        <v>227</v>
      </c>
      <c r="C28" s="394">
        <v>42.644986389776882</v>
      </c>
      <c r="D28" s="394">
        <v>29.388921699749929</v>
      </c>
      <c r="E28" s="394">
        <v>88</v>
      </c>
      <c r="F28" s="394">
        <v>60</v>
      </c>
      <c r="G28" s="394">
        <v>45</v>
      </c>
      <c r="H28" s="394">
        <v>17</v>
      </c>
    </row>
    <row r="29" spans="1:8" ht="15" customHeight="1">
      <c r="A29" s="1245">
        <v>4</v>
      </c>
      <c r="B29" s="679" t="s">
        <v>17</v>
      </c>
      <c r="C29" s="683"/>
      <c r="D29" s="683"/>
      <c r="E29" s="683"/>
      <c r="F29" s="683"/>
      <c r="G29" s="683"/>
      <c r="H29" s="684"/>
    </row>
    <row r="30" spans="1:8" ht="15" customHeight="1">
      <c r="A30" s="1245"/>
      <c r="B30" s="682" t="s">
        <v>919</v>
      </c>
      <c r="C30" s="683">
        <v>28</v>
      </c>
      <c r="D30" s="683">
        <v>25</v>
      </c>
      <c r="E30" s="683">
        <v>28</v>
      </c>
      <c r="F30" s="683">
        <v>26</v>
      </c>
      <c r="G30" s="683">
        <v>32</v>
      </c>
      <c r="H30" s="684">
        <v>18</v>
      </c>
    </row>
    <row r="31" spans="1:8" ht="15" customHeight="1">
      <c r="A31" s="1245"/>
      <c r="B31" s="682" t="s">
        <v>876</v>
      </c>
      <c r="C31" s="218">
        <v>29.433310445455326</v>
      </c>
      <c r="D31" s="218">
        <v>27.291648785511974</v>
      </c>
      <c r="E31" s="218">
        <v>27.060708417016613</v>
      </c>
      <c r="F31" s="218">
        <v>28</v>
      </c>
      <c r="G31" s="218">
        <v>30.736760925449872</v>
      </c>
      <c r="H31" s="218">
        <v>17.907712082262211</v>
      </c>
    </row>
    <row r="32" spans="1:8" ht="15" customHeight="1">
      <c r="A32" s="1245"/>
      <c r="B32" s="682" t="s">
        <v>229</v>
      </c>
      <c r="C32" s="218">
        <v>28.188951473136914</v>
      </c>
      <c r="D32" s="218">
        <v>24.427772963604852</v>
      </c>
      <c r="E32" s="218">
        <v>35</v>
      </c>
      <c r="F32" s="218">
        <v>30</v>
      </c>
      <c r="G32" s="218">
        <v>38</v>
      </c>
      <c r="H32" s="218">
        <v>15</v>
      </c>
    </row>
    <row r="33" spans="1:8" ht="15" customHeight="1">
      <c r="A33" s="1245"/>
      <c r="B33" s="682" t="s">
        <v>228</v>
      </c>
      <c r="C33" s="394">
        <v>30.643047835791499</v>
      </c>
      <c r="D33" s="395">
        <v>26.254103024202372</v>
      </c>
      <c r="E33" s="394">
        <v>37</v>
      </c>
      <c r="F33" s="394">
        <v>31</v>
      </c>
      <c r="G33" s="394">
        <v>41</v>
      </c>
      <c r="H33" s="394">
        <v>11</v>
      </c>
    </row>
    <row r="34" spans="1:8" ht="15" customHeight="1">
      <c r="A34" s="1245"/>
      <c r="B34" s="685" t="s">
        <v>227</v>
      </c>
      <c r="C34" s="394">
        <v>34.384809987503573</v>
      </c>
      <c r="D34" s="394">
        <v>28.858907716619548</v>
      </c>
      <c r="E34" s="394">
        <v>41</v>
      </c>
      <c r="F34" s="394">
        <v>35</v>
      </c>
      <c r="G34" s="394">
        <v>48</v>
      </c>
      <c r="H34" s="394">
        <v>12</v>
      </c>
    </row>
    <row r="35" spans="1:8" ht="15" customHeight="1">
      <c r="A35" s="1245">
        <v>5</v>
      </c>
      <c r="B35" s="679" t="s">
        <v>18</v>
      </c>
      <c r="C35" s="683"/>
      <c r="D35" s="683"/>
      <c r="E35" s="683"/>
      <c r="F35" s="683"/>
      <c r="G35" s="683"/>
      <c r="H35" s="684"/>
    </row>
    <row r="36" spans="1:8" ht="15" customHeight="1">
      <c r="A36" s="1245"/>
      <c r="B36" s="682" t="s">
        <v>919</v>
      </c>
      <c r="C36" s="683">
        <v>69</v>
      </c>
      <c r="D36" s="683">
        <v>64</v>
      </c>
      <c r="E36" s="683">
        <v>74</v>
      </c>
      <c r="F36" s="683">
        <v>69</v>
      </c>
      <c r="G36" s="683">
        <v>72</v>
      </c>
      <c r="H36" s="684">
        <v>31</v>
      </c>
    </row>
    <row r="37" spans="1:8" ht="15" customHeight="1">
      <c r="A37" s="1245"/>
      <c r="B37" s="682" t="s">
        <v>876</v>
      </c>
      <c r="C37" s="218">
        <v>65.565425902690649</v>
      </c>
      <c r="D37" s="218">
        <v>59.445643384915655</v>
      </c>
      <c r="E37" s="218">
        <v>70.044245885531808</v>
      </c>
      <c r="F37" s="218">
        <v>63</v>
      </c>
      <c r="G37" s="218">
        <v>90.301861343404369</v>
      </c>
      <c r="H37" s="218">
        <v>31.093336930132182</v>
      </c>
    </row>
    <row r="38" spans="1:8" ht="15" customHeight="1">
      <c r="A38" s="1245"/>
      <c r="B38" s="682" t="s">
        <v>229</v>
      </c>
      <c r="C38" s="218">
        <v>58.736763861202149</v>
      </c>
      <c r="D38" s="218">
        <v>54.179376288137313</v>
      </c>
      <c r="E38" s="218">
        <v>70</v>
      </c>
      <c r="F38" s="218">
        <v>65</v>
      </c>
      <c r="G38" s="218">
        <v>71</v>
      </c>
      <c r="H38" s="218">
        <v>27</v>
      </c>
    </row>
    <row r="39" spans="1:8" ht="15" customHeight="1">
      <c r="A39" s="1245"/>
      <c r="B39" s="682" t="s">
        <v>228</v>
      </c>
      <c r="C39" s="394">
        <v>60.756446124763706</v>
      </c>
      <c r="D39" s="394">
        <v>56.471909262759922</v>
      </c>
      <c r="E39" s="394">
        <v>71</v>
      </c>
      <c r="F39" s="394">
        <v>66</v>
      </c>
      <c r="G39" s="394">
        <v>96</v>
      </c>
      <c r="H39" s="394">
        <v>43</v>
      </c>
    </row>
    <row r="40" spans="1:8" ht="15" customHeight="1">
      <c r="A40" s="1245"/>
      <c r="B40" s="685" t="s">
        <v>227</v>
      </c>
      <c r="C40" s="394">
        <v>66.866584256765705</v>
      </c>
      <c r="D40" s="394">
        <v>61.439936426647833</v>
      </c>
      <c r="E40" s="394">
        <v>77</v>
      </c>
      <c r="F40" s="394">
        <v>70</v>
      </c>
      <c r="G40" s="394">
        <v>106</v>
      </c>
      <c r="H40" s="394">
        <v>32</v>
      </c>
    </row>
    <row r="41" spans="1:8" ht="15" customHeight="1">
      <c r="A41" s="1245">
        <v>6</v>
      </c>
      <c r="B41" s="679" t="s">
        <v>19</v>
      </c>
      <c r="C41" s="683"/>
      <c r="D41" s="683"/>
      <c r="E41" s="683"/>
      <c r="F41" s="683"/>
      <c r="G41" s="683"/>
      <c r="H41" s="684"/>
    </row>
    <row r="42" spans="1:8" ht="15" customHeight="1">
      <c r="A42" s="1245"/>
      <c r="B42" s="682" t="s">
        <v>919</v>
      </c>
      <c r="C42" s="683">
        <v>30</v>
      </c>
      <c r="D42" s="683">
        <v>20</v>
      </c>
      <c r="E42" s="683">
        <v>30</v>
      </c>
      <c r="F42" s="683">
        <v>20</v>
      </c>
      <c r="G42" s="683">
        <v>36</v>
      </c>
      <c r="H42" s="684">
        <v>13</v>
      </c>
    </row>
    <row r="43" spans="1:8" ht="15" customHeight="1">
      <c r="A43" s="1245"/>
      <c r="B43" s="682" t="s">
        <v>876</v>
      </c>
      <c r="C43" s="218">
        <v>30.156975156975157</v>
      </c>
      <c r="D43" s="218">
        <v>20.26945126945127</v>
      </c>
      <c r="E43" s="218">
        <v>30.919756662804172</v>
      </c>
      <c r="F43" s="218">
        <v>20</v>
      </c>
      <c r="G43" s="218">
        <v>35.90336658354115</v>
      </c>
      <c r="H43" s="218">
        <v>13.32356608478803</v>
      </c>
    </row>
    <row r="44" spans="1:8" ht="15" customHeight="1">
      <c r="A44" s="1245"/>
      <c r="B44" s="682" t="s">
        <v>229</v>
      </c>
      <c r="C44" s="218">
        <v>28.338735387885229</v>
      </c>
      <c r="D44" s="218">
        <v>20.299681190223168</v>
      </c>
      <c r="E44" s="218">
        <v>54</v>
      </c>
      <c r="F44" s="218">
        <v>38</v>
      </c>
      <c r="G44" s="218">
        <v>32</v>
      </c>
      <c r="H44" s="218">
        <v>13</v>
      </c>
    </row>
    <row r="45" spans="1:8" ht="15" customHeight="1">
      <c r="A45" s="1245"/>
      <c r="B45" s="682" t="s">
        <v>228</v>
      </c>
      <c r="C45" s="394">
        <v>28.031993204983014</v>
      </c>
      <c r="D45" s="394">
        <v>21.093714609286522</v>
      </c>
      <c r="E45" s="394">
        <v>50</v>
      </c>
      <c r="F45" s="394">
        <v>38</v>
      </c>
      <c r="G45" s="394">
        <v>31</v>
      </c>
      <c r="H45" s="394">
        <v>15</v>
      </c>
    </row>
    <row r="46" spans="1:8" ht="15" customHeight="1">
      <c r="A46" s="1245"/>
      <c r="B46" s="685" t="s">
        <v>227</v>
      </c>
      <c r="C46" s="394">
        <v>31.108009525033342</v>
      </c>
      <c r="D46" s="394">
        <v>22.270560965362559</v>
      </c>
      <c r="E46" s="394">
        <v>56</v>
      </c>
      <c r="F46" s="394">
        <v>40</v>
      </c>
      <c r="G46" s="394">
        <v>37</v>
      </c>
      <c r="H46" s="394">
        <v>16</v>
      </c>
    </row>
    <row r="47" spans="1:8" ht="15" customHeight="1">
      <c r="A47" s="1245">
        <v>7</v>
      </c>
      <c r="B47" s="679" t="s">
        <v>56</v>
      </c>
      <c r="C47" s="683"/>
      <c r="D47" s="683"/>
      <c r="E47" s="683"/>
      <c r="F47" s="683"/>
      <c r="G47" s="683"/>
      <c r="H47" s="684"/>
    </row>
    <row r="48" spans="1:8" ht="15" customHeight="1">
      <c r="A48" s="1245"/>
      <c r="B48" s="682" t="s">
        <v>919</v>
      </c>
      <c r="C48" s="683">
        <v>27</v>
      </c>
      <c r="D48" s="683">
        <v>26</v>
      </c>
      <c r="E48" s="683">
        <v>28</v>
      </c>
      <c r="F48" s="683">
        <v>26</v>
      </c>
      <c r="G48" s="683">
        <v>33</v>
      </c>
      <c r="H48" s="684">
        <v>19</v>
      </c>
    </row>
    <row r="49" spans="1:8" ht="15" customHeight="1">
      <c r="A49" s="1245"/>
      <c r="B49" s="682" t="s">
        <v>876</v>
      </c>
      <c r="C49" s="218">
        <v>29.244461489870506</v>
      </c>
      <c r="D49" s="218">
        <v>25.554527816631321</v>
      </c>
      <c r="E49" s="218">
        <v>28.181210235452561</v>
      </c>
      <c r="F49" s="218">
        <v>26</v>
      </c>
      <c r="G49" s="218">
        <v>48.452878621195453</v>
      </c>
      <c r="H49" s="218">
        <v>18.463879721305464</v>
      </c>
    </row>
    <row r="50" spans="1:8" ht="15" customHeight="1">
      <c r="A50" s="1245"/>
      <c r="B50" s="682" t="s">
        <v>229</v>
      </c>
      <c r="C50" s="218">
        <v>26.372610748819429</v>
      </c>
      <c r="D50" s="218">
        <v>22.668540589161232</v>
      </c>
      <c r="E50" s="218">
        <v>30</v>
      </c>
      <c r="F50" s="218">
        <v>26</v>
      </c>
      <c r="G50" s="218">
        <v>49</v>
      </c>
      <c r="H50" s="218">
        <v>18</v>
      </c>
    </row>
    <row r="51" spans="1:8" ht="15" customHeight="1">
      <c r="A51" s="1245"/>
      <c r="B51" s="682" t="s">
        <v>228</v>
      </c>
      <c r="C51" s="394">
        <v>28.450024236548714</v>
      </c>
      <c r="D51" s="394">
        <v>23.38788172564227</v>
      </c>
      <c r="E51" s="394">
        <v>33</v>
      </c>
      <c r="F51" s="394">
        <v>27</v>
      </c>
      <c r="G51" s="394">
        <v>67</v>
      </c>
      <c r="H51" s="394">
        <v>21</v>
      </c>
    </row>
    <row r="52" spans="1:8" ht="15" customHeight="1">
      <c r="A52" s="1245"/>
      <c r="B52" s="685" t="s">
        <v>227</v>
      </c>
      <c r="C52" s="394">
        <v>29.269908350305499</v>
      </c>
      <c r="D52" s="394">
        <v>23.113391038696538</v>
      </c>
      <c r="E52" s="394">
        <v>33</v>
      </c>
      <c r="F52" s="394">
        <v>26</v>
      </c>
      <c r="G52" s="394">
        <v>88</v>
      </c>
      <c r="H52" s="394">
        <v>21</v>
      </c>
    </row>
    <row r="53" spans="1:8" ht="15" customHeight="1">
      <c r="A53" s="1245">
        <v>8</v>
      </c>
      <c r="B53" s="679" t="s">
        <v>23</v>
      </c>
      <c r="C53" s="683"/>
      <c r="D53" s="683"/>
      <c r="E53" s="683"/>
      <c r="F53" s="683"/>
      <c r="G53" s="683"/>
      <c r="H53" s="684"/>
    </row>
    <row r="54" spans="1:8" ht="15" customHeight="1">
      <c r="A54" s="1245"/>
      <c r="B54" s="682" t="s">
        <v>919</v>
      </c>
      <c r="C54" s="683">
        <v>49</v>
      </c>
      <c r="D54" s="683">
        <v>21</v>
      </c>
      <c r="E54" s="683">
        <v>52</v>
      </c>
      <c r="F54" s="683">
        <v>21</v>
      </c>
      <c r="G54" s="683">
        <v>119</v>
      </c>
      <c r="H54" s="684">
        <v>22</v>
      </c>
    </row>
    <row r="55" spans="1:8" ht="15" customHeight="1">
      <c r="A55" s="1245"/>
      <c r="B55" s="682" t="s">
        <v>876</v>
      </c>
      <c r="C55" s="218">
        <v>49.944089529246526</v>
      </c>
      <c r="D55" s="218">
        <v>20.459245163336504</v>
      </c>
      <c r="E55" s="218">
        <v>52.852258792367685</v>
      </c>
      <c r="F55" s="218">
        <v>21</v>
      </c>
      <c r="G55" s="218">
        <v>122.76481481481481</v>
      </c>
      <c r="H55" s="218">
        <v>22.338888888888889</v>
      </c>
    </row>
    <row r="56" spans="1:8" ht="15" customHeight="1">
      <c r="A56" s="1245"/>
      <c r="B56" s="682" t="s">
        <v>229</v>
      </c>
      <c r="C56" s="218">
        <v>52.05661244370922</v>
      </c>
      <c r="D56" s="218">
        <v>20.74892013601691</v>
      </c>
      <c r="E56" s="218">
        <v>80</v>
      </c>
      <c r="F56" s="218">
        <v>30</v>
      </c>
      <c r="G56" s="218">
        <v>125</v>
      </c>
      <c r="H56" s="218">
        <v>21</v>
      </c>
    </row>
    <row r="57" spans="1:8" ht="15" customHeight="1">
      <c r="A57" s="1245"/>
      <c r="B57" s="682" t="s">
        <v>228</v>
      </c>
      <c r="C57" s="394">
        <v>52.189470625272435</v>
      </c>
      <c r="D57" s="394">
        <v>21.06703153000436</v>
      </c>
      <c r="E57" s="394">
        <v>76</v>
      </c>
      <c r="F57" s="394">
        <v>29</v>
      </c>
      <c r="G57" s="394">
        <v>139</v>
      </c>
      <c r="H57" s="394">
        <v>22</v>
      </c>
    </row>
    <row r="58" spans="1:8" ht="15" customHeight="1">
      <c r="A58" s="1245"/>
      <c r="B58" s="685" t="s">
        <v>227</v>
      </c>
      <c r="C58" s="394">
        <v>60.781515214711881</v>
      </c>
      <c r="D58" s="394">
        <v>24.451455826863544</v>
      </c>
      <c r="E58" s="394">
        <v>82</v>
      </c>
      <c r="F58" s="394">
        <v>32</v>
      </c>
      <c r="G58" s="394">
        <v>199</v>
      </c>
      <c r="H58" s="394">
        <v>31</v>
      </c>
    </row>
    <row r="59" spans="1:8" ht="15" customHeight="1">
      <c r="A59" s="1245">
        <v>9</v>
      </c>
      <c r="B59" s="679" t="s">
        <v>24</v>
      </c>
      <c r="C59" s="683"/>
      <c r="D59" s="683"/>
      <c r="E59" s="683"/>
      <c r="F59" s="683"/>
      <c r="G59" s="683"/>
      <c r="H59" s="684"/>
    </row>
    <row r="60" spans="1:8" ht="15" customHeight="1">
      <c r="A60" s="1245"/>
      <c r="B60" s="682" t="s">
        <v>919</v>
      </c>
      <c r="C60" s="683">
        <v>17</v>
      </c>
      <c r="D60" s="683">
        <v>15</v>
      </c>
      <c r="E60" s="683">
        <v>16</v>
      </c>
      <c r="F60" s="683">
        <v>15</v>
      </c>
      <c r="G60" s="683">
        <v>28</v>
      </c>
      <c r="H60" s="684">
        <v>17</v>
      </c>
    </row>
    <row r="61" spans="1:8" ht="15" customHeight="1">
      <c r="A61" s="1245"/>
      <c r="B61" s="682" t="s">
        <v>876</v>
      </c>
      <c r="C61" s="218">
        <v>16.948271014900197</v>
      </c>
      <c r="D61" s="218">
        <v>14.996907506325556</v>
      </c>
      <c r="E61" s="218">
        <v>17.062479661568499</v>
      </c>
      <c r="F61" s="218">
        <v>15</v>
      </c>
      <c r="G61" s="218">
        <v>35.812709030100336</v>
      </c>
      <c r="H61" s="218">
        <v>12.59866220735786</v>
      </c>
    </row>
    <row r="62" spans="1:8" ht="15" customHeight="1">
      <c r="A62" s="1245"/>
      <c r="B62" s="682" t="s">
        <v>229</v>
      </c>
      <c r="C62" s="218">
        <v>14.504534212695795</v>
      </c>
      <c r="D62" s="218">
        <v>13.153888430887607</v>
      </c>
      <c r="E62" s="218">
        <v>17</v>
      </c>
      <c r="F62" s="218">
        <v>15</v>
      </c>
      <c r="G62" s="218">
        <v>31</v>
      </c>
      <c r="H62" s="218">
        <v>12</v>
      </c>
    </row>
    <row r="63" spans="1:8" ht="15" customHeight="1">
      <c r="A63" s="1245"/>
      <c r="B63" s="682" t="s">
        <v>228</v>
      </c>
      <c r="C63" s="394">
        <v>15.997659449970744</v>
      </c>
      <c r="D63" s="394">
        <v>14.521650087770626</v>
      </c>
      <c r="E63" s="394">
        <v>19</v>
      </c>
      <c r="F63" s="394">
        <v>17</v>
      </c>
      <c r="G63" s="394">
        <v>33</v>
      </c>
      <c r="H63" s="394">
        <v>12</v>
      </c>
    </row>
    <row r="64" spans="1:8" ht="15" customHeight="1">
      <c r="A64" s="1245"/>
      <c r="B64" s="685" t="s">
        <v>227</v>
      </c>
      <c r="C64" s="394">
        <v>17.182804718110937</v>
      </c>
      <c r="D64" s="394">
        <v>15.192842793569572</v>
      </c>
      <c r="E64" s="394">
        <v>19</v>
      </c>
      <c r="F64" s="394">
        <v>16</v>
      </c>
      <c r="G64" s="394">
        <v>67</v>
      </c>
      <c r="H64" s="394">
        <v>21</v>
      </c>
    </row>
    <row r="65" spans="1:8" ht="15" customHeight="1">
      <c r="A65" s="1245">
        <v>10</v>
      </c>
      <c r="B65" s="679" t="s">
        <v>25</v>
      </c>
      <c r="C65" s="683"/>
      <c r="D65" s="683"/>
      <c r="E65" s="683"/>
      <c r="F65" s="683"/>
      <c r="G65" s="683"/>
      <c r="H65" s="684"/>
    </row>
    <row r="66" spans="1:8" ht="15" customHeight="1">
      <c r="A66" s="1245"/>
      <c r="B66" s="682" t="s">
        <v>919</v>
      </c>
      <c r="C66" s="683">
        <v>28</v>
      </c>
      <c r="D66" s="683">
        <v>27</v>
      </c>
      <c r="E66" s="683">
        <v>29</v>
      </c>
      <c r="F66" s="683">
        <v>28</v>
      </c>
      <c r="G66" s="683">
        <v>27</v>
      </c>
      <c r="H66" s="684">
        <v>22</v>
      </c>
    </row>
    <row r="67" spans="1:8" ht="15" customHeight="1">
      <c r="A67" s="1245"/>
      <c r="B67" s="682" t="s">
        <v>876</v>
      </c>
      <c r="C67" s="218">
        <v>27.005197590957842</v>
      </c>
      <c r="D67" s="218">
        <v>25.565497896213184</v>
      </c>
      <c r="E67" s="218">
        <v>27.649229074889867</v>
      </c>
      <c r="F67" s="218">
        <v>26</v>
      </c>
      <c r="G67" s="218">
        <v>26.530417520491802</v>
      </c>
      <c r="H67" s="218">
        <v>20.943007172131146</v>
      </c>
    </row>
    <row r="68" spans="1:8" ht="15" customHeight="1">
      <c r="A68" s="1245"/>
      <c r="B68" s="682" t="s">
        <v>229</v>
      </c>
      <c r="C68" s="218">
        <v>25.581903689474728</v>
      </c>
      <c r="D68" s="218">
        <v>24.536811949393918</v>
      </c>
      <c r="E68" s="218">
        <v>34</v>
      </c>
      <c r="F68" s="218">
        <v>32</v>
      </c>
      <c r="G68" s="218">
        <v>25</v>
      </c>
      <c r="H68" s="218">
        <v>20</v>
      </c>
    </row>
    <row r="69" spans="1:8" ht="15" customHeight="1">
      <c r="A69" s="1245"/>
      <c r="B69" s="682" t="s">
        <v>228</v>
      </c>
      <c r="C69" s="394">
        <v>25.692294321124997</v>
      </c>
      <c r="D69" s="394">
        <v>24.443150411097012</v>
      </c>
      <c r="E69" s="394">
        <v>33</v>
      </c>
      <c r="F69" s="394">
        <v>32</v>
      </c>
      <c r="G69" s="394">
        <v>27</v>
      </c>
      <c r="H69" s="394">
        <v>21</v>
      </c>
    </row>
    <row r="70" spans="1:8" ht="15" customHeight="1">
      <c r="A70" s="1245"/>
      <c r="B70" s="685" t="s">
        <v>227</v>
      </c>
      <c r="C70" s="394">
        <v>26.781692866225605</v>
      </c>
      <c r="D70" s="394">
        <v>25.578276173451524</v>
      </c>
      <c r="E70" s="394">
        <v>32</v>
      </c>
      <c r="F70" s="394">
        <v>30</v>
      </c>
      <c r="G70" s="394">
        <v>30</v>
      </c>
      <c r="H70" s="394">
        <v>23</v>
      </c>
    </row>
    <row r="71" spans="1:8" ht="15" customHeight="1">
      <c r="A71" s="1245">
        <v>11</v>
      </c>
      <c r="B71" s="679" t="s">
        <v>26</v>
      </c>
      <c r="C71" s="683"/>
      <c r="D71" s="683"/>
      <c r="E71" s="683"/>
      <c r="F71" s="683"/>
      <c r="G71" s="683"/>
      <c r="H71" s="684"/>
    </row>
    <row r="72" spans="1:8" ht="15" customHeight="1">
      <c r="A72" s="1245"/>
      <c r="B72" s="682" t="s">
        <v>919</v>
      </c>
      <c r="C72" s="683">
        <v>26</v>
      </c>
      <c r="D72" s="683">
        <v>22</v>
      </c>
      <c r="E72" s="683">
        <v>27</v>
      </c>
      <c r="F72" s="683">
        <v>23</v>
      </c>
      <c r="G72" s="683">
        <v>35</v>
      </c>
      <c r="H72" s="684">
        <v>18</v>
      </c>
    </row>
    <row r="73" spans="1:8" ht="15" customHeight="1">
      <c r="A73" s="1245"/>
      <c r="B73" s="682" t="s">
        <v>876</v>
      </c>
      <c r="C73" s="218">
        <v>26.020659262278379</v>
      </c>
      <c r="D73" s="218">
        <v>21.643570409618913</v>
      </c>
      <c r="E73" s="218">
        <v>27.178012840455921</v>
      </c>
      <c r="F73" s="218">
        <v>22</v>
      </c>
      <c r="G73" s="218">
        <v>38.538109219025252</v>
      </c>
      <c r="H73" s="218">
        <v>18.358778625954198</v>
      </c>
    </row>
    <row r="74" spans="1:8" ht="15" customHeight="1">
      <c r="A74" s="1245"/>
      <c r="B74" s="682" t="s">
        <v>229</v>
      </c>
      <c r="C74" s="218">
        <v>23.796003160765721</v>
      </c>
      <c r="D74" s="218">
        <v>20.184445973847211</v>
      </c>
      <c r="E74" s="218">
        <v>32</v>
      </c>
      <c r="F74" s="218">
        <v>27</v>
      </c>
      <c r="G74" s="218">
        <v>33</v>
      </c>
      <c r="H74" s="218">
        <v>16</v>
      </c>
    </row>
    <row r="75" spans="1:8" ht="15" customHeight="1">
      <c r="A75" s="1245"/>
      <c r="B75" s="682" t="s">
        <v>228</v>
      </c>
      <c r="C75" s="394">
        <v>26.036185777952181</v>
      </c>
      <c r="D75" s="394">
        <v>22.676598368696919</v>
      </c>
      <c r="E75" s="394">
        <v>35</v>
      </c>
      <c r="F75" s="394">
        <v>30</v>
      </c>
      <c r="G75" s="394">
        <v>33</v>
      </c>
      <c r="H75" s="394">
        <v>17</v>
      </c>
    </row>
    <row r="76" spans="1:8" ht="15" customHeight="1">
      <c r="A76" s="1245"/>
      <c r="B76" s="685" t="s">
        <v>227</v>
      </c>
      <c r="C76" s="394">
        <v>29.401416796648562</v>
      </c>
      <c r="D76" s="394">
        <v>24.92903363712751</v>
      </c>
      <c r="E76" s="394">
        <v>38</v>
      </c>
      <c r="F76" s="394">
        <v>32</v>
      </c>
      <c r="G76" s="394">
        <v>43</v>
      </c>
      <c r="H76" s="394">
        <v>19</v>
      </c>
    </row>
    <row r="77" spans="1:8" ht="15" customHeight="1">
      <c r="A77" s="1245">
        <v>12</v>
      </c>
      <c r="B77" s="679" t="s">
        <v>27</v>
      </c>
      <c r="C77" s="683"/>
      <c r="D77" s="683"/>
      <c r="E77" s="683"/>
      <c r="F77" s="683"/>
      <c r="G77" s="683"/>
      <c r="H77" s="684"/>
    </row>
    <row r="78" spans="1:8" ht="15" customHeight="1">
      <c r="A78" s="1245"/>
      <c r="B78" s="682" t="s">
        <v>919</v>
      </c>
      <c r="C78" s="683">
        <v>29</v>
      </c>
      <c r="D78" s="683">
        <v>24</v>
      </c>
      <c r="E78" s="683">
        <v>32</v>
      </c>
      <c r="F78" s="683">
        <v>26</v>
      </c>
      <c r="G78" s="683">
        <v>34</v>
      </c>
      <c r="H78" s="684">
        <v>15</v>
      </c>
    </row>
    <row r="79" spans="1:8" ht="15" customHeight="1">
      <c r="A79" s="1245"/>
      <c r="B79" s="682" t="s">
        <v>876</v>
      </c>
      <c r="C79" s="218">
        <v>26.569847470238095</v>
      </c>
      <c r="D79" s="218">
        <v>21.858072916666668</v>
      </c>
      <c r="E79" s="218">
        <v>28.659572237366323</v>
      </c>
      <c r="F79" s="218">
        <v>23</v>
      </c>
      <c r="G79" s="218">
        <v>33.081146408839778</v>
      </c>
      <c r="H79" s="218">
        <v>15.587707182320441</v>
      </c>
    </row>
    <row r="80" spans="1:8" ht="15" customHeight="1">
      <c r="A80" s="1245"/>
      <c r="B80" s="682" t="s">
        <v>229</v>
      </c>
      <c r="C80" s="218">
        <v>26.851683517298952</v>
      </c>
      <c r="D80" s="218">
        <v>22.57156107967721</v>
      </c>
      <c r="E80" s="218">
        <v>42</v>
      </c>
      <c r="F80" s="218">
        <v>35</v>
      </c>
      <c r="G80" s="218">
        <v>31</v>
      </c>
      <c r="H80" s="218">
        <v>15</v>
      </c>
    </row>
    <row r="81" spans="1:8" ht="15" customHeight="1">
      <c r="A81" s="1245"/>
      <c r="B81" s="682" t="s">
        <v>228</v>
      </c>
      <c r="C81" s="394">
        <v>27.265392373451157</v>
      </c>
      <c r="D81" s="394">
        <v>23.479396791854768</v>
      </c>
      <c r="E81" s="394">
        <v>42</v>
      </c>
      <c r="F81" s="394">
        <v>36</v>
      </c>
      <c r="G81" s="394">
        <v>30</v>
      </c>
      <c r="H81" s="394">
        <v>16</v>
      </c>
    </row>
    <row r="82" spans="1:8" ht="15" customHeight="1">
      <c r="A82" s="1245"/>
      <c r="B82" s="685" t="s">
        <v>227</v>
      </c>
      <c r="C82" s="394">
        <v>27.139285362732551</v>
      </c>
      <c r="D82" s="394">
        <v>23.31892902844768</v>
      </c>
      <c r="E82" s="394">
        <v>43</v>
      </c>
      <c r="F82" s="394">
        <v>37</v>
      </c>
      <c r="G82" s="394">
        <v>29</v>
      </c>
      <c r="H82" s="394">
        <v>15</v>
      </c>
    </row>
    <row r="83" spans="1:8" ht="15" customHeight="1">
      <c r="A83" s="1245">
        <v>13</v>
      </c>
      <c r="B83" s="679" t="s">
        <v>57</v>
      </c>
      <c r="C83" s="683"/>
      <c r="D83" s="683"/>
      <c r="E83" s="683"/>
      <c r="F83" s="683"/>
      <c r="G83" s="683"/>
      <c r="H83" s="684"/>
    </row>
    <row r="84" spans="1:8" ht="15" customHeight="1">
      <c r="A84" s="1245"/>
      <c r="B84" s="682" t="s">
        <v>919</v>
      </c>
      <c r="C84" s="683">
        <v>35</v>
      </c>
      <c r="D84" s="683">
        <v>24</v>
      </c>
      <c r="E84" s="683">
        <v>38</v>
      </c>
      <c r="F84" s="683">
        <v>26</v>
      </c>
      <c r="G84" s="683">
        <v>63</v>
      </c>
      <c r="H84" s="684">
        <v>15</v>
      </c>
    </row>
    <row r="85" spans="1:8" ht="15" customHeight="1">
      <c r="A85" s="1245"/>
      <c r="B85" s="682" t="s">
        <v>876</v>
      </c>
      <c r="C85" s="218">
        <v>34.491573033707866</v>
      </c>
      <c r="D85" s="218">
        <v>25.111218398876403</v>
      </c>
      <c r="E85" s="218">
        <v>37.578840284842322</v>
      </c>
      <c r="F85" s="218">
        <v>27</v>
      </c>
      <c r="G85" s="218">
        <v>65.453960595094486</v>
      </c>
      <c r="H85" s="218">
        <v>22.486127864897465</v>
      </c>
    </row>
    <row r="86" spans="1:8" ht="15" customHeight="1">
      <c r="A86" s="1245"/>
      <c r="B86" s="682" t="s">
        <v>229</v>
      </c>
      <c r="C86" s="218">
        <v>34.927656567441041</v>
      </c>
      <c r="D86" s="218">
        <v>24.528133557106262</v>
      </c>
      <c r="E86" s="218">
        <v>51</v>
      </c>
      <c r="F86" s="218">
        <v>35</v>
      </c>
      <c r="G86" s="218">
        <v>61</v>
      </c>
      <c r="H86" s="218">
        <v>14</v>
      </c>
    </row>
    <row r="87" spans="1:8" ht="15" customHeight="1">
      <c r="A87" s="1245"/>
      <c r="B87" s="682" t="s">
        <v>228</v>
      </c>
      <c r="C87" s="394">
        <v>35.181128369933937</v>
      </c>
      <c r="D87" s="394">
        <v>24.703535083020888</v>
      </c>
      <c r="E87" s="394">
        <v>51</v>
      </c>
      <c r="F87" s="394">
        <v>35</v>
      </c>
      <c r="G87" s="394">
        <v>63</v>
      </c>
      <c r="H87" s="394">
        <v>14</v>
      </c>
    </row>
    <row r="88" spans="1:8" ht="15" customHeight="1">
      <c r="A88" s="1245"/>
      <c r="B88" s="685" t="s">
        <v>227</v>
      </c>
      <c r="C88" s="394">
        <v>36.757373326965777</v>
      </c>
      <c r="D88" s="394">
        <v>26.151418144319713</v>
      </c>
      <c r="E88" s="394">
        <v>53</v>
      </c>
      <c r="F88" s="394">
        <v>37</v>
      </c>
      <c r="G88" s="394">
        <v>62</v>
      </c>
      <c r="H88" s="394">
        <v>14</v>
      </c>
    </row>
    <row r="89" spans="1:8" ht="15" customHeight="1">
      <c r="A89" s="1245">
        <v>14</v>
      </c>
      <c r="B89" s="679" t="s">
        <v>29</v>
      </c>
      <c r="C89" s="683"/>
      <c r="D89" s="683"/>
      <c r="E89" s="683"/>
      <c r="F89" s="683"/>
      <c r="G89" s="683"/>
      <c r="H89" s="684"/>
    </row>
    <row r="90" spans="1:8" ht="15" customHeight="1">
      <c r="A90" s="1245"/>
      <c r="B90" s="682" t="s">
        <v>919</v>
      </c>
      <c r="C90" s="683">
        <v>58</v>
      </c>
      <c r="D90" s="683">
        <v>54</v>
      </c>
      <c r="E90" s="683">
        <v>65</v>
      </c>
      <c r="F90" s="683">
        <v>60</v>
      </c>
      <c r="G90" s="683">
        <v>48</v>
      </c>
      <c r="H90" s="684">
        <v>32</v>
      </c>
    </row>
    <row r="91" spans="1:8" ht="15" customHeight="1">
      <c r="A91" s="1245"/>
      <c r="B91" s="682" t="s">
        <v>876</v>
      </c>
      <c r="C91" s="218">
        <v>54.443208675100792</v>
      </c>
      <c r="D91" s="218">
        <v>49.670373974697625</v>
      </c>
      <c r="E91" s="218">
        <v>60.68863728265265</v>
      </c>
      <c r="F91" s="218">
        <v>55</v>
      </c>
      <c r="G91" s="218">
        <v>47.32776617954071</v>
      </c>
      <c r="H91" s="218">
        <v>26.849985087980912</v>
      </c>
    </row>
    <row r="92" spans="1:8" ht="15" customHeight="1">
      <c r="A92" s="1245"/>
      <c r="B92" s="682" t="s">
        <v>229</v>
      </c>
      <c r="C92" s="218">
        <v>59.728229105786092</v>
      </c>
      <c r="D92" s="218">
        <v>54.290838690824081</v>
      </c>
      <c r="E92" s="218">
        <v>85</v>
      </c>
      <c r="F92" s="218">
        <v>77</v>
      </c>
      <c r="G92" s="218">
        <v>64</v>
      </c>
      <c r="H92" s="218">
        <v>37</v>
      </c>
    </row>
    <row r="93" spans="1:8" ht="15" customHeight="1">
      <c r="A93" s="1245"/>
      <c r="B93" s="682" t="s">
        <v>228</v>
      </c>
      <c r="C93" s="394">
        <v>59.799773572699337</v>
      </c>
      <c r="D93" s="394">
        <v>54.077551350477115</v>
      </c>
      <c r="E93" s="394">
        <v>81</v>
      </c>
      <c r="F93" s="394">
        <v>73</v>
      </c>
      <c r="G93" s="394">
        <v>62</v>
      </c>
      <c r="H93" s="394">
        <v>29</v>
      </c>
    </row>
    <row r="94" spans="1:8" ht="15" customHeight="1">
      <c r="A94" s="1245"/>
      <c r="B94" s="685" t="s">
        <v>227</v>
      </c>
      <c r="C94" s="394">
        <v>59.20418091803753</v>
      </c>
      <c r="D94" s="394">
        <v>55.520006586394793</v>
      </c>
      <c r="E94" s="394">
        <v>77</v>
      </c>
      <c r="F94" s="394">
        <v>72</v>
      </c>
      <c r="G94" s="394">
        <v>49</v>
      </c>
      <c r="H94" s="394">
        <v>26</v>
      </c>
    </row>
    <row r="95" spans="1:8" ht="15" customHeight="1">
      <c r="A95" s="1245">
        <v>15</v>
      </c>
      <c r="B95" s="679" t="s">
        <v>30</v>
      </c>
      <c r="C95" s="683"/>
      <c r="D95" s="683"/>
      <c r="E95" s="683"/>
      <c r="F95" s="683"/>
      <c r="G95" s="683"/>
      <c r="H95" s="684"/>
    </row>
    <row r="96" spans="1:8" ht="15" customHeight="1">
      <c r="A96" s="1245"/>
      <c r="B96" s="682" t="s">
        <v>919</v>
      </c>
      <c r="C96" s="683">
        <v>16</v>
      </c>
      <c r="D96" s="683">
        <v>15</v>
      </c>
      <c r="E96" s="683">
        <v>16</v>
      </c>
      <c r="F96" s="683">
        <v>16</v>
      </c>
      <c r="G96" s="683">
        <v>18</v>
      </c>
      <c r="H96" s="684">
        <v>14</v>
      </c>
    </row>
    <row r="97" spans="1:8" ht="15" customHeight="1">
      <c r="A97" s="1245"/>
      <c r="B97" s="682" t="s">
        <v>876</v>
      </c>
      <c r="C97" s="218">
        <v>15.675347348033176</v>
      </c>
      <c r="D97" s="218">
        <v>14.881687561349997</v>
      </c>
      <c r="E97" s="218">
        <v>15.792246954429238</v>
      </c>
      <c r="F97" s="218">
        <v>15</v>
      </c>
      <c r="G97" s="218">
        <v>18.821394870035171</v>
      </c>
      <c r="H97" s="218">
        <v>13.654027622887535</v>
      </c>
    </row>
    <row r="98" spans="1:8" ht="15" customHeight="1">
      <c r="A98" s="1245"/>
      <c r="B98" s="682" t="s">
        <v>229</v>
      </c>
      <c r="C98" s="218">
        <v>14.746387361156044</v>
      </c>
      <c r="D98" s="218">
        <v>14.167488946403537</v>
      </c>
      <c r="E98" s="218">
        <v>18</v>
      </c>
      <c r="F98" s="218">
        <v>18</v>
      </c>
      <c r="G98" s="218">
        <v>17</v>
      </c>
      <c r="H98" s="218">
        <v>13</v>
      </c>
    </row>
    <row r="99" spans="1:8" ht="15" customHeight="1">
      <c r="A99" s="1245"/>
      <c r="B99" s="682" t="s">
        <v>228</v>
      </c>
      <c r="C99" s="394">
        <v>14.913294884390679</v>
      </c>
      <c r="D99" s="394">
        <v>14.473514478351845</v>
      </c>
      <c r="E99" s="394">
        <v>18</v>
      </c>
      <c r="F99" s="394">
        <v>17</v>
      </c>
      <c r="G99" s="394">
        <v>17</v>
      </c>
      <c r="H99" s="394">
        <v>14</v>
      </c>
    </row>
    <row r="100" spans="1:8" ht="15" customHeight="1">
      <c r="A100" s="1245"/>
      <c r="B100" s="685" t="s">
        <v>227</v>
      </c>
      <c r="C100" s="394">
        <v>16.181536676830362</v>
      </c>
      <c r="D100" s="394">
        <v>15.670839753548531</v>
      </c>
      <c r="E100" s="394">
        <v>18</v>
      </c>
      <c r="F100" s="394">
        <v>18</v>
      </c>
      <c r="G100" s="394">
        <v>19</v>
      </c>
      <c r="H100" s="394">
        <v>14</v>
      </c>
    </row>
    <row r="101" spans="1:8" ht="15" customHeight="1">
      <c r="A101" s="1245">
        <v>16</v>
      </c>
      <c r="B101" s="679" t="s">
        <v>31</v>
      </c>
      <c r="C101" s="683"/>
      <c r="D101" s="683"/>
      <c r="E101" s="683"/>
      <c r="F101" s="683"/>
      <c r="G101" s="683"/>
      <c r="H101" s="684"/>
    </row>
    <row r="102" spans="1:8" ht="15" customHeight="1">
      <c r="A102" s="1245"/>
      <c r="B102" s="682" t="s">
        <v>919</v>
      </c>
      <c r="C102" s="683">
        <v>19</v>
      </c>
      <c r="D102" s="683">
        <v>15</v>
      </c>
      <c r="E102" s="683">
        <v>19</v>
      </c>
      <c r="F102" s="683">
        <v>15</v>
      </c>
      <c r="G102" s="683">
        <v>69</v>
      </c>
      <c r="H102" s="684">
        <v>13</v>
      </c>
    </row>
    <row r="103" spans="1:8" ht="15" customHeight="1">
      <c r="A103" s="1245"/>
      <c r="B103" s="682" t="s">
        <v>876</v>
      </c>
      <c r="C103" s="218">
        <v>22.184282907662084</v>
      </c>
      <c r="D103" s="218">
        <v>16.310036018336607</v>
      </c>
      <c r="E103" s="218">
        <v>21.676242581932886</v>
      </c>
      <c r="F103" s="218">
        <v>16</v>
      </c>
      <c r="G103" s="218">
        <v>93.597114781517874</v>
      </c>
      <c r="H103" s="218">
        <v>18.581643320091992</v>
      </c>
    </row>
    <row r="104" spans="1:8" ht="15" customHeight="1">
      <c r="A104" s="1245"/>
      <c r="B104" s="682" t="s">
        <v>229</v>
      </c>
      <c r="C104" s="218">
        <v>18.484242503005294</v>
      </c>
      <c r="D104" s="218">
        <v>14.319454823093668</v>
      </c>
      <c r="E104" s="218">
        <v>20</v>
      </c>
      <c r="F104" s="218">
        <v>16</v>
      </c>
      <c r="G104" s="218">
        <v>67</v>
      </c>
      <c r="H104" s="218">
        <v>12</v>
      </c>
    </row>
    <row r="105" spans="1:8" ht="15" customHeight="1">
      <c r="A105" s="1245"/>
      <c r="B105" s="682" t="s">
        <v>228</v>
      </c>
      <c r="C105" s="394">
        <v>18.499594840975082</v>
      </c>
      <c r="D105" s="394">
        <v>14.319721115537849</v>
      </c>
      <c r="E105" s="394">
        <v>21</v>
      </c>
      <c r="F105" s="394">
        <v>16</v>
      </c>
      <c r="G105" s="394">
        <v>67</v>
      </c>
      <c r="H105" s="394">
        <v>12</v>
      </c>
    </row>
    <row r="106" spans="1:8" ht="15" customHeight="1">
      <c r="A106" s="1245"/>
      <c r="B106" s="685" t="s">
        <v>227</v>
      </c>
      <c r="C106" s="394">
        <v>19.590730305395542</v>
      </c>
      <c r="D106" s="394">
        <v>15.055082567638427</v>
      </c>
      <c r="E106" s="394">
        <v>22</v>
      </c>
      <c r="F106" s="394">
        <v>16</v>
      </c>
      <c r="G106" s="394">
        <v>70</v>
      </c>
      <c r="H106" s="394">
        <v>12</v>
      </c>
    </row>
    <row r="107" spans="1:8" ht="15" customHeight="1">
      <c r="A107" s="1245">
        <v>17</v>
      </c>
      <c r="B107" s="679" t="s">
        <v>154</v>
      </c>
      <c r="C107" s="683"/>
      <c r="D107" s="683"/>
      <c r="E107" s="683"/>
      <c r="F107" s="683"/>
      <c r="G107" s="683"/>
      <c r="H107" s="684"/>
    </row>
    <row r="108" spans="1:8" ht="15" customHeight="1">
      <c r="A108" s="1245"/>
      <c r="B108" s="682" t="s">
        <v>919</v>
      </c>
      <c r="C108" s="683">
        <v>16</v>
      </c>
      <c r="D108" s="683">
        <v>16</v>
      </c>
      <c r="E108" s="683">
        <v>18</v>
      </c>
      <c r="F108" s="683">
        <v>18</v>
      </c>
      <c r="G108" s="683">
        <v>7</v>
      </c>
      <c r="H108" s="684">
        <v>7</v>
      </c>
    </row>
    <row r="109" spans="1:8" ht="15" customHeight="1">
      <c r="A109" s="1245"/>
      <c r="B109" s="682" t="s">
        <v>876</v>
      </c>
      <c r="C109" s="218">
        <v>17.448484848484849</v>
      </c>
      <c r="D109" s="218">
        <v>17.448484848484849</v>
      </c>
      <c r="E109" s="218">
        <v>21.658536585365855</v>
      </c>
      <c r="F109" s="218">
        <v>22</v>
      </c>
      <c r="G109" s="218">
        <v>7.7209302325581399</v>
      </c>
      <c r="H109" s="218">
        <v>7.7209302325581399</v>
      </c>
    </row>
    <row r="110" spans="1:8" ht="15" customHeight="1">
      <c r="A110" s="1245"/>
      <c r="B110" s="682" t="s">
        <v>229</v>
      </c>
      <c r="C110" s="218">
        <v>14.557788944723619</v>
      </c>
      <c r="D110" s="218">
        <v>14.557788944723619</v>
      </c>
      <c r="E110" s="218">
        <v>28</v>
      </c>
      <c r="F110" s="218">
        <v>28</v>
      </c>
      <c r="G110" s="218">
        <v>7</v>
      </c>
      <c r="H110" s="218">
        <v>7</v>
      </c>
    </row>
    <row r="111" spans="1:8" ht="15" customHeight="1">
      <c r="A111" s="1245">
        <v>18</v>
      </c>
      <c r="B111" s="679" t="s">
        <v>135</v>
      </c>
      <c r="C111" s="683"/>
      <c r="D111" s="683"/>
      <c r="E111" s="683"/>
      <c r="F111" s="683"/>
      <c r="G111" s="683"/>
      <c r="H111" s="684"/>
    </row>
    <row r="112" spans="1:8" ht="15" customHeight="1">
      <c r="A112" s="1245"/>
      <c r="B112" s="682" t="s">
        <v>919</v>
      </c>
      <c r="C112" s="683">
        <v>9</v>
      </c>
      <c r="D112" s="683">
        <v>9</v>
      </c>
      <c r="E112" s="683">
        <v>9</v>
      </c>
      <c r="F112" s="683">
        <v>9</v>
      </c>
      <c r="G112" s="683">
        <v>9</v>
      </c>
      <c r="H112" s="684">
        <v>9</v>
      </c>
    </row>
    <row r="113" spans="1:8" ht="15" customHeight="1">
      <c r="A113" s="1245"/>
      <c r="B113" s="682" t="s">
        <v>876</v>
      </c>
      <c r="C113" s="218">
        <v>12.88</v>
      </c>
      <c r="D113" s="218">
        <v>12.88</v>
      </c>
      <c r="E113" s="218">
        <v>12.88</v>
      </c>
      <c r="F113" s="218">
        <v>13</v>
      </c>
      <c r="G113" s="218">
        <v>12.88</v>
      </c>
      <c r="H113" s="218">
        <v>12.88</v>
      </c>
    </row>
    <row r="114" spans="1:8" ht="15" customHeight="1">
      <c r="A114" s="1245"/>
      <c r="B114" s="682" t="s">
        <v>229</v>
      </c>
      <c r="C114" s="218">
        <v>12.444444444444445</v>
      </c>
      <c r="D114" s="218">
        <v>12.444444444444445</v>
      </c>
      <c r="E114" s="218">
        <v>0</v>
      </c>
      <c r="F114" s="218">
        <v>0</v>
      </c>
      <c r="G114" s="218">
        <v>12</v>
      </c>
      <c r="H114" s="218">
        <v>12</v>
      </c>
    </row>
    <row r="115" spans="1:8" ht="15" customHeight="1">
      <c r="A115" s="1245"/>
      <c r="B115" s="682" t="s">
        <v>228</v>
      </c>
      <c r="C115" s="394">
        <v>12.111111111111111</v>
      </c>
      <c r="D115" s="394">
        <v>12.111111111111111</v>
      </c>
      <c r="E115" s="394">
        <v>0</v>
      </c>
      <c r="F115" s="394">
        <v>0</v>
      </c>
      <c r="G115" s="394">
        <v>12</v>
      </c>
      <c r="H115" s="394">
        <v>12</v>
      </c>
    </row>
    <row r="116" spans="1:8" ht="15" customHeight="1">
      <c r="A116" s="1245"/>
      <c r="B116" s="685" t="s">
        <v>227</v>
      </c>
      <c r="C116" s="394">
        <v>12.266666666666667</v>
      </c>
      <c r="D116" s="394">
        <v>12.266666666666667</v>
      </c>
      <c r="E116" s="394">
        <v>0</v>
      </c>
      <c r="F116" s="394">
        <v>0</v>
      </c>
      <c r="G116" s="394">
        <v>12</v>
      </c>
      <c r="H116" s="394">
        <v>12</v>
      </c>
    </row>
    <row r="117" spans="1:8" ht="15" customHeight="1">
      <c r="A117" s="1245">
        <v>19</v>
      </c>
      <c r="B117" s="679" t="s">
        <v>33</v>
      </c>
      <c r="C117" s="683"/>
      <c r="D117" s="683"/>
      <c r="E117" s="683"/>
      <c r="F117" s="683"/>
      <c r="G117" s="683"/>
      <c r="H117" s="684"/>
    </row>
    <row r="118" spans="1:8" ht="15" customHeight="1">
      <c r="A118" s="1245"/>
      <c r="B118" s="682" t="s">
        <v>919</v>
      </c>
      <c r="C118" s="683">
        <v>31</v>
      </c>
      <c r="D118" s="683">
        <v>30</v>
      </c>
      <c r="E118" s="683">
        <v>32</v>
      </c>
      <c r="F118" s="683">
        <v>31</v>
      </c>
      <c r="G118" s="683">
        <v>26</v>
      </c>
      <c r="H118" s="684">
        <v>20</v>
      </c>
    </row>
    <row r="119" spans="1:8" ht="15" customHeight="1">
      <c r="A119" s="1245"/>
      <c r="B119" s="682" t="s">
        <v>876</v>
      </c>
      <c r="C119" s="218">
        <v>32.8244080807033</v>
      </c>
      <c r="D119" s="218">
        <v>31.070239361012423</v>
      </c>
      <c r="E119" s="218">
        <v>32.426073653152663</v>
      </c>
      <c r="F119" s="218">
        <v>32</v>
      </c>
      <c r="G119" s="218">
        <v>35.417158445607392</v>
      </c>
      <c r="H119" s="218">
        <v>27.885424785658614</v>
      </c>
    </row>
    <row r="120" spans="1:8" ht="15" customHeight="1">
      <c r="A120" s="1245"/>
      <c r="B120" s="682" t="s">
        <v>229</v>
      </c>
      <c r="C120" s="218">
        <v>34.039777867906281</v>
      </c>
      <c r="D120" s="218">
        <v>31.601862540167847</v>
      </c>
      <c r="E120" s="218">
        <v>44</v>
      </c>
      <c r="F120" s="218">
        <v>41</v>
      </c>
      <c r="G120" s="218">
        <v>40</v>
      </c>
      <c r="H120" s="218">
        <v>28</v>
      </c>
    </row>
    <row r="121" spans="1:8" ht="15" customHeight="1">
      <c r="A121" s="1245"/>
      <c r="B121" s="682" t="s">
        <v>228</v>
      </c>
      <c r="C121" s="394">
        <v>32.599080832657478</v>
      </c>
      <c r="D121" s="394">
        <v>29.487074209245741</v>
      </c>
      <c r="E121" s="394">
        <v>41</v>
      </c>
      <c r="F121" s="394">
        <v>37</v>
      </c>
      <c r="G121" s="394">
        <v>47</v>
      </c>
      <c r="H121" s="394">
        <v>30</v>
      </c>
    </row>
    <row r="122" spans="1:8" ht="15" customHeight="1">
      <c r="A122" s="1245"/>
      <c r="B122" s="685" t="s">
        <v>227</v>
      </c>
      <c r="C122" s="394">
        <v>34.602291409058132</v>
      </c>
      <c r="D122" s="394">
        <v>31.293207173418566</v>
      </c>
      <c r="E122" s="394">
        <v>43</v>
      </c>
      <c r="F122" s="394">
        <v>39</v>
      </c>
      <c r="G122" s="394">
        <v>59</v>
      </c>
      <c r="H122" s="394">
        <v>40</v>
      </c>
    </row>
    <row r="123" spans="1:8" ht="15" customHeight="1">
      <c r="A123" s="1245">
        <v>20</v>
      </c>
      <c r="B123" s="679" t="s">
        <v>34</v>
      </c>
      <c r="C123" s="683"/>
      <c r="D123" s="683"/>
      <c r="E123" s="683"/>
      <c r="F123" s="683"/>
      <c r="G123" s="683"/>
      <c r="H123" s="684"/>
    </row>
    <row r="124" spans="1:8" ht="15" customHeight="1">
      <c r="A124" s="1245"/>
      <c r="B124" s="682" t="s">
        <v>919</v>
      </c>
      <c r="C124" s="683">
        <v>27</v>
      </c>
      <c r="D124" s="683">
        <v>23</v>
      </c>
      <c r="E124" s="683">
        <v>30</v>
      </c>
      <c r="F124" s="683">
        <v>25</v>
      </c>
      <c r="G124" s="683">
        <v>50</v>
      </c>
      <c r="H124" s="684">
        <v>16</v>
      </c>
    </row>
    <row r="125" spans="1:8" ht="15" customHeight="1">
      <c r="A125" s="1245"/>
      <c r="B125" s="682" t="s">
        <v>876</v>
      </c>
      <c r="C125" s="218">
        <v>27.397386167341846</v>
      </c>
      <c r="D125" s="218">
        <v>22.420500021515554</v>
      </c>
      <c r="E125" s="218">
        <v>30.07264944821361</v>
      </c>
      <c r="F125" s="218">
        <v>24</v>
      </c>
      <c r="G125" s="218">
        <v>57.198706488589757</v>
      </c>
      <c r="H125" s="218">
        <v>14.628246923966769</v>
      </c>
    </row>
    <row r="126" spans="1:8" ht="15" customHeight="1">
      <c r="A126" s="1245"/>
      <c r="B126" s="682" t="s">
        <v>229</v>
      </c>
      <c r="C126" s="218">
        <v>26.147365323786872</v>
      </c>
      <c r="D126" s="218">
        <v>22.066001765441484</v>
      </c>
      <c r="E126" s="218">
        <v>33</v>
      </c>
      <c r="F126" s="218">
        <v>27</v>
      </c>
      <c r="G126" s="218">
        <v>62</v>
      </c>
      <c r="H126" s="218">
        <v>19</v>
      </c>
    </row>
    <row r="127" spans="1:8" ht="15" customHeight="1">
      <c r="A127" s="1245"/>
      <c r="B127" s="682" t="s">
        <v>228</v>
      </c>
      <c r="C127" s="394">
        <v>26.616035082641769</v>
      </c>
      <c r="D127" s="394">
        <v>22.582676372696444</v>
      </c>
      <c r="E127" s="394">
        <v>33</v>
      </c>
      <c r="F127" s="394">
        <v>28</v>
      </c>
      <c r="G127" s="394">
        <v>58</v>
      </c>
      <c r="H127" s="394">
        <v>19</v>
      </c>
    </row>
    <row r="128" spans="1:8" ht="15" customHeight="1">
      <c r="A128" s="1245"/>
      <c r="B128" s="685" t="s">
        <v>227</v>
      </c>
      <c r="C128" s="394">
        <v>27.075376968915201</v>
      </c>
      <c r="D128" s="394">
        <v>22.361565878628049</v>
      </c>
      <c r="E128" s="394">
        <v>32</v>
      </c>
      <c r="F128" s="394">
        <v>26</v>
      </c>
      <c r="G128" s="394">
        <v>62</v>
      </c>
      <c r="H128" s="394">
        <v>15</v>
      </c>
    </row>
    <row r="129" spans="1:8" ht="15" customHeight="1">
      <c r="A129" s="1245">
        <v>21</v>
      </c>
      <c r="B129" s="679" t="s">
        <v>35</v>
      </c>
      <c r="C129" s="683"/>
      <c r="D129" s="683"/>
      <c r="E129" s="683"/>
      <c r="F129" s="683"/>
      <c r="G129" s="683"/>
      <c r="H129" s="684"/>
    </row>
    <row r="130" spans="1:8" ht="15" customHeight="1">
      <c r="A130" s="1245"/>
      <c r="B130" s="682" t="s">
        <v>919</v>
      </c>
      <c r="C130" s="683">
        <v>20</v>
      </c>
      <c r="D130" s="683">
        <v>19</v>
      </c>
      <c r="E130" s="683">
        <v>21</v>
      </c>
      <c r="F130" s="683">
        <v>20</v>
      </c>
      <c r="G130" s="683">
        <v>19</v>
      </c>
      <c r="H130" s="684">
        <v>13</v>
      </c>
    </row>
    <row r="131" spans="1:8" ht="15" customHeight="1">
      <c r="A131" s="1245"/>
      <c r="B131" s="682" t="s">
        <v>876</v>
      </c>
      <c r="C131" s="218">
        <v>22.996734834163945</v>
      </c>
      <c r="D131" s="218">
        <v>22.105172710087643</v>
      </c>
      <c r="E131" s="218">
        <v>23.673913043478262</v>
      </c>
      <c r="F131" s="218">
        <v>23</v>
      </c>
      <c r="G131" s="218">
        <v>18.243273542600896</v>
      </c>
      <c r="H131" s="218">
        <v>12.42713004484305</v>
      </c>
    </row>
    <row r="132" spans="1:8" ht="15" customHeight="1">
      <c r="A132" s="1245"/>
      <c r="B132" s="682" t="s">
        <v>229</v>
      </c>
      <c r="C132" s="218">
        <v>22.668001456133965</v>
      </c>
      <c r="D132" s="218">
        <v>21.585729887149618</v>
      </c>
      <c r="E132" s="218">
        <v>28</v>
      </c>
      <c r="F132" s="218">
        <v>26</v>
      </c>
      <c r="G132" s="218">
        <v>19</v>
      </c>
      <c r="H132" s="218">
        <v>12</v>
      </c>
    </row>
    <row r="133" spans="1:8" ht="15" customHeight="1">
      <c r="A133" s="1245"/>
      <c r="B133" s="682" t="s">
        <v>228</v>
      </c>
      <c r="C133" s="394">
        <v>21.921946375372393</v>
      </c>
      <c r="D133" s="394">
        <v>20.725719960278052</v>
      </c>
      <c r="E133" s="394">
        <v>26</v>
      </c>
      <c r="F133" s="394">
        <v>25</v>
      </c>
      <c r="G133" s="394">
        <v>20</v>
      </c>
      <c r="H133" s="394">
        <v>12</v>
      </c>
    </row>
    <row r="134" spans="1:8" ht="15" customHeight="1">
      <c r="A134" s="1245"/>
      <c r="B134" s="685" t="s">
        <v>227</v>
      </c>
      <c r="C134" s="394">
        <v>30.788226800366761</v>
      </c>
      <c r="D134" s="394">
        <v>28.852050329778525</v>
      </c>
      <c r="E134" s="394">
        <v>38</v>
      </c>
      <c r="F134" s="394">
        <v>35</v>
      </c>
      <c r="G134" s="394">
        <v>24</v>
      </c>
      <c r="H134" s="394">
        <v>12</v>
      </c>
    </row>
    <row r="135" spans="1:8" ht="15" customHeight="1">
      <c r="A135" s="1245">
        <v>22</v>
      </c>
      <c r="B135" s="679" t="s">
        <v>36</v>
      </c>
      <c r="C135" s="683"/>
      <c r="D135" s="683"/>
      <c r="E135" s="683"/>
      <c r="F135" s="683"/>
      <c r="G135" s="683"/>
      <c r="H135" s="684"/>
    </row>
    <row r="136" spans="1:8" ht="15" customHeight="1">
      <c r="A136" s="1245"/>
      <c r="B136" s="682" t="s">
        <v>919</v>
      </c>
      <c r="C136" s="683">
        <v>24</v>
      </c>
      <c r="D136" s="683">
        <v>22</v>
      </c>
      <c r="E136" s="683">
        <v>25</v>
      </c>
      <c r="F136" s="683">
        <v>23</v>
      </c>
      <c r="G136" s="683">
        <v>27</v>
      </c>
      <c r="H136" s="684">
        <v>19</v>
      </c>
    </row>
    <row r="137" spans="1:8" ht="15" customHeight="1">
      <c r="A137" s="1245"/>
      <c r="B137" s="682" t="s">
        <v>876</v>
      </c>
      <c r="C137" s="218">
        <v>26.865448504983387</v>
      </c>
      <c r="D137" s="218">
        <v>25.312015503875969</v>
      </c>
      <c r="E137" s="218">
        <v>25.033333333333335</v>
      </c>
      <c r="F137" s="218">
        <v>27</v>
      </c>
      <c r="G137" s="218">
        <v>24.502380952380953</v>
      </c>
      <c r="H137" s="218">
        <v>17.822619047619046</v>
      </c>
    </row>
    <row r="138" spans="1:8" ht="15" customHeight="1">
      <c r="A138" s="1245"/>
      <c r="B138" s="682" t="s">
        <v>229</v>
      </c>
      <c r="C138" s="218">
        <v>24.155905077262695</v>
      </c>
      <c r="D138" s="218">
        <v>22.227649006622517</v>
      </c>
      <c r="E138" s="218">
        <v>37</v>
      </c>
      <c r="F138" s="218">
        <v>34</v>
      </c>
      <c r="G138" s="218">
        <v>20</v>
      </c>
      <c r="H138" s="218">
        <v>14</v>
      </c>
    </row>
    <row r="139" spans="1:8" ht="15" customHeight="1">
      <c r="A139" s="1245"/>
      <c r="B139" s="682" t="s">
        <v>228</v>
      </c>
      <c r="C139" s="394">
        <v>26.247282608695652</v>
      </c>
      <c r="D139" s="394">
        <v>23.905797101449274</v>
      </c>
      <c r="E139" s="394">
        <v>41</v>
      </c>
      <c r="F139" s="394">
        <v>37</v>
      </c>
      <c r="G139" s="394">
        <v>21</v>
      </c>
      <c r="H139" s="394">
        <v>13</v>
      </c>
    </row>
    <row r="140" spans="1:8" ht="15" customHeight="1">
      <c r="A140" s="1245"/>
      <c r="B140" s="685" t="s">
        <v>227</v>
      </c>
      <c r="C140" s="394">
        <v>29.893653123389921</v>
      </c>
      <c r="D140" s="394">
        <v>26.821613180451262</v>
      </c>
      <c r="E140" s="394">
        <v>46</v>
      </c>
      <c r="F140" s="394">
        <v>41</v>
      </c>
      <c r="G140" s="394">
        <v>26</v>
      </c>
      <c r="H140" s="394">
        <v>14</v>
      </c>
    </row>
    <row r="141" spans="1:8" ht="15" customHeight="1">
      <c r="A141" s="1245">
        <v>23</v>
      </c>
      <c r="B141" s="679" t="s">
        <v>37</v>
      </c>
      <c r="C141" s="683"/>
      <c r="D141" s="683"/>
      <c r="E141" s="683"/>
      <c r="F141" s="683"/>
      <c r="G141" s="683"/>
      <c r="H141" s="684"/>
    </row>
    <row r="142" spans="1:8" ht="15" customHeight="1">
      <c r="A142" s="1245"/>
      <c r="B142" s="682" t="s">
        <v>919</v>
      </c>
      <c r="C142" s="683">
        <v>21</v>
      </c>
      <c r="D142" s="683">
        <v>17</v>
      </c>
      <c r="E142" s="683">
        <v>22</v>
      </c>
      <c r="F142" s="683">
        <v>17</v>
      </c>
      <c r="G142" s="683">
        <v>41</v>
      </c>
      <c r="H142" s="684">
        <v>15</v>
      </c>
    </row>
    <row r="143" spans="1:8" ht="15" customHeight="1">
      <c r="A143" s="1245"/>
      <c r="B143" s="682" t="s">
        <v>876</v>
      </c>
      <c r="C143" s="218">
        <v>19.040826364977864</v>
      </c>
      <c r="D143" s="218">
        <v>15.88047220855878</v>
      </c>
      <c r="E143" s="218">
        <v>20.312255176273084</v>
      </c>
      <c r="F143" s="218">
        <v>17</v>
      </c>
      <c r="G143" s="218">
        <v>36.072607260726073</v>
      </c>
      <c r="H143" s="218">
        <v>14.867986798679867</v>
      </c>
    </row>
    <row r="144" spans="1:8" ht="15" customHeight="1">
      <c r="A144" s="1245"/>
      <c r="B144" s="682" t="s">
        <v>229</v>
      </c>
      <c r="C144" s="218">
        <v>17.247535028541776</v>
      </c>
      <c r="D144" s="218">
        <v>13.503892060197197</v>
      </c>
      <c r="E144" s="218">
        <v>22</v>
      </c>
      <c r="F144" s="218">
        <v>17</v>
      </c>
      <c r="G144" s="218">
        <v>38</v>
      </c>
      <c r="H144" s="218">
        <v>14</v>
      </c>
    </row>
    <row r="145" spans="1:8" ht="15" customHeight="1">
      <c r="A145" s="1245"/>
      <c r="B145" s="682" t="s">
        <v>228</v>
      </c>
      <c r="C145" s="394">
        <v>17.579229122055676</v>
      </c>
      <c r="D145" s="394">
        <v>13.702355460385439</v>
      </c>
      <c r="E145" s="394">
        <v>23</v>
      </c>
      <c r="F145" s="394">
        <v>18</v>
      </c>
      <c r="G145" s="394">
        <v>39</v>
      </c>
      <c r="H145" s="394">
        <v>15</v>
      </c>
    </row>
    <row r="146" spans="1:8" ht="15" customHeight="1">
      <c r="A146" s="1245"/>
      <c r="B146" s="685" t="s">
        <v>227</v>
      </c>
      <c r="C146" s="394">
        <v>17.019619157530293</v>
      </c>
      <c r="D146" s="394">
        <v>14.109059434506635</v>
      </c>
      <c r="E146" s="394">
        <v>23</v>
      </c>
      <c r="F146" s="394">
        <v>19</v>
      </c>
      <c r="G146" s="394">
        <v>31</v>
      </c>
      <c r="H146" s="394">
        <v>14</v>
      </c>
    </row>
    <row r="147" spans="1:8" ht="15" customHeight="1">
      <c r="A147" s="1245">
        <v>24</v>
      </c>
      <c r="B147" s="679" t="s">
        <v>38</v>
      </c>
      <c r="C147" s="683"/>
      <c r="D147" s="683"/>
      <c r="E147" s="683"/>
      <c r="F147" s="683"/>
      <c r="G147" s="683"/>
      <c r="H147" s="684"/>
    </row>
    <row r="148" spans="1:8" ht="15" customHeight="1">
      <c r="A148" s="1245"/>
      <c r="B148" s="682" t="s">
        <v>919</v>
      </c>
      <c r="C148" s="683">
        <v>20</v>
      </c>
      <c r="D148" s="683">
        <v>18</v>
      </c>
      <c r="E148" s="683">
        <v>22</v>
      </c>
      <c r="F148" s="683">
        <v>20</v>
      </c>
      <c r="G148" s="683">
        <v>28</v>
      </c>
      <c r="H148" s="684">
        <v>18</v>
      </c>
    </row>
    <row r="149" spans="1:8" ht="15" customHeight="1">
      <c r="A149" s="1245"/>
      <c r="B149" s="682" t="s">
        <v>876</v>
      </c>
      <c r="C149" s="218">
        <v>19.269625976161119</v>
      </c>
      <c r="D149" s="218">
        <v>17.912042745581587</v>
      </c>
      <c r="E149" s="218">
        <v>20.903988868274581</v>
      </c>
      <c r="F149" s="218">
        <v>19</v>
      </c>
      <c r="G149" s="218">
        <v>28.997536945812808</v>
      </c>
      <c r="H149" s="218">
        <v>20.862068965517242</v>
      </c>
    </row>
    <row r="150" spans="1:8" ht="15" customHeight="1">
      <c r="A150" s="1245"/>
      <c r="B150" s="682" t="s">
        <v>229</v>
      </c>
      <c r="C150" s="218">
        <v>18.406030565881867</v>
      </c>
      <c r="D150" s="218">
        <v>17.06030565881867</v>
      </c>
      <c r="E150" s="218">
        <v>24</v>
      </c>
      <c r="F150" s="218">
        <v>22</v>
      </c>
      <c r="G150" s="218">
        <v>22</v>
      </c>
      <c r="H150" s="218">
        <v>15</v>
      </c>
    </row>
    <row r="151" spans="1:8" ht="15" customHeight="1">
      <c r="A151" s="1245"/>
      <c r="B151" s="682" t="s">
        <v>228</v>
      </c>
      <c r="C151" s="394">
        <v>19.109709962168978</v>
      </c>
      <c r="D151" s="394">
        <v>16.721731820092476</v>
      </c>
      <c r="E151" s="394">
        <v>25</v>
      </c>
      <c r="F151" s="394">
        <v>22</v>
      </c>
      <c r="G151" s="394">
        <v>25</v>
      </c>
      <c r="H151" s="394">
        <v>12</v>
      </c>
    </row>
    <row r="152" spans="1:8" ht="15" customHeight="1">
      <c r="A152" s="1245"/>
      <c r="B152" s="685" t="s">
        <v>227</v>
      </c>
      <c r="C152" s="394">
        <v>19.213498014997793</v>
      </c>
      <c r="D152" s="394">
        <v>16.325540361711514</v>
      </c>
      <c r="E152" s="394">
        <v>25</v>
      </c>
      <c r="F152" s="394">
        <v>21</v>
      </c>
      <c r="G152" s="394">
        <v>28</v>
      </c>
      <c r="H152" s="394">
        <v>9</v>
      </c>
    </row>
    <row r="153" spans="1:8" ht="15" customHeight="1">
      <c r="A153" s="1245">
        <v>25</v>
      </c>
      <c r="B153" s="679" t="s">
        <v>39</v>
      </c>
      <c r="C153" s="683"/>
      <c r="D153" s="683"/>
      <c r="E153" s="683"/>
      <c r="F153" s="683"/>
      <c r="G153" s="683"/>
      <c r="H153" s="684"/>
    </row>
    <row r="154" spans="1:8" ht="15" customHeight="1">
      <c r="A154" s="1245"/>
      <c r="B154" s="682" t="s">
        <v>919</v>
      </c>
      <c r="C154" s="683">
        <v>25</v>
      </c>
      <c r="D154" s="683">
        <v>23</v>
      </c>
      <c r="E154" s="683">
        <v>27</v>
      </c>
      <c r="F154" s="683">
        <v>25</v>
      </c>
      <c r="G154" s="683">
        <v>29</v>
      </c>
      <c r="H154" s="684">
        <v>18</v>
      </c>
    </row>
    <row r="155" spans="1:8" ht="15" customHeight="1">
      <c r="A155" s="1245"/>
      <c r="B155" s="682" t="s">
        <v>876</v>
      </c>
      <c r="C155" s="218">
        <v>23.830891287256094</v>
      </c>
      <c r="D155" s="218">
        <v>22.220594191504063</v>
      </c>
      <c r="E155" s="218">
        <v>26.046785895560266</v>
      </c>
      <c r="F155" s="218">
        <v>24</v>
      </c>
      <c r="G155" s="218">
        <v>28.894938527862045</v>
      </c>
      <c r="H155" s="218">
        <v>18.103145457448505</v>
      </c>
    </row>
    <row r="156" spans="1:8" ht="15" customHeight="1">
      <c r="A156" s="1245"/>
      <c r="B156" s="682" t="s">
        <v>229</v>
      </c>
      <c r="C156" s="218">
        <v>24.838451168364291</v>
      </c>
      <c r="D156" s="218">
        <v>23.329763331336128</v>
      </c>
      <c r="E156" s="218">
        <v>33</v>
      </c>
      <c r="F156" s="218">
        <v>30</v>
      </c>
      <c r="G156" s="218">
        <v>28</v>
      </c>
      <c r="H156" s="218">
        <v>18</v>
      </c>
    </row>
    <row r="157" spans="1:8" ht="15" customHeight="1">
      <c r="A157" s="1245"/>
      <c r="B157" s="682" t="s">
        <v>228</v>
      </c>
      <c r="C157" s="394">
        <v>26.752552694437881</v>
      </c>
      <c r="D157" s="394">
        <v>25.278788356038532</v>
      </c>
      <c r="E157" s="394">
        <v>34</v>
      </c>
      <c r="F157" s="394">
        <v>32</v>
      </c>
      <c r="G157" s="394">
        <v>29</v>
      </c>
      <c r="H157" s="394">
        <v>18</v>
      </c>
    </row>
    <row r="158" spans="1:8" ht="15" customHeight="1">
      <c r="A158" s="1245"/>
      <c r="B158" s="685" t="s">
        <v>227</v>
      </c>
      <c r="C158" s="394">
        <v>27.843990114357936</v>
      </c>
      <c r="D158" s="394">
        <v>26.304805333238999</v>
      </c>
      <c r="E158" s="394">
        <v>35</v>
      </c>
      <c r="F158" s="394">
        <v>33</v>
      </c>
      <c r="G158" s="394">
        <v>30</v>
      </c>
      <c r="H158" s="394">
        <v>17</v>
      </c>
    </row>
    <row r="159" spans="1:8" ht="15" customHeight="1">
      <c r="A159" s="1245">
        <v>26</v>
      </c>
      <c r="B159" s="679" t="s">
        <v>40</v>
      </c>
      <c r="C159" s="683"/>
      <c r="D159" s="683"/>
      <c r="E159" s="683"/>
      <c r="F159" s="683"/>
      <c r="G159" s="683"/>
      <c r="H159" s="684"/>
    </row>
    <row r="160" spans="1:8" ht="15" customHeight="1">
      <c r="A160" s="1245"/>
      <c r="B160" s="682" t="s">
        <v>919</v>
      </c>
      <c r="C160" s="683">
        <v>13</v>
      </c>
      <c r="D160" s="683">
        <v>11</v>
      </c>
      <c r="E160" s="683">
        <v>13</v>
      </c>
      <c r="F160" s="683">
        <v>11</v>
      </c>
      <c r="G160" s="683">
        <v>15</v>
      </c>
      <c r="H160" s="684">
        <v>8</v>
      </c>
    </row>
    <row r="161" spans="1:8" ht="15" customHeight="1">
      <c r="A161" s="1245"/>
      <c r="B161" s="682" t="s">
        <v>876</v>
      </c>
      <c r="C161" s="218">
        <v>13.694607180411596</v>
      </c>
      <c r="D161" s="218">
        <v>11.537028691602824</v>
      </c>
      <c r="E161" s="218">
        <v>12.855784469096672</v>
      </c>
      <c r="F161" s="218">
        <v>12</v>
      </c>
      <c r="G161" s="218">
        <v>14.635691169671752</v>
      </c>
      <c r="H161" s="218">
        <v>7.9953767914932961</v>
      </c>
    </row>
    <row r="162" spans="1:8" ht="15" customHeight="1">
      <c r="A162" s="1245"/>
      <c r="B162" s="682" t="s">
        <v>229</v>
      </c>
      <c r="C162" s="218">
        <v>12.576361638675246</v>
      </c>
      <c r="D162" s="218">
        <v>10.433526918851044</v>
      </c>
      <c r="E162" s="218">
        <v>19</v>
      </c>
      <c r="F162" s="218">
        <v>16</v>
      </c>
      <c r="G162" s="218">
        <v>15</v>
      </c>
      <c r="H162" s="218">
        <v>8</v>
      </c>
    </row>
    <row r="163" spans="1:8" ht="15" customHeight="1">
      <c r="A163" s="1245"/>
      <c r="B163" s="682" t="s">
        <v>228</v>
      </c>
      <c r="C163" s="394">
        <v>13.155638714067019</v>
      </c>
      <c r="D163" s="394">
        <v>11.29817996257867</v>
      </c>
      <c r="E163" s="394">
        <v>18</v>
      </c>
      <c r="F163" s="394">
        <v>15</v>
      </c>
      <c r="G163" s="394">
        <v>17</v>
      </c>
      <c r="H163" s="394">
        <v>9</v>
      </c>
    </row>
    <row r="164" spans="1:8" ht="15" customHeight="1">
      <c r="A164" s="1245"/>
      <c r="B164" s="685" t="s">
        <v>227</v>
      </c>
      <c r="C164" s="394">
        <v>13.497251897359586</v>
      </c>
      <c r="D164" s="394">
        <v>11.129433681952232</v>
      </c>
      <c r="E164" s="394">
        <v>15</v>
      </c>
      <c r="F164" s="394">
        <v>12</v>
      </c>
      <c r="G164" s="394">
        <v>19</v>
      </c>
      <c r="H164" s="394">
        <v>9</v>
      </c>
    </row>
    <row r="165" spans="1:8" ht="15.75" customHeight="1">
      <c r="A165" s="1245">
        <v>27</v>
      </c>
      <c r="B165" s="679" t="s">
        <v>41</v>
      </c>
      <c r="C165" s="683"/>
      <c r="D165" s="683"/>
      <c r="E165" s="683"/>
      <c r="F165" s="683"/>
      <c r="G165" s="683"/>
      <c r="H165" s="684"/>
    </row>
    <row r="166" spans="1:8" ht="15.75" customHeight="1">
      <c r="A166" s="1245"/>
      <c r="B166" s="682" t="s">
        <v>919</v>
      </c>
      <c r="C166" s="683">
        <v>17</v>
      </c>
      <c r="D166" s="683">
        <v>15</v>
      </c>
      <c r="E166" s="683">
        <v>18</v>
      </c>
      <c r="F166" s="683">
        <v>16</v>
      </c>
      <c r="G166" s="683">
        <v>21</v>
      </c>
      <c r="H166" s="684">
        <v>15</v>
      </c>
    </row>
    <row r="167" spans="1:8" ht="15" customHeight="1">
      <c r="A167" s="1245"/>
      <c r="B167" s="682" t="s">
        <v>876</v>
      </c>
      <c r="C167" s="218">
        <v>16.363821862989816</v>
      </c>
      <c r="D167" s="218">
        <v>14.705594516422996</v>
      </c>
      <c r="E167" s="218">
        <v>17.541939022717923</v>
      </c>
      <c r="F167" s="218">
        <v>16</v>
      </c>
      <c r="G167" s="218">
        <v>21.880579710144929</v>
      </c>
      <c r="H167" s="218">
        <v>14.948571428571428</v>
      </c>
    </row>
    <row r="168" spans="1:8" ht="15.75" customHeight="1">
      <c r="A168" s="1245"/>
      <c r="B168" s="682" t="s">
        <v>229</v>
      </c>
      <c r="C168" s="218">
        <v>16.697322937471192</v>
      </c>
      <c r="D168" s="218">
        <v>15.467660162851436</v>
      </c>
      <c r="E168" s="218">
        <v>24</v>
      </c>
      <c r="F168" s="218">
        <v>22</v>
      </c>
      <c r="G168" s="218">
        <v>23</v>
      </c>
      <c r="H168" s="218">
        <v>17</v>
      </c>
    </row>
    <row r="169" spans="1:8" ht="15" customHeight="1">
      <c r="A169" s="1245"/>
      <c r="B169" s="682" t="s">
        <v>228</v>
      </c>
      <c r="C169" s="394">
        <v>17.829878817256422</v>
      </c>
      <c r="D169" s="394">
        <v>17.045254483761511</v>
      </c>
      <c r="E169" s="394">
        <v>25</v>
      </c>
      <c r="F169" s="394">
        <v>24</v>
      </c>
      <c r="G169" s="394">
        <v>22</v>
      </c>
      <c r="H169" s="394">
        <v>17</v>
      </c>
    </row>
    <row r="170" spans="1:8" ht="15" customHeight="1">
      <c r="A170" s="1245"/>
      <c r="B170" s="685" t="s">
        <v>227</v>
      </c>
      <c r="C170" s="394">
        <v>20.73148419746936</v>
      </c>
      <c r="D170" s="394">
        <v>20.17988969396923</v>
      </c>
      <c r="E170" s="394">
        <v>27</v>
      </c>
      <c r="F170" s="394">
        <v>26</v>
      </c>
      <c r="G170" s="394">
        <v>31</v>
      </c>
      <c r="H170" s="394">
        <v>27</v>
      </c>
    </row>
    <row r="171" spans="1:8" ht="15" customHeight="1">
      <c r="A171" s="1245">
        <v>28</v>
      </c>
      <c r="B171" s="679" t="s">
        <v>42</v>
      </c>
      <c r="C171" s="683"/>
      <c r="D171" s="683"/>
      <c r="E171" s="683"/>
      <c r="F171" s="683"/>
      <c r="G171" s="683"/>
      <c r="H171" s="684"/>
    </row>
    <row r="172" spans="1:8" ht="15" customHeight="1">
      <c r="A172" s="1245"/>
      <c r="B172" s="682" t="s">
        <v>919</v>
      </c>
      <c r="C172" s="683">
        <v>29</v>
      </c>
      <c r="D172" s="683">
        <v>26</v>
      </c>
      <c r="E172" s="683">
        <v>30</v>
      </c>
      <c r="F172" s="683">
        <v>28</v>
      </c>
      <c r="G172" s="683">
        <v>32</v>
      </c>
      <c r="H172" s="684">
        <v>19</v>
      </c>
    </row>
    <row r="173" spans="1:8" ht="15" customHeight="1">
      <c r="A173" s="1245"/>
      <c r="B173" s="682" t="s">
        <v>876</v>
      </c>
      <c r="C173" s="218">
        <v>29.266314349664263</v>
      </c>
      <c r="D173" s="218">
        <v>26.392626212384979</v>
      </c>
      <c r="E173" s="218">
        <v>30.23584229390681</v>
      </c>
      <c r="F173" s="218">
        <v>28</v>
      </c>
      <c r="G173" s="218">
        <v>34.944155844155844</v>
      </c>
      <c r="H173" s="218">
        <v>19.147710184552288</v>
      </c>
    </row>
    <row r="174" spans="1:8" ht="15" customHeight="1">
      <c r="A174" s="1245"/>
      <c r="B174" s="682" t="s">
        <v>229</v>
      </c>
      <c r="C174" s="218">
        <v>28.516445455367876</v>
      </c>
      <c r="D174" s="218">
        <v>26.234798454321052</v>
      </c>
      <c r="E174" s="218">
        <v>37</v>
      </c>
      <c r="F174" s="218">
        <v>34</v>
      </c>
      <c r="G174" s="218">
        <v>32</v>
      </c>
      <c r="H174" s="218">
        <v>19</v>
      </c>
    </row>
    <row r="175" spans="1:8" ht="15" customHeight="1">
      <c r="A175" s="1245"/>
      <c r="B175" s="682" t="s">
        <v>228</v>
      </c>
      <c r="C175" s="394">
        <v>29.321587328381725</v>
      </c>
      <c r="D175" s="394">
        <v>27.346092167454422</v>
      </c>
      <c r="E175" s="394">
        <v>38</v>
      </c>
      <c r="F175" s="394">
        <v>36</v>
      </c>
      <c r="G175" s="394">
        <v>29</v>
      </c>
      <c r="H175" s="394">
        <v>18</v>
      </c>
    </row>
    <row r="176" spans="1:8" ht="15" customHeight="1">
      <c r="A176" s="1245"/>
      <c r="B176" s="685" t="s">
        <v>227</v>
      </c>
      <c r="C176" s="394">
        <v>32.245882244738198</v>
      </c>
      <c r="D176" s="394">
        <v>29.613389947294618</v>
      </c>
      <c r="E176" s="394">
        <v>41</v>
      </c>
      <c r="F176" s="394">
        <v>38</v>
      </c>
      <c r="G176" s="394">
        <v>40</v>
      </c>
      <c r="H176" s="394">
        <v>24</v>
      </c>
    </row>
    <row r="177" spans="1:8" ht="15" customHeight="1">
      <c r="A177" s="1245">
        <v>29</v>
      </c>
      <c r="B177" s="679" t="s">
        <v>43</v>
      </c>
      <c r="C177" s="683"/>
      <c r="D177" s="683"/>
      <c r="E177" s="683"/>
      <c r="F177" s="683"/>
      <c r="G177" s="683"/>
      <c r="H177" s="684"/>
    </row>
    <row r="178" spans="1:8" ht="15" customHeight="1">
      <c r="A178" s="1245"/>
      <c r="B178" s="682" t="s">
        <v>919</v>
      </c>
      <c r="C178" s="683">
        <v>22</v>
      </c>
      <c r="D178" s="683">
        <v>17</v>
      </c>
      <c r="E178" s="683">
        <v>23</v>
      </c>
      <c r="F178" s="683">
        <v>18</v>
      </c>
      <c r="G178" s="683">
        <v>23</v>
      </c>
      <c r="H178" s="684">
        <v>13</v>
      </c>
    </row>
    <row r="179" spans="1:8" ht="15" customHeight="1">
      <c r="A179" s="1245"/>
      <c r="B179" s="682" t="s">
        <v>876</v>
      </c>
      <c r="C179" s="218">
        <v>19.873549883990719</v>
      </c>
      <c r="D179" s="218">
        <v>15.712296983758701</v>
      </c>
      <c r="E179" s="218">
        <v>20.356608478802993</v>
      </c>
      <c r="F179" s="218">
        <v>16</v>
      </c>
      <c r="G179" s="218">
        <v>19.675813008130081</v>
      </c>
      <c r="H179" s="218">
        <v>12.385162601626016</v>
      </c>
    </row>
    <row r="180" spans="1:8" ht="15" customHeight="1">
      <c r="A180" s="1245"/>
      <c r="B180" s="682" t="s">
        <v>229</v>
      </c>
      <c r="C180" s="218">
        <v>33.939801285797778</v>
      </c>
      <c r="D180" s="218">
        <v>13.866160140268848</v>
      </c>
      <c r="E180" s="218">
        <v>97</v>
      </c>
      <c r="F180" s="218">
        <v>38</v>
      </c>
      <c r="G180" s="218">
        <v>44</v>
      </c>
      <c r="H180" s="218">
        <v>10</v>
      </c>
    </row>
    <row r="181" spans="1:8" ht="15" customHeight="1">
      <c r="A181" s="1245"/>
      <c r="B181" s="682" t="s">
        <v>228</v>
      </c>
      <c r="C181" s="394">
        <v>26.580562659846546</v>
      </c>
      <c r="D181" s="394">
        <v>14.51918158567775</v>
      </c>
      <c r="E181" s="394">
        <v>82</v>
      </c>
      <c r="F181" s="394">
        <v>44</v>
      </c>
      <c r="G181" s="394">
        <v>30</v>
      </c>
      <c r="H181" s="394">
        <v>10</v>
      </c>
    </row>
    <row r="182" spans="1:8" ht="15" customHeight="1">
      <c r="A182" s="1245"/>
      <c r="B182" s="685" t="s">
        <v>227</v>
      </c>
      <c r="C182" s="394">
        <v>19.55520913398512</v>
      </c>
      <c r="D182" s="394">
        <v>13.975977846055249</v>
      </c>
      <c r="E182" s="394">
        <v>30</v>
      </c>
      <c r="F182" s="394">
        <v>21</v>
      </c>
      <c r="G182" s="394">
        <v>19</v>
      </c>
      <c r="H182" s="394">
        <v>10</v>
      </c>
    </row>
    <row r="183" spans="1:8" ht="15" customHeight="1">
      <c r="A183" s="1245">
        <v>30</v>
      </c>
      <c r="B183" s="679" t="s">
        <v>44</v>
      </c>
      <c r="C183" s="683"/>
      <c r="D183" s="683"/>
      <c r="E183" s="683"/>
      <c r="F183" s="683"/>
      <c r="G183" s="683"/>
      <c r="H183" s="684"/>
    </row>
    <row r="184" spans="1:8" ht="15" customHeight="1">
      <c r="A184" s="1245"/>
      <c r="B184" s="682" t="s">
        <v>919</v>
      </c>
      <c r="C184" s="683">
        <v>16</v>
      </c>
      <c r="D184" s="683">
        <v>14</v>
      </c>
      <c r="E184" s="683">
        <v>16</v>
      </c>
      <c r="F184" s="683">
        <v>15</v>
      </c>
      <c r="G184" s="683">
        <v>28</v>
      </c>
      <c r="H184" s="684">
        <v>15</v>
      </c>
    </row>
    <row r="185" spans="1:8" ht="15" customHeight="1">
      <c r="A185" s="1245"/>
      <c r="B185" s="682" t="s">
        <v>876</v>
      </c>
      <c r="C185" s="218">
        <v>16.251109789250652</v>
      </c>
      <c r="D185" s="218">
        <v>14.213728449441296</v>
      </c>
      <c r="E185" s="218">
        <v>16.923960850248861</v>
      </c>
      <c r="F185" s="218">
        <v>15</v>
      </c>
      <c r="G185" s="218">
        <v>29.358151757363409</v>
      </c>
      <c r="H185" s="218">
        <v>14.232125260045986</v>
      </c>
    </row>
    <row r="186" spans="1:8" ht="15" customHeight="1">
      <c r="A186" s="1245"/>
      <c r="B186" s="682" t="s">
        <v>229</v>
      </c>
      <c r="C186" s="218">
        <v>17.419952000395874</v>
      </c>
      <c r="D186" s="218">
        <v>14.758586733305293</v>
      </c>
      <c r="E186" s="218">
        <v>21</v>
      </c>
      <c r="F186" s="218">
        <v>18</v>
      </c>
      <c r="G186" s="218">
        <v>34</v>
      </c>
      <c r="H186" s="218">
        <v>14</v>
      </c>
    </row>
    <row r="187" spans="1:8" ht="15" customHeight="1">
      <c r="A187" s="1245"/>
      <c r="B187" s="682" t="s">
        <v>228</v>
      </c>
      <c r="C187" s="394">
        <v>17.419989489420541</v>
      </c>
      <c r="D187" s="394">
        <v>15.345262330797528</v>
      </c>
      <c r="E187" s="394">
        <v>21</v>
      </c>
      <c r="F187" s="394">
        <v>18</v>
      </c>
      <c r="G187" s="394">
        <v>31</v>
      </c>
      <c r="H187" s="394">
        <v>15</v>
      </c>
    </row>
    <row r="188" spans="1:8" ht="15" customHeight="1">
      <c r="A188" s="1245"/>
      <c r="B188" s="685" t="s">
        <v>227</v>
      </c>
      <c r="C188" s="394">
        <v>17.893629462331123</v>
      </c>
      <c r="D188" s="394">
        <v>15.471299769143396</v>
      </c>
      <c r="E188" s="394">
        <v>21</v>
      </c>
      <c r="F188" s="394">
        <v>18</v>
      </c>
      <c r="G188" s="394">
        <v>35</v>
      </c>
      <c r="H188" s="394">
        <v>14</v>
      </c>
    </row>
    <row r="189" spans="1:8" ht="15" customHeight="1">
      <c r="A189" s="1245">
        <v>31</v>
      </c>
      <c r="B189" s="679" t="s">
        <v>131</v>
      </c>
      <c r="C189" s="683"/>
      <c r="D189" s="683"/>
      <c r="E189" s="683"/>
      <c r="F189" s="683"/>
      <c r="G189" s="683"/>
      <c r="H189" s="684"/>
    </row>
    <row r="190" spans="1:8" ht="15" customHeight="1">
      <c r="A190" s="1245"/>
      <c r="B190" s="682" t="s">
        <v>919</v>
      </c>
      <c r="C190" s="683">
        <v>18</v>
      </c>
      <c r="D190" s="683">
        <v>16</v>
      </c>
      <c r="E190" s="683">
        <v>19</v>
      </c>
      <c r="F190" s="683">
        <v>17</v>
      </c>
      <c r="G190" s="683">
        <v>40</v>
      </c>
      <c r="H190" s="684">
        <v>18</v>
      </c>
    </row>
    <row r="191" spans="1:8" ht="15" customHeight="1">
      <c r="A191" s="1245"/>
      <c r="B191" s="682" t="s">
        <v>876</v>
      </c>
      <c r="C191" s="218">
        <v>18.393652092306951</v>
      </c>
      <c r="D191" s="218">
        <v>16.650034891835311</v>
      </c>
      <c r="E191" s="218">
        <v>18.189460178044683</v>
      </c>
      <c r="F191" s="218">
        <v>17</v>
      </c>
      <c r="G191" s="218">
        <v>41.477223427331886</v>
      </c>
      <c r="H191" s="218">
        <v>15.280730296456978</v>
      </c>
    </row>
    <row r="192" spans="1:8" ht="15" customHeight="1">
      <c r="A192" s="1245"/>
      <c r="B192" s="682" t="s">
        <v>229</v>
      </c>
      <c r="C192" s="218">
        <v>16.802389272456864</v>
      </c>
      <c r="D192" s="218">
        <v>16.128084833681971</v>
      </c>
      <c r="E192" s="218">
        <v>18</v>
      </c>
      <c r="F192" s="218">
        <v>17</v>
      </c>
      <c r="G192" s="218">
        <v>28</v>
      </c>
      <c r="H192" s="218">
        <v>15</v>
      </c>
    </row>
    <row r="193" spans="1:8" ht="15" customHeight="1">
      <c r="A193" s="1245"/>
      <c r="B193" s="682" t="s">
        <v>228</v>
      </c>
      <c r="C193" s="394">
        <v>17.760165840782889</v>
      </c>
      <c r="D193" s="394">
        <v>17.107696904803408</v>
      </c>
      <c r="E193" s="394">
        <v>19</v>
      </c>
      <c r="F193" s="394">
        <v>18</v>
      </c>
      <c r="G193" s="394">
        <v>30</v>
      </c>
      <c r="H193" s="394">
        <v>18</v>
      </c>
    </row>
    <row r="194" spans="1:8" ht="15" customHeight="1">
      <c r="A194" s="1245"/>
      <c r="B194" s="685" t="s">
        <v>227</v>
      </c>
      <c r="C194" s="394">
        <v>19.09159021606353</v>
      </c>
      <c r="D194" s="394">
        <v>18.460883482319481</v>
      </c>
      <c r="E194" s="394">
        <v>20</v>
      </c>
      <c r="F194" s="394">
        <v>19</v>
      </c>
      <c r="G194" s="394">
        <v>42</v>
      </c>
      <c r="H194" s="394">
        <v>25</v>
      </c>
    </row>
    <row r="195" spans="1:8" ht="15" customHeight="1">
      <c r="A195" s="1245">
        <v>32</v>
      </c>
      <c r="B195" s="679" t="s">
        <v>1062</v>
      </c>
      <c r="C195" s="686"/>
      <c r="D195" s="686"/>
      <c r="E195" s="686"/>
      <c r="F195" s="686"/>
      <c r="G195" s="686"/>
      <c r="H195" s="687"/>
    </row>
    <row r="196" spans="1:8" ht="15" customHeight="1">
      <c r="A196" s="1245"/>
      <c r="B196" s="682" t="s">
        <v>919</v>
      </c>
      <c r="C196" s="686">
        <v>20</v>
      </c>
      <c r="D196" s="686">
        <v>20</v>
      </c>
      <c r="E196" s="686">
        <v>20</v>
      </c>
      <c r="F196" s="686">
        <v>20</v>
      </c>
      <c r="G196" s="686">
        <v>27</v>
      </c>
      <c r="H196" s="687">
        <v>27</v>
      </c>
    </row>
    <row r="197" spans="1:8" ht="15" customHeight="1">
      <c r="A197" s="1245"/>
      <c r="B197" s="682" t="s">
        <v>876</v>
      </c>
      <c r="C197" s="688">
        <v>19.871750433275562</v>
      </c>
      <c r="D197" s="688">
        <v>19.871750433275562</v>
      </c>
      <c r="E197" s="688">
        <v>19.695121951219512</v>
      </c>
      <c r="F197" s="688">
        <v>20</v>
      </c>
      <c r="G197" s="688">
        <v>19</v>
      </c>
      <c r="H197" s="688">
        <v>19</v>
      </c>
    </row>
    <row r="198" spans="1:8" ht="15" customHeight="1">
      <c r="A198" s="1245"/>
      <c r="B198" s="682" t="s">
        <v>229</v>
      </c>
      <c r="C198" s="688">
        <v>41.660137672090109</v>
      </c>
      <c r="D198" s="688">
        <v>41.660137672090109</v>
      </c>
      <c r="E198" s="688">
        <v>42</v>
      </c>
      <c r="F198" s="688">
        <v>42</v>
      </c>
      <c r="G198" s="688">
        <v>20</v>
      </c>
      <c r="H198" s="688">
        <v>20</v>
      </c>
    </row>
    <row r="199" spans="1:8" ht="15" customHeight="1">
      <c r="A199" s="1245"/>
      <c r="B199" s="682" t="s">
        <v>228</v>
      </c>
      <c r="C199" s="688">
        <v>42.403814609956129</v>
      </c>
      <c r="D199" s="688">
        <v>42.403814609956129</v>
      </c>
      <c r="E199" s="688">
        <v>43</v>
      </c>
      <c r="F199" s="688">
        <v>43</v>
      </c>
      <c r="G199" s="688">
        <v>15</v>
      </c>
      <c r="H199" s="688">
        <v>15</v>
      </c>
    </row>
    <row r="200" spans="1:8" ht="15" customHeight="1">
      <c r="A200" s="1245"/>
      <c r="B200" s="685" t="s">
        <v>227</v>
      </c>
      <c r="C200" s="688">
        <v>42.032111998250031</v>
      </c>
      <c r="D200" s="688">
        <v>42.032111998250031</v>
      </c>
      <c r="E200" s="688">
        <v>43</v>
      </c>
      <c r="F200" s="688">
        <v>43</v>
      </c>
      <c r="G200" s="688">
        <v>13</v>
      </c>
      <c r="H200" s="688">
        <v>13</v>
      </c>
    </row>
    <row r="201" spans="1:8" ht="15" customHeight="1">
      <c r="A201" s="1245">
        <v>33</v>
      </c>
      <c r="B201" s="679" t="s">
        <v>45</v>
      </c>
      <c r="C201" s="683"/>
      <c r="D201" s="683"/>
      <c r="E201" s="683"/>
      <c r="F201" s="683"/>
      <c r="G201" s="683"/>
      <c r="H201" s="684"/>
    </row>
    <row r="202" spans="1:8" ht="15" customHeight="1">
      <c r="A202" s="1245"/>
      <c r="B202" s="682" t="s">
        <v>919</v>
      </c>
      <c r="C202" s="683">
        <v>40</v>
      </c>
      <c r="D202" s="683">
        <v>36</v>
      </c>
      <c r="E202" s="683">
        <v>41</v>
      </c>
      <c r="F202" s="683">
        <v>37</v>
      </c>
      <c r="G202" s="683">
        <v>45</v>
      </c>
      <c r="H202" s="684">
        <v>27</v>
      </c>
    </row>
    <row r="203" spans="1:8" ht="15" customHeight="1">
      <c r="A203" s="1245"/>
      <c r="B203" s="682" t="s">
        <v>876</v>
      </c>
      <c r="C203" s="218">
        <v>37.544679122664498</v>
      </c>
      <c r="D203" s="218">
        <v>32.530056864337936</v>
      </c>
      <c r="E203" s="218">
        <v>38.672340425531914</v>
      </c>
      <c r="F203" s="218">
        <v>33</v>
      </c>
      <c r="G203" s="218">
        <v>49.183864915572229</v>
      </c>
      <c r="H203" s="218">
        <v>26.02063789868668</v>
      </c>
    </row>
    <row r="204" spans="1:8" ht="15" customHeight="1">
      <c r="A204" s="1245"/>
      <c r="B204" s="682" t="s">
        <v>229</v>
      </c>
      <c r="C204" s="218">
        <v>35.772293654085445</v>
      </c>
      <c r="D204" s="218">
        <v>30.459975114060555</v>
      </c>
      <c r="E204" s="218">
        <v>44</v>
      </c>
      <c r="F204" s="218">
        <v>37</v>
      </c>
      <c r="G204" s="218">
        <v>59</v>
      </c>
      <c r="H204" s="218">
        <v>25</v>
      </c>
    </row>
    <row r="205" spans="1:8" ht="15" customHeight="1">
      <c r="A205" s="1245"/>
      <c r="B205" s="682" t="s">
        <v>228</v>
      </c>
      <c r="C205" s="394">
        <v>33.160785886126703</v>
      </c>
      <c r="D205" s="394">
        <v>28.120288692862871</v>
      </c>
      <c r="E205" s="394">
        <v>42</v>
      </c>
      <c r="F205" s="394">
        <v>36</v>
      </c>
      <c r="G205" s="394">
        <v>45</v>
      </c>
      <c r="H205" s="394">
        <v>19</v>
      </c>
    </row>
    <row r="206" spans="1:8" ht="15" customHeight="1">
      <c r="A206" s="1245"/>
      <c r="B206" s="685" t="s">
        <v>227</v>
      </c>
      <c r="C206" s="394">
        <v>37.42097620150583</v>
      </c>
      <c r="D206" s="394">
        <v>28.205465997424195</v>
      </c>
      <c r="E206" s="394">
        <v>48</v>
      </c>
      <c r="F206" s="394">
        <v>36</v>
      </c>
      <c r="G206" s="394">
        <v>51</v>
      </c>
      <c r="H206" s="394">
        <v>6</v>
      </c>
    </row>
    <row r="207" spans="1:8" ht="15" customHeight="1">
      <c r="A207" s="1245">
        <v>34</v>
      </c>
      <c r="B207" s="679" t="s">
        <v>47</v>
      </c>
      <c r="C207" s="683"/>
      <c r="D207" s="683"/>
      <c r="E207" s="683"/>
      <c r="F207" s="683"/>
      <c r="G207" s="683"/>
      <c r="H207" s="684"/>
    </row>
    <row r="208" spans="1:8" ht="15" customHeight="1">
      <c r="A208" s="1245"/>
      <c r="B208" s="682" t="s">
        <v>919</v>
      </c>
      <c r="C208" s="683">
        <v>36</v>
      </c>
      <c r="D208" s="683">
        <v>35</v>
      </c>
      <c r="E208" s="683">
        <v>38</v>
      </c>
      <c r="F208" s="683">
        <v>37</v>
      </c>
      <c r="G208" s="683">
        <v>25</v>
      </c>
      <c r="H208" s="684">
        <v>20</v>
      </c>
    </row>
    <row r="209" spans="1:8" ht="15" customHeight="1">
      <c r="A209" s="1245"/>
      <c r="B209" s="682" t="s">
        <v>876</v>
      </c>
      <c r="C209" s="218">
        <v>37.743172519902558</v>
      </c>
      <c r="D209" s="218">
        <v>36.842667816721644</v>
      </c>
      <c r="E209" s="218">
        <v>35.99258877692283</v>
      </c>
      <c r="F209" s="218">
        <v>39</v>
      </c>
      <c r="G209" s="218">
        <v>27.136503409242835</v>
      </c>
      <c r="H209" s="218">
        <v>20.25054592450644</v>
      </c>
    </row>
    <row r="210" spans="1:8" ht="15" customHeight="1">
      <c r="A210" s="1245"/>
      <c r="B210" s="682" t="s">
        <v>229</v>
      </c>
      <c r="C210" s="218">
        <v>39.570450758490821</v>
      </c>
      <c r="D210" s="218">
        <v>38.787139414887356</v>
      </c>
      <c r="E210" s="218">
        <v>49</v>
      </c>
      <c r="F210" s="218">
        <v>48</v>
      </c>
      <c r="G210" s="218">
        <v>26</v>
      </c>
      <c r="H210" s="218">
        <v>20</v>
      </c>
    </row>
    <row r="211" spans="1:8" ht="15" customHeight="1">
      <c r="A211" s="1245"/>
      <c r="B211" s="682" t="s">
        <v>228</v>
      </c>
      <c r="C211" s="394">
        <v>45.6106360027919</v>
      </c>
      <c r="D211" s="394">
        <v>44.164700822763841</v>
      </c>
      <c r="E211" s="394">
        <v>57</v>
      </c>
      <c r="F211" s="394">
        <v>55</v>
      </c>
      <c r="G211" s="394">
        <v>32</v>
      </c>
      <c r="H211" s="394">
        <v>21</v>
      </c>
    </row>
    <row r="212" spans="1:8" ht="15" customHeight="1">
      <c r="A212" s="1245"/>
      <c r="B212" s="685" t="s">
        <v>227</v>
      </c>
      <c r="C212" s="394">
        <v>60.09192825364557</v>
      </c>
      <c r="D212" s="394">
        <v>58.353143054669545</v>
      </c>
      <c r="E212" s="394">
        <v>74</v>
      </c>
      <c r="F212" s="394">
        <v>72</v>
      </c>
      <c r="G212" s="394">
        <v>37</v>
      </c>
      <c r="H212" s="394">
        <v>23</v>
      </c>
    </row>
    <row r="213" spans="1:8" ht="15" customHeight="1">
      <c r="A213" s="1245">
        <v>35</v>
      </c>
      <c r="B213" s="679" t="s">
        <v>58</v>
      </c>
      <c r="C213" s="683"/>
      <c r="D213" s="683"/>
      <c r="E213" s="683"/>
      <c r="F213" s="683"/>
      <c r="G213" s="683"/>
      <c r="H213" s="684"/>
    </row>
    <row r="214" spans="1:8" ht="15" customHeight="1">
      <c r="A214" s="1245"/>
      <c r="B214" s="682" t="s">
        <v>919</v>
      </c>
      <c r="C214" s="683">
        <v>27</v>
      </c>
      <c r="D214" s="683">
        <v>22</v>
      </c>
      <c r="E214" s="683">
        <v>28</v>
      </c>
      <c r="F214" s="683">
        <v>23</v>
      </c>
      <c r="G214" s="683">
        <v>33</v>
      </c>
      <c r="H214" s="684">
        <v>20</v>
      </c>
    </row>
    <row r="215" spans="1:8" ht="15" customHeight="1">
      <c r="A215" s="1245"/>
      <c r="B215" s="682" t="s">
        <v>876</v>
      </c>
      <c r="C215" s="218">
        <v>32.448419388830345</v>
      </c>
      <c r="D215" s="218">
        <v>27.030769230769231</v>
      </c>
      <c r="E215" s="218">
        <v>32.278897573015222</v>
      </c>
      <c r="F215" s="218">
        <v>29</v>
      </c>
      <c r="G215" s="218">
        <v>43.448369156771385</v>
      </c>
      <c r="H215" s="218">
        <v>27.992634901548175</v>
      </c>
    </row>
    <row r="216" spans="1:8" ht="15" customHeight="1">
      <c r="A216" s="1245"/>
      <c r="B216" s="682" t="s">
        <v>229</v>
      </c>
      <c r="C216" s="218">
        <v>26.934530959921371</v>
      </c>
      <c r="D216" s="218">
        <v>22.484274325652507</v>
      </c>
      <c r="E216" s="218">
        <v>46</v>
      </c>
      <c r="F216" s="218">
        <v>38</v>
      </c>
      <c r="G216" s="218">
        <v>36</v>
      </c>
      <c r="H216" s="218">
        <v>22</v>
      </c>
    </row>
    <row r="217" spans="1:8" ht="15" customHeight="1">
      <c r="A217" s="1245"/>
      <c r="B217" s="682" t="s">
        <v>228</v>
      </c>
      <c r="C217" s="394">
        <v>26.739093193238922</v>
      </c>
      <c r="D217" s="394">
        <v>23.306190041114665</v>
      </c>
      <c r="E217" s="394">
        <v>46</v>
      </c>
      <c r="F217" s="394">
        <v>40</v>
      </c>
      <c r="G217" s="394">
        <v>33</v>
      </c>
      <c r="H217" s="394">
        <v>23</v>
      </c>
    </row>
    <row r="218" spans="1:8" ht="15" customHeight="1">
      <c r="A218" s="1245"/>
      <c r="B218" s="685" t="s">
        <v>227</v>
      </c>
      <c r="C218" s="394">
        <v>27.720380157093551</v>
      </c>
      <c r="D218" s="394">
        <v>24.341940080999702</v>
      </c>
      <c r="E218" s="394">
        <v>46</v>
      </c>
      <c r="F218" s="394">
        <v>40</v>
      </c>
      <c r="G218" s="394">
        <v>33</v>
      </c>
      <c r="H218" s="394">
        <v>22</v>
      </c>
    </row>
    <row r="219" spans="1:8" ht="15" customHeight="1">
      <c r="A219" s="1245">
        <v>36</v>
      </c>
      <c r="B219" s="679" t="s">
        <v>48</v>
      </c>
      <c r="C219" s="683"/>
      <c r="D219" s="683"/>
      <c r="E219" s="683"/>
      <c r="F219" s="683"/>
      <c r="G219" s="683"/>
      <c r="H219" s="684"/>
    </row>
    <row r="220" spans="1:8" ht="15" customHeight="1">
      <c r="A220" s="1245"/>
      <c r="B220" s="682" t="s">
        <v>919</v>
      </c>
      <c r="C220" s="683">
        <v>37</v>
      </c>
      <c r="D220" s="683">
        <v>29</v>
      </c>
      <c r="E220" s="683">
        <v>40</v>
      </c>
      <c r="F220" s="683">
        <v>31</v>
      </c>
      <c r="G220" s="683">
        <v>85</v>
      </c>
      <c r="H220" s="684">
        <v>20</v>
      </c>
    </row>
    <row r="221" spans="1:8" ht="15" customHeight="1">
      <c r="A221" s="1245"/>
      <c r="B221" s="682" t="s">
        <v>876</v>
      </c>
      <c r="C221" s="218">
        <v>31.219371083417027</v>
      </c>
      <c r="D221" s="218">
        <v>28.455320894572306</v>
      </c>
      <c r="E221" s="218">
        <v>32.855801582978181</v>
      </c>
      <c r="F221" s="218">
        <v>30</v>
      </c>
      <c r="G221" s="218">
        <v>43.883979206049148</v>
      </c>
      <c r="H221" s="218">
        <v>20.798086011342154</v>
      </c>
    </row>
    <row r="222" spans="1:8" ht="15" customHeight="1">
      <c r="A222" s="1245"/>
      <c r="B222" s="682" t="s">
        <v>229</v>
      </c>
      <c r="C222" s="218">
        <v>32.967580020138527</v>
      </c>
      <c r="D222" s="218">
        <v>30.109190492173436</v>
      </c>
      <c r="E222" s="218">
        <v>40</v>
      </c>
      <c r="F222" s="218">
        <v>36</v>
      </c>
      <c r="G222" s="218">
        <v>43</v>
      </c>
      <c r="H222" s="218">
        <v>19</v>
      </c>
    </row>
    <row r="223" spans="1:8" ht="15" customHeight="1">
      <c r="A223" s="1245"/>
      <c r="B223" s="682" t="s">
        <v>228</v>
      </c>
      <c r="C223" s="394">
        <v>34.912610693122048</v>
      </c>
      <c r="D223" s="394">
        <v>31.547556428523869</v>
      </c>
      <c r="E223" s="394">
        <v>42</v>
      </c>
      <c r="F223" s="394">
        <v>38</v>
      </c>
      <c r="G223" s="394">
        <v>50</v>
      </c>
      <c r="H223" s="394">
        <v>21</v>
      </c>
    </row>
    <row r="224" spans="1:8" ht="15" customHeight="1">
      <c r="A224" s="1245"/>
      <c r="B224" s="685" t="s">
        <v>227</v>
      </c>
      <c r="C224" s="394">
        <v>36.915814476356253</v>
      </c>
      <c r="D224" s="394">
        <v>33.071946620249491</v>
      </c>
      <c r="E224" s="394">
        <v>44</v>
      </c>
      <c r="F224" s="394">
        <v>39</v>
      </c>
      <c r="G224" s="394">
        <v>58</v>
      </c>
      <c r="H224" s="394">
        <v>20</v>
      </c>
    </row>
  </sheetData>
  <mergeCells count="43">
    <mergeCell ref="A35:A40"/>
    <mergeCell ref="C1:H1"/>
    <mergeCell ref="A2:A3"/>
    <mergeCell ref="B2:B3"/>
    <mergeCell ref="C2:D2"/>
    <mergeCell ref="E2:F2"/>
    <mergeCell ref="G2:H2"/>
    <mergeCell ref="A5:A10"/>
    <mergeCell ref="A11:A16"/>
    <mergeCell ref="A17:A22"/>
    <mergeCell ref="A23:A28"/>
    <mergeCell ref="A29:A34"/>
    <mergeCell ref="A107:A110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77:A182"/>
    <mergeCell ref="A111:A116"/>
    <mergeCell ref="A117:A122"/>
    <mergeCell ref="A123:A128"/>
    <mergeCell ref="A129:A134"/>
    <mergeCell ref="A135:A140"/>
    <mergeCell ref="A141:A146"/>
    <mergeCell ref="A147:A152"/>
    <mergeCell ref="A153:A158"/>
    <mergeCell ref="A159:A164"/>
    <mergeCell ref="A165:A170"/>
    <mergeCell ref="A171:A176"/>
    <mergeCell ref="A219:A224"/>
    <mergeCell ref="A183:A188"/>
    <mergeCell ref="A189:A194"/>
    <mergeCell ref="A195:A200"/>
    <mergeCell ref="A201:A206"/>
    <mergeCell ref="A207:A212"/>
    <mergeCell ref="A213:A218"/>
  </mergeCells>
  <printOptions horizontalCentered="1"/>
  <pageMargins left="0.31496062992125984" right="0.23622047244094491" top="0.43307086614173229" bottom="0.51181102362204722" header="0.27559055118110237" footer="0.23622047244094491"/>
  <pageSetup paperSize="9" scale="60" firstPageNumber="2" pageOrder="overThenDown" orientation="portrait" useFirstPageNumber="1" r:id="rId1"/>
  <headerFooter alignWithMargins="0">
    <oddFooter>&amp;LAISHE 2021-22&amp;CT-49</oddFooter>
  </headerFooter>
  <rowBreaks count="2" manualBreakCount="2">
    <brk id="82" max="7" man="1"/>
    <brk id="158" max="7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6E29-8212-4F07-B11B-CF9012590781}">
  <sheetPr>
    <tabColor rgb="FF00B050"/>
  </sheetPr>
  <dimension ref="A1:AC76"/>
  <sheetViews>
    <sheetView showZeros="0" view="pageBreakPreview" zoomScaleSheetLayoutView="100" workbookViewId="0">
      <pane xSplit="2" ySplit="3" topLeftCell="C4" activePane="bottomRight" state="frozen"/>
      <selection activeCell="F15" sqref="F15"/>
      <selection pane="topRight" activeCell="F15" sqref="F15"/>
      <selection pane="bottomLeft" activeCell="F15" sqref="F15"/>
      <selection pane="bottomRight" activeCell="F15" sqref="F15"/>
    </sheetView>
  </sheetViews>
  <sheetFormatPr defaultColWidth="9.28515625" defaultRowHeight="15"/>
  <cols>
    <col min="1" max="1" width="6.5703125" style="671" customWidth="1"/>
    <col min="2" max="2" width="34.5703125" style="690" customWidth="1"/>
    <col min="3" max="29" width="12" style="690" customWidth="1"/>
    <col min="30" max="16384" width="9.28515625" style="690"/>
  </cols>
  <sheetData>
    <row r="1" spans="1:29" s="673" customFormat="1" ht="24.75" customHeight="1">
      <c r="A1" s="671"/>
      <c r="B1" s="672" t="s">
        <v>258</v>
      </c>
      <c r="C1" s="689" t="s">
        <v>259</v>
      </c>
      <c r="L1" s="689" t="str">
        <f>C1</f>
        <v>Enrolment by University Type at various levels during last 5 years</v>
      </c>
      <c r="U1" s="689" t="str">
        <f>C1</f>
        <v>Enrolment by University Type at various levels during last 5 years</v>
      </c>
      <c r="V1" s="689"/>
      <c r="W1" s="689"/>
      <c r="X1" s="689"/>
      <c r="Y1" s="689"/>
      <c r="Z1" s="689"/>
      <c r="AA1" s="689"/>
      <c r="AB1" s="689"/>
    </row>
    <row r="2" spans="1:29" ht="21.75" customHeight="1">
      <c r="A2" s="1208" t="s">
        <v>988</v>
      </c>
      <c r="B2" s="1247" t="s">
        <v>1099</v>
      </c>
      <c r="C2" s="1248" t="s">
        <v>89</v>
      </c>
      <c r="D2" s="1249"/>
      <c r="E2" s="1249"/>
      <c r="F2" s="1248" t="s">
        <v>90</v>
      </c>
      <c r="G2" s="1249"/>
      <c r="H2" s="1249"/>
      <c r="I2" s="1248" t="s">
        <v>85</v>
      </c>
      <c r="J2" s="1249"/>
      <c r="K2" s="1249"/>
      <c r="L2" s="1248" t="s">
        <v>86</v>
      </c>
      <c r="M2" s="1249"/>
      <c r="N2" s="1249"/>
      <c r="O2" s="1248" t="s">
        <v>91</v>
      </c>
      <c r="P2" s="1249"/>
      <c r="Q2" s="1249"/>
      <c r="R2" s="1248" t="s">
        <v>92</v>
      </c>
      <c r="S2" s="1249"/>
      <c r="T2" s="1249"/>
      <c r="U2" s="1248" t="s">
        <v>93</v>
      </c>
      <c r="V2" s="1249"/>
      <c r="W2" s="1249"/>
      <c r="X2" s="1248" t="s">
        <v>94</v>
      </c>
      <c r="Y2" s="1249"/>
      <c r="Z2" s="1249"/>
      <c r="AA2" s="1248" t="s">
        <v>60</v>
      </c>
      <c r="AB2" s="1249"/>
      <c r="AC2" s="1249"/>
    </row>
    <row r="3" spans="1:29">
      <c r="A3" s="1209"/>
      <c r="B3" s="1251"/>
      <c r="C3" s="691" t="s">
        <v>87</v>
      </c>
      <c r="D3" s="691" t="s">
        <v>88</v>
      </c>
      <c r="E3" s="691" t="s">
        <v>236</v>
      </c>
      <c r="F3" s="691" t="s">
        <v>87</v>
      </c>
      <c r="G3" s="691" t="s">
        <v>88</v>
      </c>
      <c r="H3" s="691" t="s">
        <v>236</v>
      </c>
      <c r="I3" s="691" t="s">
        <v>87</v>
      </c>
      <c r="J3" s="691" t="s">
        <v>88</v>
      </c>
      <c r="K3" s="691" t="s">
        <v>236</v>
      </c>
      <c r="L3" s="691" t="s">
        <v>87</v>
      </c>
      <c r="M3" s="691" t="s">
        <v>88</v>
      </c>
      <c r="N3" s="691" t="s">
        <v>236</v>
      </c>
      <c r="O3" s="691" t="s">
        <v>87</v>
      </c>
      <c r="P3" s="691" t="s">
        <v>88</v>
      </c>
      <c r="Q3" s="691" t="s">
        <v>236</v>
      </c>
      <c r="R3" s="691" t="s">
        <v>87</v>
      </c>
      <c r="S3" s="691" t="s">
        <v>88</v>
      </c>
      <c r="T3" s="691" t="s">
        <v>236</v>
      </c>
      <c r="U3" s="691" t="s">
        <v>87</v>
      </c>
      <c r="V3" s="691" t="s">
        <v>88</v>
      </c>
      <c r="W3" s="691" t="s">
        <v>236</v>
      </c>
      <c r="X3" s="691" t="s">
        <v>87</v>
      </c>
      <c r="Y3" s="691" t="s">
        <v>88</v>
      </c>
      <c r="Z3" s="691" t="s">
        <v>236</v>
      </c>
      <c r="AA3" s="691" t="s">
        <v>87</v>
      </c>
      <c r="AB3" s="691" t="s">
        <v>88</v>
      </c>
      <c r="AC3" s="692" t="s">
        <v>236</v>
      </c>
    </row>
    <row r="4" spans="1:29" s="699" customFormat="1" ht="11.25">
      <c r="A4" s="693">
        <v>1</v>
      </c>
      <c r="B4" s="694">
        <v>1</v>
      </c>
      <c r="C4" s="695">
        <v>2</v>
      </c>
      <c r="D4" s="694">
        <v>3</v>
      </c>
      <c r="E4" s="696">
        <v>4</v>
      </c>
      <c r="F4" s="694">
        <v>5</v>
      </c>
      <c r="G4" s="696">
        <v>6</v>
      </c>
      <c r="H4" s="694">
        <v>7</v>
      </c>
      <c r="I4" s="696">
        <v>8</v>
      </c>
      <c r="J4" s="694">
        <v>9</v>
      </c>
      <c r="K4" s="697">
        <v>10</v>
      </c>
      <c r="L4" s="694">
        <v>11</v>
      </c>
      <c r="M4" s="696">
        <v>12</v>
      </c>
      <c r="N4" s="694">
        <v>13</v>
      </c>
      <c r="O4" s="696">
        <v>14</v>
      </c>
      <c r="P4" s="694">
        <v>15</v>
      </c>
      <c r="Q4" s="696">
        <v>16</v>
      </c>
      <c r="R4" s="694">
        <v>17</v>
      </c>
      <c r="S4" s="696">
        <v>18</v>
      </c>
      <c r="T4" s="698">
        <v>19</v>
      </c>
      <c r="U4" s="695">
        <v>20</v>
      </c>
      <c r="V4" s="694">
        <v>21</v>
      </c>
      <c r="W4" s="696">
        <v>22</v>
      </c>
      <c r="X4" s="694">
        <v>23</v>
      </c>
      <c r="Y4" s="696">
        <v>24</v>
      </c>
      <c r="Z4" s="694">
        <v>25</v>
      </c>
      <c r="AA4" s="696">
        <v>26</v>
      </c>
      <c r="AB4" s="694">
        <v>27</v>
      </c>
      <c r="AC4" s="697">
        <v>28</v>
      </c>
    </row>
    <row r="5" spans="1:29" ht="16.899999999999999" customHeight="1">
      <c r="A5" s="1250"/>
      <c r="B5" s="700" t="s">
        <v>260</v>
      </c>
      <c r="C5" s="701"/>
      <c r="D5" s="702"/>
      <c r="E5" s="702"/>
      <c r="F5" s="702"/>
      <c r="G5" s="702"/>
      <c r="H5" s="702"/>
      <c r="I5" s="702"/>
      <c r="J5" s="702"/>
      <c r="K5" s="703"/>
      <c r="L5" s="701"/>
      <c r="M5" s="702"/>
      <c r="N5" s="702"/>
      <c r="O5" s="702"/>
      <c r="P5" s="702"/>
      <c r="Q5" s="702"/>
      <c r="R5" s="702"/>
      <c r="S5" s="702"/>
      <c r="T5" s="703"/>
      <c r="U5" s="701"/>
      <c r="V5" s="702"/>
      <c r="W5" s="702"/>
      <c r="X5" s="702"/>
      <c r="Y5" s="702"/>
      <c r="Z5" s="702"/>
      <c r="AA5" s="702"/>
      <c r="AB5" s="702"/>
      <c r="AC5" s="703"/>
    </row>
    <row r="6" spans="1:29" ht="16.899999999999999" customHeight="1">
      <c r="A6" s="1250"/>
      <c r="B6" s="704" t="s">
        <v>919</v>
      </c>
      <c r="C6" s="705">
        <v>101088</v>
      </c>
      <c r="D6" s="706">
        <v>83288</v>
      </c>
      <c r="E6" s="706">
        <v>184376</v>
      </c>
      <c r="F6" s="706">
        <v>2399</v>
      </c>
      <c r="G6" s="706">
        <v>4124</v>
      </c>
      <c r="H6" s="706">
        <v>6523</v>
      </c>
      <c r="I6" s="706">
        <v>1233754</v>
      </c>
      <c r="J6" s="706">
        <v>1328132</v>
      </c>
      <c r="K6" s="707">
        <v>2561886</v>
      </c>
      <c r="L6" s="705">
        <v>3796731</v>
      </c>
      <c r="M6" s="706">
        <v>2438634</v>
      </c>
      <c r="N6" s="706">
        <v>6235365</v>
      </c>
      <c r="O6" s="706">
        <v>78555</v>
      </c>
      <c r="P6" s="706">
        <v>61952</v>
      </c>
      <c r="Q6" s="706">
        <v>140507</v>
      </c>
      <c r="R6" s="706">
        <v>178134</v>
      </c>
      <c r="S6" s="706">
        <v>99710</v>
      </c>
      <c r="T6" s="707">
        <v>277844</v>
      </c>
      <c r="U6" s="705">
        <v>20982</v>
      </c>
      <c r="V6" s="706">
        <v>16307</v>
      </c>
      <c r="W6" s="706">
        <v>37289</v>
      </c>
      <c r="X6" s="706">
        <v>109312</v>
      </c>
      <c r="Y6" s="706">
        <v>85243</v>
      </c>
      <c r="Z6" s="706">
        <v>194555</v>
      </c>
      <c r="AA6" s="706">
        <v>5520955</v>
      </c>
      <c r="AB6" s="706">
        <v>4117390</v>
      </c>
      <c r="AC6" s="707">
        <v>9638345</v>
      </c>
    </row>
    <row r="7" spans="1:29" ht="16.899999999999999" customHeight="1">
      <c r="A7" s="1250"/>
      <c r="B7" s="704" t="s">
        <v>876</v>
      </c>
      <c r="C7" s="396">
        <v>101450</v>
      </c>
      <c r="D7" s="396">
        <v>78880</v>
      </c>
      <c r="E7" s="396">
        <v>180330</v>
      </c>
      <c r="F7" s="396">
        <v>4654</v>
      </c>
      <c r="G7" s="396">
        <v>7423</v>
      </c>
      <c r="H7" s="396">
        <v>12077</v>
      </c>
      <c r="I7" s="396">
        <v>1087884</v>
      </c>
      <c r="J7" s="396">
        <v>1236301</v>
      </c>
      <c r="K7" s="396">
        <v>2324185</v>
      </c>
      <c r="L7" s="396">
        <v>3448134</v>
      </c>
      <c r="M7" s="396">
        <v>2320019</v>
      </c>
      <c r="N7" s="396">
        <v>5768153</v>
      </c>
      <c r="O7" s="396">
        <v>95077</v>
      </c>
      <c r="P7" s="396">
        <v>73561</v>
      </c>
      <c r="Q7" s="396">
        <v>168638</v>
      </c>
      <c r="R7" s="396">
        <v>188412</v>
      </c>
      <c r="S7" s="396">
        <v>124219</v>
      </c>
      <c r="T7" s="396">
        <v>312631</v>
      </c>
      <c r="U7" s="396">
        <v>50842</v>
      </c>
      <c r="V7" s="396">
        <v>33396</v>
      </c>
      <c r="W7" s="396">
        <v>84238</v>
      </c>
      <c r="X7" s="396">
        <v>102031</v>
      </c>
      <c r="Y7" s="396">
        <v>75909</v>
      </c>
      <c r="Z7" s="396">
        <v>177940</v>
      </c>
      <c r="AA7" s="396">
        <v>5078484</v>
      </c>
      <c r="AB7" s="396">
        <v>3949708</v>
      </c>
      <c r="AC7" s="396">
        <v>9028192</v>
      </c>
    </row>
    <row r="8" spans="1:29" ht="16.899999999999999" customHeight="1">
      <c r="A8" s="1250"/>
      <c r="B8" s="704" t="s">
        <v>229</v>
      </c>
      <c r="C8" s="396">
        <v>99659</v>
      </c>
      <c r="D8" s="396">
        <v>78217</v>
      </c>
      <c r="E8" s="396">
        <v>177876</v>
      </c>
      <c r="F8" s="396">
        <v>6461</v>
      </c>
      <c r="G8" s="396">
        <v>9413</v>
      </c>
      <c r="H8" s="396">
        <v>15874</v>
      </c>
      <c r="I8" s="396">
        <v>983466</v>
      </c>
      <c r="J8" s="396">
        <v>1113085</v>
      </c>
      <c r="K8" s="396">
        <v>2096551</v>
      </c>
      <c r="L8" s="396">
        <v>3160539</v>
      </c>
      <c r="M8" s="396">
        <v>2061807</v>
      </c>
      <c r="N8" s="396">
        <v>5222346</v>
      </c>
      <c r="O8" s="396">
        <v>74632</v>
      </c>
      <c r="P8" s="396">
        <v>63053</v>
      </c>
      <c r="Q8" s="396">
        <v>137685</v>
      </c>
      <c r="R8" s="396">
        <v>171993</v>
      </c>
      <c r="S8" s="396">
        <v>104165</v>
      </c>
      <c r="T8" s="396">
        <v>276158</v>
      </c>
      <c r="U8" s="396">
        <v>32798</v>
      </c>
      <c r="V8" s="396">
        <v>28051</v>
      </c>
      <c r="W8" s="396">
        <v>60849</v>
      </c>
      <c r="X8" s="396">
        <v>87722</v>
      </c>
      <c r="Y8" s="396">
        <v>63307</v>
      </c>
      <c r="Z8" s="396">
        <v>151029</v>
      </c>
      <c r="AA8" s="396">
        <v>4617270</v>
      </c>
      <c r="AB8" s="396">
        <v>3521098</v>
      </c>
      <c r="AC8" s="396">
        <v>8138368</v>
      </c>
    </row>
    <row r="9" spans="1:29" ht="16.899999999999999" customHeight="1">
      <c r="A9" s="1250"/>
      <c r="B9" s="708" t="s">
        <v>228</v>
      </c>
      <c r="C9" s="709">
        <v>83960</v>
      </c>
      <c r="D9" s="709">
        <v>62513</v>
      </c>
      <c r="E9" s="709">
        <v>146473</v>
      </c>
      <c r="F9" s="709">
        <v>7850</v>
      </c>
      <c r="G9" s="709">
        <v>10799</v>
      </c>
      <c r="H9" s="709">
        <v>18649</v>
      </c>
      <c r="I9" s="709">
        <v>891697</v>
      </c>
      <c r="J9" s="709">
        <v>997794</v>
      </c>
      <c r="K9" s="709">
        <v>1889491</v>
      </c>
      <c r="L9" s="709">
        <v>2928657</v>
      </c>
      <c r="M9" s="709">
        <v>1898976</v>
      </c>
      <c r="N9" s="709">
        <v>4827633</v>
      </c>
      <c r="O9" s="709">
        <v>82634</v>
      </c>
      <c r="P9" s="709">
        <v>67497</v>
      </c>
      <c r="Q9" s="709">
        <v>150131</v>
      </c>
      <c r="R9" s="709">
        <v>169584</v>
      </c>
      <c r="S9" s="709">
        <v>93413</v>
      </c>
      <c r="T9" s="709">
        <v>262997</v>
      </c>
      <c r="U9" s="709">
        <v>30118</v>
      </c>
      <c r="V9" s="709">
        <v>29173</v>
      </c>
      <c r="W9" s="709">
        <v>59291</v>
      </c>
      <c r="X9" s="709">
        <v>77518</v>
      </c>
      <c r="Y9" s="709">
        <v>54612</v>
      </c>
      <c r="Z9" s="709">
        <v>132130</v>
      </c>
      <c r="AA9" s="709">
        <v>4272018</v>
      </c>
      <c r="AB9" s="709">
        <v>3214777</v>
      </c>
      <c r="AC9" s="709">
        <v>7486795</v>
      </c>
    </row>
    <row r="10" spans="1:29" ht="16.899999999999999" customHeight="1">
      <c r="A10" s="1250"/>
      <c r="B10" s="708" t="s">
        <v>227</v>
      </c>
      <c r="C10" s="397">
        <v>81705</v>
      </c>
      <c r="D10" s="397">
        <v>57513</v>
      </c>
      <c r="E10" s="397">
        <v>139218</v>
      </c>
      <c r="F10" s="397">
        <v>7424</v>
      </c>
      <c r="G10" s="397">
        <v>10488</v>
      </c>
      <c r="H10" s="397">
        <v>17912</v>
      </c>
      <c r="I10" s="397">
        <v>1006848</v>
      </c>
      <c r="J10" s="397">
        <v>968276</v>
      </c>
      <c r="K10" s="397">
        <v>1975124</v>
      </c>
      <c r="L10" s="397">
        <v>2796525</v>
      </c>
      <c r="M10" s="397">
        <v>1737629</v>
      </c>
      <c r="N10" s="397">
        <v>4534154</v>
      </c>
      <c r="O10" s="397">
        <v>81900</v>
      </c>
      <c r="P10" s="397">
        <v>71557</v>
      </c>
      <c r="Q10" s="397">
        <v>153457</v>
      </c>
      <c r="R10" s="397">
        <v>175091</v>
      </c>
      <c r="S10" s="397">
        <v>88806</v>
      </c>
      <c r="T10" s="397">
        <v>263897</v>
      </c>
      <c r="U10" s="397">
        <v>29307</v>
      </c>
      <c r="V10" s="397">
        <v>38717</v>
      </c>
      <c r="W10" s="397">
        <v>68024</v>
      </c>
      <c r="X10" s="397">
        <v>67630</v>
      </c>
      <c r="Y10" s="397">
        <v>45981</v>
      </c>
      <c r="Z10" s="397">
        <v>113611</v>
      </c>
      <c r="AA10" s="397">
        <v>4246430</v>
      </c>
      <c r="AB10" s="397">
        <v>3018967</v>
      </c>
      <c r="AC10" s="397">
        <v>7265397</v>
      </c>
    </row>
    <row r="11" spans="1:29" ht="16.899999999999999" customHeight="1">
      <c r="A11" s="1245">
        <v>1</v>
      </c>
      <c r="B11" s="700" t="s">
        <v>120</v>
      </c>
      <c r="C11" s="701"/>
      <c r="D11" s="702"/>
      <c r="E11" s="702"/>
      <c r="F11" s="702"/>
      <c r="G11" s="702"/>
      <c r="H11" s="702"/>
      <c r="I11" s="702"/>
      <c r="J11" s="702"/>
      <c r="K11" s="703"/>
      <c r="L11" s="701"/>
      <c r="M11" s="702"/>
      <c r="N11" s="702"/>
      <c r="O11" s="702"/>
      <c r="P11" s="702"/>
      <c r="Q11" s="702"/>
      <c r="R11" s="702"/>
      <c r="S11" s="702"/>
      <c r="T11" s="703"/>
      <c r="U11" s="701"/>
      <c r="V11" s="702"/>
      <c r="W11" s="702"/>
      <c r="X11" s="702"/>
      <c r="Y11" s="702"/>
      <c r="Z11" s="702"/>
      <c r="AA11" s="702"/>
      <c r="AB11" s="702"/>
      <c r="AC11" s="703"/>
    </row>
    <row r="12" spans="1:29" ht="16.899999999999999" customHeight="1">
      <c r="A12" s="1245"/>
      <c r="B12" s="704" t="s">
        <v>919</v>
      </c>
      <c r="C12" s="701">
        <v>11695</v>
      </c>
      <c r="D12" s="702">
        <v>10234</v>
      </c>
      <c r="E12" s="702">
        <v>21929</v>
      </c>
      <c r="F12" s="702">
        <v>735</v>
      </c>
      <c r="G12" s="702">
        <v>713</v>
      </c>
      <c r="H12" s="702">
        <v>1448</v>
      </c>
      <c r="I12" s="702">
        <v>70543</v>
      </c>
      <c r="J12" s="702">
        <v>68537</v>
      </c>
      <c r="K12" s="703">
        <v>139080</v>
      </c>
      <c r="L12" s="701">
        <v>269062</v>
      </c>
      <c r="M12" s="702">
        <v>238949</v>
      </c>
      <c r="N12" s="702">
        <v>508011</v>
      </c>
      <c r="O12" s="702">
        <v>2700</v>
      </c>
      <c r="P12" s="702">
        <v>2792</v>
      </c>
      <c r="Q12" s="702">
        <v>5492</v>
      </c>
      <c r="R12" s="702">
        <v>6997</v>
      </c>
      <c r="S12" s="702">
        <v>2729</v>
      </c>
      <c r="T12" s="703">
        <v>9726</v>
      </c>
      <c r="U12" s="701">
        <v>2412</v>
      </c>
      <c r="V12" s="702">
        <v>1025</v>
      </c>
      <c r="W12" s="702">
        <v>3437</v>
      </c>
      <c r="X12" s="702">
        <v>6780</v>
      </c>
      <c r="Y12" s="702">
        <v>5362</v>
      </c>
      <c r="Z12" s="702">
        <v>12142</v>
      </c>
      <c r="AA12" s="702">
        <v>370924</v>
      </c>
      <c r="AB12" s="702">
        <v>330341</v>
      </c>
      <c r="AC12" s="703">
        <v>701265</v>
      </c>
    </row>
    <row r="13" spans="1:29" ht="16.899999999999999" customHeight="1">
      <c r="A13" s="1245"/>
      <c r="B13" s="704" t="s">
        <v>876</v>
      </c>
      <c r="C13" s="397">
        <v>12485</v>
      </c>
      <c r="D13" s="397">
        <v>10637</v>
      </c>
      <c r="E13" s="341">
        <v>23122</v>
      </c>
      <c r="F13" s="397">
        <v>1294</v>
      </c>
      <c r="G13" s="397">
        <v>1127</v>
      </c>
      <c r="H13" s="341">
        <v>2421</v>
      </c>
      <c r="I13" s="397">
        <v>67880</v>
      </c>
      <c r="J13" s="397">
        <v>65510</v>
      </c>
      <c r="K13" s="341">
        <v>133390</v>
      </c>
      <c r="L13" s="397">
        <v>266929</v>
      </c>
      <c r="M13" s="397">
        <v>249701</v>
      </c>
      <c r="N13" s="341">
        <v>516630</v>
      </c>
      <c r="O13" s="397">
        <v>2492</v>
      </c>
      <c r="P13" s="397">
        <v>1885</v>
      </c>
      <c r="Q13" s="341">
        <v>4377</v>
      </c>
      <c r="R13" s="397">
        <v>6165</v>
      </c>
      <c r="S13" s="397">
        <v>2597</v>
      </c>
      <c r="T13" s="341">
        <v>8762</v>
      </c>
      <c r="U13" s="397">
        <v>2529</v>
      </c>
      <c r="V13" s="397">
        <v>1296</v>
      </c>
      <c r="W13" s="341">
        <v>3825</v>
      </c>
      <c r="X13" s="397">
        <v>6316</v>
      </c>
      <c r="Y13" s="397">
        <v>4933</v>
      </c>
      <c r="Z13" s="341">
        <v>11249</v>
      </c>
      <c r="AA13" s="341">
        <v>366090</v>
      </c>
      <c r="AB13" s="341">
        <v>337686</v>
      </c>
      <c r="AC13" s="341">
        <v>703776</v>
      </c>
    </row>
    <row r="14" spans="1:29" ht="16.899999999999999" customHeight="1">
      <c r="A14" s="1245"/>
      <c r="B14" s="704" t="s">
        <v>229</v>
      </c>
      <c r="C14" s="398">
        <v>13253</v>
      </c>
      <c r="D14" s="398">
        <v>10941</v>
      </c>
      <c r="E14" s="347">
        <v>24194</v>
      </c>
      <c r="F14" s="398">
        <v>1193</v>
      </c>
      <c r="G14" s="398">
        <v>1083</v>
      </c>
      <c r="H14" s="347">
        <v>2276</v>
      </c>
      <c r="I14" s="398">
        <v>63195</v>
      </c>
      <c r="J14" s="398">
        <v>60610</v>
      </c>
      <c r="K14" s="347">
        <v>123805</v>
      </c>
      <c r="L14" s="398">
        <v>277315</v>
      </c>
      <c r="M14" s="398">
        <v>262955</v>
      </c>
      <c r="N14" s="347">
        <v>540270</v>
      </c>
      <c r="O14" s="398">
        <v>2713</v>
      </c>
      <c r="P14" s="398">
        <v>2235</v>
      </c>
      <c r="Q14" s="347">
        <v>4948</v>
      </c>
      <c r="R14" s="398">
        <v>6127</v>
      </c>
      <c r="S14" s="398">
        <v>2266</v>
      </c>
      <c r="T14" s="347">
        <v>8393</v>
      </c>
      <c r="U14" s="398">
        <v>3275</v>
      </c>
      <c r="V14" s="398">
        <v>1497</v>
      </c>
      <c r="W14" s="347">
        <v>4772</v>
      </c>
      <c r="X14" s="398">
        <v>6295</v>
      </c>
      <c r="Y14" s="398">
        <v>5072</v>
      </c>
      <c r="Z14" s="347">
        <v>11367</v>
      </c>
      <c r="AA14" s="347">
        <v>373366</v>
      </c>
      <c r="AB14" s="347">
        <v>346659</v>
      </c>
      <c r="AC14" s="347">
        <v>720025</v>
      </c>
    </row>
    <row r="15" spans="1:29" ht="16.899999999999999" customHeight="1">
      <c r="A15" s="1245"/>
      <c r="B15" s="708" t="s">
        <v>228</v>
      </c>
      <c r="C15" s="709">
        <v>8618</v>
      </c>
      <c r="D15" s="709">
        <v>6854</v>
      </c>
      <c r="E15" s="709">
        <v>15472</v>
      </c>
      <c r="F15" s="709">
        <v>2757</v>
      </c>
      <c r="G15" s="709">
        <v>3050</v>
      </c>
      <c r="H15" s="709">
        <v>5807</v>
      </c>
      <c r="I15" s="709">
        <v>57351</v>
      </c>
      <c r="J15" s="709">
        <v>51131</v>
      </c>
      <c r="K15" s="709">
        <v>108482</v>
      </c>
      <c r="L15" s="709">
        <v>282489</v>
      </c>
      <c r="M15" s="709">
        <v>261661</v>
      </c>
      <c r="N15" s="709">
        <v>544150</v>
      </c>
      <c r="O15" s="709">
        <v>2675</v>
      </c>
      <c r="P15" s="709">
        <v>1738</v>
      </c>
      <c r="Q15" s="709">
        <v>4413</v>
      </c>
      <c r="R15" s="709">
        <v>6708</v>
      </c>
      <c r="S15" s="709">
        <v>2004</v>
      </c>
      <c r="T15" s="709">
        <v>8712</v>
      </c>
      <c r="U15" s="709">
        <v>3207</v>
      </c>
      <c r="V15" s="709">
        <v>1261</v>
      </c>
      <c r="W15" s="709">
        <v>4468</v>
      </c>
      <c r="X15" s="709">
        <v>6982</v>
      </c>
      <c r="Y15" s="709">
        <v>6096</v>
      </c>
      <c r="Z15" s="709">
        <v>13078</v>
      </c>
      <c r="AA15" s="709">
        <v>370787</v>
      </c>
      <c r="AB15" s="709">
        <v>333795</v>
      </c>
      <c r="AC15" s="709">
        <v>704582</v>
      </c>
    </row>
    <row r="16" spans="1:29" ht="16.899999999999999" customHeight="1">
      <c r="A16" s="1245"/>
      <c r="B16" s="708" t="s">
        <v>227</v>
      </c>
      <c r="C16" s="397">
        <v>12394</v>
      </c>
      <c r="D16" s="397">
        <v>9658</v>
      </c>
      <c r="E16" s="341">
        <v>22052</v>
      </c>
      <c r="F16" s="397">
        <v>1804</v>
      </c>
      <c r="G16" s="397">
        <v>1722</v>
      </c>
      <c r="H16" s="341">
        <v>3526</v>
      </c>
      <c r="I16" s="397">
        <v>57914</v>
      </c>
      <c r="J16" s="397">
        <v>51820</v>
      </c>
      <c r="K16" s="341">
        <v>109734</v>
      </c>
      <c r="L16" s="397">
        <v>286779</v>
      </c>
      <c r="M16" s="397">
        <v>273957</v>
      </c>
      <c r="N16" s="341">
        <v>560736</v>
      </c>
      <c r="O16" s="397">
        <v>2132</v>
      </c>
      <c r="P16" s="397">
        <v>1678</v>
      </c>
      <c r="Q16" s="341">
        <v>3810</v>
      </c>
      <c r="R16" s="397">
        <v>6276</v>
      </c>
      <c r="S16" s="397">
        <v>2089</v>
      </c>
      <c r="T16" s="341">
        <v>8365</v>
      </c>
      <c r="U16" s="397">
        <v>2347</v>
      </c>
      <c r="V16" s="397">
        <v>1244</v>
      </c>
      <c r="W16" s="341">
        <v>3591</v>
      </c>
      <c r="X16" s="397">
        <v>6282</v>
      </c>
      <c r="Y16" s="397">
        <v>5583</v>
      </c>
      <c r="Z16" s="341">
        <v>11865</v>
      </c>
      <c r="AA16" s="341">
        <v>375928</v>
      </c>
      <c r="AB16" s="341">
        <v>347751</v>
      </c>
      <c r="AC16" s="341">
        <v>723679</v>
      </c>
    </row>
    <row r="17" spans="1:29" ht="16.899999999999999" customHeight="1">
      <c r="A17" s="1245">
        <v>2</v>
      </c>
      <c r="B17" s="700" t="s">
        <v>121</v>
      </c>
      <c r="C17" s="701"/>
      <c r="D17" s="702"/>
      <c r="E17" s="702"/>
      <c r="F17" s="702"/>
      <c r="G17" s="702"/>
      <c r="H17" s="702"/>
      <c r="I17" s="702"/>
      <c r="J17" s="702"/>
      <c r="K17" s="703"/>
      <c r="L17" s="701"/>
      <c r="M17" s="702"/>
      <c r="N17" s="702"/>
      <c r="O17" s="702"/>
      <c r="P17" s="702"/>
      <c r="Q17" s="702"/>
      <c r="R17" s="702"/>
      <c r="S17" s="702"/>
      <c r="T17" s="703"/>
      <c r="U17" s="701"/>
      <c r="V17" s="702"/>
      <c r="W17" s="702"/>
      <c r="X17" s="702"/>
      <c r="Y17" s="702"/>
      <c r="Z17" s="702"/>
      <c r="AA17" s="702"/>
      <c r="AB17" s="702"/>
      <c r="AC17" s="703"/>
    </row>
    <row r="18" spans="1:29" ht="16.899999999999999" customHeight="1">
      <c r="A18" s="1245"/>
      <c r="B18" s="704" t="s">
        <v>919</v>
      </c>
      <c r="C18" s="701">
        <v>82</v>
      </c>
      <c r="D18" s="702">
        <v>86</v>
      </c>
      <c r="E18" s="702">
        <v>168</v>
      </c>
      <c r="F18" s="702"/>
      <c r="G18" s="702"/>
      <c r="H18" s="702"/>
      <c r="I18" s="702">
        <v>189475</v>
      </c>
      <c r="J18" s="702">
        <v>242496</v>
      </c>
      <c r="K18" s="703">
        <v>431971</v>
      </c>
      <c r="L18" s="701">
        <v>471918</v>
      </c>
      <c r="M18" s="702">
        <v>292603</v>
      </c>
      <c r="N18" s="702">
        <v>764521</v>
      </c>
      <c r="O18" s="702">
        <v>17230</v>
      </c>
      <c r="P18" s="702">
        <v>11601</v>
      </c>
      <c r="Q18" s="702">
        <v>28831</v>
      </c>
      <c r="R18" s="702">
        <v>8938</v>
      </c>
      <c r="S18" s="702">
        <v>26412</v>
      </c>
      <c r="T18" s="703">
        <v>35350</v>
      </c>
      <c r="U18" s="701"/>
      <c r="V18" s="702"/>
      <c r="W18" s="702"/>
      <c r="X18" s="702"/>
      <c r="Y18" s="702"/>
      <c r="Z18" s="702"/>
      <c r="AA18" s="702">
        <v>687643</v>
      </c>
      <c r="AB18" s="702">
        <v>573198</v>
      </c>
      <c r="AC18" s="703">
        <v>1260841</v>
      </c>
    </row>
    <row r="19" spans="1:29" ht="16.899999999999999" customHeight="1">
      <c r="A19" s="1245"/>
      <c r="B19" s="704" t="s">
        <v>876</v>
      </c>
      <c r="C19" s="397">
        <v>66</v>
      </c>
      <c r="D19" s="397">
        <v>99</v>
      </c>
      <c r="E19" s="341">
        <v>165</v>
      </c>
      <c r="F19" s="397">
        <v>0</v>
      </c>
      <c r="G19" s="397">
        <v>0</v>
      </c>
      <c r="H19" s="341">
        <v>0</v>
      </c>
      <c r="I19" s="397">
        <v>183991</v>
      </c>
      <c r="J19" s="397">
        <v>225191</v>
      </c>
      <c r="K19" s="341">
        <v>409182</v>
      </c>
      <c r="L19" s="397">
        <v>469328</v>
      </c>
      <c r="M19" s="397">
        <v>271482</v>
      </c>
      <c r="N19" s="341">
        <v>740810</v>
      </c>
      <c r="O19" s="397">
        <v>25544</v>
      </c>
      <c r="P19" s="397">
        <v>14798</v>
      </c>
      <c r="Q19" s="341">
        <v>40342</v>
      </c>
      <c r="R19" s="397">
        <v>19080</v>
      </c>
      <c r="S19" s="397">
        <v>42707</v>
      </c>
      <c r="T19" s="341">
        <v>61787</v>
      </c>
      <c r="U19" s="397">
        <v>0</v>
      </c>
      <c r="V19" s="397">
        <v>0</v>
      </c>
      <c r="W19" s="341">
        <v>0</v>
      </c>
      <c r="X19" s="397">
        <v>0</v>
      </c>
      <c r="Y19" s="397">
        <v>0</v>
      </c>
      <c r="Z19" s="341">
        <v>0</v>
      </c>
      <c r="AA19" s="341">
        <v>698009</v>
      </c>
      <c r="AB19" s="341">
        <v>554277</v>
      </c>
      <c r="AC19" s="341">
        <v>1252286</v>
      </c>
    </row>
    <row r="20" spans="1:29" ht="16.899999999999999" customHeight="1">
      <c r="A20" s="1245"/>
      <c r="B20" s="704" t="s">
        <v>229</v>
      </c>
      <c r="C20" s="398">
        <v>21</v>
      </c>
      <c r="D20" s="398">
        <v>52</v>
      </c>
      <c r="E20" s="347">
        <v>73</v>
      </c>
      <c r="F20" s="398">
        <v>1</v>
      </c>
      <c r="G20" s="398">
        <v>0</v>
      </c>
      <c r="H20" s="347">
        <v>1</v>
      </c>
      <c r="I20" s="398">
        <v>169982</v>
      </c>
      <c r="J20" s="398">
        <v>226624</v>
      </c>
      <c r="K20" s="347">
        <v>396606</v>
      </c>
      <c r="L20" s="398">
        <v>447586</v>
      </c>
      <c r="M20" s="398">
        <v>260436</v>
      </c>
      <c r="N20" s="347">
        <v>708022</v>
      </c>
      <c r="O20" s="398">
        <v>18123</v>
      </c>
      <c r="P20" s="398">
        <v>10989</v>
      </c>
      <c r="Q20" s="347">
        <v>29112</v>
      </c>
      <c r="R20" s="398">
        <v>9732</v>
      </c>
      <c r="S20" s="398">
        <v>23299</v>
      </c>
      <c r="T20" s="347">
        <v>33031</v>
      </c>
      <c r="U20" s="398">
        <v>223</v>
      </c>
      <c r="V20" s="398">
        <v>268</v>
      </c>
      <c r="W20" s="347">
        <v>491</v>
      </c>
      <c r="X20" s="398">
        <v>0</v>
      </c>
      <c r="Y20" s="398">
        <v>0</v>
      </c>
      <c r="Z20" s="347">
        <v>0</v>
      </c>
      <c r="AA20" s="347">
        <v>645668</v>
      </c>
      <c r="AB20" s="347">
        <v>521668</v>
      </c>
      <c r="AC20" s="347">
        <v>1167336</v>
      </c>
    </row>
    <row r="21" spans="1:29" ht="16.899999999999999" customHeight="1">
      <c r="A21" s="1245"/>
      <c r="B21" s="708" t="s">
        <v>228</v>
      </c>
      <c r="C21" s="709">
        <v>67</v>
      </c>
      <c r="D21" s="709">
        <v>63</v>
      </c>
      <c r="E21" s="709">
        <v>130</v>
      </c>
      <c r="F21" s="709">
        <v>11</v>
      </c>
      <c r="G21" s="709">
        <v>13</v>
      </c>
      <c r="H21" s="709">
        <v>24</v>
      </c>
      <c r="I21" s="709">
        <v>153742</v>
      </c>
      <c r="J21" s="709">
        <v>202662</v>
      </c>
      <c r="K21" s="709">
        <v>356404</v>
      </c>
      <c r="L21" s="709">
        <v>395161</v>
      </c>
      <c r="M21" s="709">
        <v>231907</v>
      </c>
      <c r="N21" s="709">
        <v>627068</v>
      </c>
      <c r="O21" s="709">
        <v>17723</v>
      </c>
      <c r="P21" s="709">
        <v>10389</v>
      </c>
      <c r="Q21" s="709">
        <v>28112</v>
      </c>
      <c r="R21" s="709">
        <v>9074</v>
      </c>
      <c r="S21" s="709">
        <v>13581</v>
      </c>
      <c r="T21" s="709">
        <v>22655</v>
      </c>
      <c r="U21" s="709">
        <v>383</v>
      </c>
      <c r="V21" s="709">
        <v>305</v>
      </c>
      <c r="W21" s="709">
        <v>688</v>
      </c>
      <c r="X21" s="709">
        <v>0</v>
      </c>
      <c r="Y21" s="709">
        <v>0</v>
      </c>
      <c r="Z21" s="709">
        <v>0</v>
      </c>
      <c r="AA21" s="709">
        <v>576161</v>
      </c>
      <c r="AB21" s="709">
        <v>458920</v>
      </c>
      <c r="AC21" s="709">
        <v>1035081</v>
      </c>
    </row>
    <row r="22" spans="1:29" ht="16.899999999999999" customHeight="1">
      <c r="A22" s="1245"/>
      <c r="B22" s="708" t="s">
        <v>227</v>
      </c>
      <c r="C22" s="397">
        <v>181</v>
      </c>
      <c r="D22" s="397">
        <v>184</v>
      </c>
      <c r="E22" s="341">
        <v>365</v>
      </c>
      <c r="F22" s="397">
        <v>32</v>
      </c>
      <c r="G22" s="397">
        <v>24</v>
      </c>
      <c r="H22" s="341">
        <v>56</v>
      </c>
      <c r="I22" s="397">
        <v>194363</v>
      </c>
      <c r="J22" s="397">
        <v>146381</v>
      </c>
      <c r="K22" s="341">
        <v>340744</v>
      </c>
      <c r="L22" s="397">
        <v>338319</v>
      </c>
      <c r="M22" s="397">
        <v>142411</v>
      </c>
      <c r="N22" s="341">
        <v>480730</v>
      </c>
      <c r="O22" s="397">
        <v>13071</v>
      </c>
      <c r="P22" s="397">
        <v>7938</v>
      </c>
      <c r="Q22" s="341">
        <v>21009</v>
      </c>
      <c r="R22" s="397">
        <v>8143</v>
      </c>
      <c r="S22" s="397">
        <v>10078</v>
      </c>
      <c r="T22" s="341">
        <v>18221</v>
      </c>
      <c r="U22" s="397">
        <v>55</v>
      </c>
      <c r="V22" s="397">
        <v>95</v>
      </c>
      <c r="W22" s="341">
        <v>150</v>
      </c>
      <c r="X22" s="397">
        <v>0</v>
      </c>
      <c r="Y22" s="397">
        <v>0</v>
      </c>
      <c r="Z22" s="341">
        <v>0</v>
      </c>
      <c r="AA22" s="341">
        <v>554164</v>
      </c>
      <c r="AB22" s="341">
        <v>307111</v>
      </c>
      <c r="AC22" s="341">
        <v>861275</v>
      </c>
    </row>
    <row r="23" spans="1:29" ht="16.899999999999999" customHeight="1">
      <c r="A23" s="1245">
        <v>3</v>
      </c>
      <c r="B23" s="700" t="s">
        <v>122</v>
      </c>
      <c r="C23" s="701"/>
      <c r="D23" s="702"/>
      <c r="E23" s="702"/>
      <c r="F23" s="702"/>
      <c r="G23" s="702"/>
      <c r="H23" s="702"/>
      <c r="I23" s="702"/>
      <c r="J23" s="702"/>
      <c r="K23" s="703"/>
      <c r="L23" s="701"/>
      <c r="M23" s="702"/>
      <c r="N23" s="702"/>
      <c r="O23" s="702"/>
      <c r="P23" s="702"/>
      <c r="Q23" s="702"/>
      <c r="R23" s="702"/>
      <c r="S23" s="702"/>
      <c r="T23" s="703"/>
      <c r="U23" s="701"/>
      <c r="V23" s="702"/>
      <c r="W23" s="702"/>
      <c r="X23" s="702"/>
      <c r="Y23" s="702"/>
      <c r="Z23" s="702"/>
      <c r="AA23" s="702"/>
      <c r="AB23" s="702"/>
      <c r="AC23" s="703"/>
    </row>
    <row r="24" spans="1:29" ht="16.899999999999999" customHeight="1">
      <c r="A24" s="1245"/>
      <c r="B24" s="704" t="s">
        <v>919</v>
      </c>
      <c r="C24" s="701">
        <v>28783</v>
      </c>
      <c r="D24" s="702">
        <v>13904</v>
      </c>
      <c r="E24" s="702">
        <v>42687</v>
      </c>
      <c r="F24" s="702">
        <v>48</v>
      </c>
      <c r="G24" s="702">
        <v>118</v>
      </c>
      <c r="H24" s="702">
        <v>166</v>
      </c>
      <c r="I24" s="702">
        <v>55712</v>
      </c>
      <c r="J24" s="702">
        <v>22568</v>
      </c>
      <c r="K24" s="703">
        <v>78280</v>
      </c>
      <c r="L24" s="701">
        <v>134370</v>
      </c>
      <c r="M24" s="702">
        <v>44912</v>
      </c>
      <c r="N24" s="702">
        <v>179282</v>
      </c>
      <c r="O24" s="702">
        <v>771</v>
      </c>
      <c r="P24" s="702">
        <v>263</v>
      </c>
      <c r="Q24" s="702">
        <v>1034</v>
      </c>
      <c r="R24" s="702">
        <v>415</v>
      </c>
      <c r="S24" s="702">
        <v>175</v>
      </c>
      <c r="T24" s="703">
        <v>590</v>
      </c>
      <c r="U24" s="701">
        <v>1370</v>
      </c>
      <c r="V24" s="702">
        <v>724</v>
      </c>
      <c r="W24" s="702">
        <v>2094</v>
      </c>
      <c r="X24" s="702">
        <v>15741</v>
      </c>
      <c r="Y24" s="702">
        <v>5858</v>
      </c>
      <c r="Z24" s="702">
        <v>21599</v>
      </c>
      <c r="AA24" s="702">
        <v>237210</v>
      </c>
      <c r="AB24" s="702">
        <v>88522</v>
      </c>
      <c r="AC24" s="703">
        <v>325732</v>
      </c>
    </row>
    <row r="25" spans="1:29" ht="16.899999999999999" customHeight="1">
      <c r="A25" s="1245"/>
      <c r="B25" s="704" t="s">
        <v>876</v>
      </c>
      <c r="C25" s="397">
        <v>28930</v>
      </c>
      <c r="D25" s="397">
        <v>13277</v>
      </c>
      <c r="E25" s="341">
        <v>42207</v>
      </c>
      <c r="F25" s="397">
        <v>56</v>
      </c>
      <c r="G25" s="397">
        <v>189</v>
      </c>
      <c r="H25" s="341">
        <v>245</v>
      </c>
      <c r="I25" s="397">
        <v>49411</v>
      </c>
      <c r="J25" s="397">
        <v>19698</v>
      </c>
      <c r="K25" s="341">
        <v>69109</v>
      </c>
      <c r="L25" s="397">
        <v>127616</v>
      </c>
      <c r="M25" s="397">
        <v>39382</v>
      </c>
      <c r="N25" s="341">
        <v>166998</v>
      </c>
      <c r="O25" s="397">
        <v>1230</v>
      </c>
      <c r="P25" s="397">
        <v>510</v>
      </c>
      <c r="Q25" s="341">
        <v>1740</v>
      </c>
      <c r="R25" s="397">
        <v>355</v>
      </c>
      <c r="S25" s="397">
        <v>153</v>
      </c>
      <c r="T25" s="341">
        <v>508</v>
      </c>
      <c r="U25" s="397">
        <v>2036</v>
      </c>
      <c r="V25" s="397">
        <v>740</v>
      </c>
      <c r="W25" s="341">
        <v>2776</v>
      </c>
      <c r="X25" s="397">
        <v>17467</v>
      </c>
      <c r="Y25" s="397">
        <v>5463</v>
      </c>
      <c r="Z25" s="341">
        <v>22930</v>
      </c>
      <c r="AA25" s="341">
        <v>227101</v>
      </c>
      <c r="AB25" s="341">
        <v>79412</v>
      </c>
      <c r="AC25" s="341">
        <v>306513</v>
      </c>
    </row>
    <row r="26" spans="1:29" ht="16.899999999999999" customHeight="1">
      <c r="A26" s="1245"/>
      <c r="B26" s="704" t="s">
        <v>229</v>
      </c>
      <c r="C26" s="396">
        <v>27993</v>
      </c>
      <c r="D26" s="396">
        <v>13305</v>
      </c>
      <c r="E26" s="396">
        <v>41298</v>
      </c>
      <c r="F26" s="396">
        <v>78</v>
      </c>
      <c r="G26" s="396">
        <v>172</v>
      </c>
      <c r="H26" s="396">
        <v>250</v>
      </c>
      <c r="I26" s="396">
        <v>62418</v>
      </c>
      <c r="J26" s="396">
        <v>21405</v>
      </c>
      <c r="K26" s="396">
        <v>83823</v>
      </c>
      <c r="L26" s="396">
        <v>112467</v>
      </c>
      <c r="M26" s="396">
        <v>32401</v>
      </c>
      <c r="N26" s="396">
        <v>144868</v>
      </c>
      <c r="O26" s="396">
        <v>992</v>
      </c>
      <c r="P26" s="396">
        <v>517</v>
      </c>
      <c r="Q26" s="396">
        <v>1509</v>
      </c>
      <c r="R26" s="396">
        <v>242</v>
      </c>
      <c r="S26" s="396">
        <v>90</v>
      </c>
      <c r="T26" s="396">
        <v>332</v>
      </c>
      <c r="U26" s="396">
        <v>1775</v>
      </c>
      <c r="V26" s="396">
        <v>567</v>
      </c>
      <c r="W26" s="396">
        <v>2342</v>
      </c>
      <c r="X26" s="396">
        <v>14819</v>
      </c>
      <c r="Y26" s="396">
        <v>4095</v>
      </c>
      <c r="Z26" s="396">
        <v>18914</v>
      </c>
      <c r="AA26" s="396">
        <v>220784</v>
      </c>
      <c r="AB26" s="396">
        <v>72552</v>
      </c>
      <c r="AC26" s="396">
        <v>293336</v>
      </c>
    </row>
    <row r="27" spans="1:29" ht="16.899999999999999" customHeight="1">
      <c r="A27" s="1245"/>
      <c r="B27" s="708" t="s">
        <v>228</v>
      </c>
      <c r="C27" s="709">
        <v>21670</v>
      </c>
      <c r="D27" s="709">
        <v>10036</v>
      </c>
      <c r="E27" s="709">
        <v>31706</v>
      </c>
      <c r="F27" s="709">
        <v>32</v>
      </c>
      <c r="G27" s="709">
        <v>64</v>
      </c>
      <c r="H27" s="709">
        <v>96</v>
      </c>
      <c r="I27" s="709">
        <v>37382</v>
      </c>
      <c r="J27" s="709">
        <v>12819</v>
      </c>
      <c r="K27" s="709">
        <v>50201</v>
      </c>
      <c r="L27" s="709">
        <v>96724</v>
      </c>
      <c r="M27" s="709">
        <v>26736</v>
      </c>
      <c r="N27" s="709">
        <v>123460</v>
      </c>
      <c r="O27" s="709">
        <v>1882</v>
      </c>
      <c r="P27" s="709">
        <v>575</v>
      </c>
      <c r="Q27" s="709">
        <v>2457</v>
      </c>
      <c r="R27" s="709">
        <v>14</v>
      </c>
      <c r="S27" s="709">
        <v>58</v>
      </c>
      <c r="T27" s="709">
        <v>72</v>
      </c>
      <c r="U27" s="709">
        <v>1793</v>
      </c>
      <c r="V27" s="709">
        <v>544</v>
      </c>
      <c r="W27" s="709">
        <v>2337</v>
      </c>
      <c r="X27" s="709">
        <v>14255</v>
      </c>
      <c r="Y27" s="709">
        <v>3847</v>
      </c>
      <c r="Z27" s="709">
        <v>18102</v>
      </c>
      <c r="AA27" s="709">
        <v>173752</v>
      </c>
      <c r="AB27" s="709">
        <v>54679</v>
      </c>
      <c r="AC27" s="709">
        <v>228431</v>
      </c>
    </row>
    <row r="28" spans="1:29" ht="16.899999999999999" customHeight="1">
      <c r="A28" s="1245"/>
      <c r="B28" s="708" t="s">
        <v>227</v>
      </c>
      <c r="C28" s="397">
        <v>19512</v>
      </c>
      <c r="D28" s="397">
        <v>8871</v>
      </c>
      <c r="E28" s="341">
        <v>28383</v>
      </c>
      <c r="F28" s="397">
        <v>39</v>
      </c>
      <c r="G28" s="397">
        <v>46</v>
      </c>
      <c r="H28" s="341">
        <v>85</v>
      </c>
      <c r="I28" s="397">
        <v>29894</v>
      </c>
      <c r="J28" s="397">
        <v>10626</v>
      </c>
      <c r="K28" s="341">
        <v>40520</v>
      </c>
      <c r="L28" s="397">
        <v>91439</v>
      </c>
      <c r="M28" s="397">
        <v>25883</v>
      </c>
      <c r="N28" s="341">
        <v>117322</v>
      </c>
      <c r="O28" s="397">
        <v>56</v>
      </c>
      <c r="P28" s="397">
        <v>47</v>
      </c>
      <c r="Q28" s="341">
        <v>103</v>
      </c>
      <c r="R28" s="397">
        <v>16</v>
      </c>
      <c r="S28" s="397">
        <v>55</v>
      </c>
      <c r="T28" s="341">
        <v>71</v>
      </c>
      <c r="U28" s="397">
        <v>9</v>
      </c>
      <c r="V28" s="397">
        <v>6</v>
      </c>
      <c r="W28" s="341">
        <v>15</v>
      </c>
      <c r="X28" s="397">
        <v>13337</v>
      </c>
      <c r="Y28" s="397">
        <v>3361</v>
      </c>
      <c r="Z28" s="341">
        <v>16698</v>
      </c>
      <c r="AA28" s="341">
        <v>154302</v>
      </c>
      <c r="AB28" s="341">
        <v>48895</v>
      </c>
      <c r="AC28" s="341">
        <v>203197</v>
      </c>
    </row>
    <row r="29" spans="1:29" ht="16.899999999999999" customHeight="1">
      <c r="A29" s="1245">
        <v>4</v>
      </c>
      <c r="B29" s="700" t="s">
        <v>127</v>
      </c>
      <c r="C29" s="701"/>
      <c r="D29" s="702"/>
      <c r="E29" s="702"/>
      <c r="F29" s="702"/>
      <c r="G29" s="702"/>
      <c r="H29" s="702"/>
      <c r="I29" s="702"/>
      <c r="J29" s="702"/>
      <c r="K29" s="703"/>
      <c r="L29" s="701"/>
      <c r="M29" s="702"/>
      <c r="N29" s="702"/>
      <c r="O29" s="702"/>
      <c r="P29" s="702"/>
      <c r="Q29" s="702"/>
      <c r="R29" s="702"/>
      <c r="S29" s="702"/>
      <c r="T29" s="703"/>
      <c r="U29" s="701"/>
      <c r="V29" s="702"/>
      <c r="W29" s="702"/>
      <c r="X29" s="702"/>
      <c r="Y29" s="702"/>
      <c r="Z29" s="702"/>
      <c r="AA29" s="702"/>
      <c r="AB29" s="702"/>
      <c r="AC29" s="703"/>
    </row>
    <row r="30" spans="1:29" ht="16.899999999999999" customHeight="1">
      <c r="A30" s="1245"/>
      <c r="B30" s="704" t="s">
        <v>919</v>
      </c>
      <c r="C30" s="705">
        <v>3860</v>
      </c>
      <c r="D30" s="706">
        <v>2150</v>
      </c>
      <c r="E30" s="706">
        <v>6010</v>
      </c>
      <c r="F30" s="706">
        <v>16</v>
      </c>
      <c r="G30" s="706">
        <v>26</v>
      </c>
      <c r="H30" s="706">
        <v>42</v>
      </c>
      <c r="I30" s="706">
        <v>6317</v>
      </c>
      <c r="J30" s="706">
        <v>3360</v>
      </c>
      <c r="K30" s="707">
        <v>9677</v>
      </c>
      <c r="L30" s="705">
        <v>8896</v>
      </c>
      <c r="M30" s="706">
        <v>2759</v>
      </c>
      <c r="N30" s="706">
        <v>11655</v>
      </c>
      <c r="O30" s="706">
        <v>559</v>
      </c>
      <c r="P30" s="706">
        <v>202</v>
      </c>
      <c r="Q30" s="706">
        <v>761</v>
      </c>
      <c r="R30" s="706">
        <v>1306</v>
      </c>
      <c r="S30" s="706">
        <v>400</v>
      </c>
      <c r="T30" s="707">
        <v>1706</v>
      </c>
      <c r="U30" s="705">
        <v>350</v>
      </c>
      <c r="V30" s="706">
        <v>139</v>
      </c>
      <c r="W30" s="706">
        <v>489</v>
      </c>
      <c r="X30" s="706">
        <v>369</v>
      </c>
      <c r="Y30" s="706">
        <v>110</v>
      </c>
      <c r="Z30" s="706">
        <v>479</v>
      </c>
      <c r="AA30" s="706">
        <v>21673</v>
      </c>
      <c r="AB30" s="706">
        <v>9146</v>
      </c>
      <c r="AC30" s="707">
        <v>30819</v>
      </c>
    </row>
    <row r="31" spans="1:29" ht="16.899999999999999" customHeight="1">
      <c r="A31" s="1245"/>
      <c r="B31" s="704" t="s">
        <v>876</v>
      </c>
      <c r="C31" s="396">
        <v>3813</v>
      </c>
      <c r="D31" s="396">
        <v>2016</v>
      </c>
      <c r="E31" s="396">
        <v>5829</v>
      </c>
      <c r="F31" s="396">
        <v>57</v>
      </c>
      <c r="G31" s="396">
        <v>54</v>
      </c>
      <c r="H31" s="396">
        <v>111</v>
      </c>
      <c r="I31" s="396">
        <v>8290</v>
      </c>
      <c r="J31" s="396">
        <v>4613</v>
      </c>
      <c r="K31" s="396">
        <v>12903</v>
      </c>
      <c r="L31" s="396">
        <v>11192</v>
      </c>
      <c r="M31" s="396">
        <v>5074</v>
      </c>
      <c r="N31" s="396">
        <v>16266</v>
      </c>
      <c r="O31" s="396">
        <v>597</v>
      </c>
      <c r="P31" s="396">
        <v>218</v>
      </c>
      <c r="Q31" s="396">
        <v>815</v>
      </c>
      <c r="R31" s="396">
        <v>1576</v>
      </c>
      <c r="S31" s="396">
        <v>460</v>
      </c>
      <c r="T31" s="396">
        <v>2036</v>
      </c>
      <c r="U31" s="396">
        <v>494</v>
      </c>
      <c r="V31" s="396">
        <v>251</v>
      </c>
      <c r="W31" s="396">
        <v>745</v>
      </c>
      <c r="X31" s="396">
        <v>973</v>
      </c>
      <c r="Y31" s="396">
        <v>224</v>
      </c>
      <c r="Z31" s="396">
        <v>1197</v>
      </c>
      <c r="AA31" s="396">
        <v>26992</v>
      </c>
      <c r="AB31" s="396">
        <v>12910</v>
      </c>
      <c r="AC31" s="396">
        <v>39902</v>
      </c>
    </row>
    <row r="32" spans="1:29" ht="16.899999999999999" customHeight="1">
      <c r="A32" s="1245"/>
      <c r="B32" s="704" t="s">
        <v>229</v>
      </c>
      <c r="C32" s="398">
        <v>5341</v>
      </c>
      <c r="D32" s="398">
        <v>2627</v>
      </c>
      <c r="E32" s="347">
        <v>7968</v>
      </c>
      <c r="F32" s="398">
        <v>138</v>
      </c>
      <c r="G32" s="398">
        <v>144</v>
      </c>
      <c r="H32" s="347">
        <v>282</v>
      </c>
      <c r="I32" s="398">
        <v>7663</v>
      </c>
      <c r="J32" s="398">
        <v>4793</v>
      </c>
      <c r="K32" s="347">
        <v>12456</v>
      </c>
      <c r="L32" s="398">
        <v>10000</v>
      </c>
      <c r="M32" s="398">
        <v>4539</v>
      </c>
      <c r="N32" s="347">
        <v>14539</v>
      </c>
      <c r="O32" s="398">
        <v>488</v>
      </c>
      <c r="P32" s="398">
        <v>239</v>
      </c>
      <c r="Q32" s="347">
        <v>727</v>
      </c>
      <c r="R32" s="398">
        <v>1609</v>
      </c>
      <c r="S32" s="398">
        <v>515</v>
      </c>
      <c r="T32" s="347">
        <v>2124</v>
      </c>
      <c r="U32" s="398">
        <v>374</v>
      </c>
      <c r="V32" s="398">
        <v>187</v>
      </c>
      <c r="W32" s="347">
        <v>561</v>
      </c>
      <c r="X32" s="398">
        <v>839</v>
      </c>
      <c r="Y32" s="398">
        <v>231</v>
      </c>
      <c r="Z32" s="347">
        <v>1070</v>
      </c>
      <c r="AA32" s="347">
        <v>26452</v>
      </c>
      <c r="AB32" s="347">
        <v>13275</v>
      </c>
      <c r="AC32" s="347">
        <v>39727</v>
      </c>
    </row>
    <row r="33" spans="1:29" ht="16.899999999999999" customHeight="1">
      <c r="A33" s="1245"/>
      <c r="B33" s="708" t="s">
        <v>228</v>
      </c>
      <c r="C33" s="709">
        <v>5214</v>
      </c>
      <c r="D33" s="710">
        <v>2458</v>
      </c>
      <c r="E33" s="709">
        <v>7672</v>
      </c>
      <c r="F33" s="709">
        <v>202</v>
      </c>
      <c r="G33" s="709">
        <v>158</v>
      </c>
      <c r="H33" s="709">
        <v>360</v>
      </c>
      <c r="I33" s="709">
        <v>6306</v>
      </c>
      <c r="J33" s="709">
        <v>4171</v>
      </c>
      <c r="K33" s="709">
        <v>10477</v>
      </c>
      <c r="L33" s="709">
        <v>9881</v>
      </c>
      <c r="M33" s="709">
        <v>4607</v>
      </c>
      <c r="N33" s="709">
        <v>14488</v>
      </c>
      <c r="O33" s="709">
        <v>502</v>
      </c>
      <c r="P33" s="709">
        <v>261</v>
      </c>
      <c r="Q33" s="709">
        <v>763</v>
      </c>
      <c r="R33" s="709">
        <v>1828</v>
      </c>
      <c r="S33" s="709">
        <v>576</v>
      </c>
      <c r="T33" s="709">
        <v>2404</v>
      </c>
      <c r="U33" s="709">
        <v>354</v>
      </c>
      <c r="V33" s="709">
        <v>118</v>
      </c>
      <c r="W33" s="709">
        <v>472</v>
      </c>
      <c r="X33" s="709">
        <v>625</v>
      </c>
      <c r="Y33" s="709">
        <v>235</v>
      </c>
      <c r="Z33" s="709">
        <v>860</v>
      </c>
      <c r="AA33" s="709">
        <v>24912</v>
      </c>
      <c r="AB33" s="709">
        <v>12584</v>
      </c>
      <c r="AC33" s="709">
        <v>37496</v>
      </c>
    </row>
    <row r="34" spans="1:29" ht="16.899999999999999" customHeight="1">
      <c r="A34" s="1245"/>
      <c r="B34" s="708" t="s">
        <v>227</v>
      </c>
      <c r="C34" s="397">
        <v>6820</v>
      </c>
      <c r="D34" s="397">
        <v>2681</v>
      </c>
      <c r="E34" s="341">
        <v>9501</v>
      </c>
      <c r="F34" s="397">
        <v>164</v>
      </c>
      <c r="G34" s="397">
        <v>166</v>
      </c>
      <c r="H34" s="341">
        <v>330</v>
      </c>
      <c r="I34" s="397">
        <v>7631</v>
      </c>
      <c r="J34" s="397">
        <v>4099</v>
      </c>
      <c r="K34" s="341">
        <v>11730</v>
      </c>
      <c r="L34" s="397">
        <v>11888</v>
      </c>
      <c r="M34" s="397">
        <v>4138</v>
      </c>
      <c r="N34" s="341">
        <v>16026</v>
      </c>
      <c r="O34" s="397">
        <v>906</v>
      </c>
      <c r="P34" s="397">
        <v>394</v>
      </c>
      <c r="Q34" s="341">
        <v>1300</v>
      </c>
      <c r="R34" s="397">
        <v>1818</v>
      </c>
      <c r="S34" s="397">
        <v>554</v>
      </c>
      <c r="T34" s="341">
        <v>2372</v>
      </c>
      <c r="U34" s="397">
        <v>353</v>
      </c>
      <c r="V34" s="397">
        <v>101</v>
      </c>
      <c r="W34" s="341">
        <v>454</v>
      </c>
      <c r="X34" s="397">
        <v>935</v>
      </c>
      <c r="Y34" s="397">
        <v>273</v>
      </c>
      <c r="Z34" s="341">
        <v>1208</v>
      </c>
      <c r="AA34" s="341">
        <v>30515</v>
      </c>
      <c r="AB34" s="341">
        <v>12406</v>
      </c>
      <c r="AC34" s="341">
        <v>42921</v>
      </c>
    </row>
    <row r="35" spans="1:29" ht="16.899999999999999" customHeight="1">
      <c r="A35" s="1245">
        <v>5</v>
      </c>
      <c r="B35" s="700" t="s">
        <v>123</v>
      </c>
      <c r="C35" s="701"/>
      <c r="D35" s="702"/>
      <c r="E35" s="702"/>
      <c r="F35" s="702"/>
      <c r="G35" s="702"/>
      <c r="H35" s="702"/>
      <c r="I35" s="702"/>
      <c r="J35" s="702"/>
      <c r="K35" s="703"/>
      <c r="L35" s="701"/>
      <c r="M35" s="702"/>
      <c r="N35" s="702"/>
      <c r="O35" s="702"/>
      <c r="P35" s="702"/>
      <c r="Q35" s="702"/>
      <c r="R35" s="702"/>
      <c r="S35" s="702"/>
      <c r="T35" s="703"/>
      <c r="U35" s="701"/>
      <c r="V35" s="702"/>
      <c r="W35" s="702"/>
      <c r="X35" s="702"/>
      <c r="Y35" s="702"/>
      <c r="Z35" s="702"/>
      <c r="AA35" s="702"/>
      <c r="AB35" s="702"/>
      <c r="AC35" s="703"/>
    </row>
    <row r="36" spans="1:29" ht="16.899999999999999" customHeight="1">
      <c r="A36" s="1245"/>
      <c r="B36" s="704" t="s">
        <v>919</v>
      </c>
      <c r="C36" s="701">
        <v>26015</v>
      </c>
      <c r="D36" s="702">
        <v>23645</v>
      </c>
      <c r="E36" s="702">
        <v>49660</v>
      </c>
      <c r="F36" s="702">
        <v>1434</v>
      </c>
      <c r="G36" s="702">
        <v>2910</v>
      </c>
      <c r="H36" s="702">
        <v>4344</v>
      </c>
      <c r="I36" s="702">
        <v>433926</v>
      </c>
      <c r="J36" s="702">
        <v>570243</v>
      </c>
      <c r="K36" s="703">
        <v>1004169</v>
      </c>
      <c r="L36" s="701">
        <v>979473</v>
      </c>
      <c r="M36" s="702">
        <v>750101</v>
      </c>
      <c r="N36" s="702">
        <v>1729574</v>
      </c>
      <c r="O36" s="702">
        <v>27922</v>
      </c>
      <c r="P36" s="702">
        <v>25733</v>
      </c>
      <c r="Q36" s="702">
        <v>53655</v>
      </c>
      <c r="R36" s="702">
        <v>36478</v>
      </c>
      <c r="S36" s="702">
        <v>24734</v>
      </c>
      <c r="T36" s="703">
        <v>61212</v>
      </c>
      <c r="U36" s="701">
        <v>9702</v>
      </c>
      <c r="V36" s="702">
        <v>10613</v>
      </c>
      <c r="W36" s="702">
        <v>20315</v>
      </c>
      <c r="X36" s="702">
        <v>28707</v>
      </c>
      <c r="Y36" s="702">
        <v>28872</v>
      </c>
      <c r="Z36" s="702">
        <v>57579</v>
      </c>
      <c r="AA36" s="702">
        <v>1543657</v>
      </c>
      <c r="AB36" s="702">
        <v>1436851</v>
      </c>
      <c r="AC36" s="703">
        <v>2980508</v>
      </c>
    </row>
    <row r="37" spans="1:29" ht="16.899999999999999" customHeight="1">
      <c r="A37" s="1245"/>
      <c r="B37" s="704" t="s">
        <v>876</v>
      </c>
      <c r="C37" s="397">
        <v>25191</v>
      </c>
      <c r="D37" s="397">
        <v>22216</v>
      </c>
      <c r="E37" s="341">
        <v>47407</v>
      </c>
      <c r="F37" s="397">
        <v>2906</v>
      </c>
      <c r="G37" s="397">
        <v>5220</v>
      </c>
      <c r="H37" s="341">
        <v>8126</v>
      </c>
      <c r="I37" s="397">
        <v>399891</v>
      </c>
      <c r="J37" s="397">
        <v>587200</v>
      </c>
      <c r="K37" s="341">
        <v>987091</v>
      </c>
      <c r="L37" s="397">
        <v>810646</v>
      </c>
      <c r="M37" s="397">
        <v>737761</v>
      </c>
      <c r="N37" s="341">
        <v>1548407</v>
      </c>
      <c r="O37" s="397">
        <v>26444</v>
      </c>
      <c r="P37" s="397">
        <v>23192</v>
      </c>
      <c r="Q37" s="341">
        <v>49636</v>
      </c>
      <c r="R37" s="397">
        <v>39121</v>
      </c>
      <c r="S37" s="397">
        <v>23816</v>
      </c>
      <c r="T37" s="341">
        <v>62937</v>
      </c>
      <c r="U37" s="397">
        <v>9205</v>
      </c>
      <c r="V37" s="397">
        <v>15599</v>
      </c>
      <c r="W37" s="341">
        <v>24804</v>
      </c>
      <c r="X37" s="397">
        <v>25096</v>
      </c>
      <c r="Y37" s="397">
        <v>24576</v>
      </c>
      <c r="Z37" s="341">
        <v>49672</v>
      </c>
      <c r="AA37" s="341">
        <v>1338500</v>
      </c>
      <c r="AB37" s="341">
        <v>1439580</v>
      </c>
      <c r="AC37" s="341">
        <v>2778080</v>
      </c>
    </row>
    <row r="38" spans="1:29" ht="16.899999999999999" customHeight="1">
      <c r="A38" s="1245"/>
      <c r="B38" s="704" t="s">
        <v>229</v>
      </c>
      <c r="C38" s="398">
        <v>27086</v>
      </c>
      <c r="D38" s="398">
        <v>25922</v>
      </c>
      <c r="E38" s="347">
        <v>53008</v>
      </c>
      <c r="F38" s="398">
        <v>3925</v>
      </c>
      <c r="G38" s="398">
        <v>6442</v>
      </c>
      <c r="H38" s="347">
        <v>10367</v>
      </c>
      <c r="I38" s="398">
        <v>387245</v>
      </c>
      <c r="J38" s="398">
        <v>540175</v>
      </c>
      <c r="K38" s="347">
        <v>927420</v>
      </c>
      <c r="L38" s="398">
        <v>768433</v>
      </c>
      <c r="M38" s="398">
        <v>629094</v>
      </c>
      <c r="N38" s="347">
        <v>1397527</v>
      </c>
      <c r="O38" s="398">
        <v>29517</v>
      </c>
      <c r="P38" s="398">
        <v>27798</v>
      </c>
      <c r="Q38" s="347">
        <v>57315</v>
      </c>
      <c r="R38" s="398">
        <v>39233</v>
      </c>
      <c r="S38" s="398">
        <v>27092</v>
      </c>
      <c r="T38" s="347">
        <v>66325</v>
      </c>
      <c r="U38" s="398">
        <v>10200</v>
      </c>
      <c r="V38" s="398">
        <v>14557</v>
      </c>
      <c r="W38" s="347">
        <v>24757</v>
      </c>
      <c r="X38" s="398">
        <v>22021</v>
      </c>
      <c r="Y38" s="398">
        <v>19733</v>
      </c>
      <c r="Z38" s="347">
        <v>41754</v>
      </c>
      <c r="AA38" s="347">
        <v>1287660</v>
      </c>
      <c r="AB38" s="347">
        <v>1290813</v>
      </c>
      <c r="AC38" s="347">
        <v>2578473</v>
      </c>
    </row>
    <row r="39" spans="1:29" ht="16.899999999999999" customHeight="1">
      <c r="A39" s="1245"/>
      <c r="B39" s="708" t="s">
        <v>228</v>
      </c>
      <c r="C39" s="709">
        <v>27002</v>
      </c>
      <c r="D39" s="709">
        <v>23308</v>
      </c>
      <c r="E39" s="709">
        <v>50310</v>
      </c>
      <c r="F39" s="709">
        <v>3969</v>
      </c>
      <c r="G39" s="709">
        <v>5933</v>
      </c>
      <c r="H39" s="709">
        <v>9902</v>
      </c>
      <c r="I39" s="709">
        <v>368065</v>
      </c>
      <c r="J39" s="709">
        <v>495889</v>
      </c>
      <c r="K39" s="709">
        <v>863954</v>
      </c>
      <c r="L39" s="709">
        <v>681006</v>
      </c>
      <c r="M39" s="709">
        <v>577931</v>
      </c>
      <c r="N39" s="709">
        <v>1258937</v>
      </c>
      <c r="O39" s="709">
        <v>28839</v>
      </c>
      <c r="P39" s="709">
        <v>27724</v>
      </c>
      <c r="Q39" s="709">
        <v>56563</v>
      </c>
      <c r="R39" s="709">
        <v>48627</v>
      </c>
      <c r="S39" s="709">
        <v>30894</v>
      </c>
      <c r="T39" s="709">
        <v>79521</v>
      </c>
      <c r="U39" s="709">
        <v>13639</v>
      </c>
      <c r="V39" s="709">
        <v>16851</v>
      </c>
      <c r="W39" s="709">
        <v>30490</v>
      </c>
      <c r="X39" s="709">
        <v>20421</v>
      </c>
      <c r="Y39" s="709">
        <v>17506</v>
      </c>
      <c r="Z39" s="709">
        <v>37927</v>
      </c>
      <c r="AA39" s="709">
        <v>1191568</v>
      </c>
      <c r="AB39" s="709">
        <v>1196036</v>
      </c>
      <c r="AC39" s="709">
        <v>2387604</v>
      </c>
    </row>
    <row r="40" spans="1:29" ht="16.899999999999999" customHeight="1">
      <c r="A40" s="1245"/>
      <c r="B40" s="708" t="s">
        <v>227</v>
      </c>
      <c r="C40" s="397">
        <v>24042</v>
      </c>
      <c r="D40" s="397">
        <v>19917</v>
      </c>
      <c r="E40" s="341">
        <v>43959</v>
      </c>
      <c r="F40" s="397">
        <v>4535</v>
      </c>
      <c r="G40" s="397">
        <v>6954</v>
      </c>
      <c r="H40" s="341">
        <v>11489</v>
      </c>
      <c r="I40" s="397">
        <v>440113</v>
      </c>
      <c r="J40" s="397">
        <v>534821</v>
      </c>
      <c r="K40" s="341">
        <v>974934</v>
      </c>
      <c r="L40" s="397">
        <v>716369</v>
      </c>
      <c r="M40" s="397">
        <v>584153</v>
      </c>
      <c r="N40" s="341">
        <v>1300522</v>
      </c>
      <c r="O40" s="397">
        <v>39379</v>
      </c>
      <c r="P40" s="397">
        <v>40377</v>
      </c>
      <c r="Q40" s="341">
        <v>79756</v>
      </c>
      <c r="R40" s="397">
        <v>70633</v>
      </c>
      <c r="S40" s="397">
        <v>39897</v>
      </c>
      <c r="T40" s="341">
        <v>110530</v>
      </c>
      <c r="U40" s="397">
        <v>14790</v>
      </c>
      <c r="V40" s="397">
        <v>25917</v>
      </c>
      <c r="W40" s="341">
        <v>40707</v>
      </c>
      <c r="X40" s="397">
        <v>19453</v>
      </c>
      <c r="Y40" s="397">
        <v>15283</v>
      </c>
      <c r="Z40" s="341">
        <v>34736</v>
      </c>
      <c r="AA40" s="341">
        <v>1329314</v>
      </c>
      <c r="AB40" s="341">
        <v>1267319</v>
      </c>
      <c r="AC40" s="341">
        <v>2596633</v>
      </c>
    </row>
    <row r="41" spans="1:29" ht="16.899999999999999" customHeight="1">
      <c r="A41" s="1245">
        <v>6</v>
      </c>
      <c r="B41" s="700" t="s">
        <v>124</v>
      </c>
      <c r="C41" s="701"/>
      <c r="D41" s="702"/>
      <c r="E41" s="702"/>
      <c r="F41" s="702"/>
      <c r="G41" s="702"/>
      <c r="H41" s="702"/>
      <c r="I41" s="702"/>
      <c r="J41" s="702"/>
      <c r="K41" s="703"/>
      <c r="L41" s="701"/>
      <c r="M41" s="702"/>
      <c r="N41" s="702"/>
      <c r="O41" s="702"/>
      <c r="P41" s="702"/>
      <c r="Q41" s="702"/>
      <c r="R41" s="702"/>
      <c r="S41" s="702"/>
      <c r="T41" s="703"/>
      <c r="U41" s="701"/>
      <c r="V41" s="702"/>
      <c r="W41" s="702"/>
      <c r="X41" s="702"/>
      <c r="Y41" s="702"/>
      <c r="Z41" s="702"/>
      <c r="AA41" s="702"/>
      <c r="AB41" s="702"/>
      <c r="AC41" s="703"/>
    </row>
    <row r="42" spans="1:29" ht="16.899999999999999" customHeight="1">
      <c r="A42" s="1245"/>
      <c r="B42" s="704" t="s">
        <v>919</v>
      </c>
      <c r="C42" s="701">
        <v>162</v>
      </c>
      <c r="D42" s="702">
        <v>120</v>
      </c>
      <c r="E42" s="702">
        <v>282</v>
      </c>
      <c r="F42" s="702">
        <v>20</v>
      </c>
      <c r="G42" s="702">
        <v>9</v>
      </c>
      <c r="H42" s="702">
        <v>29</v>
      </c>
      <c r="I42" s="702">
        <v>238925</v>
      </c>
      <c r="J42" s="702">
        <v>219679</v>
      </c>
      <c r="K42" s="703">
        <v>458604</v>
      </c>
      <c r="L42" s="701">
        <v>786816</v>
      </c>
      <c r="M42" s="702">
        <v>479510</v>
      </c>
      <c r="N42" s="702">
        <v>1266326</v>
      </c>
      <c r="O42" s="702">
        <v>9784</v>
      </c>
      <c r="P42" s="702">
        <v>4734</v>
      </c>
      <c r="Q42" s="702">
        <v>14518</v>
      </c>
      <c r="R42" s="702">
        <v>32545</v>
      </c>
      <c r="S42" s="702">
        <v>20045</v>
      </c>
      <c r="T42" s="703">
        <v>52590</v>
      </c>
      <c r="U42" s="701">
        <v>5210</v>
      </c>
      <c r="V42" s="702">
        <v>2444</v>
      </c>
      <c r="W42" s="702">
        <v>7654</v>
      </c>
      <c r="X42" s="702"/>
      <c r="Y42" s="702"/>
      <c r="Z42" s="702"/>
      <c r="AA42" s="702">
        <v>1073462</v>
      </c>
      <c r="AB42" s="702">
        <v>726541</v>
      </c>
      <c r="AC42" s="703">
        <v>1800003</v>
      </c>
    </row>
    <row r="43" spans="1:29" ht="16.899999999999999" customHeight="1">
      <c r="A43" s="1245"/>
      <c r="B43" s="704" t="s">
        <v>876</v>
      </c>
      <c r="C43" s="397">
        <v>141</v>
      </c>
      <c r="D43" s="397">
        <v>139</v>
      </c>
      <c r="E43" s="341">
        <v>280</v>
      </c>
      <c r="F43" s="397">
        <v>7</v>
      </c>
      <c r="G43" s="397">
        <v>15</v>
      </c>
      <c r="H43" s="341">
        <v>22</v>
      </c>
      <c r="I43" s="397">
        <v>165176</v>
      </c>
      <c r="J43" s="397">
        <v>150134</v>
      </c>
      <c r="K43" s="341">
        <v>315310</v>
      </c>
      <c r="L43" s="397">
        <v>667510</v>
      </c>
      <c r="M43" s="397">
        <v>398571</v>
      </c>
      <c r="N43" s="341">
        <v>1066081</v>
      </c>
      <c r="O43" s="397">
        <v>21874</v>
      </c>
      <c r="P43" s="397">
        <v>17285</v>
      </c>
      <c r="Q43" s="341">
        <v>39159</v>
      </c>
      <c r="R43" s="397">
        <v>32122</v>
      </c>
      <c r="S43" s="397">
        <v>23184</v>
      </c>
      <c r="T43" s="341">
        <v>55306</v>
      </c>
      <c r="U43" s="397">
        <v>24465</v>
      </c>
      <c r="V43" s="397">
        <v>14114</v>
      </c>
      <c r="W43" s="341">
        <v>38579</v>
      </c>
      <c r="X43" s="397">
        <v>0</v>
      </c>
      <c r="Y43" s="397">
        <v>0</v>
      </c>
      <c r="Z43" s="341">
        <v>0</v>
      </c>
      <c r="AA43" s="341">
        <v>911295</v>
      </c>
      <c r="AB43" s="341">
        <v>603442</v>
      </c>
      <c r="AC43" s="341">
        <v>1514737</v>
      </c>
    </row>
    <row r="44" spans="1:29" ht="16.899999999999999" customHeight="1">
      <c r="A44" s="1245"/>
      <c r="B44" s="704" t="s">
        <v>229</v>
      </c>
      <c r="C44" s="398">
        <v>112</v>
      </c>
      <c r="D44" s="398">
        <v>71</v>
      </c>
      <c r="E44" s="347">
        <v>183</v>
      </c>
      <c r="F44" s="398">
        <v>14</v>
      </c>
      <c r="G44" s="398">
        <v>11</v>
      </c>
      <c r="H44" s="347">
        <v>25</v>
      </c>
      <c r="I44" s="398">
        <v>97882</v>
      </c>
      <c r="J44" s="398">
        <v>97968</v>
      </c>
      <c r="K44" s="347">
        <v>195850</v>
      </c>
      <c r="L44" s="398">
        <v>584872</v>
      </c>
      <c r="M44" s="398">
        <v>338072</v>
      </c>
      <c r="N44" s="347">
        <v>922944</v>
      </c>
      <c r="O44" s="398">
        <v>8266</v>
      </c>
      <c r="P44" s="398">
        <v>7616</v>
      </c>
      <c r="Q44" s="347">
        <v>15882</v>
      </c>
      <c r="R44" s="398">
        <v>28729</v>
      </c>
      <c r="S44" s="398">
        <v>22808</v>
      </c>
      <c r="T44" s="347">
        <v>51537</v>
      </c>
      <c r="U44" s="398">
        <v>12800</v>
      </c>
      <c r="V44" s="398">
        <v>8839</v>
      </c>
      <c r="W44" s="347">
        <v>21639</v>
      </c>
      <c r="X44" s="398">
        <v>0</v>
      </c>
      <c r="Y44" s="398">
        <v>0</v>
      </c>
      <c r="Z44" s="347">
        <v>0</v>
      </c>
      <c r="AA44" s="347">
        <v>732675</v>
      </c>
      <c r="AB44" s="347">
        <v>475385</v>
      </c>
      <c r="AC44" s="347">
        <v>1208060</v>
      </c>
    </row>
    <row r="45" spans="1:29" ht="16.899999999999999" customHeight="1">
      <c r="A45" s="1245"/>
      <c r="B45" s="708" t="s">
        <v>228</v>
      </c>
      <c r="C45" s="709">
        <v>124</v>
      </c>
      <c r="D45" s="709">
        <v>74</v>
      </c>
      <c r="E45" s="709">
        <v>198</v>
      </c>
      <c r="F45" s="709">
        <v>0</v>
      </c>
      <c r="G45" s="709">
        <v>0</v>
      </c>
      <c r="H45" s="709">
        <v>0</v>
      </c>
      <c r="I45" s="709">
        <v>89507</v>
      </c>
      <c r="J45" s="709">
        <v>88333</v>
      </c>
      <c r="K45" s="709">
        <v>177840</v>
      </c>
      <c r="L45" s="709">
        <v>584970</v>
      </c>
      <c r="M45" s="709">
        <v>324191</v>
      </c>
      <c r="N45" s="709">
        <v>909161</v>
      </c>
      <c r="O45" s="709">
        <v>13861</v>
      </c>
      <c r="P45" s="709">
        <v>13120</v>
      </c>
      <c r="Q45" s="709">
        <v>26981</v>
      </c>
      <c r="R45" s="709">
        <v>26192</v>
      </c>
      <c r="S45" s="709">
        <v>17391</v>
      </c>
      <c r="T45" s="709">
        <v>43583</v>
      </c>
      <c r="U45" s="709">
        <v>8656</v>
      </c>
      <c r="V45" s="709">
        <v>8328</v>
      </c>
      <c r="W45" s="709">
        <v>16984</v>
      </c>
      <c r="X45" s="709">
        <v>0</v>
      </c>
      <c r="Y45" s="709">
        <v>0</v>
      </c>
      <c r="Z45" s="709">
        <v>0</v>
      </c>
      <c r="AA45" s="709">
        <v>723310</v>
      </c>
      <c r="AB45" s="709">
        <v>451437</v>
      </c>
      <c r="AC45" s="709">
        <v>1174747</v>
      </c>
    </row>
    <row r="46" spans="1:29" ht="16.899999999999999" customHeight="1">
      <c r="A46" s="1245"/>
      <c r="B46" s="708" t="s">
        <v>227</v>
      </c>
      <c r="C46" s="397">
        <v>95</v>
      </c>
      <c r="D46" s="397">
        <v>55</v>
      </c>
      <c r="E46" s="341">
        <v>150</v>
      </c>
      <c r="F46" s="397">
        <v>0</v>
      </c>
      <c r="G46" s="397">
        <v>0</v>
      </c>
      <c r="H46" s="341">
        <v>0</v>
      </c>
      <c r="I46" s="397">
        <v>98422</v>
      </c>
      <c r="J46" s="397">
        <v>86079</v>
      </c>
      <c r="K46" s="341">
        <v>184501</v>
      </c>
      <c r="L46" s="397">
        <v>558849</v>
      </c>
      <c r="M46" s="397">
        <v>296255</v>
      </c>
      <c r="N46" s="341">
        <v>855104</v>
      </c>
      <c r="O46" s="397">
        <v>5863</v>
      </c>
      <c r="P46" s="397">
        <v>3819</v>
      </c>
      <c r="Q46" s="341">
        <v>9682</v>
      </c>
      <c r="R46" s="397">
        <v>13351</v>
      </c>
      <c r="S46" s="397">
        <v>8532</v>
      </c>
      <c r="T46" s="341">
        <v>21883</v>
      </c>
      <c r="U46" s="397">
        <v>9168</v>
      </c>
      <c r="V46" s="397">
        <v>9595</v>
      </c>
      <c r="W46" s="341">
        <v>18763</v>
      </c>
      <c r="X46" s="397">
        <v>0</v>
      </c>
      <c r="Y46" s="397">
        <v>0</v>
      </c>
      <c r="Z46" s="341">
        <v>0</v>
      </c>
      <c r="AA46" s="341">
        <v>685748</v>
      </c>
      <c r="AB46" s="341">
        <v>404335</v>
      </c>
      <c r="AC46" s="341">
        <v>1090083</v>
      </c>
    </row>
    <row r="47" spans="1:29" ht="29.25">
      <c r="A47" s="1245">
        <v>7</v>
      </c>
      <c r="B47" s="711" t="s">
        <v>126</v>
      </c>
      <c r="C47" s="701"/>
      <c r="D47" s="702"/>
      <c r="E47" s="702"/>
      <c r="F47" s="702"/>
      <c r="G47" s="702"/>
      <c r="H47" s="702"/>
      <c r="I47" s="702"/>
      <c r="J47" s="702"/>
      <c r="K47" s="703"/>
      <c r="L47" s="701"/>
      <c r="M47" s="702"/>
      <c r="N47" s="702"/>
      <c r="O47" s="702"/>
      <c r="P47" s="702"/>
      <c r="Q47" s="702"/>
      <c r="R47" s="702"/>
      <c r="S47" s="702"/>
      <c r="T47" s="703"/>
      <c r="U47" s="701"/>
      <c r="V47" s="702"/>
      <c r="W47" s="702"/>
      <c r="X47" s="702"/>
      <c r="Y47" s="702"/>
      <c r="Z47" s="702"/>
      <c r="AA47" s="702"/>
      <c r="AB47" s="702"/>
      <c r="AC47" s="703"/>
    </row>
    <row r="48" spans="1:29">
      <c r="A48" s="1245"/>
      <c r="B48" s="704" t="s">
        <v>919</v>
      </c>
      <c r="C48" s="701">
        <v>238</v>
      </c>
      <c r="D48" s="702">
        <v>76</v>
      </c>
      <c r="E48" s="702">
        <v>314</v>
      </c>
      <c r="F48" s="702"/>
      <c r="G48" s="702"/>
      <c r="H48" s="702"/>
      <c r="I48" s="702">
        <v>464</v>
      </c>
      <c r="J48" s="702">
        <v>735</v>
      </c>
      <c r="K48" s="703">
        <v>1199</v>
      </c>
      <c r="L48" s="701">
        <v>1134</v>
      </c>
      <c r="M48" s="702">
        <v>2868</v>
      </c>
      <c r="N48" s="702">
        <v>4002</v>
      </c>
      <c r="O48" s="702">
        <v>8</v>
      </c>
      <c r="P48" s="702">
        <v>61</v>
      </c>
      <c r="Q48" s="702">
        <v>69</v>
      </c>
      <c r="R48" s="702">
        <v>782</v>
      </c>
      <c r="S48" s="702">
        <v>659</v>
      </c>
      <c r="T48" s="703">
        <v>1441</v>
      </c>
      <c r="U48" s="701">
        <v>39</v>
      </c>
      <c r="V48" s="702">
        <v>28</v>
      </c>
      <c r="W48" s="702">
        <v>67</v>
      </c>
      <c r="X48" s="702"/>
      <c r="Y48" s="702"/>
      <c r="Z48" s="702"/>
      <c r="AA48" s="702">
        <v>2665</v>
      </c>
      <c r="AB48" s="702">
        <v>4427</v>
      </c>
      <c r="AC48" s="703">
        <v>7092</v>
      </c>
    </row>
    <row r="49" spans="1:29" ht="16.899999999999999" customHeight="1">
      <c r="A49" s="1245"/>
      <c r="B49" s="704" t="s">
        <v>876</v>
      </c>
      <c r="C49" s="397">
        <v>117</v>
      </c>
      <c r="D49" s="397">
        <v>66</v>
      </c>
      <c r="E49" s="341">
        <v>183</v>
      </c>
      <c r="F49" s="397">
        <v>0</v>
      </c>
      <c r="G49" s="397">
        <v>0</v>
      </c>
      <c r="H49" s="341">
        <v>0</v>
      </c>
      <c r="I49" s="397">
        <v>574</v>
      </c>
      <c r="J49" s="397">
        <v>789</v>
      </c>
      <c r="K49" s="341">
        <v>1363</v>
      </c>
      <c r="L49" s="397">
        <v>1035</v>
      </c>
      <c r="M49" s="397">
        <v>4283</v>
      </c>
      <c r="N49" s="341">
        <v>5318</v>
      </c>
      <c r="O49" s="397">
        <v>5</v>
      </c>
      <c r="P49" s="397">
        <v>54</v>
      </c>
      <c r="Q49" s="341">
        <v>59</v>
      </c>
      <c r="R49" s="397">
        <v>61</v>
      </c>
      <c r="S49" s="397">
        <v>237</v>
      </c>
      <c r="T49" s="341">
        <v>298</v>
      </c>
      <c r="U49" s="397">
        <v>43</v>
      </c>
      <c r="V49" s="397">
        <v>43</v>
      </c>
      <c r="W49" s="341">
        <v>86</v>
      </c>
      <c r="X49" s="397">
        <v>0</v>
      </c>
      <c r="Y49" s="397">
        <v>0</v>
      </c>
      <c r="Z49" s="341">
        <v>0</v>
      </c>
      <c r="AA49" s="341">
        <v>1835</v>
      </c>
      <c r="AB49" s="341">
        <v>5472</v>
      </c>
      <c r="AC49" s="341">
        <v>7307</v>
      </c>
    </row>
    <row r="50" spans="1:29" ht="16.899999999999999" customHeight="1">
      <c r="A50" s="1245"/>
      <c r="B50" s="704" t="s">
        <v>229</v>
      </c>
      <c r="C50" s="398">
        <v>223</v>
      </c>
      <c r="D50" s="398">
        <v>58</v>
      </c>
      <c r="E50" s="347">
        <v>281</v>
      </c>
      <c r="F50" s="398">
        <v>0</v>
      </c>
      <c r="G50" s="398">
        <v>0</v>
      </c>
      <c r="H50" s="347">
        <v>0</v>
      </c>
      <c r="I50" s="398">
        <v>628</v>
      </c>
      <c r="J50" s="398">
        <v>595</v>
      </c>
      <c r="K50" s="347">
        <v>1223</v>
      </c>
      <c r="L50" s="398">
        <v>1389</v>
      </c>
      <c r="M50" s="398">
        <v>2755</v>
      </c>
      <c r="N50" s="347">
        <v>4144</v>
      </c>
      <c r="O50" s="398">
        <v>26</v>
      </c>
      <c r="P50" s="398">
        <v>56</v>
      </c>
      <c r="Q50" s="347">
        <v>82</v>
      </c>
      <c r="R50" s="398">
        <v>46</v>
      </c>
      <c r="S50" s="398">
        <v>193</v>
      </c>
      <c r="T50" s="347">
        <v>239</v>
      </c>
      <c r="U50" s="398">
        <v>38</v>
      </c>
      <c r="V50" s="398">
        <v>45</v>
      </c>
      <c r="W50" s="347">
        <v>83</v>
      </c>
      <c r="X50" s="398">
        <v>0</v>
      </c>
      <c r="Y50" s="398">
        <v>0</v>
      </c>
      <c r="Z50" s="347">
        <v>0</v>
      </c>
      <c r="AA50" s="347">
        <v>2350</v>
      </c>
      <c r="AB50" s="347">
        <v>3702</v>
      </c>
      <c r="AC50" s="347">
        <v>6052</v>
      </c>
    </row>
    <row r="51" spans="1:29" ht="16.899999999999999" customHeight="1">
      <c r="A51" s="1245"/>
      <c r="B51" s="708" t="s">
        <v>228</v>
      </c>
      <c r="C51" s="709">
        <v>59</v>
      </c>
      <c r="D51" s="709">
        <v>14</v>
      </c>
      <c r="E51" s="709">
        <v>73</v>
      </c>
      <c r="F51" s="709">
        <v>0</v>
      </c>
      <c r="G51" s="709">
        <v>0</v>
      </c>
      <c r="H51" s="709">
        <v>0</v>
      </c>
      <c r="I51" s="709">
        <v>556</v>
      </c>
      <c r="J51" s="709">
        <v>479</v>
      </c>
      <c r="K51" s="709">
        <v>1035</v>
      </c>
      <c r="L51" s="709">
        <v>1283</v>
      </c>
      <c r="M51" s="709">
        <v>2597</v>
      </c>
      <c r="N51" s="709">
        <v>3880</v>
      </c>
      <c r="O51" s="709">
        <v>48</v>
      </c>
      <c r="P51" s="709">
        <v>31</v>
      </c>
      <c r="Q51" s="709">
        <v>79</v>
      </c>
      <c r="R51" s="709">
        <v>29</v>
      </c>
      <c r="S51" s="709">
        <v>14</v>
      </c>
      <c r="T51" s="709">
        <v>43</v>
      </c>
      <c r="U51" s="709">
        <v>4</v>
      </c>
      <c r="V51" s="709">
        <v>1</v>
      </c>
      <c r="W51" s="709">
        <v>5</v>
      </c>
      <c r="X51" s="709">
        <v>0</v>
      </c>
      <c r="Y51" s="709">
        <v>0</v>
      </c>
      <c r="Z51" s="709">
        <v>0</v>
      </c>
      <c r="AA51" s="709">
        <v>1979</v>
      </c>
      <c r="AB51" s="709">
        <v>3136</v>
      </c>
      <c r="AC51" s="709">
        <v>5115</v>
      </c>
    </row>
    <row r="52" spans="1:29" ht="16.899999999999999" customHeight="1">
      <c r="A52" s="1245"/>
      <c r="B52" s="708" t="s">
        <v>227</v>
      </c>
      <c r="C52" s="397">
        <v>177</v>
      </c>
      <c r="D52" s="397">
        <v>23</v>
      </c>
      <c r="E52" s="341">
        <v>200</v>
      </c>
      <c r="F52" s="397">
        <v>0</v>
      </c>
      <c r="G52" s="397">
        <v>0</v>
      </c>
      <c r="H52" s="341">
        <v>0</v>
      </c>
      <c r="I52" s="397">
        <v>432</v>
      </c>
      <c r="J52" s="397">
        <v>245</v>
      </c>
      <c r="K52" s="341">
        <v>677</v>
      </c>
      <c r="L52" s="397">
        <v>823</v>
      </c>
      <c r="M52" s="397">
        <v>1727</v>
      </c>
      <c r="N52" s="341">
        <v>2550</v>
      </c>
      <c r="O52" s="397">
        <v>26</v>
      </c>
      <c r="P52" s="397">
        <v>16</v>
      </c>
      <c r="Q52" s="341">
        <v>42</v>
      </c>
      <c r="R52" s="397">
        <v>40</v>
      </c>
      <c r="S52" s="397">
        <v>162</v>
      </c>
      <c r="T52" s="341">
        <v>202</v>
      </c>
      <c r="U52" s="397">
        <v>25</v>
      </c>
      <c r="V52" s="397">
        <v>13</v>
      </c>
      <c r="W52" s="341">
        <v>38</v>
      </c>
      <c r="X52" s="397">
        <v>0</v>
      </c>
      <c r="Y52" s="397">
        <v>0</v>
      </c>
      <c r="Z52" s="341">
        <v>0</v>
      </c>
      <c r="AA52" s="341">
        <v>1523</v>
      </c>
      <c r="AB52" s="341">
        <v>2186</v>
      </c>
      <c r="AC52" s="341">
        <v>3709</v>
      </c>
    </row>
    <row r="53" spans="1:29" ht="16.899999999999999" customHeight="1">
      <c r="A53" s="1245">
        <v>8</v>
      </c>
      <c r="B53" s="700" t="s">
        <v>125</v>
      </c>
      <c r="C53" s="701"/>
      <c r="D53" s="702"/>
      <c r="E53" s="702"/>
      <c r="F53" s="702"/>
      <c r="G53" s="702"/>
      <c r="H53" s="702"/>
      <c r="I53" s="702"/>
      <c r="J53" s="702"/>
      <c r="K53" s="703"/>
      <c r="L53" s="701"/>
      <c r="M53" s="702"/>
      <c r="N53" s="702"/>
      <c r="O53" s="702"/>
      <c r="P53" s="702"/>
      <c r="Q53" s="702"/>
      <c r="R53" s="702"/>
      <c r="S53" s="702"/>
      <c r="T53" s="703"/>
      <c r="U53" s="701"/>
      <c r="V53" s="702"/>
      <c r="W53" s="702"/>
      <c r="X53" s="702"/>
      <c r="Y53" s="702"/>
      <c r="Z53" s="702"/>
      <c r="AA53" s="702"/>
      <c r="AB53" s="702"/>
      <c r="AC53" s="703"/>
    </row>
    <row r="54" spans="1:29" ht="16.899999999999999" customHeight="1">
      <c r="A54" s="1245"/>
      <c r="B54" s="704" t="s">
        <v>919</v>
      </c>
      <c r="C54" s="701">
        <v>17263</v>
      </c>
      <c r="D54" s="702">
        <v>16929</v>
      </c>
      <c r="E54" s="702">
        <v>34192</v>
      </c>
      <c r="F54" s="702">
        <v>30</v>
      </c>
      <c r="G54" s="702">
        <v>190</v>
      </c>
      <c r="H54" s="702">
        <v>220</v>
      </c>
      <c r="I54" s="702">
        <v>158727</v>
      </c>
      <c r="J54" s="702">
        <v>122954</v>
      </c>
      <c r="K54" s="703">
        <v>281681</v>
      </c>
      <c r="L54" s="701">
        <v>741651</v>
      </c>
      <c r="M54" s="702">
        <v>371904</v>
      </c>
      <c r="N54" s="702">
        <v>1113555</v>
      </c>
      <c r="O54" s="702">
        <v>5157</v>
      </c>
      <c r="P54" s="702">
        <v>3466</v>
      </c>
      <c r="Q54" s="702">
        <v>8623</v>
      </c>
      <c r="R54" s="702">
        <v>86439</v>
      </c>
      <c r="S54" s="702">
        <v>22545</v>
      </c>
      <c r="T54" s="703">
        <v>108984</v>
      </c>
      <c r="U54" s="701">
        <v>996</v>
      </c>
      <c r="V54" s="702">
        <v>449</v>
      </c>
      <c r="W54" s="702">
        <v>1445</v>
      </c>
      <c r="X54" s="702">
        <v>38546</v>
      </c>
      <c r="Y54" s="702">
        <v>29019</v>
      </c>
      <c r="Z54" s="702">
        <v>67565</v>
      </c>
      <c r="AA54" s="702">
        <v>1048809</v>
      </c>
      <c r="AB54" s="702">
        <v>567456</v>
      </c>
      <c r="AC54" s="703">
        <v>1616265</v>
      </c>
    </row>
    <row r="55" spans="1:29" ht="16.899999999999999" customHeight="1">
      <c r="A55" s="1245"/>
      <c r="B55" s="704" t="s">
        <v>876</v>
      </c>
      <c r="C55" s="397">
        <v>15153</v>
      </c>
      <c r="D55" s="397">
        <v>13366</v>
      </c>
      <c r="E55" s="341">
        <v>28519</v>
      </c>
      <c r="F55" s="397">
        <v>123</v>
      </c>
      <c r="G55" s="397">
        <v>267</v>
      </c>
      <c r="H55" s="341">
        <v>390</v>
      </c>
      <c r="I55" s="397">
        <v>137724</v>
      </c>
      <c r="J55" s="397">
        <v>107377</v>
      </c>
      <c r="K55" s="341">
        <v>245101</v>
      </c>
      <c r="L55" s="397">
        <v>658725</v>
      </c>
      <c r="M55" s="397">
        <v>334585</v>
      </c>
      <c r="N55" s="341">
        <v>993310</v>
      </c>
      <c r="O55" s="397">
        <v>12092</v>
      </c>
      <c r="P55" s="397">
        <v>11166</v>
      </c>
      <c r="Q55" s="341">
        <v>23258</v>
      </c>
      <c r="R55" s="397">
        <v>85036</v>
      </c>
      <c r="S55" s="397">
        <v>28264</v>
      </c>
      <c r="T55" s="341">
        <v>113300</v>
      </c>
      <c r="U55" s="397">
        <v>11254</v>
      </c>
      <c r="V55" s="397">
        <v>421</v>
      </c>
      <c r="W55" s="341">
        <v>11675</v>
      </c>
      <c r="X55" s="397">
        <v>34237</v>
      </c>
      <c r="Y55" s="397">
        <v>25879</v>
      </c>
      <c r="Z55" s="341">
        <v>60116</v>
      </c>
      <c r="AA55" s="341">
        <v>954344</v>
      </c>
      <c r="AB55" s="341">
        <v>521325</v>
      </c>
      <c r="AC55" s="341">
        <v>1475669</v>
      </c>
    </row>
    <row r="56" spans="1:29" ht="16.899999999999999" customHeight="1">
      <c r="A56" s="1245"/>
      <c r="B56" s="704" t="s">
        <v>229</v>
      </c>
      <c r="C56" s="398">
        <v>12063</v>
      </c>
      <c r="D56" s="398">
        <v>11343</v>
      </c>
      <c r="E56" s="347">
        <v>23406</v>
      </c>
      <c r="F56" s="398">
        <v>644</v>
      </c>
      <c r="G56" s="398">
        <v>549</v>
      </c>
      <c r="H56" s="347">
        <v>1193</v>
      </c>
      <c r="I56" s="398">
        <v>129672</v>
      </c>
      <c r="J56" s="398">
        <v>93921</v>
      </c>
      <c r="K56" s="347">
        <v>223593</v>
      </c>
      <c r="L56" s="398">
        <v>568894</v>
      </c>
      <c r="M56" s="398">
        <v>278146</v>
      </c>
      <c r="N56" s="347">
        <v>847040</v>
      </c>
      <c r="O56" s="398">
        <v>10593</v>
      </c>
      <c r="P56" s="398">
        <v>10023</v>
      </c>
      <c r="Q56" s="347">
        <v>20616</v>
      </c>
      <c r="R56" s="398">
        <v>79832</v>
      </c>
      <c r="S56" s="398">
        <v>24946</v>
      </c>
      <c r="T56" s="347">
        <v>104778</v>
      </c>
      <c r="U56" s="398">
        <v>3164</v>
      </c>
      <c r="V56" s="398">
        <v>1197</v>
      </c>
      <c r="W56" s="347">
        <v>4361</v>
      </c>
      <c r="X56" s="398">
        <v>28845</v>
      </c>
      <c r="Y56" s="398">
        <v>22369</v>
      </c>
      <c r="Z56" s="347">
        <v>51214</v>
      </c>
      <c r="AA56" s="347">
        <v>833707</v>
      </c>
      <c r="AB56" s="347">
        <v>442494</v>
      </c>
      <c r="AC56" s="347">
        <v>1276201</v>
      </c>
    </row>
    <row r="57" spans="1:29" ht="16.899999999999999" customHeight="1">
      <c r="A57" s="1245"/>
      <c r="B57" s="708" t="s">
        <v>228</v>
      </c>
      <c r="C57" s="709">
        <v>10426</v>
      </c>
      <c r="D57" s="709">
        <v>9160</v>
      </c>
      <c r="E57" s="709">
        <v>19586</v>
      </c>
      <c r="F57" s="709">
        <v>412</v>
      </c>
      <c r="G57" s="709">
        <v>442</v>
      </c>
      <c r="H57" s="709">
        <v>854</v>
      </c>
      <c r="I57" s="709">
        <v>120127</v>
      </c>
      <c r="J57" s="709">
        <v>84335</v>
      </c>
      <c r="K57" s="709">
        <v>204462</v>
      </c>
      <c r="L57" s="709">
        <v>520804</v>
      </c>
      <c r="M57" s="709">
        <v>249851</v>
      </c>
      <c r="N57" s="709">
        <v>770655</v>
      </c>
      <c r="O57" s="709">
        <v>13958</v>
      </c>
      <c r="P57" s="709">
        <v>11021</v>
      </c>
      <c r="Q57" s="709">
        <v>24979</v>
      </c>
      <c r="R57" s="709">
        <v>70940</v>
      </c>
      <c r="S57" s="709">
        <v>25827</v>
      </c>
      <c r="T57" s="709">
        <v>96767</v>
      </c>
      <c r="U57" s="709">
        <v>358</v>
      </c>
      <c r="V57" s="709">
        <v>272</v>
      </c>
      <c r="W57" s="709">
        <v>630</v>
      </c>
      <c r="X57" s="709">
        <v>22477</v>
      </c>
      <c r="Y57" s="709">
        <v>16683</v>
      </c>
      <c r="Z57" s="709">
        <v>39160</v>
      </c>
      <c r="AA57" s="709">
        <v>759502</v>
      </c>
      <c r="AB57" s="709">
        <v>397591</v>
      </c>
      <c r="AC57" s="709">
        <v>1157093</v>
      </c>
    </row>
    <row r="58" spans="1:29" ht="16.899999999999999" customHeight="1">
      <c r="A58" s="1245"/>
      <c r="B58" s="708" t="s">
        <v>227</v>
      </c>
      <c r="C58" s="397">
        <v>7083</v>
      </c>
      <c r="D58" s="397">
        <v>6284</v>
      </c>
      <c r="E58" s="341">
        <v>13367</v>
      </c>
      <c r="F58" s="397">
        <v>333</v>
      </c>
      <c r="G58" s="397">
        <v>442</v>
      </c>
      <c r="H58" s="341">
        <v>775</v>
      </c>
      <c r="I58" s="397">
        <v>117798</v>
      </c>
      <c r="J58" s="397">
        <v>78796</v>
      </c>
      <c r="K58" s="341">
        <v>196594</v>
      </c>
      <c r="L58" s="397">
        <v>459409</v>
      </c>
      <c r="M58" s="397">
        <v>210774</v>
      </c>
      <c r="N58" s="341">
        <v>670183</v>
      </c>
      <c r="O58" s="397">
        <v>17331</v>
      </c>
      <c r="P58" s="397">
        <v>14746</v>
      </c>
      <c r="Q58" s="341">
        <v>32077</v>
      </c>
      <c r="R58" s="397">
        <v>66921</v>
      </c>
      <c r="S58" s="397">
        <v>24850</v>
      </c>
      <c r="T58" s="341">
        <v>91771</v>
      </c>
      <c r="U58" s="397">
        <v>712</v>
      </c>
      <c r="V58" s="397">
        <v>285</v>
      </c>
      <c r="W58" s="341">
        <v>997</v>
      </c>
      <c r="X58" s="397">
        <v>16837</v>
      </c>
      <c r="Y58" s="397">
        <v>13128</v>
      </c>
      <c r="Z58" s="341">
        <v>29965</v>
      </c>
      <c r="AA58" s="341">
        <v>686424</v>
      </c>
      <c r="AB58" s="341">
        <v>349305</v>
      </c>
      <c r="AC58" s="341">
        <v>1035729</v>
      </c>
    </row>
    <row r="59" spans="1:29" ht="29.25">
      <c r="A59" s="1245">
        <v>9</v>
      </c>
      <c r="B59" s="711" t="s">
        <v>128</v>
      </c>
      <c r="C59" s="701"/>
      <c r="D59" s="702"/>
      <c r="E59" s="702"/>
      <c r="F59" s="702"/>
      <c r="G59" s="702"/>
      <c r="H59" s="702"/>
      <c r="I59" s="702"/>
      <c r="J59" s="702"/>
      <c r="K59" s="703"/>
      <c r="L59" s="701"/>
      <c r="M59" s="702"/>
      <c r="N59" s="702"/>
      <c r="O59" s="702"/>
      <c r="P59" s="702"/>
      <c r="Q59" s="702"/>
      <c r="R59" s="702"/>
      <c r="S59" s="702"/>
      <c r="T59" s="703"/>
      <c r="U59" s="701"/>
      <c r="V59" s="702"/>
      <c r="W59" s="702"/>
      <c r="X59" s="702"/>
      <c r="Y59" s="702"/>
      <c r="Z59" s="702"/>
      <c r="AA59" s="702"/>
      <c r="AB59" s="702"/>
      <c r="AC59" s="703"/>
    </row>
    <row r="60" spans="1:29">
      <c r="A60" s="1245"/>
      <c r="B60" s="704" t="s">
        <v>919</v>
      </c>
      <c r="C60" s="701">
        <v>923</v>
      </c>
      <c r="D60" s="702">
        <v>1681</v>
      </c>
      <c r="E60" s="702">
        <v>2604</v>
      </c>
      <c r="F60" s="702">
        <v>44</v>
      </c>
      <c r="G60" s="702">
        <v>48</v>
      </c>
      <c r="H60" s="702">
        <v>92</v>
      </c>
      <c r="I60" s="702">
        <v>7250</v>
      </c>
      <c r="J60" s="702">
        <v>7866</v>
      </c>
      <c r="K60" s="703">
        <v>15116</v>
      </c>
      <c r="L60" s="701">
        <v>18439</v>
      </c>
      <c r="M60" s="702">
        <v>17835</v>
      </c>
      <c r="N60" s="702">
        <v>36274</v>
      </c>
      <c r="O60" s="702">
        <v>234</v>
      </c>
      <c r="P60" s="702">
        <v>246</v>
      </c>
      <c r="Q60" s="702">
        <v>480</v>
      </c>
      <c r="R60" s="702">
        <v>1940</v>
      </c>
      <c r="S60" s="702">
        <v>724</v>
      </c>
      <c r="T60" s="703">
        <v>2664</v>
      </c>
      <c r="U60" s="701">
        <v>609</v>
      </c>
      <c r="V60" s="702">
        <v>464</v>
      </c>
      <c r="W60" s="702">
        <v>1073</v>
      </c>
      <c r="X60" s="702">
        <v>722</v>
      </c>
      <c r="Y60" s="702">
        <v>911</v>
      </c>
      <c r="Z60" s="702">
        <v>1633</v>
      </c>
      <c r="AA60" s="702">
        <v>30161</v>
      </c>
      <c r="AB60" s="702">
        <v>29775</v>
      </c>
      <c r="AC60" s="703">
        <v>59936</v>
      </c>
    </row>
    <row r="61" spans="1:29" ht="16.899999999999999" customHeight="1">
      <c r="A61" s="1245"/>
      <c r="B61" s="704" t="s">
        <v>876</v>
      </c>
      <c r="C61" s="397">
        <v>1148</v>
      </c>
      <c r="D61" s="397">
        <v>1671</v>
      </c>
      <c r="E61" s="341">
        <v>2819</v>
      </c>
      <c r="F61" s="397">
        <v>34</v>
      </c>
      <c r="G61" s="397">
        <v>152</v>
      </c>
      <c r="H61" s="341">
        <v>186</v>
      </c>
      <c r="I61" s="397">
        <v>5885</v>
      </c>
      <c r="J61" s="397">
        <v>7993</v>
      </c>
      <c r="K61" s="341">
        <v>13878</v>
      </c>
      <c r="L61" s="397">
        <v>15514</v>
      </c>
      <c r="M61" s="397">
        <v>17241</v>
      </c>
      <c r="N61" s="341">
        <v>32755</v>
      </c>
      <c r="O61" s="397">
        <v>391</v>
      </c>
      <c r="P61" s="397">
        <v>413</v>
      </c>
      <c r="Q61" s="341">
        <v>804</v>
      </c>
      <c r="R61" s="397">
        <v>2080</v>
      </c>
      <c r="S61" s="397">
        <v>1044</v>
      </c>
      <c r="T61" s="341">
        <v>3124</v>
      </c>
      <c r="U61" s="397">
        <v>213</v>
      </c>
      <c r="V61" s="397">
        <v>121</v>
      </c>
      <c r="W61" s="341">
        <v>334</v>
      </c>
      <c r="X61" s="397">
        <v>703</v>
      </c>
      <c r="Y61" s="397">
        <v>729</v>
      </c>
      <c r="Z61" s="341">
        <v>1432</v>
      </c>
      <c r="AA61" s="341">
        <v>25968</v>
      </c>
      <c r="AB61" s="341">
        <v>29364</v>
      </c>
      <c r="AC61" s="341">
        <v>55332</v>
      </c>
    </row>
    <row r="62" spans="1:29" ht="16.899999999999999" customHeight="1">
      <c r="A62" s="1245"/>
      <c r="B62" s="704" t="s">
        <v>229</v>
      </c>
      <c r="C62" s="398">
        <v>997</v>
      </c>
      <c r="D62" s="398">
        <v>1654</v>
      </c>
      <c r="E62" s="347">
        <v>2651</v>
      </c>
      <c r="F62" s="398">
        <v>145</v>
      </c>
      <c r="G62" s="398">
        <v>290</v>
      </c>
      <c r="H62" s="347">
        <v>435</v>
      </c>
      <c r="I62" s="398">
        <v>5542</v>
      </c>
      <c r="J62" s="398">
        <v>6900</v>
      </c>
      <c r="K62" s="347">
        <v>12442</v>
      </c>
      <c r="L62" s="398">
        <v>16704</v>
      </c>
      <c r="M62" s="398">
        <v>17252</v>
      </c>
      <c r="N62" s="347">
        <v>33956</v>
      </c>
      <c r="O62" s="398">
        <v>317</v>
      </c>
      <c r="P62" s="398">
        <v>276</v>
      </c>
      <c r="Q62" s="347">
        <v>593</v>
      </c>
      <c r="R62" s="398">
        <v>2756</v>
      </c>
      <c r="S62" s="398">
        <v>917</v>
      </c>
      <c r="T62" s="347">
        <v>3673</v>
      </c>
      <c r="U62" s="398">
        <v>803</v>
      </c>
      <c r="V62" s="398">
        <v>702</v>
      </c>
      <c r="W62" s="347">
        <v>1505</v>
      </c>
      <c r="X62" s="398">
        <v>384</v>
      </c>
      <c r="Y62" s="398">
        <v>530</v>
      </c>
      <c r="Z62" s="347">
        <v>914</v>
      </c>
      <c r="AA62" s="347">
        <v>27648</v>
      </c>
      <c r="AB62" s="347">
        <v>28521</v>
      </c>
      <c r="AC62" s="347">
        <v>56169</v>
      </c>
    </row>
    <row r="63" spans="1:29" ht="16.899999999999999" customHeight="1">
      <c r="A63" s="1245"/>
      <c r="B63" s="708" t="s">
        <v>228</v>
      </c>
      <c r="C63" s="709">
        <v>1705</v>
      </c>
      <c r="D63" s="709">
        <v>1889</v>
      </c>
      <c r="E63" s="709">
        <v>3594</v>
      </c>
      <c r="F63" s="709">
        <v>197</v>
      </c>
      <c r="G63" s="709">
        <v>392</v>
      </c>
      <c r="H63" s="709">
        <v>589</v>
      </c>
      <c r="I63" s="709">
        <v>6334</v>
      </c>
      <c r="J63" s="709">
        <v>7555</v>
      </c>
      <c r="K63" s="709">
        <v>13889</v>
      </c>
      <c r="L63" s="709">
        <v>16337</v>
      </c>
      <c r="M63" s="709">
        <v>17902</v>
      </c>
      <c r="N63" s="709">
        <v>34239</v>
      </c>
      <c r="O63" s="709">
        <v>230</v>
      </c>
      <c r="P63" s="709">
        <v>214</v>
      </c>
      <c r="Q63" s="709">
        <v>444</v>
      </c>
      <c r="R63" s="709">
        <v>2345</v>
      </c>
      <c r="S63" s="709">
        <v>1157</v>
      </c>
      <c r="T63" s="709">
        <v>3502</v>
      </c>
      <c r="U63" s="709">
        <v>1565</v>
      </c>
      <c r="V63" s="709">
        <v>1260</v>
      </c>
      <c r="W63" s="709">
        <v>2825</v>
      </c>
      <c r="X63" s="709">
        <v>250</v>
      </c>
      <c r="Y63" s="709">
        <v>388</v>
      </c>
      <c r="Z63" s="709">
        <v>638</v>
      </c>
      <c r="AA63" s="709">
        <v>28963</v>
      </c>
      <c r="AB63" s="709">
        <v>30757</v>
      </c>
      <c r="AC63" s="709">
        <v>59720</v>
      </c>
    </row>
    <row r="64" spans="1:29" ht="16.899999999999999" customHeight="1">
      <c r="A64" s="1245"/>
      <c r="B64" s="708" t="s">
        <v>227</v>
      </c>
      <c r="C64" s="397">
        <v>1683</v>
      </c>
      <c r="D64" s="397">
        <v>1366</v>
      </c>
      <c r="E64" s="341">
        <v>3049</v>
      </c>
      <c r="F64" s="397">
        <v>255</v>
      </c>
      <c r="G64" s="397">
        <v>431</v>
      </c>
      <c r="H64" s="341">
        <v>686</v>
      </c>
      <c r="I64" s="397">
        <v>8379</v>
      </c>
      <c r="J64" s="397">
        <v>7188</v>
      </c>
      <c r="K64" s="341">
        <v>15567</v>
      </c>
      <c r="L64" s="397">
        <v>14924</v>
      </c>
      <c r="M64" s="397">
        <v>14832</v>
      </c>
      <c r="N64" s="341">
        <v>29756</v>
      </c>
      <c r="O64" s="397">
        <v>294</v>
      </c>
      <c r="P64" s="397">
        <v>247</v>
      </c>
      <c r="Q64" s="341">
        <v>541</v>
      </c>
      <c r="R64" s="397">
        <v>2181</v>
      </c>
      <c r="S64" s="397">
        <v>1061</v>
      </c>
      <c r="T64" s="341">
        <v>3242</v>
      </c>
      <c r="U64" s="397">
        <v>1723</v>
      </c>
      <c r="V64" s="397">
        <v>1298</v>
      </c>
      <c r="W64" s="341">
        <v>3021</v>
      </c>
      <c r="X64" s="397">
        <v>29</v>
      </c>
      <c r="Y64" s="397">
        <v>103</v>
      </c>
      <c r="Z64" s="341">
        <v>132</v>
      </c>
      <c r="AA64" s="341">
        <v>29468</v>
      </c>
      <c r="AB64" s="341">
        <v>26526</v>
      </c>
      <c r="AC64" s="341">
        <v>55994</v>
      </c>
    </row>
    <row r="65" spans="1:29" ht="16.899999999999999" customHeight="1">
      <c r="A65" s="1245">
        <v>10</v>
      </c>
      <c r="B65" s="700" t="s">
        <v>129</v>
      </c>
      <c r="C65" s="701"/>
      <c r="D65" s="702"/>
      <c r="E65" s="702"/>
      <c r="F65" s="702"/>
      <c r="G65" s="702"/>
      <c r="H65" s="702"/>
      <c r="I65" s="702"/>
      <c r="J65" s="702"/>
      <c r="K65" s="703"/>
      <c r="L65" s="701"/>
      <c r="M65" s="702"/>
      <c r="N65" s="702"/>
      <c r="O65" s="702"/>
      <c r="P65" s="702"/>
      <c r="Q65" s="702"/>
      <c r="R65" s="702"/>
      <c r="S65" s="702"/>
      <c r="T65" s="703"/>
      <c r="U65" s="701"/>
      <c r="V65" s="702"/>
      <c r="W65" s="702"/>
      <c r="X65" s="702"/>
      <c r="Y65" s="702"/>
      <c r="Z65" s="702"/>
      <c r="AA65" s="702"/>
      <c r="AB65" s="702"/>
      <c r="AC65" s="703"/>
    </row>
    <row r="66" spans="1:29" ht="16.899999999999999" customHeight="1">
      <c r="A66" s="1245"/>
      <c r="B66" s="704" t="s">
        <v>919</v>
      </c>
      <c r="C66" s="701">
        <v>12037</v>
      </c>
      <c r="D66" s="702">
        <v>14452</v>
      </c>
      <c r="E66" s="702">
        <v>26489</v>
      </c>
      <c r="F66" s="702">
        <v>72</v>
      </c>
      <c r="G66" s="702">
        <v>110</v>
      </c>
      <c r="H66" s="702">
        <v>182</v>
      </c>
      <c r="I66" s="702">
        <v>71608</v>
      </c>
      <c r="J66" s="702">
        <v>69253</v>
      </c>
      <c r="K66" s="703">
        <v>140861</v>
      </c>
      <c r="L66" s="701">
        <v>383713</v>
      </c>
      <c r="M66" s="702">
        <v>236508</v>
      </c>
      <c r="N66" s="702">
        <v>620221</v>
      </c>
      <c r="O66" s="702">
        <v>14190</v>
      </c>
      <c r="P66" s="702">
        <v>12854</v>
      </c>
      <c r="Q66" s="702">
        <v>27044</v>
      </c>
      <c r="R66" s="702">
        <v>2294</v>
      </c>
      <c r="S66" s="702">
        <v>1287</v>
      </c>
      <c r="T66" s="703">
        <v>3581</v>
      </c>
      <c r="U66" s="701">
        <v>294</v>
      </c>
      <c r="V66" s="702">
        <v>421</v>
      </c>
      <c r="W66" s="702">
        <v>715</v>
      </c>
      <c r="X66" s="702">
        <v>18447</v>
      </c>
      <c r="Y66" s="702">
        <v>15111</v>
      </c>
      <c r="Z66" s="702">
        <v>33558</v>
      </c>
      <c r="AA66" s="702">
        <v>502655</v>
      </c>
      <c r="AB66" s="702">
        <v>349996</v>
      </c>
      <c r="AC66" s="703">
        <v>852651</v>
      </c>
    </row>
    <row r="67" spans="1:29" ht="16.899999999999999" customHeight="1">
      <c r="A67" s="1245"/>
      <c r="B67" s="704" t="s">
        <v>876</v>
      </c>
      <c r="C67" s="397">
        <v>14374</v>
      </c>
      <c r="D67" s="397">
        <v>15377</v>
      </c>
      <c r="E67" s="341">
        <v>29751</v>
      </c>
      <c r="F67" s="397">
        <v>177</v>
      </c>
      <c r="G67" s="397">
        <v>399</v>
      </c>
      <c r="H67" s="341">
        <v>576</v>
      </c>
      <c r="I67" s="397">
        <v>67998</v>
      </c>
      <c r="J67" s="397">
        <v>66886</v>
      </c>
      <c r="K67" s="341">
        <v>134884</v>
      </c>
      <c r="L67" s="397">
        <v>418217</v>
      </c>
      <c r="M67" s="397">
        <v>260587</v>
      </c>
      <c r="N67" s="341">
        <v>678804</v>
      </c>
      <c r="O67" s="397">
        <v>4408</v>
      </c>
      <c r="P67" s="397">
        <v>4040</v>
      </c>
      <c r="Q67" s="341">
        <v>8448</v>
      </c>
      <c r="R67" s="397">
        <v>2816</v>
      </c>
      <c r="S67" s="397">
        <v>1757</v>
      </c>
      <c r="T67" s="341">
        <v>4573</v>
      </c>
      <c r="U67" s="397">
        <v>603</v>
      </c>
      <c r="V67" s="397">
        <v>811</v>
      </c>
      <c r="W67" s="341">
        <v>1414</v>
      </c>
      <c r="X67" s="397">
        <v>17239</v>
      </c>
      <c r="Y67" s="397">
        <v>14105</v>
      </c>
      <c r="Z67" s="341">
        <v>31344</v>
      </c>
      <c r="AA67" s="341">
        <v>525832</v>
      </c>
      <c r="AB67" s="341">
        <v>363962</v>
      </c>
      <c r="AC67" s="341">
        <v>889794</v>
      </c>
    </row>
    <row r="68" spans="1:29" ht="16.899999999999999" customHeight="1">
      <c r="A68" s="1245"/>
      <c r="B68" s="704" t="s">
        <v>229</v>
      </c>
      <c r="C68" s="398">
        <v>12538</v>
      </c>
      <c r="D68" s="398">
        <v>12196</v>
      </c>
      <c r="E68" s="347">
        <v>24734</v>
      </c>
      <c r="F68" s="398">
        <v>303</v>
      </c>
      <c r="G68" s="398">
        <v>697</v>
      </c>
      <c r="H68" s="347">
        <v>1000</v>
      </c>
      <c r="I68" s="398">
        <v>58752</v>
      </c>
      <c r="J68" s="398">
        <v>59178</v>
      </c>
      <c r="K68" s="347">
        <v>117930</v>
      </c>
      <c r="L68" s="398">
        <v>371741</v>
      </c>
      <c r="M68" s="398">
        <v>234714</v>
      </c>
      <c r="N68" s="347">
        <v>606455</v>
      </c>
      <c r="O68" s="398">
        <v>3546</v>
      </c>
      <c r="P68" s="398">
        <v>3237</v>
      </c>
      <c r="Q68" s="347">
        <v>6783</v>
      </c>
      <c r="R68" s="398">
        <v>3687</v>
      </c>
      <c r="S68" s="398">
        <v>2039</v>
      </c>
      <c r="T68" s="347">
        <v>5726</v>
      </c>
      <c r="U68" s="398">
        <v>146</v>
      </c>
      <c r="V68" s="398">
        <v>192</v>
      </c>
      <c r="W68" s="347">
        <v>338</v>
      </c>
      <c r="X68" s="398">
        <v>14519</v>
      </c>
      <c r="Y68" s="398">
        <v>11277</v>
      </c>
      <c r="Z68" s="347">
        <v>25796</v>
      </c>
      <c r="AA68" s="347">
        <v>465232</v>
      </c>
      <c r="AB68" s="347">
        <v>323530</v>
      </c>
      <c r="AC68" s="347">
        <v>788762</v>
      </c>
    </row>
    <row r="69" spans="1:29" ht="16.899999999999999" customHeight="1">
      <c r="A69" s="1245"/>
      <c r="B69" s="708" t="s">
        <v>228</v>
      </c>
      <c r="C69" s="709">
        <v>9075</v>
      </c>
      <c r="D69" s="709">
        <v>8657</v>
      </c>
      <c r="E69" s="709">
        <v>17732</v>
      </c>
      <c r="F69" s="709">
        <v>270</v>
      </c>
      <c r="G69" s="709">
        <v>747</v>
      </c>
      <c r="H69" s="709">
        <v>1017</v>
      </c>
      <c r="I69" s="709">
        <v>52327</v>
      </c>
      <c r="J69" s="709">
        <v>50420</v>
      </c>
      <c r="K69" s="709">
        <v>102747</v>
      </c>
      <c r="L69" s="709">
        <v>340002</v>
      </c>
      <c r="M69" s="709">
        <v>201593</v>
      </c>
      <c r="N69" s="709">
        <v>541595</v>
      </c>
      <c r="O69" s="709">
        <v>2916</v>
      </c>
      <c r="P69" s="709">
        <v>2424</v>
      </c>
      <c r="Q69" s="709">
        <v>5340</v>
      </c>
      <c r="R69" s="709">
        <v>3827</v>
      </c>
      <c r="S69" s="709">
        <v>1911</v>
      </c>
      <c r="T69" s="709">
        <v>5738</v>
      </c>
      <c r="U69" s="709">
        <v>159</v>
      </c>
      <c r="V69" s="709">
        <v>233</v>
      </c>
      <c r="W69" s="709">
        <v>392</v>
      </c>
      <c r="X69" s="709">
        <v>12508</v>
      </c>
      <c r="Y69" s="709">
        <v>9857</v>
      </c>
      <c r="Z69" s="709">
        <v>22365</v>
      </c>
      <c r="AA69" s="709">
        <v>421084</v>
      </c>
      <c r="AB69" s="709">
        <v>275842</v>
      </c>
      <c r="AC69" s="709">
        <v>696926</v>
      </c>
    </row>
    <row r="70" spans="1:29" ht="16.899999999999999" customHeight="1">
      <c r="A70" s="1245"/>
      <c r="B70" s="708" t="s">
        <v>227</v>
      </c>
      <c r="C70" s="397">
        <v>9718</v>
      </c>
      <c r="D70" s="397">
        <v>8474</v>
      </c>
      <c r="E70" s="341">
        <v>18192</v>
      </c>
      <c r="F70" s="397">
        <v>262</v>
      </c>
      <c r="G70" s="397">
        <v>703</v>
      </c>
      <c r="H70" s="341">
        <v>965</v>
      </c>
      <c r="I70" s="397">
        <v>51892</v>
      </c>
      <c r="J70" s="397">
        <v>48220</v>
      </c>
      <c r="K70" s="341">
        <v>100112</v>
      </c>
      <c r="L70" s="397">
        <v>317717</v>
      </c>
      <c r="M70" s="397">
        <v>183493</v>
      </c>
      <c r="N70" s="341">
        <v>501210</v>
      </c>
      <c r="O70" s="397">
        <v>2842</v>
      </c>
      <c r="P70" s="397">
        <v>2295</v>
      </c>
      <c r="Q70" s="341">
        <v>5137</v>
      </c>
      <c r="R70" s="397">
        <v>5712</v>
      </c>
      <c r="S70" s="397">
        <v>1528</v>
      </c>
      <c r="T70" s="341">
        <v>7240</v>
      </c>
      <c r="U70" s="397">
        <v>125</v>
      </c>
      <c r="V70" s="397">
        <v>163</v>
      </c>
      <c r="W70" s="341">
        <v>288</v>
      </c>
      <c r="X70" s="397">
        <v>10757</v>
      </c>
      <c r="Y70" s="397">
        <v>8250</v>
      </c>
      <c r="Z70" s="341">
        <v>19007</v>
      </c>
      <c r="AA70" s="341">
        <v>399025</v>
      </c>
      <c r="AB70" s="341">
        <v>253126</v>
      </c>
      <c r="AC70" s="341">
        <v>652151</v>
      </c>
    </row>
    <row r="71" spans="1:29" ht="16.899999999999999" customHeight="1">
      <c r="A71" s="1245">
        <v>11</v>
      </c>
      <c r="B71" s="700" t="s">
        <v>133</v>
      </c>
      <c r="C71" s="701"/>
      <c r="D71" s="702"/>
      <c r="E71" s="702"/>
      <c r="F71" s="702"/>
      <c r="G71" s="702"/>
      <c r="H71" s="702"/>
      <c r="I71" s="702"/>
      <c r="J71" s="702"/>
      <c r="K71" s="703"/>
      <c r="L71" s="701"/>
      <c r="M71" s="702"/>
      <c r="N71" s="702"/>
      <c r="O71" s="702"/>
      <c r="P71" s="702"/>
      <c r="Q71" s="702"/>
      <c r="R71" s="702"/>
      <c r="S71" s="702"/>
      <c r="T71" s="703"/>
      <c r="U71" s="701"/>
      <c r="V71" s="702"/>
      <c r="W71" s="702"/>
      <c r="X71" s="702"/>
      <c r="Y71" s="702"/>
      <c r="Z71" s="702"/>
      <c r="AA71" s="702"/>
      <c r="AB71" s="702"/>
      <c r="AC71" s="703"/>
    </row>
    <row r="72" spans="1:29" ht="16.899999999999999" customHeight="1">
      <c r="A72" s="1245"/>
      <c r="B72" s="704" t="s">
        <v>919</v>
      </c>
      <c r="C72" s="701">
        <v>30</v>
      </c>
      <c r="D72" s="702">
        <v>11</v>
      </c>
      <c r="E72" s="702">
        <v>41</v>
      </c>
      <c r="F72" s="702"/>
      <c r="G72" s="702"/>
      <c r="H72" s="702"/>
      <c r="I72" s="702">
        <v>807</v>
      </c>
      <c r="J72" s="702">
        <v>441</v>
      </c>
      <c r="K72" s="703">
        <v>1248</v>
      </c>
      <c r="L72" s="701">
        <v>1259</v>
      </c>
      <c r="M72" s="702">
        <v>685</v>
      </c>
      <c r="N72" s="702">
        <v>1944</v>
      </c>
      <c r="O72" s="702"/>
      <c r="P72" s="702"/>
      <c r="Q72" s="702"/>
      <c r="R72" s="702"/>
      <c r="S72" s="702"/>
      <c r="T72" s="703"/>
      <c r="U72" s="701"/>
      <c r="V72" s="702"/>
      <c r="W72" s="702"/>
      <c r="X72" s="702"/>
      <c r="Y72" s="702"/>
      <c r="Z72" s="702"/>
      <c r="AA72" s="702">
        <v>2096</v>
      </c>
      <c r="AB72" s="702">
        <v>1137</v>
      </c>
      <c r="AC72" s="703">
        <v>3233</v>
      </c>
    </row>
    <row r="73" spans="1:29" ht="16.899999999999999" customHeight="1">
      <c r="A73" s="1245"/>
      <c r="B73" s="704" t="s">
        <v>876</v>
      </c>
      <c r="C73" s="397">
        <v>32</v>
      </c>
      <c r="D73" s="397">
        <v>16</v>
      </c>
      <c r="E73" s="341">
        <v>48</v>
      </c>
      <c r="F73" s="397">
        <v>0</v>
      </c>
      <c r="G73" s="397">
        <v>0</v>
      </c>
      <c r="H73" s="341">
        <v>0</v>
      </c>
      <c r="I73" s="397">
        <v>1064</v>
      </c>
      <c r="J73" s="397">
        <v>910</v>
      </c>
      <c r="K73" s="341">
        <v>1974</v>
      </c>
      <c r="L73" s="397">
        <v>1422</v>
      </c>
      <c r="M73" s="397">
        <v>1352</v>
      </c>
      <c r="N73" s="341">
        <v>2774</v>
      </c>
      <c r="O73" s="397">
        <v>0</v>
      </c>
      <c r="P73" s="397">
        <v>0</v>
      </c>
      <c r="Q73" s="341">
        <v>0</v>
      </c>
      <c r="R73" s="397">
        <v>0</v>
      </c>
      <c r="S73" s="397">
        <v>0</v>
      </c>
      <c r="T73" s="341">
        <v>0</v>
      </c>
      <c r="U73" s="397">
        <v>0</v>
      </c>
      <c r="V73" s="397">
        <v>0</v>
      </c>
      <c r="W73" s="341">
        <v>0</v>
      </c>
      <c r="X73" s="397">
        <v>0</v>
      </c>
      <c r="Y73" s="397">
        <v>0</v>
      </c>
      <c r="Z73" s="341">
        <v>0</v>
      </c>
      <c r="AA73" s="341">
        <v>2518</v>
      </c>
      <c r="AB73" s="341">
        <v>2278</v>
      </c>
      <c r="AC73" s="341">
        <v>4796</v>
      </c>
    </row>
    <row r="74" spans="1:29" ht="16.899999999999999" customHeight="1">
      <c r="A74" s="1245"/>
      <c r="B74" s="704" t="s">
        <v>229</v>
      </c>
      <c r="C74" s="398">
        <v>32</v>
      </c>
      <c r="D74" s="398">
        <v>48</v>
      </c>
      <c r="E74" s="347">
        <v>80</v>
      </c>
      <c r="F74" s="398">
        <v>20</v>
      </c>
      <c r="G74" s="398">
        <v>25</v>
      </c>
      <c r="H74" s="347">
        <v>45</v>
      </c>
      <c r="I74" s="398">
        <v>487</v>
      </c>
      <c r="J74" s="398">
        <v>916</v>
      </c>
      <c r="K74" s="347">
        <v>1403</v>
      </c>
      <c r="L74" s="398">
        <v>1138</v>
      </c>
      <c r="M74" s="398">
        <v>1443</v>
      </c>
      <c r="N74" s="347">
        <v>2581</v>
      </c>
      <c r="O74" s="398">
        <v>51</v>
      </c>
      <c r="P74" s="398">
        <v>67</v>
      </c>
      <c r="Q74" s="347">
        <v>118</v>
      </c>
      <c r="R74" s="398">
        <v>0</v>
      </c>
      <c r="S74" s="398">
        <v>0</v>
      </c>
      <c r="T74" s="347">
        <v>0</v>
      </c>
      <c r="U74" s="398">
        <v>0</v>
      </c>
      <c r="V74" s="398">
        <v>0</v>
      </c>
      <c r="W74" s="347">
        <v>0</v>
      </c>
      <c r="X74" s="398">
        <v>0</v>
      </c>
      <c r="Y74" s="398">
        <v>0</v>
      </c>
      <c r="Z74" s="347">
        <v>0</v>
      </c>
      <c r="AA74" s="347">
        <v>1728</v>
      </c>
      <c r="AB74" s="347">
        <v>2499</v>
      </c>
      <c r="AC74" s="347">
        <v>4227</v>
      </c>
    </row>
    <row r="75" spans="1:29" ht="16.899999999999999" customHeight="1">
      <c r="A75" s="1245"/>
      <c r="B75" s="708" t="s">
        <v>228</v>
      </c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2"/>
      <c r="P75" s="712"/>
      <c r="Q75" s="712"/>
      <c r="R75" s="712"/>
      <c r="S75" s="712"/>
      <c r="T75" s="712"/>
      <c r="U75" s="712"/>
      <c r="V75" s="712"/>
      <c r="W75" s="712"/>
      <c r="X75" s="712"/>
      <c r="Y75" s="712"/>
      <c r="Z75" s="712"/>
      <c r="AA75" s="712"/>
      <c r="AB75" s="712"/>
      <c r="AC75" s="712"/>
    </row>
    <row r="76" spans="1:29" ht="16.899999999999999" customHeight="1">
      <c r="A76" s="1245"/>
      <c r="B76" s="708" t="s">
        <v>227</v>
      </c>
      <c r="C76" s="397">
        <v>0</v>
      </c>
      <c r="D76" s="397">
        <v>0</v>
      </c>
      <c r="E76" s="341">
        <v>0</v>
      </c>
      <c r="F76" s="397">
        <v>0</v>
      </c>
      <c r="G76" s="397">
        <v>0</v>
      </c>
      <c r="H76" s="341">
        <v>0</v>
      </c>
      <c r="I76" s="397">
        <v>10</v>
      </c>
      <c r="J76" s="397">
        <v>1</v>
      </c>
      <c r="K76" s="341">
        <v>11</v>
      </c>
      <c r="L76" s="397">
        <v>9</v>
      </c>
      <c r="M76" s="397">
        <v>6</v>
      </c>
      <c r="N76" s="341">
        <v>15</v>
      </c>
      <c r="O76" s="397">
        <v>0</v>
      </c>
      <c r="P76" s="397">
        <v>0</v>
      </c>
      <c r="Q76" s="341">
        <v>0</v>
      </c>
      <c r="R76" s="397">
        <v>0</v>
      </c>
      <c r="S76" s="397">
        <v>0</v>
      </c>
      <c r="T76" s="341">
        <v>0</v>
      </c>
      <c r="U76" s="397">
        <v>0</v>
      </c>
      <c r="V76" s="397">
        <v>0</v>
      </c>
      <c r="W76" s="341">
        <v>0</v>
      </c>
      <c r="X76" s="397">
        <v>0</v>
      </c>
      <c r="Y76" s="397">
        <v>0</v>
      </c>
      <c r="Z76" s="341">
        <v>0</v>
      </c>
      <c r="AA76" s="341">
        <v>19</v>
      </c>
      <c r="AB76" s="341">
        <v>7</v>
      </c>
      <c r="AC76" s="341">
        <v>26</v>
      </c>
    </row>
  </sheetData>
  <mergeCells count="23">
    <mergeCell ref="AA2:AC2"/>
    <mergeCell ref="A5:A10"/>
    <mergeCell ref="A2:A3"/>
    <mergeCell ref="B2:B3"/>
    <mergeCell ref="C2:E2"/>
    <mergeCell ref="F2:H2"/>
    <mergeCell ref="I2:K2"/>
    <mergeCell ref="L2:N2"/>
    <mergeCell ref="A41:A46"/>
    <mergeCell ref="O2:Q2"/>
    <mergeCell ref="R2:T2"/>
    <mergeCell ref="U2:W2"/>
    <mergeCell ref="X2:Z2"/>
    <mergeCell ref="A11:A16"/>
    <mergeCell ref="A17:A22"/>
    <mergeCell ref="A23:A28"/>
    <mergeCell ref="A29:A34"/>
    <mergeCell ref="A35:A40"/>
    <mergeCell ref="A47:A52"/>
    <mergeCell ref="A53:A58"/>
    <mergeCell ref="A59:A64"/>
    <mergeCell ref="A65:A70"/>
    <mergeCell ref="A71:A76"/>
  </mergeCells>
  <printOptions horizontalCentered="1"/>
  <pageMargins left="0.31496062992125984" right="0.51181102362204722" top="0.33" bottom="0.33" header="0.27559055118110237" footer="0.16"/>
  <pageSetup paperSize="9" scale="60" firstPageNumber="2" pageOrder="overThenDown" orientation="portrait" useFirstPageNumber="1" r:id="rId1"/>
  <headerFooter alignWithMargins="0">
    <oddFooter>&amp;LAISHE 2021-22&amp;CT-50</oddFooter>
  </headerFooter>
  <colBreaks count="2" manualBreakCount="2">
    <brk id="11" max="1048575" man="1"/>
    <brk id="20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3357-0203-469D-94EA-45C51B160FE3}">
  <sheetPr>
    <tabColor rgb="FF00B050"/>
  </sheetPr>
  <dimension ref="A1:W224"/>
  <sheetViews>
    <sheetView showZeros="0" view="pageBreakPreview" zoomScaleSheetLayoutView="100" workbookViewId="0">
      <pane xSplit="2" ySplit="3" topLeftCell="F167" activePane="bottomRight" state="frozen"/>
      <selection activeCell="F15" sqref="F15"/>
      <selection pane="topRight" activeCell="F15" sqref="F15"/>
      <selection pane="bottomLeft" activeCell="F15" sqref="F15"/>
      <selection pane="bottomRight" activeCell="W224" sqref="W224"/>
    </sheetView>
  </sheetViews>
  <sheetFormatPr defaultColWidth="9.28515625" defaultRowHeight="15"/>
  <cols>
    <col min="1" max="1" width="7" style="671" bestFit="1" customWidth="1"/>
    <col min="2" max="2" width="30.5703125" style="690" customWidth="1"/>
    <col min="3" max="8" width="15.28515625" style="690" customWidth="1"/>
    <col min="9" max="17" width="9.7109375" style="690" customWidth="1"/>
    <col min="18" max="23" width="15.28515625" style="690" customWidth="1"/>
    <col min="24" max="24" width="25.42578125" style="690" customWidth="1"/>
    <col min="25" max="25" width="16.28515625" style="690" customWidth="1"/>
    <col min="26" max="26" width="7" style="690" customWidth="1"/>
    <col min="27" max="27" width="5" style="690" customWidth="1"/>
    <col min="28" max="28" width="19.28515625" style="690" customWidth="1"/>
    <col min="29" max="29" width="9" style="690" customWidth="1"/>
    <col min="30" max="30" width="11.7109375" style="690" customWidth="1"/>
    <col min="31" max="31" width="10.7109375" style="690" customWidth="1"/>
    <col min="32" max="16384" width="9.28515625" style="690"/>
  </cols>
  <sheetData>
    <row r="1" spans="1:23" s="673" customFormat="1" ht="27.75" customHeight="1">
      <c r="A1" s="671"/>
      <c r="B1" s="672" t="s">
        <v>261</v>
      </c>
      <c r="C1" s="1246" t="s">
        <v>262</v>
      </c>
      <c r="D1" s="1246"/>
      <c r="E1" s="1246"/>
      <c r="F1" s="1246"/>
      <c r="G1" s="1246"/>
      <c r="H1" s="1246"/>
      <c r="I1" s="1246" t="str">
        <f>C1</f>
        <v>Post-wise Number of Teachers during last 5 years</v>
      </c>
      <c r="J1" s="1246"/>
      <c r="K1" s="1246"/>
      <c r="L1" s="1246"/>
      <c r="M1" s="1246"/>
      <c r="N1" s="1246"/>
      <c r="O1" s="1246"/>
      <c r="P1" s="1246"/>
      <c r="Q1" s="1246"/>
      <c r="R1" s="1254" t="s">
        <v>262</v>
      </c>
      <c r="S1" s="1254"/>
      <c r="T1" s="1254"/>
      <c r="U1" s="1254"/>
      <c r="V1" s="1254"/>
      <c r="W1" s="1254"/>
    </row>
    <row r="2" spans="1:23" s="713" customFormat="1" ht="34.5" customHeight="1">
      <c r="A2" s="1208" t="s">
        <v>988</v>
      </c>
      <c r="B2" s="1255" t="s">
        <v>168</v>
      </c>
      <c r="C2" s="1255" t="s">
        <v>263</v>
      </c>
      <c r="D2" s="1255"/>
      <c r="E2" s="1255"/>
      <c r="F2" s="1255" t="s">
        <v>922</v>
      </c>
      <c r="G2" s="1255"/>
      <c r="H2" s="1255"/>
      <c r="I2" s="1256" t="s">
        <v>923</v>
      </c>
      <c r="J2" s="1256"/>
      <c r="K2" s="1256"/>
      <c r="L2" s="1255" t="s">
        <v>924</v>
      </c>
      <c r="M2" s="1255"/>
      <c r="N2" s="1255"/>
      <c r="O2" s="1255" t="s">
        <v>267</v>
      </c>
      <c r="P2" s="1255"/>
      <c r="Q2" s="1255"/>
      <c r="R2" s="1255" t="s">
        <v>269</v>
      </c>
      <c r="S2" s="1255"/>
      <c r="T2" s="1255"/>
      <c r="U2" s="1255" t="s">
        <v>268</v>
      </c>
      <c r="V2" s="1255"/>
      <c r="W2" s="1255"/>
    </row>
    <row r="3" spans="1:23" s="715" customFormat="1" ht="21" customHeight="1">
      <c r="A3" s="1209"/>
      <c r="B3" s="1255"/>
      <c r="C3" s="714" t="s">
        <v>87</v>
      </c>
      <c r="D3" s="714" t="s">
        <v>88</v>
      </c>
      <c r="E3" s="714" t="s">
        <v>236</v>
      </c>
      <c r="F3" s="714" t="s">
        <v>87</v>
      </c>
      <c r="G3" s="714" t="s">
        <v>88</v>
      </c>
      <c r="H3" s="714" t="s">
        <v>236</v>
      </c>
      <c r="I3" s="714" t="s">
        <v>87</v>
      </c>
      <c r="J3" s="714" t="s">
        <v>88</v>
      </c>
      <c r="K3" s="714" t="s">
        <v>236</v>
      </c>
      <c r="L3" s="714" t="s">
        <v>87</v>
      </c>
      <c r="M3" s="714" t="s">
        <v>88</v>
      </c>
      <c r="N3" s="714" t="s">
        <v>236</v>
      </c>
      <c r="O3" s="714" t="s">
        <v>87</v>
      </c>
      <c r="P3" s="714" t="s">
        <v>88</v>
      </c>
      <c r="Q3" s="714" t="s">
        <v>236</v>
      </c>
      <c r="R3" s="714" t="s">
        <v>87</v>
      </c>
      <c r="S3" s="714" t="s">
        <v>88</v>
      </c>
      <c r="T3" s="714" t="s">
        <v>236</v>
      </c>
      <c r="U3" s="714" t="s">
        <v>87</v>
      </c>
      <c r="V3" s="714" t="s">
        <v>88</v>
      </c>
      <c r="W3" s="714" t="s">
        <v>236</v>
      </c>
    </row>
    <row r="4" spans="1:23">
      <c r="A4" s="716">
        <v>1</v>
      </c>
      <c r="B4" s="716">
        <v>2</v>
      </c>
      <c r="C4" s="716">
        <v>3</v>
      </c>
      <c r="D4" s="716">
        <v>4</v>
      </c>
      <c r="E4" s="716">
        <v>5</v>
      </c>
      <c r="F4" s="716">
        <v>6</v>
      </c>
      <c r="G4" s="716">
        <v>7</v>
      </c>
      <c r="H4" s="716">
        <v>8</v>
      </c>
      <c r="I4" s="716">
        <v>9</v>
      </c>
      <c r="J4" s="716">
        <v>10</v>
      </c>
      <c r="K4" s="716">
        <v>11</v>
      </c>
      <c r="L4" s="716">
        <v>12</v>
      </c>
      <c r="M4" s="716">
        <v>13</v>
      </c>
      <c r="N4" s="716">
        <v>14</v>
      </c>
      <c r="O4" s="716">
        <v>15</v>
      </c>
      <c r="P4" s="716">
        <v>16</v>
      </c>
      <c r="Q4" s="716">
        <v>17</v>
      </c>
      <c r="R4" s="716">
        <v>21</v>
      </c>
      <c r="S4" s="716">
        <v>22</v>
      </c>
      <c r="T4" s="716">
        <v>23</v>
      </c>
      <c r="U4" s="716">
        <v>18</v>
      </c>
      <c r="V4" s="716">
        <v>19</v>
      </c>
      <c r="W4" s="716">
        <v>20</v>
      </c>
    </row>
    <row r="5" spans="1:23">
      <c r="A5" s="1250"/>
      <c r="B5" s="717" t="s">
        <v>230</v>
      </c>
      <c r="C5" s="718"/>
      <c r="D5" s="719"/>
      <c r="E5" s="719"/>
      <c r="F5" s="719"/>
      <c r="G5" s="719"/>
      <c r="H5" s="720"/>
      <c r="I5" s="721"/>
      <c r="J5" s="722"/>
      <c r="K5" s="723"/>
      <c r="L5" s="721"/>
      <c r="M5" s="722"/>
      <c r="N5" s="722"/>
      <c r="O5" s="722"/>
      <c r="P5" s="722"/>
      <c r="Q5" s="723"/>
      <c r="R5" s="722"/>
      <c r="S5" s="722"/>
      <c r="T5" s="723"/>
      <c r="U5" s="721"/>
      <c r="V5" s="722"/>
      <c r="W5" s="722"/>
    </row>
    <row r="6" spans="1:23">
      <c r="A6" s="1250"/>
      <c r="B6" s="724" t="s">
        <v>919</v>
      </c>
      <c r="C6" s="718">
        <v>106703</v>
      </c>
      <c r="D6" s="719">
        <v>44704</v>
      </c>
      <c r="E6" s="719">
        <v>151407</v>
      </c>
      <c r="F6" s="719">
        <v>99893</v>
      </c>
      <c r="G6" s="719">
        <v>60840</v>
      </c>
      <c r="H6" s="720">
        <v>160733</v>
      </c>
      <c r="I6" s="721">
        <v>610368</v>
      </c>
      <c r="J6" s="722">
        <v>476158</v>
      </c>
      <c r="K6" s="723">
        <v>1086526</v>
      </c>
      <c r="L6" s="721">
        <v>32142</v>
      </c>
      <c r="M6" s="722">
        <v>63611</v>
      </c>
      <c r="N6" s="722">
        <v>95753</v>
      </c>
      <c r="O6" s="722">
        <v>47274</v>
      </c>
      <c r="P6" s="722">
        <v>43091</v>
      </c>
      <c r="Q6" s="723">
        <v>90365</v>
      </c>
      <c r="R6" s="722">
        <v>7143</v>
      </c>
      <c r="S6" s="722">
        <v>5761</v>
      </c>
      <c r="T6" s="723">
        <v>12904</v>
      </c>
      <c r="U6" s="721">
        <v>903523</v>
      </c>
      <c r="V6" s="722">
        <v>694165</v>
      </c>
      <c r="W6" s="722">
        <v>1597688</v>
      </c>
    </row>
    <row r="7" spans="1:23" s="725" customFormat="1">
      <c r="A7" s="1250"/>
      <c r="B7" s="724" t="s">
        <v>876</v>
      </c>
      <c r="C7" s="358">
        <v>104469</v>
      </c>
      <c r="D7" s="358">
        <v>42280</v>
      </c>
      <c r="E7" s="358">
        <v>146749</v>
      </c>
      <c r="F7" s="358">
        <v>100272</v>
      </c>
      <c r="G7" s="358">
        <v>60387</v>
      </c>
      <c r="H7" s="358">
        <v>160659</v>
      </c>
      <c r="I7" s="358">
        <v>601019</v>
      </c>
      <c r="J7" s="358">
        <v>458277</v>
      </c>
      <c r="K7" s="358">
        <v>1059296</v>
      </c>
      <c r="L7" s="358">
        <v>29329</v>
      </c>
      <c r="M7" s="358">
        <v>58252</v>
      </c>
      <c r="N7" s="358">
        <v>87581</v>
      </c>
      <c r="O7" s="358">
        <v>43816</v>
      </c>
      <c r="P7" s="358">
        <v>39925</v>
      </c>
      <c r="Q7" s="358">
        <v>83741</v>
      </c>
      <c r="R7" s="358">
        <v>7259</v>
      </c>
      <c r="S7" s="358">
        <v>5819</v>
      </c>
      <c r="T7" s="358">
        <v>13078</v>
      </c>
      <c r="U7" s="358">
        <v>886140</v>
      </c>
      <c r="V7" s="358">
        <v>664930</v>
      </c>
      <c r="W7" s="358">
        <v>1551070</v>
      </c>
    </row>
    <row r="8" spans="1:23" s="725" customFormat="1">
      <c r="A8" s="1250"/>
      <c r="B8" s="724" t="s">
        <v>229</v>
      </c>
      <c r="C8" s="358">
        <v>101319</v>
      </c>
      <c r="D8" s="358">
        <v>38478</v>
      </c>
      <c r="E8" s="358">
        <v>139797</v>
      </c>
      <c r="F8" s="358">
        <v>100652</v>
      </c>
      <c r="G8" s="358">
        <v>59485</v>
      </c>
      <c r="H8" s="358">
        <v>160137</v>
      </c>
      <c r="I8" s="358">
        <v>583231</v>
      </c>
      <c r="J8" s="358">
        <v>440288</v>
      </c>
      <c r="K8" s="358">
        <v>1023519</v>
      </c>
      <c r="L8" s="358">
        <v>27650</v>
      </c>
      <c r="M8" s="358">
        <v>52522</v>
      </c>
      <c r="N8" s="358">
        <v>80172</v>
      </c>
      <c r="O8" s="358">
        <v>43387</v>
      </c>
      <c r="P8" s="358">
        <v>41569</v>
      </c>
      <c r="Q8" s="358">
        <v>84956</v>
      </c>
      <c r="R8" s="358">
        <v>8098</v>
      </c>
      <c r="S8" s="358">
        <v>6477</v>
      </c>
      <c r="T8" s="358">
        <v>14575</v>
      </c>
      <c r="U8" s="358">
        <v>864337</v>
      </c>
      <c r="V8" s="358">
        <v>638819</v>
      </c>
      <c r="W8" s="358">
        <v>1503156</v>
      </c>
    </row>
    <row r="9" spans="1:23">
      <c r="A9" s="1250"/>
      <c r="B9" s="726" t="s">
        <v>228</v>
      </c>
      <c r="C9" s="358">
        <v>93799</v>
      </c>
      <c r="D9" s="358">
        <v>35150</v>
      </c>
      <c r="E9" s="358">
        <v>128949</v>
      </c>
      <c r="F9" s="358">
        <v>96376</v>
      </c>
      <c r="G9" s="358">
        <v>56181</v>
      </c>
      <c r="H9" s="358">
        <v>152557</v>
      </c>
      <c r="I9" s="358">
        <v>557447</v>
      </c>
      <c r="J9" s="358">
        <v>413754</v>
      </c>
      <c r="K9" s="358">
        <v>971201</v>
      </c>
      <c r="L9" s="358">
        <v>25274</v>
      </c>
      <c r="M9" s="358">
        <v>47900</v>
      </c>
      <c r="N9" s="358">
        <v>73174</v>
      </c>
      <c r="O9" s="358">
        <v>39229</v>
      </c>
      <c r="P9" s="358">
        <v>38281</v>
      </c>
      <c r="Q9" s="358">
        <v>77510</v>
      </c>
      <c r="R9" s="358">
        <v>7158</v>
      </c>
      <c r="S9" s="358">
        <v>5750</v>
      </c>
      <c r="T9" s="358">
        <v>12908</v>
      </c>
      <c r="U9" s="358">
        <v>819283</v>
      </c>
      <c r="V9" s="358">
        <v>597016</v>
      </c>
      <c r="W9" s="358">
        <v>1416299</v>
      </c>
    </row>
    <row r="10" spans="1:23">
      <c r="A10" s="1250"/>
      <c r="B10" s="726" t="s">
        <v>227</v>
      </c>
      <c r="C10" s="358">
        <v>83507</v>
      </c>
      <c r="D10" s="358">
        <v>30663</v>
      </c>
      <c r="E10" s="358">
        <v>114170</v>
      </c>
      <c r="F10" s="358">
        <v>88415</v>
      </c>
      <c r="G10" s="358">
        <v>51028</v>
      </c>
      <c r="H10" s="358">
        <v>139443</v>
      </c>
      <c r="I10" s="358">
        <v>511034</v>
      </c>
      <c r="J10" s="358">
        <v>377393</v>
      </c>
      <c r="K10" s="358">
        <v>888427</v>
      </c>
      <c r="L10" s="358">
        <v>22268</v>
      </c>
      <c r="M10" s="358">
        <v>41998</v>
      </c>
      <c r="N10" s="358">
        <v>64266</v>
      </c>
      <c r="O10" s="358">
        <v>33335</v>
      </c>
      <c r="P10" s="358">
        <v>33523</v>
      </c>
      <c r="Q10" s="358">
        <v>66858</v>
      </c>
      <c r="R10" s="358">
        <v>6488</v>
      </c>
      <c r="S10" s="358">
        <v>5103</v>
      </c>
      <c r="T10" s="358">
        <v>11591</v>
      </c>
      <c r="U10" s="358">
        <v>745047</v>
      </c>
      <c r="V10" s="358">
        <v>539708</v>
      </c>
      <c r="W10" s="358">
        <v>1284755</v>
      </c>
    </row>
    <row r="11" spans="1:23">
      <c r="A11" s="1245">
        <v>1</v>
      </c>
      <c r="B11" s="717" t="s">
        <v>1061</v>
      </c>
      <c r="C11" s="721"/>
      <c r="D11" s="722"/>
      <c r="E11" s="722"/>
      <c r="F11" s="722"/>
      <c r="G11" s="722"/>
      <c r="H11" s="723"/>
      <c r="I11" s="721"/>
      <c r="J11" s="722"/>
      <c r="K11" s="723"/>
      <c r="L11" s="721"/>
      <c r="M11" s="722"/>
      <c r="N11" s="722"/>
      <c r="O11" s="722"/>
      <c r="P11" s="722"/>
      <c r="Q11" s="723"/>
      <c r="R11" s="722"/>
      <c r="S11" s="722"/>
      <c r="T11" s="723"/>
      <c r="U11" s="721"/>
      <c r="V11" s="722"/>
      <c r="W11" s="722"/>
    </row>
    <row r="12" spans="1:23">
      <c r="A12" s="1245"/>
      <c r="B12" s="724" t="s">
        <v>919</v>
      </c>
      <c r="C12" s="721">
        <v>26</v>
      </c>
      <c r="D12" s="722">
        <v>2</v>
      </c>
      <c r="E12" s="722">
        <v>28</v>
      </c>
      <c r="F12" s="722">
        <v>51</v>
      </c>
      <c r="G12" s="722">
        <v>12</v>
      </c>
      <c r="H12" s="723">
        <v>63</v>
      </c>
      <c r="I12" s="721">
        <v>99</v>
      </c>
      <c r="J12" s="722">
        <v>48</v>
      </c>
      <c r="K12" s="723">
        <v>147</v>
      </c>
      <c r="L12" s="721">
        <v>12</v>
      </c>
      <c r="M12" s="722">
        <v>8</v>
      </c>
      <c r="N12" s="722">
        <v>20</v>
      </c>
      <c r="O12" s="722">
        <v>48</v>
      </c>
      <c r="P12" s="722">
        <v>112</v>
      </c>
      <c r="Q12" s="723">
        <v>160</v>
      </c>
      <c r="R12" s="722">
        <v>11</v>
      </c>
      <c r="S12" s="722">
        <v>23</v>
      </c>
      <c r="T12" s="723">
        <v>34</v>
      </c>
      <c r="U12" s="721">
        <v>247</v>
      </c>
      <c r="V12" s="722">
        <v>205</v>
      </c>
      <c r="W12" s="722">
        <v>452</v>
      </c>
    </row>
    <row r="13" spans="1:23" s="725" customFormat="1">
      <c r="A13" s="1245"/>
      <c r="B13" s="724" t="s">
        <v>876</v>
      </c>
      <c r="C13" s="399">
        <v>25</v>
      </c>
      <c r="D13" s="399">
        <v>2</v>
      </c>
      <c r="E13" s="399">
        <v>27</v>
      </c>
      <c r="F13" s="399">
        <v>52</v>
      </c>
      <c r="G13" s="399">
        <v>12</v>
      </c>
      <c r="H13" s="399">
        <v>64</v>
      </c>
      <c r="I13" s="399">
        <v>99</v>
      </c>
      <c r="J13" s="399">
        <v>47</v>
      </c>
      <c r="K13" s="399">
        <v>146</v>
      </c>
      <c r="L13" s="399">
        <v>12</v>
      </c>
      <c r="M13" s="399">
        <v>8</v>
      </c>
      <c r="N13" s="399">
        <v>20</v>
      </c>
      <c r="O13" s="399">
        <v>50</v>
      </c>
      <c r="P13" s="399">
        <v>112</v>
      </c>
      <c r="Q13" s="399">
        <v>162</v>
      </c>
      <c r="R13" s="399">
        <v>11</v>
      </c>
      <c r="S13" s="399">
        <v>23</v>
      </c>
      <c r="T13" s="399">
        <v>34</v>
      </c>
      <c r="U13" s="399">
        <v>249</v>
      </c>
      <c r="V13" s="399">
        <v>204</v>
      </c>
      <c r="W13" s="399">
        <v>453</v>
      </c>
    </row>
    <row r="14" spans="1:23">
      <c r="A14" s="1245"/>
      <c r="B14" s="724" t="s">
        <v>229</v>
      </c>
      <c r="C14" s="399">
        <v>24</v>
      </c>
      <c r="D14" s="399">
        <v>2</v>
      </c>
      <c r="E14" s="399">
        <v>26</v>
      </c>
      <c r="F14" s="399">
        <v>51</v>
      </c>
      <c r="G14" s="399">
        <v>12</v>
      </c>
      <c r="H14" s="399">
        <v>63</v>
      </c>
      <c r="I14" s="399">
        <v>107</v>
      </c>
      <c r="J14" s="399">
        <v>53</v>
      </c>
      <c r="K14" s="399">
        <v>160</v>
      </c>
      <c r="L14" s="399">
        <v>12</v>
      </c>
      <c r="M14" s="399">
        <v>8</v>
      </c>
      <c r="N14" s="399">
        <v>20</v>
      </c>
      <c r="O14" s="399">
        <v>49</v>
      </c>
      <c r="P14" s="399">
        <v>111</v>
      </c>
      <c r="Q14" s="399">
        <v>160</v>
      </c>
      <c r="R14" s="399">
        <v>11</v>
      </c>
      <c r="S14" s="399">
        <v>23</v>
      </c>
      <c r="T14" s="399">
        <v>34</v>
      </c>
      <c r="U14" s="399">
        <v>254</v>
      </c>
      <c r="V14" s="399">
        <v>209</v>
      </c>
      <c r="W14" s="399">
        <v>463</v>
      </c>
    </row>
    <row r="15" spans="1:23">
      <c r="A15" s="1245"/>
      <c r="B15" s="726" t="s">
        <v>228</v>
      </c>
      <c r="C15" s="399">
        <v>26</v>
      </c>
      <c r="D15" s="399">
        <v>2</v>
      </c>
      <c r="E15" s="399">
        <v>28</v>
      </c>
      <c r="F15" s="399">
        <v>51</v>
      </c>
      <c r="G15" s="399">
        <v>13</v>
      </c>
      <c r="H15" s="399">
        <v>64</v>
      </c>
      <c r="I15" s="399">
        <v>110</v>
      </c>
      <c r="J15" s="399">
        <v>46</v>
      </c>
      <c r="K15" s="399">
        <v>156</v>
      </c>
      <c r="L15" s="399">
        <v>12</v>
      </c>
      <c r="M15" s="399">
        <v>8</v>
      </c>
      <c r="N15" s="399">
        <v>20</v>
      </c>
      <c r="O15" s="399">
        <v>55</v>
      </c>
      <c r="P15" s="399">
        <v>104</v>
      </c>
      <c r="Q15" s="399">
        <v>159</v>
      </c>
      <c r="R15" s="399">
        <v>11</v>
      </c>
      <c r="S15" s="399">
        <v>19</v>
      </c>
      <c r="T15" s="399">
        <v>30</v>
      </c>
      <c r="U15" s="399">
        <v>265</v>
      </c>
      <c r="V15" s="399">
        <v>192</v>
      </c>
      <c r="W15" s="399">
        <v>457</v>
      </c>
    </row>
    <row r="16" spans="1:23">
      <c r="A16" s="1245"/>
      <c r="B16" s="726" t="s">
        <v>227</v>
      </c>
      <c r="C16" s="399">
        <v>11</v>
      </c>
      <c r="D16" s="399">
        <v>0</v>
      </c>
      <c r="E16" s="399">
        <v>11</v>
      </c>
      <c r="F16" s="399">
        <v>36</v>
      </c>
      <c r="G16" s="399">
        <v>11</v>
      </c>
      <c r="H16" s="399">
        <v>47</v>
      </c>
      <c r="I16" s="399">
        <v>81</v>
      </c>
      <c r="J16" s="399">
        <v>39</v>
      </c>
      <c r="K16" s="399">
        <v>120</v>
      </c>
      <c r="L16" s="399">
        <v>2</v>
      </c>
      <c r="M16" s="399">
        <v>1</v>
      </c>
      <c r="N16" s="399">
        <v>3</v>
      </c>
      <c r="O16" s="399">
        <v>56</v>
      </c>
      <c r="P16" s="399">
        <v>101</v>
      </c>
      <c r="Q16" s="399">
        <v>157</v>
      </c>
      <c r="R16" s="399">
        <v>8</v>
      </c>
      <c r="S16" s="399">
        <v>20</v>
      </c>
      <c r="T16" s="399">
        <v>28</v>
      </c>
      <c r="U16" s="399">
        <v>194</v>
      </c>
      <c r="V16" s="399">
        <v>172</v>
      </c>
      <c r="W16" s="399">
        <v>366</v>
      </c>
    </row>
    <row r="17" spans="1:23">
      <c r="A17" s="1245">
        <v>2</v>
      </c>
      <c r="B17" s="717" t="s">
        <v>15</v>
      </c>
      <c r="C17" s="721"/>
      <c r="D17" s="722"/>
      <c r="E17" s="722"/>
      <c r="F17" s="722"/>
      <c r="G17" s="722"/>
      <c r="H17" s="723"/>
      <c r="I17" s="721"/>
      <c r="J17" s="722"/>
      <c r="K17" s="723"/>
      <c r="L17" s="721"/>
      <c r="M17" s="722"/>
      <c r="N17" s="722"/>
      <c r="O17" s="722"/>
      <c r="P17" s="722"/>
      <c r="Q17" s="723"/>
      <c r="R17" s="722"/>
      <c r="S17" s="722"/>
      <c r="T17" s="723"/>
      <c r="U17" s="721"/>
      <c r="V17" s="722"/>
      <c r="W17" s="722"/>
    </row>
    <row r="18" spans="1:23">
      <c r="A18" s="1245"/>
      <c r="B18" s="724" t="s">
        <v>919</v>
      </c>
      <c r="C18" s="721">
        <v>7337</v>
      </c>
      <c r="D18" s="722">
        <v>2310</v>
      </c>
      <c r="E18" s="722">
        <v>9647</v>
      </c>
      <c r="F18" s="722">
        <v>6601</v>
      </c>
      <c r="G18" s="722">
        <v>2808</v>
      </c>
      <c r="H18" s="723">
        <v>9409</v>
      </c>
      <c r="I18" s="721">
        <v>48610</v>
      </c>
      <c r="J18" s="722">
        <v>29183</v>
      </c>
      <c r="K18" s="723">
        <v>77793</v>
      </c>
      <c r="L18" s="721">
        <v>924</v>
      </c>
      <c r="M18" s="722">
        <v>4530</v>
      </c>
      <c r="N18" s="722">
        <v>5454</v>
      </c>
      <c r="O18" s="722">
        <v>2400</v>
      </c>
      <c r="P18" s="722">
        <v>1708</v>
      </c>
      <c r="Q18" s="723">
        <v>4108</v>
      </c>
      <c r="R18" s="722">
        <v>58</v>
      </c>
      <c r="S18" s="722">
        <v>69</v>
      </c>
      <c r="T18" s="723">
        <v>127</v>
      </c>
      <c r="U18" s="721">
        <v>65930</v>
      </c>
      <c r="V18" s="722">
        <v>40608</v>
      </c>
      <c r="W18" s="722">
        <v>106538</v>
      </c>
    </row>
    <row r="19" spans="1:23" s="725" customFormat="1">
      <c r="A19" s="1245"/>
      <c r="B19" s="724" t="s">
        <v>876</v>
      </c>
      <c r="C19" s="399">
        <v>7261</v>
      </c>
      <c r="D19" s="399">
        <v>2150</v>
      </c>
      <c r="E19" s="399">
        <v>9411</v>
      </c>
      <c r="F19" s="399">
        <v>6633</v>
      </c>
      <c r="G19" s="399">
        <v>2687</v>
      </c>
      <c r="H19" s="399">
        <v>9320</v>
      </c>
      <c r="I19" s="399">
        <v>47557</v>
      </c>
      <c r="J19" s="399">
        <v>27520</v>
      </c>
      <c r="K19" s="399">
        <v>75077</v>
      </c>
      <c r="L19" s="399">
        <v>885</v>
      </c>
      <c r="M19" s="399">
        <v>4019</v>
      </c>
      <c r="N19" s="399">
        <v>4904</v>
      </c>
      <c r="O19" s="399">
        <v>2212</v>
      </c>
      <c r="P19" s="399">
        <v>1564</v>
      </c>
      <c r="Q19" s="399">
        <v>3776</v>
      </c>
      <c r="R19" s="399">
        <v>60</v>
      </c>
      <c r="S19" s="399">
        <v>64</v>
      </c>
      <c r="T19" s="399">
        <v>124</v>
      </c>
      <c r="U19" s="399">
        <v>64608</v>
      </c>
      <c r="V19" s="399">
        <v>38004</v>
      </c>
      <c r="W19" s="399">
        <v>102612</v>
      </c>
    </row>
    <row r="20" spans="1:23">
      <c r="A20" s="1245"/>
      <c r="B20" s="724" t="s">
        <v>229</v>
      </c>
      <c r="C20" s="399">
        <v>7282</v>
      </c>
      <c r="D20" s="399">
        <v>1947</v>
      </c>
      <c r="E20" s="399">
        <v>9229</v>
      </c>
      <c r="F20" s="399">
        <v>6845</v>
      </c>
      <c r="G20" s="399">
        <v>2482</v>
      </c>
      <c r="H20" s="399">
        <v>9327</v>
      </c>
      <c r="I20" s="399">
        <v>46694</v>
      </c>
      <c r="J20" s="399">
        <v>26059</v>
      </c>
      <c r="K20" s="399">
        <v>72753</v>
      </c>
      <c r="L20" s="399">
        <v>828</v>
      </c>
      <c r="M20" s="399">
        <v>3353</v>
      </c>
      <c r="N20" s="399">
        <v>4181</v>
      </c>
      <c r="O20" s="399">
        <v>2384</v>
      </c>
      <c r="P20" s="399">
        <v>1720</v>
      </c>
      <c r="Q20" s="399">
        <v>4104</v>
      </c>
      <c r="R20" s="399">
        <v>83</v>
      </c>
      <c r="S20" s="399">
        <v>60</v>
      </c>
      <c r="T20" s="399">
        <v>143</v>
      </c>
      <c r="U20" s="399">
        <v>64116</v>
      </c>
      <c r="V20" s="399">
        <v>35621</v>
      </c>
      <c r="W20" s="399">
        <v>99737</v>
      </c>
    </row>
    <row r="21" spans="1:23">
      <c r="A21" s="1245"/>
      <c r="B21" s="726" t="s">
        <v>228</v>
      </c>
      <c r="C21" s="399">
        <v>7160</v>
      </c>
      <c r="D21" s="399">
        <v>1872</v>
      </c>
      <c r="E21" s="399">
        <v>9032</v>
      </c>
      <c r="F21" s="399">
        <v>6845</v>
      </c>
      <c r="G21" s="399">
        <v>2327</v>
      </c>
      <c r="H21" s="399">
        <v>9172</v>
      </c>
      <c r="I21" s="399">
        <v>47564</v>
      </c>
      <c r="J21" s="399">
        <v>25762</v>
      </c>
      <c r="K21" s="399">
        <v>73326</v>
      </c>
      <c r="L21" s="399">
        <v>805</v>
      </c>
      <c r="M21" s="399">
        <v>3356</v>
      </c>
      <c r="N21" s="399">
        <v>4161</v>
      </c>
      <c r="O21" s="399">
        <v>2135</v>
      </c>
      <c r="P21" s="399">
        <v>1425</v>
      </c>
      <c r="Q21" s="399">
        <v>3560</v>
      </c>
      <c r="R21" s="399">
        <v>82</v>
      </c>
      <c r="S21" s="399">
        <v>65</v>
      </c>
      <c r="T21" s="399">
        <v>147</v>
      </c>
      <c r="U21" s="399">
        <v>64591</v>
      </c>
      <c r="V21" s="399">
        <v>34807</v>
      </c>
      <c r="W21" s="399">
        <v>99398</v>
      </c>
    </row>
    <row r="22" spans="1:23">
      <c r="A22" s="1245"/>
      <c r="B22" s="726" t="s">
        <v>227</v>
      </c>
      <c r="C22" s="399">
        <v>6369</v>
      </c>
      <c r="D22" s="399">
        <v>1646</v>
      </c>
      <c r="E22" s="399">
        <v>8015</v>
      </c>
      <c r="F22" s="399">
        <v>6067</v>
      </c>
      <c r="G22" s="399">
        <v>2047</v>
      </c>
      <c r="H22" s="399">
        <v>8114</v>
      </c>
      <c r="I22" s="399">
        <v>43788</v>
      </c>
      <c r="J22" s="399">
        <v>22925</v>
      </c>
      <c r="K22" s="399">
        <v>66713</v>
      </c>
      <c r="L22" s="399">
        <v>824</v>
      </c>
      <c r="M22" s="399">
        <v>3059</v>
      </c>
      <c r="N22" s="399">
        <v>3883</v>
      </c>
      <c r="O22" s="399">
        <v>2010</v>
      </c>
      <c r="P22" s="399">
        <v>1388</v>
      </c>
      <c r="Q22" s="399">
        <v>3398</v>
      </c>
      <c r="R22" s="399">
        <v>73</v>
      </c>
      <c r="S22" s="399">
        <v>43</v>
      </c>
      <c r="T22" s="399">
        <v>116</v>
      </c>
      <c r="U22" s="399">
        <v>59131</v>
      </c>
      <c r="V22" s="399">
        <v>31108</v>
      </c>
      <c r="W22" s="399">
        <v>90239</v>
      </c>
    </row>
    <row r="23" spans="1:23">
      <c r="A23" s="1245">
        <v>3</v>
      </c>
      <c r="B23" s="717" t="s">
        <v>16</v>
      </c>
      <c r="C23" s="718"/>
      <c r="D23" s="719"/>
      <c r="E23" s="719"/>
      <c r="F23" s="719"/>
      <c r="G23" s="719"/>
      <c r="H23" s="720"/>
      <c r="I23" s="718"/>
      <c r="J23" s="719"/>
      <c r="K23" s="719"/>
      <c r="L23" s="719"/>
      <c r="M23" s="719"/>
      <c r="N23" s="719"/>
      <c r="O23" s="719"/>
      <c r="P23" s="719"/>
      <c r="Q23" s="720"/>
      <c r="R23" s="719"/>
      <c r="S23" s="719"/>
      <c r="T23" s="720"/>
      <c r="U23" s="718"/>
      <c r="V23" s="719"/>
      <c r="W23" s="719"/>
    </row>
    <row r="24" spans="1:23">
      <c r="A24" s="1245"/>
      <c r="B24" s="724" t="s">
        <v>919</v>
      </c>
      <c r="C24" s="718">
        <v>181</v>
      </c>
      <c r="D24" s="719">
        <v>45</v>
      </c>
      <c r="E24" s="719">
        <v>226</v>
      </c>
      <c r="F24" s="719">
        <v>207</v>
      </c>
      <c r="G24" s="719">
        <v>63</v>
      </c>
      <c r="H24" s="720">
        <v>270</v>
      </c>
      <c r="I24" s="718">
        <v>828</v>
      </c>
      <c r="J24" s="719">
        <v>779</v>
      </c>
      <c r="K24" s="719">
        <v>1607</v>
      </c>
      <c r="L24" s="719">
        <v>16</v>
      </c>
      <c r="M24" s="719">
        <v>69</v>
      </c>
      <c r="N24" s="719">
        <v>85</v>
      </c>
      <c r="O24" s="719">
        <v>41</v>
      </c>
      <c r="P24" s="719">
        <v>58</v>
      </c>
      <c r="Q24" s="720">
        <v>99</v>
      </c>
      <c r="R24" s="719">
        <v>3</v>
      </c>
      <c r="S24" s="719">
        <v>3</v>
      </c>
      <c r="T24" s="720">
        <v>6</v>
      </c>
      <c r="U24" s="718">
        <v>1276</v>
      </c>
      <c r="V24" s="719">
        <v>1017</v>
      </c>
      <c r="W24" s="719">
        <v>2293</v>
      </c>
    </row>
    <row r="25" spans="1:23" s="725" customFormat="1">
      <c r="A25" s="1245"/>
      <c r="B25" s="724" t="s">
        <v>876</v>
      </c>
      <c r="C25" s="399">
        <v>167</v>
      </c>
      <c r="D25" s="399">
        <v>40</v>
      </c>
      <c r="E25" s="399">
        <v>207</v>
      </c>
      <c r="F25" s="399">
        <v>192</v>
      </c>
      <c r="G25" s="399">
        <v>58</v>
      </c>
      <c r="H25" s="399">
        <v>250</v>
      </c>
      <c r="I25" s="399">
        <v>839</v>
      </c>
      <c r="J25" s="399">
        <v>768</v>
      </c>
      <c r="K25" s="399">
        <v>1607</v>
      </c>
      <c r="L25" s="399">
        <v>17</v>
      </c>
      <c r="M25" s="399">
        <v>37</v>
      </c>
      <c r="N25" s="399">
        <v>54</v>
      </c>
      <c r="O25" s="399">
        <v>17</v>
      </c>
      <c r="P25" s="399">
        <v>20</v>
      </c>
      <c r="Q25" s="399">
        <v>37</v>
      </c>
      <c r="R25" s="399">
        <v>1</v>
      </c>
      <c r="S25" s="399">
        <v>3</v>
      </c>
      <c r="T25" s="399">
        <v>4</v>
      </c>
      <c r="U25" s="399">
        <v>1233</v>
      </c>
      <c r="V25" s="399">
        <v>926</v>
      </c>
      <c r="W25" s="399">
        <v>2159</v>
      </c>
    </row>
    <row r="26" spans="1:23">
      <c r="A26" s="1245"/>
      <c r="B26" s="724" t="s">
        <v>229</v>
      </c>
      <c r="C26" s="399">
        <v>171</v>
      </c>
      <c r="D26" s="399">
        <v>33</v>
      </c>
      <c r="E26" s="399">
        <v>204</v>
      </c>
      <c r="F26" s="399">
        <v>180</v>
      </c>
      <c r="G26" s="399">
        <v>55</v>
      </c>
      <c r="H26" s="399">
        <v>235</v>
      </c>
      <c r="I26" s="399">
        <v>826</v>
      </c>
      <c r="J26" s="399">
        <v>674</v>
      </c>
      <c r="K26" s="399">
        <v>1500</v>
      </c>
      <c r="L26" s="399">
        <v>18</v>
      </c>
      <c r="M26" s="399">
        <v>14</v>
      </c>
      <c r="N26" s="399">
        <v>32</v>
      </c>
      <c r="O26" s="399">
        <v>13</v>
      </c>
      <c r="P26" s="399">
        <v>13</v>
      </c>
      <c r="Q26" s="399">
        <v>26</v>
      </c>
      <c r="R26" s="399">
        <v>5</v>
      </c>
      <c r="S26" s="399">
        <v>2</v>
      </c>
      <c r="T26" s="399">
        <v>7</v>
      </c>
      <c r="U26" s="399">
        <v>1213</v>
      </c>
      <c r="V26" s="399">
        <v>791</v>
      </c>
      <c r="W26" s="399">
        <v>2004</v>
      </c>
    </row>
    <row r="27" spans="1:23">
      <c r="A27" s="1245"/>
      <c r="B27" s="726" t="s">
        <v>228</v>
      </c>
      <c r="C27" s="399">
        <v>146</v>
      </c>
      <c r="D27" s="399">
        <v>20</v>
      </c>
      <c r="E27" s="399">
        <v>166</v>
      </c>
      <c r="F27" s="399">
        <v>139</v>
      </c>
      <c r="G27" s="399">
        <v>36</v>
      </c>
      <c r="H27" s="399">
        <v>175</v>
      </c>
      <c r="I27" s="399">
        <v>636</v>
      </c>
      <c r="J27" s="399">
        <v>462</v>
      </c>
      <c r="K27" s="399">
        <v>1098</v>
      </c>
      <c r="L27" s="399">
        <v>12</v>
      </c>
      <c r="M27" s="399">
        <v>6</v>
      </c>
      <c r="N27" s="399">
        <v>18</v>
      </c>
      <c r="O27" s="399">
        <v>18</v>
      </c>
      <c r="P27" s="399">
        <v>10</v>
      </c>
      <c r="Q27" s="399">
        <v>28</v>
      </c>
      <c r="R27" s="399">
        <v>8</v>
      </c>
      <c r="S27" s="399">
        <v>11</v>
      </c>
      <c r="T27" s="399">
        <v>19</v>
      </c>
      <c r="U27" s="399">
        <v>959</v>
      </c>
      <c r="V27" s="399">
        <v>545</v>
      </c>
      <c r="W27" s="399">
        <v>1504</v>
      </c>
    </row>
    <row r="28" spans="1:23">
      <c r="A28" s="1245"/>
      <c r="B28" s="726" t="s">
        <v>227</v>
      </c>
      <c r="C28" s="399">
        <v>112</v>
      </c>
      <c r="D28" s="399">
        <v>17</v>
      </c>
      <c r="E28" s="399">
        <v>129</v>
      </c>
      <c r="F28" s="399">
        <v>119</v>
      </c>
      <c r="G28" s="399">
        <v>38</v>
      </c>
      <c r="H28" s="399">
        <v>157</v>
      </c>
      <c r="I28" s="399">
        <v>478</v>
      </c>
      <c r="J28" s="399">
        <v>308</v>
      </c>
      <c r="K28" s="399">
        <v>786</v>
      </c>
      <c r="L28" s="399">
        <v>6</v>
      </c>
      <c r="M28" s="399">
        <v>3</v>
      </c>
      <c r="N28" s="399">
        <v>9</v>
      </c>
      <c r="O28" s="399">
        <v>18</v>
      </c>
      <c r="P28" s="399">
        <v>12</v>
      </c>
      <c r="Q28" s="399">
        <v>30</v>
      </c>
      <c r="R28" s="399">
        <v>2</v>
      </c>
      <c r="S28" s="399">
        <v>0</v>
      </c>
      <c r="T28" s="399">
        <v>2</v>
      </c>
      <c r="U28" s="399">
        <v>735</v>
      </c>
      <c r="V28" s="399">
        <v>378</v>
      </c>
      <c r="W28" s="399">
        <v>1113</v>
      </c>
    </row>
    <row r="29" spans="1:23">
      <c r="A29" s="1245">
        <v>4</v>
      </c>
      <c r="B29" s="717" t="s">
        <v>17</v>
      </c>
      <c r="C29" s="721"/>
      <c r="D29" s="722"/>
      <c r="E29" s="722"/>
      <c r="F29" s="722"/>
      <c r="G29" s="722"/>
      <c r="H29" s="723"/>
      <c r="I29" s="721"/>
      <c r="J29" s="722"/>
      <c r="K29" s="723"/>
      <c r="L29" s="721"/>
      <c r="M29" s="722"/>
      <c r="N29" s="722"/>
      <c r="O29" s="722"/>
      <c r="P29" s="722"/>
      <c r="Q29" s="723"/>
      <c r="R29" s="722"/>
      <c r="S29" s="722"/>
      <c r="T29" s="723"/>
      <c r="U29" s="721"/>
      <c r="V29" s="722"/>
      <c r="W29" s="722"/>
    </row>
    <row r="30" spans="1:23">
      <c r="A30" s="1245"/>
      <c r="B30" s="724" t="s">
        <v>919</v>
      </c>
      <c r="C30" s="721">
        <v>1182</v>
      </c>
      <c r="D30" s="722">
        <v>384</v>
      </c>
      <c r="E30" s="722">
        <v>1566</v>
      </c>
      <c r="F30" s="722">
        <v>2092</v>
      </c>
      <c r="G30" s="722">
        <v>1207</v>
      </c>
      <c r="H30" s="723">
        <v>3299</v>
      </c>
      <c r="I30" s="721">
        <v>8903</v>
      </c>
      <c r="J30" s="722">
        <v>7001</v>
      </c>
      <c r="K30" s="723">
        <v>15904</v>
      </c>
      <c r="L30" s="721">
        <v>507</v>
      </c>
      <c r="M30" s="722">
        <v>500</v>
      </c>
      <c r="N30" s="722">
        <v>1007</v>
      </c>
      <c r="O30" s="722">
        <v>681</v>
      </c>
      <c r="P30" s="722">
        <v>843</v>
      </c>
      <c r="Q30" s="723">
        <v>1524</v>
      </c>
      <c r="R30" s="722">
        <v>20</v>
      </c>
      <c r="S30" s="722">
        <v>16</v>
      </c>
      <c r="T30" s="723">
        <v>36</v>
      </c>
      <c r="U30" s="721">
        <v>13385</v>
      </c>
      <c r="V30" s="722">
        <v>9951</v>
      </c>
      <c r="W30" s="722">
        <v>23336</v>
      </c>
    </row>
    <row r="31" spans="1:23" s="725" customFormat="1">
      <c r="A31" s="1245"/>
      <c r="B31" s="724" t="s">
        <v>876</v>
      </c>
      <c r="C31" s="399">
        <v>1220</v>
      </c>
      <c r="D31" s="399">
        <v>379</v>
      </c>
      <c r="E31" s="399">
        <v>1599</v>
      </c>
      <c r="F31" s="399">
        <v>2205</v>
      </c>
      <c r="G31" s="399">
        <v>1276</v>
      </c>
      <c r="H31" s="399">
        <v>3481</v>
      </c>
      <c r="I31" s="399">
        <v>8963</v>
      </c>
      <c r="J31" s="399">
        <v>6880</v>
      </c>
      <c r="K31" s="399">
        <v>15843</v>
      </c>
      <c r="L31" s="399">
        <v>442</v>
      </c>
      <c r="M31" s="399">
        <v>381</v>
      </c>
      <c r="N31" s="399">
        <v>823</v>
      </c>
      <c r="O31" s="399">
        <v>662</v>
      </c>
      <c r="P31" s="399">
        <v>858</v>
      </c>
      <c r="Q31" s="399">
        <v>1520</v>
      </c>
      <c r="R31" s="399">
        <v>18</v>
      </c>
      <c r="S31" s="399">
        <v>18</v>
      </c>
      <c r="T31" s="399">
        <v>36</v>
      </c>
      <c r="U31" s="399">
        <v>13510</v>
      </c>
      <c r="V31" s="399">
        <v>9792</v>
      </c>
      <c r="W31" s="399">
        <v>23302</v>
      </c>
    </row>
    <row r="32" spans="1:23">
      <c r="A32" s="1245"/>
      <c r="B32" s="724" t="s">
        <v>229</v>
      </c>
      <c r="C32" s="399">
        <v>1257</v>
      </c>
      <c r="D32" s="399">
        <v>365</v>
      </c>
      <c r="E32" s="399">
        <v>1622</v>
      </c>
      <c r="F32" s="399">
        <v>2489</v>
      </c>
      <c r="G32" s="399">
        <v>1416</v>
      </c>
      <c r="H32" s="399">
        <v>3905</v>
      </c>
      <c r="I32" s="399">
        <v>8618</v>
      </c>
      <c r="J32" s="399">
        <v>6371</v>
      </c>
      <c r="K32" s="399">
        <v>14989</v>
      </c>
      <c r="L32" s="399">
        <v>415</v>
      </c>
      <c r="M32" s="399">
        <v>375</v>
      </c>
      <c r="N32" s="399">
        <v>790</v>
      </c>
      <c r="O32" s="399">
        <v>781</v>
      </c>
      <c r="P32" s="399">
        <v>958</v>
      </c>
      <c r="Q32" s="399">
        <v>1739</v>
      </c>
      <c r="R32" s="399">
        <v>19</v>
      </c>
      <c r="S32" s="399">
        <v>16</v>
      </c>
      <c r="T32" s="399">
        <v>35</v>
      </c>
      <c r="U32" s="399">
        <v>13579</v>
      </c>
      <c r="V32" s="399">
        <v>9501</v>
      </c>
      <c r="W32" s="399">
        <v>23080</v>
      </c>
    </row>
    <row r="33" spans="1:23">
      <c r="A33" s="1245"/>
      <c r="B33" s="726" t="s">
        <v>228</v>
      </c>
      <c r="C33" s="399">
        <v>1271</v>
      </c>
      <c r="D33" s="400">
        <v>375</v>
      </c>
      <c r="E33" s="399">
        <v>1646</v>
      </c>
      <c r="F33" s="399">
        <v>2654</v>
      </c>
      <c r="G33" s="399">
        <v>1526</v>
      </c>
      <c r="H33" s="399">
        <v>4180</v>
      </c>
      <c r="I33" s="399">
        <v>8370</v>
      </c>
      <c r="J33" s="399">
        <v>6020</v>
      </c>
      <c r="K33" s="399">
        <v>14390</v>
      </c>
      <c r="L33" s="399">
        <v>478</v>
      </c>
      <c r="M33" s="399">
        <v>373</v>
      </c>
      <c r="N33" s="399">
        <v>851</v>
      </c>
      <c r="O33" s="399">
        <v>788</v>
      </c>
      <c r="P33" s="399">
        <v>960</v>
      </c>
      <c r="Q33" s="399">
        <v>1748</v>
      </c>
      <c r="R33" s="399">
        <v>21</v>
      </c>
      <c r="S33" s="399">
        <v>13</v>
      </c>
      <c r="T33" s="399">
        <v>34</v>
      </c>
      <c r="U33" s="399">
        <v>13582</v>
      </c>
      <c r="V33" s="399">
        <v>9267</v>
      </c>
      <c r="W33" s="399">
        <v>22849</v>
      </c>
    </row>
    <row r="34" spans="1:23">
      <c r="A34" s="1245"/>
      <c r="B34" s="726" t="s">
        <v>227</v>
      </c>
      <c r="C34" s="399">
        <v>1150</v>
      </c>
      <c r="D34" s="399">
        <v>316</v>
      </c>
      <c r="E34" s="399">
        <v>1466</v>
      </c>
      <c r="F34" s="399">
        <v>2497</v>
      </c>
      <c r="G34" s="399">
        <v>1361</v>
      </c>
      <c r="H34" s="399">
        <v>3858</v>
      </c>
      <c r="I34" s="399">
        <v>7255</v>
      </c>
      <c r="J34" s="399">
        <v>5058</v>
      </c>
      <c r="K34" s="399">
        <v>12313</v>
      </c>
      <c r="L34" s="399">
        <v>318</v>
      </c>
      <c r="M34" s="399">
        <v>207</v>
      </c>
      <c r="N34" s="399">
        <v>525</v>
      </c>
      <c r="O34" s="399">
        <v>702</v>
      </c>
      <c r="P34" s="399">
        <v>815</v>
      </c>
      <c r="Q34" s="399">
        <v>1517</v>
      </c>
      <c r="R34" s="399">
        <v>36</v>
      </c>
      <c r="S34" s="399">
        <v>13</v>
      </c>
      <c r="T34" s="399">
        <v>49</v>
      </c>
      <c r="U34" s="399">
        <v>11958</v>
      </c>
      <c r="V34" s="399">
        <v>7770</v>
      </c>
      <c r="W34" s="399">
        <v>19728</v>
      </c>
    </row>
    <row r="35" spans="1:23">
      <c r="A35" s="1245">
        <v>5</v>
      </c>
      <c r="B35" s="717" t="s">
        <v>18</v>
      </c>
      <c r="C35" s="721"/>
      <c r="D35" s="722"/>
      <c r="E35" s="722"/>
      <c r="F35" s="722"/>
      <c r="G35" s="722"/>
      <c r="H35" s="723"/>
      <c r="I35" s="721"/>
      <c r="J35" s="722"/>
      <c r="K35" s="723"/>
      <c r="L35" s="721"/>
      <c r="M35" s="722"/>
      <c r="N35" s="722"/>
      <c r="O35" s="722"/>
      <c r="P35" s="722"/>
      <c r="Q35" s="723"/>
      <c r="R35" s="722"/>
      <c r="S35" s="722"/>
      <c r="T35" s="723"/>
      <c r="U35" s="721"/>
      <c r="V35" s="722"/>
      <c r="W35" s="722"/>
    </row>
    <row r="36" spans="1:23">
      <c r="A36" s="1245"/>
      <c r="B36" s="724" t="s">
        <v>919</v>
      </c>
      <c r="C36" s="721">
        <v>2169</v>
      </c>
      <c r="D36" s="722">
        <v>549</v>
      </c>
      <c r="E36" s="722">
        <v>2718</v>
      </c>
      <c r="F36" s="722">
        <v>2986</v>
      </c>
      <c r="G36" s="722">
        <v>705</v>
      </c>
      <c r="H36" s="723">
        <v>3691</v>
      </c>
      <c r="I36" s="721">
        <v>21030</v>
      </c>
      <c r="J36" s="722">
        <v>6157</v>
      </c>
      <c r="K36" s="723">
        <v>27187</v>
      </c>
      <c r="L36" s="721">
        <v>1286</v>
      </c>
      <c r="M36" s="722">
        <v>1297</v>
      </c>
      <c r="N36" s="722">
        <v>2583</v>
      </c>
      <c r="O36" s="722">
        <v>1227</v>
      </c>
      <c r="P36" s="722">
        <v>476</v>
      </c>
      <c r="Q36" s="723">
        <v>1703</v>
      </c>
      <c r="R36" s="722">
        <v>198</v>
      </c>
      <c r="S36" s="722">
        <v>72</v>
      </c>
      <c r="T36" s="723">
        <v>270</v>
      </c>
      <c r="U36" s="721">
        <v>28896</v>
      </c>
      <c r="V36" s="722">
        <v>9256</v>
      </c>
      <c r="W36" s="722">
        <v>38152</v>
      </c>
    </row>
    <row r="37" spans="1:23" s="725" customFormat="1">
      <c r="A37" s="1245"/>
      <c r="B37" s="724" t="s">
        <v>876</v>
      </c>
      <c r="C37" s="401">
        <v>2149</v>
      </c>
      <c r="D37" s="401">
        <v>500</v>
      </c>
      <c r="E37" s="401">
        <v>2649</v>
      </c>
      <c r="F37" s="401">
        <v>3050</v>
      </c>
      <c r="G37" s="401">
        <v>711</v>
      </c>
      <c r="H37" s="401">
        <v>3761</v>
      </c>
      <c r="I37" s="401">
        <v>20124</v>
      </c>
      <c r="J37" s="401">
        <v>5669</v>
      </c>
      <c r="K37" s="401">
        <v>25793</v>
      </c>
      <c r="L37" s="401">
        <v>1051</v>
      </c>
      <c r="M37" s="401">
        <v>1123</v>
      </c>
      <c r="N37" s="401">
        <v>2174</v>
      </c>
      <c r="O37" s="401">
        <v>880</v>
      </c>
      <c r="P37" s="401">
        <v>348</v>
      </c>
      <c r="Q37" s="401">
        <v>1228</v>
      </c>
      <c r="R37" s="401">
        <v>191</v>
      </c>
      <c r="S37" s="401">
        <v>69</v>
      </c>
      <c r="T37" s="401">
        <v>260</v>
      </c>
      <c r="U37" s="401">
        <v>27445</v>
      </c>
      <c r="V37" s="401">
        <v>8420</v>
      </c>
      <c r="W37" s="401">
        <v>35865</v>
      </c>
    </row>
    <row r="38" spans="1:23">
      <c r="A38" s="1245"/>
      <c r="B38" s="724" t="s">
        <v>229</v>
      </c>
      <c r="C38" s="401">
        <v>1933</v>
      </c>
      <c r="D38" s="401">
        <v>423</v>
      </c>
      <c r="E38" s="401">
        <v>2356</v>
      </c>
      <c r="F38" s="401">
        <v>3336</v>
      </c>
      <c r="G38" s="401">
        <v>757</v>
      </c>
      <c r="H38" s="401">
        <v>4093</v>
      </c>
      <c r="I38" s="401">
        <v>16407</v>
      </c>
      <c r="J38" s="401">
        <v>4362</v>
      </c>
      <c r="K38" s="401">
        <v>20769</v>
      </c>
      <c r="L38" s="401">
        <v>683</v>
      </c>
      <c r="M38" s="401">
        <v>509</v>
      </c>
      <c r="N38" s="401">
        <v>1192</v>
      </c>
      <c r="O38" s="401">
        <v>649</v>
      </c>
      <c r="P38" s="401">
        <v>270</v>
      </c>
      <c r="Q38" s="401">
        <v>919</v>
      </c>
      <c r="R38" s="401">
        <v>205</v>
      </c>
      <c r="S38" s="401">
        <v>63</v>
      </c>
      <c r="T38" s="401">
        <v>268</v>
      </c>
      <c r="U38" s="401">
        <v>23213</v>
      </c>
      <c r="V38" s="401">
        <v>6384</v>
      </c>
      <c r="W38" s="401">
        <v>29597</v>
      </c>
    </row>
    <row r="39" spans="1:23">
      <c r="A39" s="1245"/>
      <c r="B39" s="726" t="s">
        <v>228</v>
      </c>
      <c r="C39" s="401">
        <v>1847</v>
      </c>
      <c r="D39" s="401">
        <v>412</v>
      </c>
      <c r="E39" s="401">
        <v>2259</v>
      </c>
      <c r="F39" s="401">
        <v>3343</v>
      </c>
      <c r="G39" s="401">
        <v>791</v>
      </c>
      <c r="H39" s="401">
        <v>4134</v>
      </c>
      <c r="I39" s="401">
        <v>14582</v>
      </c>
      <c r="J39" s="401">
        <v>3727</v>
      </c>
      <c r="K39" s="401">
        <v>18309</v>
      </c>
      <c r="L39" s="401">
        <v>448</v>
      </c>
      <c r="M39" s="401">
        <v>400</v>
      </c>
      <c r="N39" s="401">
        <v>848</v>
      </c>
      <c r="O39" s="401">
        <v>494</v>
      </c>
      <c r="P39" s="401">
        <v>176</v>
      </c>
      <c r="Q39" s="401">
        <v>670</v>
      </c>
      <c r="R39" s="401">
        <v>174</v>
      </c>
      <c r="S39" s="401">
        <v>56</v>
      </c>
      <c r="T39" s="401">
        <v>230</v>
      </c>
      <c r="U39" s="401">
        <v>20888</v>
      </c>
      <c r="V39" s="401">
        <v>5562</v>
      </c>
      <c r="W39" s="401">
        <v>26450</v>
      </c>
    </row>
    <row r="40" spans="1:23">
      <c r="A40" s="1245"/>
      <c r="B40" s="726" t="s">
        <v>227</v>
      </c>
      <c r="C40" s="401">
        <v>1729</v>
      </c>
      <c r="D40" s="401">
        <v>375</v>
      </c>
      <c r="E40" s="401">
        <v>2104</v>
      </c>
      <c r="F40" s="401">
        <v>3243</v>
      </c>
      <c r="G40" s="401">
        <v>775</v>
      </c>
      <c r="H40" s="401">
        <v>4018</v>
      </c>
      <c r="I40" s="401">
        <v>12002</v>
      </c>
      <c r="J40" s="401">
        <v>3077</v>
      </c>
      <c r="K40" s="401">
        <v>15079</v>
      </c>
      <c r="L40" s="401">
        <v>360</v>
      </c>
      <c r="M40" s="401">
        <v>340</v>
      </c>
      <c r="N40" s="401">
        <v>700</v>
      </c>
      <c r="O40" s="401">
        <v>417</v>
      </c>
      <c r="P40" s="401">
        <v>133</v>
      </c>
      <c r="Q40" s="401">
        <v>550</v>
      </c>
      <c r="R40" s="401">
        <v>159</v>
      </c>
      <c r="S40" s="401">
        <v>41</v>
      </c>
      <c r="T40" s="401">
        <v>200</v>
      </c>
      <c r="U40" s="401">
        <v>17910</v>
      </c>
      <c r="V40" s="401">
        <v>4741</v>
      </c>
      <c r="W40" s="401">
        <v>22651</v>
      </c>
    </row>
    <row r="41" spans="1:23">
      <c r="A41" s="1245">
        <v>6</v>
      </c>
      <c r="B41" s="717" t="s">
        <v>19</v>
      </c>
      <c r="C41" s="721"/>
      <c r="D41" s="722"/>
      <c r="E41" s="722"/>
      <c r="F41" s="722"/>
      <c r="G41" s="722"/>
      <c r="H41" s="723"/>
      <c r="I41" s="721"/>
      <c r="J41" s="722"/>
      <c r="K41" s="723"/>
      <c r="L41" s="721"/>
      <c r="M41" s="722"/>
      <c r="N41" s="722"/>
      <c r="O41" s="722"/>
      <c r="P41" s="722"/>
      <c r="Q41" s="723"/>
      <c r="R41" s="722"/>
      <c r="S41" s="722"/>
      <c r="T41" s="723"/>
      <c r="U41" s="721"/>
      <c r="V41" s="722"/>
      <c r="W41" s="722"/>
    </row>
    <row r="42" spans="1:23">
      <c r="A42" s="1245"/>
      <c r="B42" s="724" t="s">
        <v>919</v>
      </c>
      <c r="C42" s="721">
        <v>427</v>
      </c>
      <c r="D42" s="722">
        <v>318</v>
      </c>
      <c r="E42" s="722">
        <v>745</v>
      </c>
      <c r="F42" s="722">
        <v>288</v>
      </c>
      <c r="G42" s="722">
        <v>313</v>
      </c>
      <c r="H42" s="723">
        <v>601</v>
      </c>
      <c r="I42" s="721">
        <v>764</v>
      </c>
      <c r="J42" s="722">
        <v>1308</v>
      </c>
      <c r="K42" s="723">
        <v>2072</v>
      </c>
      <c r="L42" s="721">
        <v>14</v>
      </c>
      <c r="M42" s="722">
        <v>9</v>
      </c>
      <c r="N42" s="722">
        <v>23</v>
      </c>
      <c r="O42" s="722">
        <v>62</v>
      </c>
      <c r="P42" s="722">
        <v>212</v>
      </c>
      <c r="Q42" s="723">
        <v>274</v>
      </c>
      <c r="R42" s="722">
        <v>9</v>
      </c>
      <c r="S42" s="722">
        <v>10</v>
      </c>
      <c r="T42" s="723">
        <v>19</v>
      </c>
      <c r="U42" s="721">
        <v>1564</v>
      </c>
      <c r="V42" s="722">
        <v>2170</v>
      </c>
      <c r="W42" s="722">
        <v>3734</v>
      </c>
    </row>
    <row r="43" spans="1:23" s="725" customFormat="1">
      <c r="A43" s="1245"/>
      <c r="B43" s="724" t="s">
        <v>876</v>
      </c>
      <c r="C43" s="401">
        <v>439</v>
      </c>
      <c r="D43" s="401">
        <v>318</v>
      </c>
      <c r="E43" s="401">
        <v>757</v>
      </c>
      <c r="F43" s="401">
        <v>271</v>
      </c>
      <c r="G43" s="401">
        <v>323</v>
      </c>
      <c r="H43" s="401">
        <v>594</v>
      </c>
      <c r="I43" s="401">
        <v>735</v>
      </c>
      <c r="J43" s="401">
        <v>1240</v>
      </c>
      <c r="K43" s="401">
        <v>1975</v>
      </c>
      <c r="L43" s="401">
        <v>17</v>
      </c>
      <c r="M43" s="401">
        <v>8</v>
      </c>
      <c r="N43" s="401">
        <v>25</v>
      </c>
      <c r="O43" s="401">
        <v>79</v>
      </c>
      <c r="P43" s="401">
        <v>211</v>
      </c>
      <c r="Q43" s="401">
        <v>290</v>
      </c>
      <c r="R43" s="401">
        <v>10</v>
      </c>
      <c r="S43" s="401">
        <v>12</v>
      </c>
      <c r="T43" s="401">
        <v>22</v>
      </c>
      <c r="U43" s="401">
        <v>1551</v>
      </c>
      <c r="V43" s="401">
        <v>2112</v>
      </c>
      <c r="W43" s="401">
        <v>3663</v>
      </c>
    </row>
    <row r="44" spans="1:23">
      <c r="A44" s="1245"/>
      <c r="B44" s="724" t="s">
        <v>229</v>
      </c>
      <c r="C44" s="401">
        <v>443</v>
      </c>
      <c r="D44" s="401">
        <v>301</v>
      </c>
      <c r="E44" s="401">
        <v>744</v>
      </c>
      <c r="F44" s="401">
        <v>224</v>
      </c>
      <c r="G44" s="401">
        <v>322</v>
      </c>
      <c r="H44" s="401">
        <v>546</v>
      </c>
      <c r="I44" s="401">
        <v>864</v>
      </c>
      <c r="J44" s="401">
        <v>1368</v>
      </c>
      <c r="K44" s="401">
        <v>2232</v>
      </c>
      <c r="L44" s="401">
        <v>12</v>
      </c>
      <c r="M44" s="401">
        <v>9</v>
      </c>
      <c r="N44" s="401">
        <v>21</v>
      </c>
      <c r="O44" s="401">
        <v>44</v>
      </c>
      <c r="P44" s="401">
        <v>156</v>
      </c>
      <c r="Q44" s="401">
        <v>200</v>
      </c>
      <c r="R44" s="401">
        <v>8</v>
      </c>
      <c r="S44" s="401">
        <v>13</v>
      </c>
      <c r="T44" s="401">
        <v>21</v>
      </c>
      <c r="U44" s="401">
        <v>1595</v>
      </c>
      <c r="V44" s="401">
        <v>2169</v>
      </c>
      <c r="W44" s="401">
        <v>3764</v>
      </c>
    </row>
    <row r="45" spans="1:23">
      <c r="A45" s="1245"/>
      <c r="B45" s="726" t="s">
        <v>228</v>
      </c>
      <c r="C45" s="401">
        <v>395</v>
      </c>
      <c r="D45" s="401">
        <v>282</v>
      </c>
      <c r="E45" s="401">
        <v>677</v>
      </c>
      <c r="F45" s="401">
        <v>224</v>
      </c>
      <c r="G45" s="401">
        <v>334</v>
      </c>
      <c r="H45" s="401">
        <v>558</v>
      </c>
      <c r="I45" s="401">
        <v>783</v>
      </c>
      <c r="J45" s="401">
        <v>1317</v>
      </c>
      <c r="K45" s="401">
        <v>2100</v>
      </c>
      <c r="L45" s="401">
        <v>13</v>
      </c>
      <c r="M45" s="401">
        <v>10</v>
      </c>
      <c r="N45" s="401">
        <v>23</v>
      </c>
      <c r="O45" s="401">
        <v>20</v>
      </c>
      <c r="P45" s="401">
        <v>85</v>
      </c>
      <c r="Q45" s="401">
        <v>105</v>
      </c>
      <c r="R45" s="401">
        <v>18</v>
      </c>
      <c r="S45" s="401">
        <v>51</v>
      </c>
      <c r="T45" s="401">
        <v>69</v>
      </c>
      <c r="U45" s="401">
        <v>1453</v>
      </c>
      <c r="V45" s="401">
        <v>2079</v>
      </c>
      <c r="W45" s="401">
        <v>3532</v>
      </c>
    </row>
    <row r="46" spans="1:23">
      <c r="A46" s="1245"/>
      <c r="B46" s="726" t="s">
        <v>227</v>
      </c>
      <c r="C46" s="401">
        <v>403</v>
      </c>
      <c r="D46" s="401">
        <v>279</v>
      </c>
      <c r="E46" s="401">
        <v>682</v>
      </c>
      <c r="F46" s="401">
        <v>219</v>
      </c>
      <c r="G46" s="401">
        <v>314</v>
      </c>
      <c r="H46" s="401">
        <v>533</v>
      </c>
      <c r="I46" s="401">
        <v>746</v>
      </c>
      <c r="J46" s="401">
        <v>1177</v>
      </c>
      <c r="K46" s="401">
        <v>1923</v>
      </c>
      <c r="L46" s="401">
        <v>9</v>
      </c>
      <c r="M46" s="401">
        <v>10</v>
      </c>
      <c r="N46" s="401">
        <v>19</v>
      </c>
      <c r="O46" s="401">
        <v>20</v>
      </c>
      <c r="P46" s="401">
        <v>175</v>
      </c>
      <c r="Q46" s="401">
        <v>195</v>
      </c>
      <c r="R46" s="401">
        <v>11</v>
      </c>
      <c r="S46" s="401">
        <v>39</v>
      </c>
      <c r="T46" s="401">
        <v>50</v>
      </c>
      <c r="U46" s="401">
        <v>1408</v>
      </c>
      <c r="V46" s="401">
        <v>1994</v>
      </c>
      <c r="W46" s="401">
        <v>3402</v>
      </c>
    </row>
    <row r="47" spans="1:23">
      <c r="A47" s="1252">
        <v>7</v>
      </c>
      <c r="B47" s="717" t="s">
        <v>20</v>
      </c>
      <c r="C47" s="721"/>
      <c r="D47" s="722"/>
      <c r="E47" s="722"/>
      <c r="F47" s="722"/>
      <c r="G47" s="722"/>
      <c r="H47" s="723"/>
      <c r="I47" s="721"/>
      <c r="J47" s="722"/>
      <c r="K47" s="723"/>
      <c r="L47" s="721"/>
      <c r="M47" s="722"/>
      <c r="N47" s="722"/>
      <c r="O47" s="722"/>
      <c r="P47" s="722"/>
      <c r="Q47" s="723"/>
      <c r="R47" s="722"/>
      <c r="S47" s="722"/>
      <c r="T47" s="723"/>
      <c r="U47" s="721"/>
      <c r="V47" s="722"/>
      <c r="W47" s="722"/>
    </row>
    <row r="48" spans="1:23">
      <c r="A48" s="1253"/>
      <c r="B48" s="724" t="s">
        <v>919</v>
      </c>
      <c r="C48" s="721">
        <v>1281</v>
      </c>
      <c r="D48" s="722">
        <v>687</v>
      </c>
      <c r="E48" s="722">
        <v>1968</v>
      </c>
      <c r="F48" s="722">
        <v>976</v>
      </c>
      <c r="G48" s="722">
        <v>692</v>
      </c>
      <c r="H48" s="723">
        <v>1668</v>
      </c>
      <c r="I48" s="721">
        <v>7541</v>
      </c>
      <c r="J48" s="722">
        <v>7048</v>
      </c>
      <c r="K48" s="723">
        <v>14589</v>
      </c>
      <c r="L48" s="721">
        <v>556</v>
      </c>
      <c r="M48" s="722">
        <v>1848</v>
      </c>
      <c r="N48" s="722">
        <v>2404</v>
      </c>
      <c r="O48" s="722">
        <v>1470</v>
      </c>
      <c r="P48" s="722">
        <v>1380</v>
      </c>
      <c r="Q48" s="723">
        <v>2850</v>
      </c>
      <c r="R48" s="722">
        <v>49</v>
      </c>
      <c r="S48" s="722">
        <v>67</v>
      </c>
      <c r="T48" s="723">
        <v>116</v>
      </c>
      <c r="U48" s="721">
        <v>11873</v>
      </c>
      <c r="V48" s="722">
        <v>11722</v>
      </c>
      <c r="W48" s="722">
        <v>23595</v>
      </c>
    </row>
    <row r="49" spans="1:23" s="725" customFormat="1">
      <c r="A49" s="1253"/>
      <c r="B49" s="724" t="s">
        <v>876</v>
      </c>
      <c r="C49" s="401">
        <v>1233</v>
      </c>
      <c r="D49" s="401">
        <v>686</v>
      </c>
      <c r="E49" s="401">
        <v>1919</v>
      </c>
      <c r="F49" s="401">
        <v>947</v>
      </c>
      <c r="G49" s="401">
        <v>651</v>
      </c>
      <c r="H49" s="401">
        <v>1598</v>
      </c>
      <c r="I49" s="401">
        <v>7327</v>
      </c>
      <c r="J49" s="401">
        <v>6529</v>
      </c>
      <c r="K49" s="401">
        <v>13856</v>
      </c>
      <c r="L49" s="401">
        <v>525</v>
      </c>
      <c r="M49" s="401">
        <v>1835</v>
      </c>
      <c r="N49" s="401">
        <v>2360</v>
      </c>
      <c r="O49" s="401">
        <v>1186</v>
      </c>
      <c r="P49" s="401">
        <v>1074</v>
      </c>
      <c r="Q49" s="401">
        <v>2260</v>
      </c>
      <c r="R49" s="401">
        <v>81</v>
      </c>
      <c r="S49" s="401">
        <v>89</v>
      </c>
      <c r="T49" s="401">
        <v>170</v>
      </c>
      <c r="U49" s="401">
        <v>11299</v>
      </c>
      <c r="V49" s="401">
        <v>10864</v>
      </c>
      <c r="W49" s="401">
        <v>22163</v>
      </c>
    </row>
    <row r="50" spans="1:23">
      <c r="A50" s="1253"/>
      <c r="B50" s="724" t="s">
        <v>229</v>
      </c>
      <c r="C50" s="401">
        <v>1184</v>
      </c>
      <c r="D50" s="401">
        <v>652</v>
      </c>
      <c r="E50" s="401">
        <v>1836</v>
      </c>
      <c r="F50" s="401">
        <v>986</v>
      </c>
      <c r="G50" s="401">
        <v>631</v>
      </c>
      <c r="H50" s="401">
        <v>1617</v>
      </c>
      <c r="I50" s="401">
        <v>7553</v>
      </c>
      <c r="J50" s="401">
        <v>6554</v>
      </c>
      <c r="K50" s="401">
        <v>14107</v>
      </c>
      <c r="L50" s="401">
        <v>531</v>
      </c>
      <c r="M50" s="401">
        <v>1775</v>
      </c>
      <c r="N50" s="401">
        <v>2306</v>
      </c>
      <c r="O50" s="401">
        <v>1090</v>
      </c>
      <c r="P50" s="401">
        <v>1069</v>
      </c>
      <c r="Q50" s="401">
        <v>2159</v>
      </c>
      <c r="R50" s="401">
        <v>108</v>
      </c>
      <c r="S50" s="401">
        <v>102</v>
      </c>
      <c r="T50" s="401">
        <v>210</v>
      </c>
      <c r="U50" s="401">
        <v>11452</v>
      </c>
      <c r="V50" s="401">
        <v>10783</v>
      </c>
      <c r="W50" s="401">
        <v>22235</v>
      </c>
    </row>
    <row r="51" spans="1:23">
      <c r="A51" s="1253"/>
      <c r="B51" s="726" t="s">
        <v>228</v>
      </c>
      <c r="C51" s="401">
        <v>1077</v>
      </c>
      <c r="D51" s="401">
        <v>579</v>
      </c>
      <c r="E51" s="401">
        <v>1656</v>
      </c>
      <c r="F51" s="401">
        <v>894</v>
      </c>
      <c r="G51" s="401">
        <v>513</v>
      </c>
      <c r="H51" s="401">
        <v>1407</v>
      </c>
      <c r="I51" s="401">
        <v>7388</v>
      </c>
      <c r="J51" s="401">
        <v>6029</v>
      </c>
      <c r="K51" s="401">
        <v>13417</v>
      </c>
      <c r="L51" s="401">
        <v>473</v>
      </c>
      <c r="M51" s="401">
        <v>1509</v>
      </c>
      <c r="N51" s="401">
        <v>1982</v>
      </c>
      <c r="O51" s="401">
        <v>948</v>
      </c>
      <c r="P51" s="401">
        <v>1023</v>
      </c>
      <c r="Q51" s="401">
        <v>1971</v>
      </c>
      <c r="R51" s="401">
        <v>101</v>
      </c>
      <c r="S51" s="401">
        <v>96</v>
      </c>
      <c r="T51" s="401">
        <v>197</v>
      </c>
      <c r="U51" s="401">
        <v>10881</v>
      </c>
      <c r="V51" s="401">
        <v>9749</v>
      </c>
      <c r="W51" s="401">
        <v>20630</v>
      </c>
    </row>
    <row r="52" spans="1:23">
      <c r="A52" s="1253"/>
      <c r="B52" s="726" t="s">
        <v>227</v>
      </c>
      <c r="C52" s="401">
        <v>1065</v>
      </c>
      <c r="D52" s="401">
        <v>571</v>
      </c>
      <c r="E52" s="401">
        <v>1636</v>
      </c>
      <c r="F52" s="401">
        <v>789</v>
      </c>
      <c r="G52" s="401">
        <v>443</v>
      </c>
      <c r="H52" s="401">
        <v>1232</v>
      </c>
      <c r="I52" s="401">
        <v>7109</v>
      </c>
      <c r="J52" s="401">
        <v>5671</v>
      </c>
      <c r="K52" s="401">
        <v>12780</v>
      </c>
      <c r="L52" s="401">
        <v>522</v>
      </c>
      <c r="M52" s="401">
        <v>1514</v>
      </c>
      <c r="N52" s="401">
        <v>2036</v>
      </c>
      <c r="O52" s="401">
        <v>854</v>
      </c>
      <c r="P52" s="401">
        <v>950</v>
      </c>
      <c r="Q52" s="401">
        <v>1804</v>
      </c>
      <c r="R52" s="401">
        <v>82</v>
      </c>
      <c r="S52" s="401">
        <v>70</v>
      </c>
      <c r="T52" s="401">
        <v>152</v>
      </c>
      <c r="U52" s="401">
        <v>10421</v>
      </c>
      <c r="V52" s="401">
        <v>9219</v>
      </c>
      <c r="W52" s="401">
        <v>19640</v>
      </c>
    </row>
    <row r="53" spans="1:23">
      <c r="A53" s="1245">
        <v>8</v>
      </c>
      <c r="B53" s="717" t="s">
        <v>23</v>
      </c>
      <c r="C53" s="721"/>
      <c r="D53" s="722"/>
      <c r="E53" s="722"/>
      <c r="F53" s="722"/>
      <c r="G53" s="722"/>
      <c r="H53" s="723"/>
      <c r="I53" s="721"/>
      <c r="J53" s="722"/>
      <c r="K53" s="723"/>
      <c r="L53" s="721"/>
      <c r="M53" s="722"/>
      <c r="N53" s="722"/>
      <c r="O53" s="722"/>
      <c r="P53" s="722"/>
      <c r="Q53" s="723"/>
      <c r="R53" s="722"/>
      <c r="S53" s="722"/>
      <c r="T53" s="723"/>
      <c r="U53" s="721"/>
      <c r="V53" s="722"/>
      <c r="W53" s="722"/>
    </row>
    <row r="54" spans="1:23">
      <c r="A54" s="1245"/>
      <c r="B54" s="724" t="s">
        <v>919</v>
      </c>
      <c r="C54" s="721">
        <v>2497</v>
      </c>
      <c r="D54" s="722">
        <v>1579</v>
      </c>
      <c r="E54" s="722">
        <v>4076</v>
      </c>
      <c r="F54" s="722">
        <v>1929</v>
      </c>
      <c r="G54" s="722">
        <v>2638</v>
      </c>
      <c r="H54" s="723">
        <v>4567</v>
      </c>
      <c r="I54" s="721">
        <v>5235</v>
      </c>
      <c r="J54" s="722">
        <v>6793</v>
      </c>
      <c r="K54" s="723">
        <v>12028</v>
      </c>
      <c r="L54" s="721">
        <v>117</v>
      </c>
      <c r="M54" s="722">
        <v>399</v>
      </c>
      <c r="N54" s="722">
        <v>516</v>
      </c>
      <c r="O54" s="722">
        <v>700</v>
      </c>
      <c r="P54" s="722">
        <v>876</v>
      </c>
      <c r="Q54" s="723">
        <v>1576</v>
      </c>
      <c r="R54" s="722">
        <v>102</v>
      </c>
      <c r="S54" s="722">
        <v>64</v>
      </c>
      <c r="T54" s="723">
        <v>166</v>
      </c>
      <c r="U54" s="721">
        <v>10580</v>
      </c>
      <c r="V54" s="722">
        <v>12349</v>
      </c>
      <c r="W54" s="722">
        <v>22929</v>
      </c>
    </row>
    <row r="55" spans="1:23" s="725" customFormat="1">
      <c r="A55" s="1245"/>
      <c r="B55" s="724" t="s">
        <v>876</v>
      </c>
      <c r="C55" s="358">
        <v>2404</v>
      </c>
      <c r="D55" s="358">
        <v>1415</v>
      </c>
      <c r="E55" s="358">
        <v>3819</v>
      </c>
      <c r="F55" s="358">
        <v>1838</v>
      </c>
      <c r="G55" s="358">
        <v>2519</v>
      </c>
      <c r="H55" s="358">
        <v>4357</v>
      </c>
      <c r="I55" s="358">
        <v>5291</v>
      </c>
      <c r="J55" s="358">
        <v>6879</v>
      </c>
      <c r="K55" s="358">
        <v>12170</v>
      </c>
      <c r="L55" s="358">
        <v>136</v>
      </c>
      <c r="M55" s="358">
        <v>401</v>
      </c>
      <c r="N55" s="358">
        <v>537</v>
      </c>
      <c r="O55" s="358">
        <v>464</v>
      </c>
      <c r="P55" s="358">
        <v>620</v>
      </c>
      <c r="Q55" s="358">
        <v>1084</v>
      </c>
      <c r="R55" s="358">
        <v>63</v>
      </c>
      <c r="S55" s="358">
        <v>41</v>
      </c>
      <c r="T55" s="358">
        <v>104</v>
      </c>
      <c r="U55" s="358">
        <v>10196</v>
      </c>
      <c r="V55" s="358">
        <v>11875</v>
      </c>
      <c r="W55" s="358">
        <v>22071</v>
      </c>
    </row>
    <row r="56" spans="1:23">
      <c r="A56" s="1245"/>
      <c r="B56" s="724" t="s">
        <v>229</v>
      </c>
      <c r="C56" s="399">
        <v>2333</v>
      </c>
      <c r="D56" s="399">
        <v>1234</v>
      </c>
      <c r="E56" s="399">
        <v>3567</v>
      </c>
      <c r="F56" s="399">
        <v>1749</v>
      </c>
      <c r="G56" s="399">
        <v>2326</v>
      </c>
      <c r="H56" s="399">
        <v>4075</v>
      </c>
      <c r="I56" s="399">
        <v>5213</v>
      </c>
      <c r="J56" s="399">
        <v>6958</v>
      </c>
      <c r="K56" s="399">
        <v>12171</v>
      </c>
      <c r="L56" s="399">
        <v>165</v>
      </c>
      <c r="M56" s="399">
        <v>427</v>
      </c>
      <c r="N56" s="399">
        <v>592</v>
      </c>
      <c r="O56" s="399">
        <v>474</v>
      </c>
      <c r="P56" s="399">
        <v>759</v>
      </c>
      <c r="Q56" s="399">
        <v>1233</v>
      </c>
      <c r="R56" s="399">
        <v>74</v>
      </c>
      <c r="S56" s="399">
        <v>50</v>
      </c>
      <c r="T56" s="399">
        <v>124</v>
      </c>
      <c r="U56" s="399">
        <v>10008</v>
      </c>
      <c r="V56" s="399">
        <v>11754</v>
      </c>
      <c r="W56" s="399">
        <v>21762</v>
      </c>
    </row>
    <row r="57" spans="1:23">
      <c r="A57" s="1245"/>
      <c r="B57" s="726" t="s">
        <v>228</v>
      </c>
      <c r="C57" s="399">
        <v>2046</v>
      </c>
      <c r="D57" s="399">
        <v>1051</v>
      </c>
      <c r="E57" s="399">
        <v>3097</v>
      </c>
      <c r="F57" s="399">
        <v>1671</v>
      </c>
      <c r="G57" s="399">
        <v>2283</v>
      </c>
      <c r="H57" s="399">
        <v>3954</v>
      </c>
      <c r="I57" s="399">
        <v>5016</v>
      </c>
      <c r="J57" s="399">
        <v>6781</v>
      </c>
      <c r="K57" s="399">
        <v>11797</v>
      </c>
      <c r="L57" s="399">
        <v>142</v>
      </c>
      <c r="M57" s="399">
        <v>438</v>
      </c>
      <c r="N57" s="399">
        <v>580</v>
      </c>
      <c r="O57" s="399">
        <v>397</v>
      </c>
      <c r="P57" s="399">
        <v>696</v>
      </c>
      <c r="Q57" s="399">
        <v>1093</v>
      </c>
      <c r="R57" s="399">
        <v>77</v>
      </c>
      <c r="S57" s="399">
        <v>49</v>
      </c>
      <c r="T57" s="399">
        <v>126</v>
      </c>
      <c r="U57" s="399">
        <v>9349</v>
      </c>
      <c r="V57" s="399">
        <v>11298</v>
      </c>
      <c r="W57" s="399">
        <v>20647</v>
      </c>
    </row>
    <row r="58" spans="1:23">
      <c r="A58" s="1245"/>
      <c r="B58" s="726" t="s">
        <v>227</v>
      </c>
      <c r="C58" s="399">
        <v>1488</v>
      </c>
      <c r="D58" s="399">
        <v>760</v>
      </c>
      <c r="E58" s="399">
        <v>2248</v>
      </c>
      <c r="F58" s="399">
        <v>1456</v>
      </c>
      <c r="G58" s="399">
        <v>2122</v>
      </c>
      <c r="H58" s="399">
        <v>3578</v>
      </c>
      <c r="I58" s="399">
        <v>4255</v>
      </c>
      <c r="J58" s="399">
        <v>5965</v>
      </c>
      <c r="K58" s="399">
        <v>10220</v>
      </c>
      <c r="L58" s="399">
        <v>124</v>
      </c>
      <c r="M58" s="399">
        <v>383</v>
      </c>
      <c r="N58" s="399">
        <v>507</v>
      </c>
      <c r="O58" s="399">
        <v>321</v>
      </c>
      <c r="P58" s="399">
        <v>576</v>
      </c>
      <c r="Q58" s="399">
        <v>897</v>
      </c>
      <c r="R58" s="399">
        <v>31</v>
      </c>
      <c r="S58" s="399">
        <v>31</v>
      </c>
      <c r="T58" s="399">
        <v>62</v>
      </c>
      <c r="U58" s="399">
        <v>7675</v>
      </c>
      <c r="V58" s="399">
        <v>9837</v>
      </c>
      <c r="W58" s="399">
        <v>17512</v>
      </c>
    </row>
    <row r="59" spans="1:23">
      <c r="A59" s="1245">
        <v>9</v>
      </c>
      <c r="B59" s="717" t="s">
        <v>24</v>
      </c>
      <c r="C59" s="721"/>
      <c r="D59" s="722"/>
      <c r="E59" s="722"/>
      <c r="F59" s="722"/>
      <c r="G59" s="722"/>
      <c r="H59" s="723"/>
      <c r="I59" s="721"/>
      <c r="J59" s="722"/>
      <c r="K59" s="723"/>
      <c r="L59" s="721"/>
      <c r="M59" s="722"/>
      <c r="N59" s="722"/>
      <c r="O59" s="722"/>
      <c r="P59" s="722"/>
      <c r="Q59" s="723"/>
      <c r="R59" s="722"/>
      <c r="S59" s="722"/>
      <c r="T59" s="723"/>
      <c r="U59" s="721"/>
      <c r="V59" s="722"/>
      <c r="W59" s="722"/>
    </row>
    <row r="60" spans="1:23">
      <c r="A60" s="1245"/>
      <c r="B60" s="724" t="s">
        <v>919</v>
      </c>
      <c r="C60" s="721">
        <v>230</v>
      </c>
      <c r="D60" s="722">
        <v>77</v>
      </c>
      <c r="E60" s="722">
        <v>307</v>
      </c>
      <c r="F60" s="722">
        <v>308</v>
      </c>
      <c r="G60" s="722">
        <v>299</v>
      </c>
      <c r="H60" s="723">
        <v>607</v>
      </c>
      <c r="I60" s="721">
        <v>1033</v>
      </c>
      <c r="J60" s="722">
        <v>1572</v>
      </c>
      <c r="K60" s="723">
        <v>2605</v>
      </c>
      <c r="L60" s="721">
        <v>23</v>
      </c>
      <c r="M60" s="722">
        <v>55</v>
      </c>
      <c r="N60" s="722">
        <v>78</v>
      </c>
      <c r="O60" s="722">
        <v>140</v>
      </c>
      <c r="P60" s="722">
        <v>84</v>
      </c>
      <c r="Q60" s="723">
        <v>224</v>
      </c>
      <c r="R60" s="722">
        <v>22</v>
      </c>
      <c r="S60" s="722">
        <v>60</v>
      </c>
      <c r="T60" s="723">
        <v>82</v>
      </c>
      <c r="U60" s="721">
        <v>1756</v>
      </c>
      <c r="V60" s="722">
        <v>2147</v>
      </c>
      <c r="W60" s="722">
        <v>3903</v>
      </c>
    </row>
    <row r="61" spans="1:23" s="725" customFormat="1">
      <c r="A61" s="1245"/>
      <c r="B61" s="724" t="s">
        <v>876</v>
      </c>
      <c r="C61" s="358">
        <v>202</v>
      </c>
      <c r="D61" s="358">
        <v>65</v>
      </c>
      <c r="E61" s="358">
        <v>267</v>
      </c>
      <c r="F61" s="358">
        <v>245</v>
      </c>
      <c r="G61" s="358">
        <v>278</v>
      </c>
      <c r="H61" s="358">
        <v>523</v>
      </c>
      <c r="I61" s="358">
        <v>895</v>
      </c>
      <c r="J61" s="358">
        <v>1499</v>
      </c>
      <c r="K61" s="358">
        <v>2394</v>
      </c>
      <c r="L61" s="358">
        <v>18</v>
      </c>
      <c r="M61" s="358">
        <v>44</v>
      </c>
      <c r="N61" s="358">
        <v>62</v>
      </c>
      <c r="O61" s="358">
        <v>137</v>
      </c>
      <c r="P61" s="358">
        <v>106</v>
      </c>
      <c r="Q61" s="358">
        <v>243</v>
      </c>
      <c r="R61" s="358">
        <v>22</v>
      </c>
      <c r="S61" s="358">
        <v>46</v>
      </c>
      <c r="T61" s="358">
        <v>68</v>
      </c>
      <c r="U61" s="358">
        <v>1519</v>
      </c>
      <c r="V61" s="358">
        <v>2038</v>
      </c>
      <c r="W61" s="358">
        <v>3557</v>
      </c>
    </row>
    <row r="62" spans="1:23">
      <c r="A62" s="1245"/>
      <c r="B62" s="724" t="s">
        <v>229</v>
      </c>
      <c r="C62" s="399">
        <v>171</v>
      </c>
      <c r="D62" s="399">
        <v>56</v>
      </c>
      <c r="E62" s="399">
        <v>227</v>
      </c>
      <c r="F62" s="399">
        <v>272</v>
      </c>
      <c r="G62" s="399">
        <v>286</v>
      </c>
      <c r="H62" s="399">
        <v>558</v>
      </c>
      <c r="I62" s="399">
        <v>1138</v>
      </c>
      <c r="J62" s="399">
        <v>1345</v>
      </c>
      <c r="K62" s="399">
        <v>2483</v>
      </c>
      <c r="L62" s="399">
        <v>14</v>
      </c>
      <c r="M62" s="399">
        <v>45</v>
      </c>
      <c r="N62" s="399">
        <v>59</v>
      </c>
      <c r="O62" s="399">
        <v>51</v>
      </c>
      <c r="P62" s="399">
        <v>162</v>
      </c>
      <c r="Q62" s="399">
        <v>213</v>
      </c>
      <c r="R62" s="399">
        <v>25</v>
      </c>
      <c r="S62" s="399">
        <v>74</v>
      </c>
      <c r="T62" s="399">
        <v>99</v>
      </c>
      <c r="U62" s="399">
        <v>1671</v>
      </c>
      <c r="V62" s="399">
        <v>1968</v>
      </c>
      <c r="W62" s="399">
        <v>3639</v>
      </c>
    </row>
    <row r="63" spans="1:23">
      <c r="A63" s="1245"/>
      <c r="B63" s="726" t="s">
        <v>228</v>
      </c>
      <c r="C63" s="399">
        <v>161</v>
      </c>
      <c r="D63" s="399">
        <v>48</v>
      </c>
      <c r="E63" s="399">
        <v>209</v>
      </c>
      <c r="F63" s="399">
        <v>259</v>
      </c>
      <c r="G63" s="399">
        <v>284</v>
      </c>
      <c r="H63" s="399">
        <v>543</v>
      </c>
      <c r="I63" s="399">
        <v>1055</v>
      </c>
      <c r="J63" s="399">
        <v>1251</v>
      </c>
      <c r="K63" s="399">
        <v>2306</v>
      </c>
      <c r="L63" s="399">
        <v>14</v>
      </c>
      <c r="M63" s="399">
        <v>42</v>
      </c>
      <c r="N63" s="399">
        <v>56</v>
      </c>
      <c r="O63" s="399">
        <v>51</v>
      </c>
      <c r="P63" s="399">
        <v>151</v>
      </c>
      <c r="Q63" s="399">
        <v>202</v>
      </c>
      <c r="R63" s="399">
        <v>19</v>
      </c>
      <c r="S63" s="399">
        <v>83</v>
      </c>
      <c r="T63" s="399">
        <v>102</v>
      </c>
      <c r="U63" s="399">
        <v>1559</v>
      </c>
      <c r="V63" s="399">
        <v>1859</v>
      </c>
      <c r="W63" s="399">
        <v>3418</v>
      </c>
    </row>
    <row r="64" spans="1:23">
      <c r="A64" s="1245"/>
      <c r="B64" s="726" t="s">
        <v>227</v>
      </c>
      <c r="C64" s="399">
        <v>137</v>
      </c>
      <c r="D64" s="399">
        <v>47</v>
      </c>
      <c r="E64" s="399">
        <v>184</v>
      </c>
      <c r="F64" s="399">
        <v>253</v>
      </c>
      <c r="G64" s="399">
        <v>259</v>
      </c>
      <c r="H64" s="399">
        <v>512</v>
      </c>
      <c r="I64" s="399">
        <v>812</v>
      </c>
      <c r="J64" s="399">
        <v>973</v>
      </c>
      <c r="K64" s="399">
        <v>1785</v>
      </c>
      <c r="L64" s="399">
        <v>13</v>
      </c>
      <c r="M64" s="399">
        <v>43</v>
      </c>
      <c r="N64" s="399">
        <v>56</v>
      </c>
      <c r="O64" s="399">
        <v>61</v>
      </c>
      <c r="P64" s="399">
        <v>153</v>
      </c>
      <c r="Q64" s="399">
        <v>214</v>
      </c>
      <c r="R64" s="399">
        <v>25</v>
      </c>
      <c r="S64" s="399">
        <v>113</v>
      </c>
      <c r="T64" s="399">
        <v>138</v>
      </c>
      <c r="U64" s="399">
        <v>1301</v>
      </c>
      <c r="V64" s="399">
        <v>1588</v>
      </c>
      <c r="W64" s="399">
        <v>2889</v>
      </c>
    </row>
    <row r="65" spans="1:23">
      <c r="A65" s="1245">
        <v>10</v>
      </c>
      <c r="B65" s="717" t="s">
        <v>25</v>
      </c>
      <c r="C65" s="721"/>
      <c r="D65" s="722"/>
      <c r="E65" s="722"/>
      <c r="F65" s="722"/>
      <c r="G65" s="722"/>
      <c r="H65" s="723"/>
      <c r="I65" s="721"/>
      <c r="J65" s="722"/>
      <c r="K65" s="723"/>
      <c r="L65" s="721"/>
      <c r="M65" s="722"/>
      <c r="N65" s="722"/>
      <c r="O65" s="722"/>
      <c r="P65" s="722"/>
      <c r="Q65" s="723"/>
      <c r="R65" s="722"/>
      <c r="S65" s="722"/>
      <c r="T65" s="723"/>
      <c r="U65" s="721"/>
      <c r="V65" s="722"/>
      <c r="W65" s="722"/>
    </row>
    <row r="66" spans="1:23">
      <c r="A66" s="1245"/>
      <c r="B66" s="724" t="s">
        <v>919</v>
      </c>
      <c r="C66" s="721">
        <v>4061</v>
      </c>
      <c r="D66" s="722">
        <v>1686</v>
      </c>
      <c r="E66" s="722">
        <v>5747</v>
      </c>
      <c r="F66" s="722">
        <v>5034</v>
      </c>
      <c r="G66" s="722">
        <v>2582</v>
      </c>
      <c r="H66" s="723">
        <v>7616</v>
      </c>
      <c r="I66" s="721">
        <v>21947</v>
      </c>
      <c r="J66" s="722">
        <v>15399</v>
      </c>
      <c r="K66" s="723">
        <v>37346</v>
      </c>
      <c r="L66" s="721">
        <v>1753</v>
      </c>
      <c r="M66" s="722">
        <v>4336</v>
      </c>
      <c r="N66" s="722">
        <v>6089</v>
      </c>
      <c r="O66" s="722">
        <v>1216</v>
      </c>
      <c r="P66" s="722">
        <v>1507</v>
      </c>
      <c r="Q66" s="723">
        <v>2723</v>
      </c>
      <c r="R66" s="722">
        <v>1317</v>
      </c>
      <c r="S66" s="722">
        <v>965</v>
      </c>
      <c r="T66" s="723">
        <v>2282</v>
      </c>
      <c r="U66" s="721">
        <v>35328</v>
      </c>
      <c r="V66" s="722">
        <v>26475</v>
      </c>
      <c r="W66" s="722">
        <v>61803</v>
      </c>
    </row>
    <row r="67" spans="1:23" s="725" customFormat="1">
      <c r="A67" s="1245"/>
      <c r="B67" s="724" t="s">
        <v>876</v>
      </c>
      <c r="C67" s="358">
        <v>4096</v>
      </c>
      <c r="D67" s="358">
        <v>1619</v>
      </c>
      <c r="E67" s="358">
        <v>5715</v>
      </c>
      <c r="F67" s="358">
        <v>5094</v>
      </c>
      <c r="G67" s="358">
        <v>2554</v>
      </c>
      <c r="H67" s="358">
        <v>7648</v>
      </c>
      <c r="I67" s="358">
        <v>22208</v>
      </c>
      <c r="J67" s="358">
        <v>14879</v>
      </c>
      <c r="K67" s="358">
        <v>37087</v>
      </c>
      <c r="L67" s="358">
        <v>1605</v>
      </c>
      <c r="M67" s="358">
        <v>3879</v>
      </c>
      <c r="N67" s="358">
        <v>5484</v>
      </c>
      <c r="O67" s="358">
        <v>1139</v>
      </c>
      <c r="P67" s="358">
        <v>1316</v>
      </c>
      <c r="Q67" s="358">
        <v>2455</v>
      </c>
      <c r="R67" s="358">
        <v>1266</v>
      </c>
      <c r="S67" s="358">
        <v>950</v>
      </c>
      <c r="T67" s="358">
        <v>2216</v>
      </c>
      <c r="U67" s="358">
        <v>35408</v>
      </c>
      <c r="V67" s="358">
        <v>25197</v>
      </c>
      <c r="W67" s="358">
        <v>60605</v>
      </c>
    </row>
    <row r="68" spans="1:23">
      <c r="A68" s="1245"/>
      <c r="B68" s="724" t="s">
        <v>229</v>
      </c>
      <c r="C68" s="399">
        <v>4161</v>
      </c>
      <c r="D68" s="399">
        <v>1540</v>
      </c>
      <c r="E68" s="399">
        <v>5701</v>
      </c>
      <c r="F68" s="399">
        <v>5138</v>
      </c>
      <c r="G68" s="399">
        <v>2598</v>
      </c>
      <c r="H68" s="399">
        <v>7736</v>
      </c>
      <c r="I68" s="399">
        <v>22191</v>
      </c>
      <c r="J68" s="399">
        <v>14555</v>
      </c>
      <c r="K68" s="399">
        <v>36746</v>
      </c>
      <c r="L68" s="399">
        <v>1461</v>
      </c>
      <c r="M68" s="399">
        <v>3549</v>
      </c>
      <c r="N68" s="399">
        <v>5010</v>
      </c>
      <c r="O68" s="399">
        <v>1251</v>
      </c>
      <c r="P68" s="399">
        <v>1465</v>
      </c>
      <c r="Q68" s="399">
        <v>2716</v>
      </c>
      <c r="R68" s="399">
        <v>1425</v>
      </c>
      <c r="S68" s="399">
        <v>1054</v>
      </c>
      <c r="T68" s="399">
        <v>2479</v>
      </c>
      <c r="U68" s="399">
        <v>35627</v>
      </c>
      <c r="V68" s="399">
        <v>24761</v>
      </c>
      <c r="W68" s="399">
        <v>60388</v>
      </c>
    </row>
    <row r="69" spans="1:23">
      <c r="A69" s="1245"/>
      <c r="B69" s="726" t="s">
        <v>228</v>
      </c>
      <c r="C69" s="399">
        <v>3955</v>
      </c>
      <c r="D69" s="399">
        <v>1387</v>
      </c>
      <c r="E69" s="399">
        <v>5342</v>
      </c>
      <c r="F69" s="399">
        <v>4862</v>
      </c>
      <c r="G69" s="399">
        <v>2446</v>
      </c>
      <c r="H69" s="399">
        <v>7308</v>
      </c>
      <c r="I69" s="399">
        <v>21900</v>
      </c>
      <c r="J69" s="399">
        <v>13756</v>
      </c>
      <c r="K69" s="399">
        <v>35656</v>
      </c>
      <c r="L69" s="399">
        <v>1183</v>
      </c>
      <c r="M69" s="399">
        <v>3192</v>
      </c>
      <c r="N69" s="399">
        <v>4375</v>
      </c>
      <c r="O69" s="399">
        <v>1282</v>
      </c>
      <c r="P69" s="399">
        <v>1389</v>
      </c>
      <c r="Q69" s="399">
        <v>2671</v>
      </c>
      <c r="R69" s="399">
        <v>1277</v>
      </c>
      <c r="S69" s="399">
        <v>900</v>
      </c>
      <c r="T69" s="399">
        <v>2177</v>
      </c>
      <c r="U69" s="399">
        <v>34459</v>
      </c>
      <c r="V69" s="399">
        <v>23070</v>
      </c>
      <c r="W69" s="399">
        <v>57529</v>
      </c>
    </row>
    <row r="70" spans="1:23" ht="13.5" customHeight="1">
      <c r="A70" s="1245"/>
      <c r="B70" s="726" t="s">
        <v>227</v>
      </c>
      <c r="C70" s="399">
        <v>3609</v>
      </c>
      <c r="D70" s="399">
        <v>1225</v>
      </c>
      <c r="E70" s="399">
        <v>4834</v>
      </c>
      <c r="F70" s="399">
        <v>4645</v>
      </c>
      <c r="G70" s="399">
        <v>2283</v>
      </c>
      <c r="H70" s="399">
        <v>6928</v>
      </c>
      <c r="I70" s="399">
        <v>21073</v>
      </c>
      <c r="J70" s="399">
        <v>12818</v>
      </c>
      <c r="K70" s="399">
        <v>33891</v>
      </c>
      <c r="L70" s="399">
        <v>1036</v>
      </c>
      <c r="M70" s="399">
        <v>2884</v>
      </c>
      <c r="N70" s="399">
        <v>3920</v>
      </c>
      <c r="O70" s="399">
        <v>1308</v>
      </c>
      <c r="P70" s="399">
        <v>1400</v>
      </c>
      <c r="Q70" s="399">
        <v>2708</v>
      </c>
      <c r="R70" s="399">
        <v>1154</v>
      </c>
      <c r="S70" s="399">
        <v>828</v>
      </c>
      <c r="T70" s="399">
        <v>1982</v>
      </c>
      <c r="U70" s="399">
        <v>32825</v>
      </c>
      <c r="V70" s="399">
        <v>21438</v>
      </c>
      <c r="W70" s="399">
        <v>54263</v>
      </c>
    </row>
    <row r="71" spans="1:23">
      <c r="A71" s="1245">
        <v>11</v>
      </c>
      <c r="B71" s="717" t="s">
        <v>26</v>
      </c>
      <c r="C71" s="721"/>
      <c r="D71" s="722"/>
      <c r="E71" s="722"/>
      <c r="F71" s="722"/>
      <c r="G71" s="722"/>
      <c r="H71" s="723"/>
      <c r="I71" s="721"/>
      <c r="J71" s="722"/>
      <c r="K71" s="723"/>
      <c r="L71" s="721"/>
      <c r="M71" s="722"/>
      <c r="N71" s="722"/>
      <c r="O71" s="722"/>
      <c r="P71" s="722"/>
      <c r="Q71" s="723"/>
      <c r="R71" s="722"/>
      <c r="S71" s="722"/>
      <c r="T71" s="723"/>
      <c r="U71" s="721"/>
      <c r="V71" s="722"/>
      <c r="W71" s="722"/>
    </row>
    <row r="72" spans="1:23">
      <c r="A72" s="1245"/>
      <c r="B72" s="724" t="s">
        <v>919</v>
      </c>
      <c r="C72" s="721">
        <v>2519</v>
      </c>
      <c r="D72" s="722">
        <v>1219</v>
      </c>
      <c r="E72" s="722">
        <v>3738</v>
      </c>
      <c r="F72" s="722">
        <v>2179</v>
      </c>
      <c r="G72" s="722">
        <v>2020</v>
      </c>
      <c r="H72" s="723">
        <v>4199</v>
      </c>
      <c r="I72" s="721">
        <v>12993</v>
      </c>
      <c r="J72" s="722">
        <v>15770</v>
      </c>
      <c r="K72" s="723">
        <v>28763</v>
      </c>
      <c r="L72" s="721">
        <v>313</v>
      </c>
      <c r="M72" s="722">
        <v>1371</v>
      </c>
      <c r="N72" s="722">
        <v>1684</v>
      </c>
      <c r="O72" s="722">
        <v>755</v>
      </c>
      <c r="P72" s="722">
        <v>1486</v>
      </c>
      <c r="Q72" s="723">
        <v>2241</v>
      </c>
      <c r="R72" s="722">
        <v>253</v>
      </c>
      <c r="S72" s="722">
        <v>220</v>
      </c>
      <c r="T72" s="723">
        <v>473</v>
      </c>
      <c r="U72" s="721">
        <v>19012</v>
      </c>
      <c r="V72" s="722">
        <v>22086</v>
      </c>
      <c r="W72" s="722">
        <v>41098</v>
      </c>
    </row>
    <row r="73" spans="1:23" s="725" customFormat="1">
      <c r="A73" s="1245"/>
      <c r="B73" s="724" t="s">
        <v>876</v>
      </c>
      <c r="C73" s="358">
        <v>2435</v>
      </c>
      <c r="D73" s="358">
        <v>1157</v>
      </c>
      <c r="E73" s="358">
        <v>3592</v>
      </c>
      <c r="F73" s="358">
        <v>2168</v>
      </c>
      <c r="G73" s="358">
        <v>2016</v>
      </c>
      <c r="H73" s="358">
        <v>4184</v>
      </c>
      <c r="I73" s="358">
        <v>12746</v>
      </c>
      <c r="J73" s="358">
        <v>15123</v>
      </c>
      <c r="K73" s="358">
        <v>27869</v>
      </c>
      <c r="L73" s="358">
        <v>334</v>
      </c>
      <c r="M73" s="358">
        <v>1229</v>
      </c>
      <c r="N73" s="358">
        <v>1563</v>
      </c>
      <c r="O73" s="358">
        <v>538</v>
      </c>
      <c r="P73" s="358">
        <v>1025</v>
      </c>
      <c r="Q73" s="358">
        <v>1563</v>
      </c>
      <c r="R73" s="358">
        <v>246</v>
      </c>
      <c r="S73" s="358">
        <v>239</v>
      </c>
      <c r="T73" s="358">
        <v>485</v>
      </c>
      <c r="U73" s="358">
        <v>18467</v>
      </c>
      <c r="V73" s="358">
        <v>20789</v>
      </c>
      <c r="W73" s="358">
        <v>39256</v>
      </c>
    </row>
    <row r="74" spans="1:23">
      <c r="A74" s="1245"/>
      <c r="B74" s="724" t="s">
        <v>229</v>
      </c>
      <c r="C74" s="399">
        <v>2396</v>
      </c>
      <c r="D74" s="399">
        <v>1054</v>
      </c>
      <c r="E74" s="399">
        <v>3450</v>
      </c>
      <c r="F74" s="399">
        <v>2220</v>
      </c>
      <c r="G74" s="399">
        <v>2035</v>
      </c>
      <c r="H74" s="399">
        <v>4255</v>
      </c>
      <c r="I74" s="399">
        <v>12789</v>
      </c>
      <c r="J74" s="399">
        <v>15185</v>
      </c>
      <c r="K74" s="399">
        <v>27974</v>
      </c>
      <c r="L74" s="399">
        <v>426</v>
      </c>
      <c r="M74" s="399">
        <v>1195</v>
      </c>
      <c r="N74" s="399">
        <v>1621</v>
      </c>
      <c r="O74" s="399">
        <v>451</v>
      </c>
      <c r="P74" s="399">
        <v>939</v>
      </c>
      <c r="Q74" s="399">
        <v>1390</v>
      </c>
      <c r="R74" s="399">
        <v>259</v>
      </c>
      <c r="S74" s="399">
        <v>282</v>
      </c>
      <c r="T74" s="399">
        <v>541</v>
      </c>
      <c r="U74" s="399">
        <v>18541</v>
      </c>
      <c r="V74" s="399">
        <v>20690</v>
      </c>
      <c r="W74" s="399">
        <v>39231</v>
      </c>
    </row>
    <row r="75" spans="1:23">
      <c r="A75" s="1245"/>
      <c r="B75" s="726" t="s">
        <v>228</v>
      </c>
      <c r="C75" s="399">
        <v>2290</v>
      </c>
      <c r="D75" s="399">
        <v>1021</v>
      </c>
      <c r="E75" s="399">
        <v>3311</v>
      </c>
      <c r="F75" s="399">
        <v>2157</v>
      </c>
      <c r="G75" s="399">
        <v>2066</v>
      </c>
      <c r="H75" s="399">
        <v>4223</v>
      </c>
      <c r="I75" s="399">
        <v>11575</v>
      </c>
      <c r="J75" s="399">
        <v>13363</v>
      </c>
      <c r="K75" s="399">
        <v>24938</v>
      </c>
      <c r="L75" s="399">
        <v>365</v>
      </c>
      <c r="M75" s="399">
        <v>992</v>
      </c>
      <c r="N75" s="399">
        <v>1357</v>
      </c>
      <c r="O75" s="399">
        <v>426</v>
      </c>
      <c r="P75" s="399">
        <v>913</v>
      </c>
      <c r="Q75" s="399">
        <v>1339</v>
      </c>
      <c r="R75" s="399">
        <v>248</v>
      </c>
      <c r="S75" s="399">
        <v>261</v>
      </c>
      <c r="T75" s="399">
        <v>509</v>
      </c>
      <c r="U75" s="399">
        <v>17061</v>
      </c>
      <c r="V75" s="399">
        <v>18616</v>
      </c>
      <c r="W75" s="399">
        <v>35677</v>
      </c>
    </row>
    <row r="76" spans="1:23">
      <c r="A76" s="1245"/>
      <c r="B76" s="726" t="s">
        <v>227</v>
      </c>
      <c r="C76" s="399">
        <v>2055</v>
      </c>
      <c r="D76" s="399">
        <v>906</v>
      </c>
      <c r="E76" s="399">
        <v>2961</v>
      </c>
      <c r="F76" s="399">
        <v>1978</v>
      </c>
      <c r="G76" s="399">
        <v>1852</v>
      </c>
      <c r="H76" s="399">
        <v>3830</v>
      </c>
      <c r="I76" s="399">
        <v>9851</v>
      </c>
      <c r="J76" s="399">
        <v>11496</v>
      </c>
      <c r="K76" s="399">
        <v>21347</v>
      </c>
      <c r="L76" s="399">
        <v>326</v>
      </c>
      <c r="M76" s="399">
        <v>835</v>
      </c>
      <c r="N76" s="399">
        <v>1161</v>
      </c>
      <c r="O76" s="399">
        <v>363</v>
      </c>
      <c r="P76" s="399">
        <v>922</v>
      </c>
      <c r="Q76" s="399">
        <v>1285</v>
      </c>
      <c r="R76" s="399">
        <v>221</v>
      </c>
      <c r="S76" s="399">
        <v>263</v>
      </c>
      <c r="T76" s="399">
        <v>484</v>
      </c>
      <c r="U76" s="399">
        <v>14794</v>
      </c>
      <c r="V76" s="399">
        <v>16274</v>
      </c>
      <c r="W76" s="399">
        <v>31068</v>
      </c>
    </row>
    <row r="77" spans="1:23">
      <c r="A77" s="1245">
        <v>12</v>
      </c>
      <c r="B77" s="717" t="s">
        <v>27</v>
      </c>
      <c r="C77" s="721"/>
      <c r="D77" s="722"/>
      <c r="E77" s="722"/>
      <c r="F77" s="722"/>
      <c r="G77" s="722"/>
      <c r="H77" s="723"/>
      <c r="I77" s="721"/>
      <c r="J77" s="722"/>
      <c r="K77" s="723"/>
      <c r="L77" s="721"/>
      <c r="M77" s="722"/>
      <c r="N77" s="722"/>
      <c r="O77" s="722"/>
      <c r="P77" s="722"/>
      <c r="Q77" s="723"/>
      <c r="R77" s="722"/>
      <c r="S77" s="722"/>
      <c r="T77" s="723"/>
      <c r="U77" s="721"/>
      <c r="V77" s="722"/>
      <c r="W77" s="722"/>
    </row>
    <row r="78" spans="1:23">
      <c r="A78" s="1245"/>
      <c r="B78" s="724" t="s">
        <v>919</v>
      </c>
      <c r="C78" s="721">
        <v>845</v>
      </c>
      <c r="D78" s="722">
        <v>287</v>
      </c>
      <c r="E78" s="722">
        <v>1132</v>
      </c>
      <c r="F78" s="722">
        <v>772</v>
      </c>
      <c r="G78" s="722">
        <v>403</v>
      </c>
      <c r="H78" s="723">
        <v>1175</v>
      </c>
      <c r="I78" s="721">
        <v>3526</v>
      </c>
      <c r="J78" s="722">
        <v>3709</v>
      </c>
      <c r="K78" s="723">
        <v>7235</v>
      </c>
      <c r="L78" s="721">
        <v>224</v>
      </c>
      <c r="M78" s="722">
        <v>751</v>
      </c>
      <c r="N78" s="722">
        <v>975</v>
      </c>
      <c r="O78" s="722">
        <v>125</v>
      </c>
      <c r="P78" s="722">
        <v>203</v>
      </c>
      <c r="Q78" s="723">
        <v>328</v>
      </c>
      <c r="R78" s="722">
        <v>30</v>
      </c>
      <c r="S78" s="722">
        <v>20</v>
      </c>
      <c r="T78" s="723">
        <v>50</v>
      </c>
      <c r="U78" s="721">
        <v>5522</v>
      </c>
      <c r="V78" s="722">
        <v>5373</v>
      </c>
      <c r="W78" s="722">
        <v>10895</v>
      </c>
    </row>
    <row r="79" spans="1:23" s="725" customFormat="1">
      <c r="A79" s="1245"/>
      <c r="B79" s="724" t="s">
        <v>876</v>
      </c>
      <c r="C79" s="358">
        <v>845</v>
      </c>
      <c r="D79" s="358">
        <v>284</v>
      </c>
      <c r="E79" s="358">
        <v>1129</v>
      </c>
      <c r="F79" s="358">
        <v>810</v>
      </c>
      <c r="G79" s="358">
        <v>400</v>
      </c>
      <c r="H79" s="358">
        <v>1210</v>
      </c>
      <c r="I79" s="358">
        <v>3545</v>
      </c>
      <c r="J79" s="358">
        <v>3560</v>
      </c>
      <c r="K79" s="358">
        <v>7105</v>
      </c>
      <c r="L79" s="358">
        <v>202</v>
      </c>
      <c r="M79" s="358">
        <v>728</v>
      </c>
      <c r="N79" s="358">
        <v>930</v>
      </c>
      <c r="O79" s="358">
        <v>119</v>
      </c>
      <c r="P79" s="358">
        <v>195</v>
      </c>
      <c r="Q79" s="358">
        <v>314</v>
      </c>
      <c r="R79" s="358">
        <v>36</v>
      </c>
      <c r="S79" s="358">
        <v>28</v>
      </c>
      <c r="T79" s="358">
        <v>64</v>
      </c>
      <c r="U79" s="358">
        <v>5557</v>
      </c>
      <c r="V79" s="358">
        <v>5195</v>
      </c>
      <c r="W79" s="358">
        <v>10752</v>
      </c>
    </row>
    <row r="80" spans="1:23">
      <c r="A80" s="1245"/>
      <c r="B80" s="724" t="s">
        <v>229</v>
      </c>
      <c r="C80" s="399">
        <v>909</v>
      </c>
      <c r="D80" s="399">
        <v>292</v>
      </c>
      <c r="E80" s="399">
        <v>1201</v>
      </c>
      <c r="F80" s="399">
        <v>837</v>
      </c>
      <c r="G80" s="399">
        <v>400</v>
      </c>
      <c r="H80" s="399">
        <v>1237</v>
      </c>
      <c r="I80" s="399">
        <v>3579</v>
      </c>
      <c r="J80" s="399">
        <v>3547</v>
      </c>
      <c r="K80" s="399">
        <v>7126</v>
      </c>
      <c r="L80" s="399">
        <v>190</v>
      </c>
      <c r="M80" s="399">
        <v>719</v>
      </c>
      <c r="N80" s="399">
        <v>909</v>
      </c>
      <c r="O80" s="399">
        <v>103</v>
      </c>
      <c r="P80" s="399">
        <v>154</v>
      </c>
      <c r="Q80" s="399">
        <v>257</v>
      </c>
      <c r="R80" s="399">
        <v>30</v>
      </c>
      <c r="S80" s="399">
        <v>21</v>
      </c>
      <c r="T80" s="399">
        <v>51</v>
      </c>
      <c r="U80" s="399">
        <v>5648</v>
      </c>
      <c r="V80" s="399">
        <v>5133</v>
      </c>
      <c r="W80" s="399">
        <v>10781</v>
      </c>
    </row>
    <row r="81" spans="1:23">
      <c r="A81" s="1245"/>
      <c r="B81" s="726" t="s">
        <v>228</v>
      </c>
      <c r="C81" s="399">
        <v>850</v>
      </c>
      <c r="D81" s="399">
        <v>258</v>
      </c>
      <c r="E81" s="399">
        <v>1108</v>
      </c>
      <c r="F81" s="399">
        <v>803</v>
      </c>
      <c r="G81" s="399">
        <v>415</v>
      </c>
      <c r="H81" s="399">
        <v>1218</v>
      </c>
      <c r="I81" s="399">
        <v>3458</v>
      </c>
      <c r="J81" s="399">
        <v>3356</v>
      </c>
      <c r="K81" s="399">
        <v>6814</v>
      </c>
      <c r="L81" s="399">
        <v>190</v>
      </c>
      <c r="M81" s="399">
        <v>698</v>
      </c>
      <c r="N81" s="399">
        <v>888</v>
      </c>
      <c r="O81" s="399">
        <v>138</v>
      </c>
      <c r="P81" s="399">
        <v>203</v>
      </c>
      <c r="Q81" s="399">
        <v>341</v>
      </c>
      <c r="R81" s="399">
        <v>23</v>
      </c>
      <c r="S81" s="399">
        <v>19</v>
      </c>
      <c r="T81" s="399">
        <v>42</v>
      </c>
      <c r="U81" s="399">
        <v>5462</v>
      </c>
      <c r="V81" s="399">
        <v>4949</v>
      </c>
      <c r="W81" s="399">
        <v>10411</v>
      </c>
    </row>
    <row r="82" spans="1:23">
      <c r="A82" s="1245"/>
      <c r="B82" s="726" t="s">
        <v>227</v>
      </c>
      <c r="C82" s="399">
        <v>844</v>
      </c>
      <c r="D82" s="399">
        <v>259</v>
      </c>
      <c r="E82" s="399">
        <v>1103</v>
      </c>
      <c r="F82" s="399">
        <v>853</v>
      </c>
      <c r="G82" s="399">
        <v>428</v>
      </c>
      <c r="H82" s="399">
        <v>1281</v>
      </c>
      <c r="I82" s="399">
        <v>3401</v>
      </c>
      <c r="J82" s="399">
        <v>3160</v>
      </c>
      <c r="K82" s="399">
        <v>6561</v>
      </c>
      <c r="L82" s="399">
        <v>172</v>
      </c>
      <c r="M82" s="399">
        <v>680</v>
      </c>
      <c r="N82" s="399">
        <v>852</v>
      </c>
      <c r="O82" s="399">
        <v>155</v>
      </c>
      <c r="P82" s="399">
        <v>168</v>
      </c>
      <c r="Q82" s="399">
        <v>323</v>
      </c>
      <c r="R82" s="399">
        <v>22</v>
      </c>
      <c r="S82" s="399">
        <v>17</v>
      </c>
      <c r="T82" s="399">
        <v>39</v>
      </c>
      <c r="U82" s="399">
        <v>5447</v>
      </c>
      <c r="V82" s="399">
        <v>4712</v>
      </c>
      <c r="W82" s="399">
        <v>10159</v>
      </c>
    </row>
    <row r="83" spans="1:23">
      <c r="A83" s="1245">
        <v>13</v>
      </c>
      <c r="B83" s="717" t="s">
        <v>57</v>
      </c>
      <c r="C83" s="721"/>
      <c r="D83" s="722"/>
      <c r="E83" s="722"/>
      <c r="F83" s="722"/>
      <c r="G83" s="722"/>
      <c r="H83" s="723"/>
      <c r="I83" s="721"/>
      <c r="J83" s="722"/>
      <c r="K83" s="723"/>
      <c r="L83" s="721"/>
      <c r="M83" s="722"/>
      <c r="N83" s="722"/>
      <c r="O83" s="722"/>
      <c r="P83" s="722"/>
      <c r="Q83" s="723"/>
      <c r="R83" s="722"/>
      <c r="S83" s="722"/>
      <c r="T83" s="723"/>
      <c r="U83" s="721"/>
      <c r="V83" s="722"/>
      <c r="W83" s="722"/>
    </row>
    <row r="84" spans="1:23">
      <c r="A84" s="1245"/>
      <c r="B84" s="724" t="s">
        <v>919</v>
      </c>
      <c r="C84" s="721">
        <v>811</v>
      </c>
      <c r="D84" s="722">
        <v>293</v>
      </c>
      <c r="E84" s="722">
        <v>1104</v>
      </c>
      <c r="F84" s="722">
        <v>633</v>
      </c>
      <c r="G84" s="722">
        <v>394</v>
      </c>
      <c r="H84" s="723">
        <v>1027</v>
      </c>
      <c r="I84" s="721">
        <v>4011</v>
      </c>
      <c r="J84" s="722">
        <v>2952</v>
      </c>
      <c r="K84" s="723">
        <v>6963</v>
      </c>
      <c r="L84" s="721">
        <v>344</v>
      </c>
      <c r="M84" s="722">
        <v>536</v>
      </c>
      <c r="N84" s="722">
        <v>880</v>
      </c>
      <c r="O84" s="722">
        <v>805</v>
      </c>
      <c r="P84" s="722">
        <v>521</v>
      </c>
      <c r="Q84" s="723">
        <v>1326</v>
      </c>
      <c r="R84" s="722">
        <v>34</v>
      </c>
      <c r="S84" s="722">
        <v>29</v>
      </c>
      <c r="T84" s="723">
        <v>63</v>
      </c>
      <c r="U84" s="721">
        <v>6638</v>
      </c>
      <c r="V84" s="722">
        <v>4725</v>
      </c>
      <c r="W84" s="722">
        <v>11363</v>
      </c>
    </row>
    <row r="85" spans="1:23" s="725" customFormat="1">
      <c r="A85" s="1245"/>
      <c r="B85" s="724" t="s">
        <v>876</v>
      </c>
      <c r="C85" s="358">
        <v>824</v>
      </c>
      <c r="D85" s="358">
        <v>289</v>
      </c>
      <c r="E85" s="358">
        <v>1113</v>
      </c>
      <c r="F85" s="358">
        <v>664</v>
      </c>
      <c r="G85" s="358">
        <v>400</v>
      </c>
      <c r="H85" s="358">
        <v>1064</v>
      </c>
      <c r="I85" s="358">
        <v>3966</v>
      </c>
      <c r="J85" s="358">
        <v>2995</v>
      </c>
      <c r="K85" s="358">
        <v>6961</v>
      </c>
      <c r="L85" s="358">
        <v>324</v>
      </c>
      <c r="M85" s="358">
        <v>511</v>
      </c>
      <c r="N85" s="358">
        <v>835</v>
      </c>
      <c r="O85" s="358">
        <v>834</v>
      </c>
      <c r="P85" s="358">
        <v>501</v>
      </c>
      <c r="Q85" s="358">
        <v>1335</v>
      </c>
      <c r="R85" s="358">
        <v>49</v>
      </c>
      <c r="S85" s="358">
        <v>35</v>
      </c>
      <c r="T85" s="358">
        <v>84</v>
      </c>
      <c r="U85" s="358">
        <v>6661</v>
      </c>
      <c r="V85" s="358">
        <v>4731</v>
      </c>
      <c r="W85" s="358">
        <v>11392</v>
      </c>
    </row>
    <row r="86" spans="1:23">
      <c r="A86" s="1245"/>
      <c r="B86" s="724" t="s">
        <v>229</v>
      </c>
      <c r="C86" s="399">
        <v>863</v>
      </c>
      <c r="D86" s="399">
        <v>272</v>
      </c>
      <c r="E86" s="399">
        <v>1135</v>
      </c>
      <c r="F86" s="399">
        <v>716</v>
      </c>
      <c r="G86" s="399">
        <v>434</v>
      </c>
      <c r="H86" s="399">
        <v>1150</v>
      </c>
      <c r="I86" s="399">
        <v>3822</v>
      </c>
      <c r="J86" s="399">
        <v>2926</v>
      </c>
      <c r="K86" s="399">
        <v>6748</v>
      </c>
      <c r="L86" s="399">
        <v>310</v>
      </c>
      <c r="M86" s="399">
        <v>498</v>
      </c>
      <c r="N86" s="399">
        <v>808</v>
      </c>
      <c r="O86" s="399">
        <v>831</v>
      </c>
      <c r="P86" s="399">
        <v>582</v>
      </c>
      <c r="Q86" s="399">
        <v>1413</v>
      </c>
      <c r="R86" s="399">
        <v>38</v>
      </c>
      <c r="S86" s="399">
        <v>29</v>
      </c>
      <c r="T86" s="399">
        <v>67</v>
      </c>
      <c r="U86" s="399">
        <v>6580</v>
      </c>
      <c r="V86" s="399">
        <v>4741</v>
      </c>
      <c r="W86" s="399">
        <v>11321</v>
      </c>
    </row>
    <row r="87" spans="1:23">
      <c r="A87" s="1245"/>
      <c r="B87" s="726" t="s">
        <v>228</v>
      </c>
      <c r="C87" s="399">
        <v>787</v>
      </c>
      <c r="D87" s="399">
        <v>246</v>
      </c>
      <c r="E87" s="399">
        <v>1033</v>
      </c>
      <c r="F87" s="399">
        <v>712</v>
      </c>
      <c r="G87" s="399">
        <v>440</v>
      </c>
      <c r="H87" s="399">
        <v>1152</v>
      </c>
      <c r="I87" s="399">
        <v>3775</v>
      </c>
      <c r="J87" s="399">
        <v>2755</v>
      </c>
      <c r="K87" s="399">
        <v>6530</v>
      </c>
      <c r="L87" s="399">
        <v>238</v>
      </c>
      <c r="M87" s="399">
        <v>392</v>
      </c>
      <c r="N87" s="399">
        <v>630</v>
      </c>
      <c r="O87" s="399">
        <v>1051</v>
      </c>
      <c r="P87" s="399">
        <v>731</v>
      </c>
      <c r="Q87" s="399">
        <v>1782</v>
      </c>
      <c r="R87" s="399">
        <v>45</v>
      </c>
      <c r="S87" s="399">
        <v>30</v>
      </c>
      <c r="T87" s="399">
        <v>75</v>
      </c>
      <c r="U87" s="399">
        <v>6608</v>
      </c>
      <c r="V87" s="399">
        <v>4594</v>
      </c>
      <c r="W87" s="399">
        <v>11202</v>
      </c>
    </row>
    <row r="88" spans="1:23">
      <c r="A88" s="1245"/>
      <c r="B88" s="726" t="s">
        <v>227</v>
      </c>
      <c r="C88" s="399">
        <v>732</v>
      </c>
      <c r="D88" s="399">
        <v>244</v>
      </c>
      <c r="E88" s="399">
        <v>976</v>
      </c>
      <c r="F88" s="399">
        <v>622</v>
      </c>
      <c r="G88" s="399">
        <v>414</v>
      </c>
      <c r="H88" s="399">
        <v>1036</v>
      </c>
      <c r="I88" s="399">
        <v>3531</v>
      </c>
      <c r="J88" s="399">
        <v>2530</v>
      </c>
      <c r="K88" s="399">
        <v>6061</v>
      </c>
      <c r="L88" s="399">
        <v>149</v>
      </c>
      <c r="M88" s="399">
        <v>284</v>
      </c>
      <c r="N88" s="399">
        <v>433</v>
      </c>
      <c r="O88" s="399">
        <v>674</v>
      </c>
      <c r="P88" s="399">
        <v>539</v>
      </c>
      <c r="Q88" s="399">
        <v>1213</v>
      </c>
      <c r="R88" s="399">
        <v>29</v>
      </c>
      <c r="S88" s="399">
        <v>25</v>
      </c>
      <c r="T88" s="399">
        <v>54</v>
      </c>
      <c r="U88" s="399">
        <v>5737</v>
      </c>
      <c r="V88" s="399">
        <v>4036</v>
      </c>
      <c r="W88" s="399">
        <v>9773</v>
      </c>
    </row>
    <row r="89" spans="1:23">
      <c r="A89" s="1245">
        <v>14</v>
      </c>
      <c r="B89" s="717" t="s">
        <v>29</v>
      </c>
      <c r="C89" s="721"/>
      <c r="D89" s="722"/>
      <c r="E89" s="722"/>
      <c r="F89" s="722"/>
      <c r="G89" s="722"/>
      <c r="H89" s="723"/>
      <c r="I89" s="721"/>
      <c r="J89" s="722"/>
      <c r="K89" s="723"/>
      <c r="L89" s="721"/>
      <c r="M89" s="722"/>
      <c r="N89" s="722"/>
      <c r="O89" s="722"/>
      <c r="P89" s="722"/>
      <c r="Q89" s="723"/>
      <c r="R89" s="722"/>
      <c r="S89" s="722"/>
      <c r="T89" s="723"/>
      <c r="U89" s="721"/>
      <c r="V89" s="722"/>
      <c r="W89" s="722"/>
    </row>
    <row r="90" spans="1:23">
      <c r="A90" s="1245"/>
      <c r="B90" s="724" t="s">
        <v>919</v>
      </c>
      <c r="C90" s="721">
        <v>866</v>
      </c>
      <c r="D90" s="722">
        <v>237</v>
      </c>
      <c r="E90" s="722">
        <v>1103</v>
      </c>
      <c r="F90" s="722">
        <v>891</v>
      </c>
      <c r="G90" s="722">
        <v>291</v>
      </c>
      <c r="H90" s="723">
        <v>1182</v>
      </c>
      <c r="I90" s="721">
        <v>7186</v>
      </c>
      <c r="J90" s="722">
        <v>3566</v>
      </c>
      <c r="K90" s="723">
        <v>10752</v>
      </c>
      <c r="L90" s="721">
        <v>316</v>
      </c>
      <c r="M90" s="722">
        <v>646</v>
      </c>
      <c r="N90" s="722">
        <v>962</v>
      </c>
      <c r="O90" s="722">
        <v>608</v>
      </c>
      <c r="P90" s="722">
        <v>386</v>
      </c>
      <c r="Q90" s="723">
        <v>994</v>
      </c>
      <c r="R90" s="722">
        <v>65</v>
      </c>
      <c r="S90" s="722">
        <v>31</v>
      </c>
      <c r="T90" s="723">
        <v>96</v>
      </c>
      <c r="U90" s="721">
        <v>9932</v>
      </c>
      <c r="V90" s="722">
        <v>5157</v>
      </c>
      <c r="W90" s="722">
        <v>15089</v>
      </c>
    </row>
    <row r="91" spans="1:23" s="725" customFormat="1">
      <c r="A91" s="1245"/>
      <c r="B91" s="724" t="s">
        <v>876</v>
      </c>
      <c r="C91" s="358">
        <v>829</v>
      </c>
      <c r="D91" s="358">
        <v>207</v>
      </c>
      <c r="E91" s="358">
        <v>1036</v>
      </c>
      <c r="F91" s="358">
        <v>895</v>
      </c>
      <c r="G91" s="358">
        <v>295</v>
      </c>
      <c r="H91" s="358">
        <v>1190</v>
      </c>
      <c r="I91" s="358">
        <v>6995</v>
      </c>
      <c r="J91" s="358">
        <v>3282</v>
      </c>
      <c r="K91" s="358">
        <v>10277</v>
      </c>
      <c r="L91" s="358">
        <v>301</v>
      </c>
      <c r="M91" s="358">
        <v>472</v>
      </c>
      <c r="N91" s="358">
        <v>773</v>
      </c>
      <c r="O91" s="358">
        <v>614</v>
      </c>
      <c r="P91" s="358">
        <v>393</v>
      </c>
      <c r="Q91" s="358">
        <v>1007</v>
      </c>
      <c r="R91" s="358">
        <v>68</v>
      </c>
      <c r="S91" s="358">
        <v>35</v>
      </c>
      <c r="T91" s="358">
        <v>103</v>
      </c>
      <c r="U91" s="358">
        <v>9702</v>
      </c>
      <c r="V91" s="358">
        <v>4684</v>
      </c>
      <c r="W91" s="358">
        <v>14386</v>
      </c>
    </row>
    <row r="92" spans="1:23">
      <c r="A92" s="1245"/>
      <c r="B92" s="724" t="s">
        <v>229</v>
      </c>
      <c r="C92" s="399">
        <v>810</v>
      </c>
      <c r="D92" s="399">
        <v>165</v>
      </c>
      <c r="E92" s="399">
        <v>975</v>
      </c>
      <c r="F92" s="399">
        <v>920</v>
      </c>
      <c r="G92" s="399">
        <v>299</v>
      </c>
      <c r="H92" s="399">
        <v>1219</v>
      </c>
      <c r="I92" s="399">
        <v>6828</v>
      </c>
      <c r="J92" s="399">
        <v>2926</v>
      </c>
      <c r="K92" s="399">
        <v>9754</v>
      </c>
      <c r="L92" s="399">
        <v>227</v>
      </c>
      <c r="M92" s="399">
        <v>292</v>
      </c>
      <c r="N92" s="399">
        <v>519</v>
      </c>
      <c r="O92" s="399">
        <v>652</v>
      </c>
      <c r="P92" s="399">
        <v>423</v>
      </c>
      <c r="Q92" s="399">
        <v>1075</v>
      </c>
      <c r="R92" s="399">
        <v>77</v>
      </c>
      <c r="S92" s="399">
        <v>69</v>
      </c>
      <c r="T92" s="399">
        <v>146</v>
      </c>
      <c r="U92" s="399">
        <v>9514</v>
      </c>
      <c r="V92" s="399">
        <v>4174</v>
      </c>
      <c r="W92" s="399">
        <v>13688</v>
      </c>
    </row>
    <row r="93" spans="1:23">
      <c r="A93" s="1245"/>
      <c r="B93" s="726" t="s">
        <v>228</v>
      </c>
      <c r="C93" s="399">
        <v>764</v>
      </c>
      <c r="D93" s="399">
        <v>153</v>
      </c>
      <c r="E93" s="399">
        <v>917</v>
      </c>
      <c r="F93" s="399">
        <v>856</v>
      </c>
      <c r="G93" s="399">
        <v>310</v>
      </c>
      <c r="H93" s="399">
        <v>1166</v>
      </c>
      <c r="I93" s="399">
        <v>6186</v>
      </c>
      <c r="J93" s="399">
        <v>2656</v>
      </c>
      <c r="K93" s="399">
        <v>8842</v>
      </c>
      <c r="L93" s="399">
        <v>217</v>
      </c>
      <c r="M93" s="399">
        <v>230</v>
      </c>
      <c r="N93" s="399">
        <v>447</v>
      </c>
      <c r="O93" s="399">
        <v>538</v>
      </c>
      <c r="P93" s="399">
        <v>358</v>
      </c>
      <c r="Q93" s="399">
        <v>896</v>
      </c>
      <c r="R93" s="399">
        <v>66</v>
      </c>
      <c r="S93" s="399">
        <v>32</v>
      </c>
      <c r="T93" s="399">
        <v>98</v>
      </c>
      <c r="U93" s="399">
        <v>8627</v>
      </c>
      <c r="V93" s="399">
        <v>3739</v>
      </c>
      <c r="W93" s="399">
        <v>12366</v>
      </c>
    </row>
    <row r="94" spans="1:23">
      <c r="A94" s="1245"/>
      <c r="B94" s="726" t="s">
        <v>227</v>
      </c>
      <c r="C94" s="399">
        <v>687</v>
      </c>
      <c r="D94" s="399">
        <v>135</v>
      </c>
      <c r="E94" s="399">
        <v>822</v>
      </c>
      <c r="F94" s="399">
        <v>882</v>
      </c>
      <c r="G94" s="399">
        <v>334</v>
      </c>
      <c r="H94" s="399">
        <v>1216</v>
      </c>
      <c r="I94" s="399">
        <v>5808</v>
      </c>
      <c r="J94" s="399">
        <v>2483</v>
      </c>
      <c r="K94" s="399">
        <v>8291</v>
      </c>
      <c r="L94" s="399">
        <v>189</v>
      </c>
      <c r="M94" s="399">
        <v>219</v>
      </c>
      <c r="N94" s="399">
        <v>408</v>
      </c>
      <c r="O94" s="399">
        <v>532</v>
      </c>
      <c r="P94" s="399">
        <v>277</v>
      </c>
      <c r="Q94" s="399">
        <v>809</v>
      </c>
      <c r="R94" s="399">
        <v>60</v>
      </c>
      <c r="S94" s="399">
        <v>27</v>
      </c>
      <c r="T94" s="399">
        <v>87</v>
      </c>
      <c r="U94" s="399">
        <v>8158</v>
      </c>
      <c r="V94" s="399">
        <v>3475</v>
      </c>
      <c r="W94" s="399">
        <v>11633</v>
      </c>
    </row>
    <row r="95" spans="1:23">
      <c r="A95" s="1245">
        <v>15</v>
      </c>
      <c r="B95" s="717" t="s">
        <v>30</v>
      </c>
      <c r="C95" s="721"/>
      <c r="D95" s="722"/>
      <c r="E95" s="722"/>
      <c r="F95" s="722"/>
      <c r="G95" s="722"/>
      <c r="H95" s="723"/>
      <c r="I95" s="721"/>
      <c r="J95" s="722"/>
      <c r="K95" s="723"/>
      <c r="L95" s="721"/>
      <c r="M95" s="722"/>
      <c r="N95" s="722"/>
      <c r="O95" s="722"/>
      <c r="P95" s="722"/>
      <c r="Q95" s="723"/>
      <c r="R95" s="722"/>
      <c r="S95" s="722"/>
      <c r="T95" s="723"/>
      <c r="U95" s="721"/>
      <c r="V95" s="722"/>
      <c r="W95" s="722"/>
    </row>
    <row r="96" spans="1:23">
      <c r="A96" s="1245"/>
      <c r="B96" s="724" t="s">
        <v>919</v>
      </c>
      <c r="C96" s="721">
        <v>12372</v>
      </c>
      <c r="D96" s="722">
        <v>5264</v>
      </c>
      <c r="E96" s="722">
        <v>17636</v>
      </c>
      <c r="F96" s="722">
        <v>9702</v>
      </c>
      <c r="G96" s="722">
        <v>6456</v>
      </c>
      <c r="H96" s="723">
        <v>16158</v>
      </c>
      <c r="I96" s="721">
        <v>45288</v>
      </c>
      <c r="J96" s="722">
        <v>43741</v>
      </c>
      <c r="K96" s="723">
        <v>89029</v>
      </c>
      <c r="L96" s="721">
        <v>5301</v>
      </c>
      <c r="M96" s="722">
        <v>9911</v>
      </c>
      <c r="N96" s="722">
        <v>15212</v>
      </c>
      <c r="O96" s="722">
        <v>5773</v>
      </c>
      <c r="P96" s="722">
        <v>5576</v>
      </c>
      <c r="Q96" s="723">
        <v>11349</v>
      </c>
      <c r="R96" s="722">
        <v>791</v>
      </c>
      <c r="S96" s="722">
        <v>710</v>
      </c>
      <c r="T96" s="723">
        <v>1501</v>
      </c>
      <c r="U96" s="721">
        <v>79227</v>
      </c>
      <c r="V96" s="722">
        <v>71658</v>
      </c>
      <c r="W96" s="722">
        <v>150885</v>
      </c>
    </row>
    <row r="97" spans="1:23" s="725" customFormat="1">
      <c r="A97" s="1245"/>
      <c r="B97" s="724" t="s">
        <v>876</v>
      </c>
      <c r="C97" s="358">
        <v>12912</v>
      </c>
      <c r="D97" s="358">
        <v>5238</v>
      </c>
      <c r="E97" s="358">
        <v>18150</v>
      </c>
      <c r="F97" s="358">
        <v>10306</v>
      </c>
      <c r="G97" s="358">
        <v>6707</v>
      </c>
      <c r="H97" s="358">
        <v>17013</v>
      </c>
      <c r="I97" s="358">
        <v>46297</v>
      </c>
      <c r="J97" s="358">
        <v>42719</v>
      </c>
      <c r="K97" s="358">
        <v>89016</v>
      </c>
      <c r="L97" s="358">
        <v>4734</v>
      </c>
      <c r="M97" s="358">
        <v>9302</v>
      </c>
      <c r="N97" s="358">
        <v>14036</v>
      </c>
      <c r="O97" s="358">
        <v>5873</v>
      </c>
      <c r="P97" s="358">
        <v>5821</v>
      </c>
      <c r="Q97" s="358">
        <v>11694</v>
      </c>
      <c r="R97" s="358">
        <v>978</v>
      </c>
      <c r="S97" s="358">
        <v>906</v>
      </c>
      <c r="T97" s="358">
        <v>1884</v>
      </c>
      <c r="U97" s="358">
        <v>81100</v>
      </c>
      <c r="V97" s="358">
        <v>70693</v>
      </c>
      <c r="W97" s="358">
        <v>151793</v>
      </c>
    </row>
    <row r="98" spans="1:23">
      <c r="A98" s="1245"/>
      <c r="B98" s="724" t="s">
        <v>229</v>
      </c>
      <c r="C98" s="399">
        <v>12578</v>
      </c>
      <c r="D98" s="399">
        <v>4748</v>
      </c>
      <c r="E98" s="399">
        <v>17326</v>
      </c>
      <c r="F98" s="399">
        <v>10584</v>
      </c>
      <c r="G98" s="399">
        <v>6523</v>
      </c>
      <c r="H98" s="399">
        <v>17107</v>
      </c>
      <c r="I98" s="399">
        <v>45593</v>
      </c>
      <c r="J98" s="399">
        <v>40559</v>
      </c>
      <c r="K98" s="399">
        <v>86152</v>
      </c>
      <c r="L98" s="399">
        <v>4456</v>
      </c>
      <c r="M98" s="399">
        <v>8445</v>
      </c>
      <c r="N98" s="399">
        <v>12901</v>
      </c>
      <c r="O98" s="399">
        <v>6443</v>
      </c>
      <c r="P98" s="399">
        <v>6388</v>
      </c>
      <c r="Q98" s="399">
        <v>12831</v>
      </c>
      <c r="R98" s="399">
        <v>1023</v>
      </c>
      <c r="S98" s="399">
        <v>1028</v>
      </c>
      <c r="T98" s="399">
        <v>2051</v>
      </c>
      <c r="U98" s="399">
        <v>80677</v>
      </c>
      <c r="V98" s="399">
        <v>67691</v>
      </c>
      <c r="W98" s="399">
        <v>148368</v>
      </c>
    </row>
    <row r="99" spans="1:23">
      <c r="A99" s="1245"/>
      <c r="B99" s="726" t="s">
        <v>228</v>
      </c>
      <c r="C99" s="399">
        <v>11150</v>
      </c>
      <c r="D99" s="399">
        <v>4115</v>
      </c>
      <c r="E99" s="399">
        <v>15265</v>
      </c>
      <c r="F99" s="399">
        <v>9668</v>
      </c>
      <c r="G99" s="399">
        <v>5721</v>
      </c>
      <c r="H99" s="399">
        <v>15389</v>
      </c>
      <c r="I99" s="399">
        <v>42345</v>
      </c>
      <c r="J99" s="399">
        <v>36487</v>
      </c>
      <c r="K99" s="399">
        <v>78832</v>
      </c>
      <c r="L99" s="399">
        <v>4026</v>
      </c>
      <c r="M99" s="399">
        <v>7314</v>
      </c>
      <c r="N99" s="399">
        <v>11340</v>
      </c>
      <c r="O99" s="399">
        <v>5496</v>
      </c>
      <c r="P99" s="399">
        <v>5328</v>
      </c>
      <c r="Q99" s="399">
        <v>10824</v>
      </c>
      <c r="R99" s="399">
        <v>791</v>
      </c>
      <c r="S99" s="399">
        <v>896</v>
      </c>
      <c r="T99" s="399">
        <v>1687</v>
      </c>
      <c r="U99" s="399">
        <v>73476</v>
      </c>
      <c r="V99" s="399">
        <v>59861</v>
      </c>
      <c r="W99" s="399">
        <v>133337</v>
      </c>
    </row>
    <row r="100" spans="1:23">
      <c r="A100" s="1245"/>
      <c r="B100" s="726" t="s">
        <v>227</v>
      </c>
      <c r="C100" s="399">
        <v>10067</v>
      </c>
      <c r="D100" s="399">
        <v>3571</v>
      </c>
      <c r="E100" s="399">
        <v>13638</v>
      </c>
      <c r="F100" s="399">
        <v>9073</v>
      </c>
      <c r="G100" s="399">
        <v>5248</v>
      </c>
      <c r="H100" s="399">
        <v>14321</v>
      </c>
      <c r="I100" s="399">
        <v>39174</v>
      </c>
      <c r="J100" s="399">
        <v>32738</v>
      </c>
      <c r="K100" s="399">
        <v>71912</v>
      </c>
      <c r="L100" s="399">
        <v>3574</v>
      </c>
      <c r="M100" s="399">
        <v>6358</v>
      </c>
      <c r="N100" s="399">
        <v>9932</v>
      </c>
      <c r="O100" s="399">
        <v>4643</v>
      </c>
      <c r="P100" s="399">
        <v>4339</v>
      </c>
      <c r="Q100" s="399">
        <v>8982</v>
      </c>
      <c r="R100" s="399">
        <v>679</v>
      </c>
      <c r="S100" s="399">
        <v>664</v>
      </c>
      <c r="T100" s="399">
        <v>1343</v>
      </c>
      <c r="U100" s="399">
        <v>67210</v>
      </c>
      <c r="V100" s="399">
        <v>52918</v>
      </c>
      <c r="W100" s="399">
        <v>120128</v>
      </c>
    </row>
    <row r="101" spans="1:23">
      <c r="A101" s="1245">
        <v>16</v>
      </c>
      <c r="B101" s="717" t="s">
        <v>31</v>
      </c>
      <c r="C101" s="721"/>
      <c r="D101" s="722"/>
      <c r="E101" s="722"/>
      <c r="F101" s="722"/>
      <c r="G101" s="722"/>
      <c r="H101" s="723"/>
      <c r="I101" s="721"/>
      <c r="J101" s="722"/>
      <c r="K101" s="723"/>
      <c r="L101" s="721"/>
      <c r="M101" s="722"/>
      <c r="N101" s="722"/>
      <c r="O101" s="722"/>
      <c r="P101" s="722"/>
      <c r="Q101" s="723"/>
      <c r="R101" s="722"/>
      <c r="S101" s="722"/>
      <c r="T101" s="723"/>
      <c r="U101" s="721"/>
      <c r="V101" s="722"/>
      <c r="W101" s="722"/>
    </row>
    <row r="102" spans="1:23">
      <c r="A102" s="1245"/>
      <c r="B102" s="724" t="s">
        <v>919</v>
      </c>
      <c r="C102" s="721">
        <v>3151</v>
      </c>
      <c r="D102" s="722">
        <v>2058</v>
      </c>
      <c r="E102" s="722">
        <v>5209</v>
      </c>
      <c r="F102" s="722">
        <v>2841</v>
      </c>
      <c r="G102" s="722">
        <v>2820</v>
      </c>
      <c r="H102" s="723">
        <v>5661</v>
      </c>
      <c r="I102" s="721">
        <v>15536</v>
      </c>
      <c r="J102" s="722">
        <v>29264</v>
      </c>
      <c r="K102" s="723">
        <v>44800</v>
      </c>
      <c r="L102" s="721">
        <v>903</v>
      </c>
      <c r="M102" s="722">
        <v>2231</v>
      </c>
      <c r="N102" s="722">
        <v>3134</v>
      </c>
      <c r="O102" s="722">
        <v>1041</v>
      </c>
      <c r="P102" s="722">
        <v>2915</v>
      </c>
      <c r="Q102" s="723">
        <v>3956</v>
      </c>
      <c r="R102" s="722">
        <v>44</v>
      </c>
      <c r="S102" s="722">
        <v>51</v>
      </c>
      <c r="T102" s="723">
        <v>95</v>
      </c>
      <c r="U102" s="721">
        <v>23516</v>
      </c>
      <c r="V102" s="722">
        <v>39339</v>
      </c>
      <c r="W102" s="722">
        <v>62855</v>
      </c>
    </row>
    <row r="103" spans="1:23" s="725" customFormat="1">
      <c r="A103" s="1245"/>
      <c r="B103" s="724" t="s">
        <v>876</v>
      </c>
      <c r="C103" s="358">
        <v>3112</v>
      </c>
      <c r="D103" s="358">
        <v>1991</v>
      </c>
      <c r="E103" s="358">
        <v>5103</v>
      </c>
      <c r="F103" s="358">
        <v>2827</v>
      </c>
      <c r="G103" s="358">
        <v>2768</v>
      </c>
      <c r="H103" s="358">
        <v>5595</v>
      </c>
      <c r="I103" s="358">
        <v>15113</v>
      </c>
      <c r="J103" s="358">
        <v>27849</v>
      </c>
      <c r="K103" s="358">
        <v>42962</v>
      </c>
      <c r="L103" s="358">
        <v>932</v>
      </c>
      <c r="M103" s="358">
        <v>2253</v>
      </c>
      <c r="N103" s="358">
        <v>3185</v>
      </c>
      <c r="O103" s="358">
        <v>1118</v>
      </c>
      <c r="P103" s="358">
        <v>3022</v>
      </c>
      <c r="Q103" s="358">
        <v>4140</v>
      </c>
      <c r="R103" s="358">
        <v>48</v>
      </c>
      <c r="S103" s="358">
        <v>47</v>
      </c>
      <c r="T103" s="358">
        <v>95</v>
      </c>
      <c r="U103" s="358">
        <v>23150</v>
      </c>
      <c r="V103" s="358">
        <v>37930</v>
      </c>
      <c r="W103" s="358">
        <v>61080</v>
      </c>
    </row>
    <row r="104" spans="1:23">
      <c r="A104" s="1245"/>
      <c r="B104" s="724" t="s">
        <v>229</v>
      </c>
      <c r="C104" s="399">
        <v>3193</v>
      </c>
      <c r="D104" s="399">
        <v>1976</v>
      </c>
      <c r="E104" s="399">
        <v>5169</v>
      </c>
      <c r="F104" s="399">
        <v>2939</v>
      </c>
      <c r="G104" s="399">
        <v>2788</v>
      </c>
      <c r="H104" s="399">
        <v>5727</v>
      </c>
      <c r="I104" s="399">
        <v>15166</v>
      </c>
      <c r="J104" s="399">
        <v>26837</v>
      </c>
      <c r="K104" s="399">
        <v>42003</v>
      </c>
      <c r="L104" s="399">
        <v>997</v>
      </c>
      <c r="M104" s="399">
        <v>2310</v>
      </c>
      <c r="N104" s="399">
        <v>3307</v>
      </c>
      <c r="O104" s="399">
        <v>1361</v>
      </c>
      <c r="P104" s="399">
        <v>3882</v>
      </c>
      <c r="Q104" s="399">
        <v>5243</v>
      </c>
      <c r="R104" s="399">
        <v>56</v>
      </c>
      <c r="S104" s="399">
        <v>53</v>
      </c>
      <c r="T104" s="399">
        <v>109</v>
      </c>
      <c r="U104" s="399">
        <v>23712</v>
      </c>
      <c r="V104" s="399">
        <v>37846</v>
      </c>
      <c r="W104" s="399">
        <v>61558</v>
      </c>
    </row>
    <row r="105" spans="1:23">
      <c r="A105" s="1245"/>
      <c r="B105" s="726" t="s">
        <v>228</v>
      </c>
      <c r="C105" s="399">
        <v>3119</v>
      </c>
      <c r="D105" s="399">
        <v>1982</v>
      </c>
      <c r="E105" s="399">
        <v>5101</v>
      </c>
      <c r="F105" s="399">
        <v>2903</v>
      </c>
      <c r="G105" s="399">
        <v>2752</v>
      </c>
      <c r="H105" s="399">
        <v>5655</v>
      </c>
      <c r="I105" s="399">
        <v>14630</v>
      </c>
      <c r="J105" s="399">
        <v>25499</v>
      </c>
      <c r="K105" s="399">
        <v>40129</v>
      </c>
      <c r="L105" s="399">
        <v>979</v>
      </c>
      <c r="M105" s="399">
        <v>2359</v>
      </c>
      <c r="N105" s="399">
        <v>3338</v>
      </c>
      <c r="O105" s="399">
        <v>1253</v>
      </c>
      <c r="P105" s="399">
        <v>3622</v>
      </c>
      <c r="Q105" s="399">
        <v>4875</v>
      </c>
      <c r="R105" s="399">
        <v>61</v>
      </c>
      <c r="S105" s="399">
        <v>77</v>
      </c>
      <c r="T105" s="399">
        <v>138</v>
      </c>
      <c r="U105" s="399">
        <v>22945</v>
      </c>
      <c r="V105" s="399">
        <v>36291</v>
      </c>
      <c r="W105" s="399">
        <v>59236</v>
      </c>
    </row>
    <row r="106" spans="1:23">
      <c r="A106" s="1245"/>
      <c r="B106" s="726" t="s">
        <v>227</v>
      </c>
      <c r="C106" s="399">
        <v>2915</v>
      </c>
      <c r="D106" s="399">
        <v>1808</v>
      </c>
      <c r="E106" s="399">
        <v>4723</v>
      </c>
      <c r="F106" s="399">
        <v>2907</v>
      </c>
      <c r="G106" s="399">
        <v>2687</v>
      </c>
      <c r="H106" s="399">
        <v>5594</v>
      </c>
      <c r="I106" s="399">
        <v>13698</v>
      </c>
      <c r="J106" s="399">
        <v>23434</v>
      </c>
      <c r="K106" s="399">
        <v>37132</v>
      </c>
      <c r="L106" s="399">
        <v>873</v>
      </c>
      <c r="M106" s="399">
        <v>2227</v>
      </c>
      <c r="N106" s="399">
        <v>3100</v>
      </c>
      <c r="O106" s="399">
        <v>1162</v>
      </c>
      <c r="P106" s="399">
        <v>3440</v>
      </c>
      <c r="Q106" s="399">
        <v>4602</v>
      </c>
      <c r="R106" s="399">
        <v>53</v>
      </c>
      <c r="S106" s="399">
        <v>73</v>
      </c>
      <c r="T106" s="399">
        <v>126</v>
      </c>
      <c r="U106" s="399">
        <v>21608</v>
      </c>
      <c r="V106" s="399">
        <v>33669</v>
      </c>
      <c r="W106" s="399">
        <v>55277</v>
      </c>
    </row>
    <row r="107" spans="1:23">
      <c r="A107" s="1245">
        <v>17</v>
      </c>
      <c r="B107" s="717" t="s">
        <v>154</v>
      </c>
      <c r="C107" s="721"/>
      <c r="D107" s="722"/>
      <c r="E107" s="722"/>
      <c r="F107" s="722"/>
      <c r="G107" s="722"/>
      <c r="H107" s="723"/>
      <c r="I107" s="721"/>
      <c r="J107" s="722"/>
      <c r="K107" s="723"/>
      <c r="L107" s="721"/>
      <c r="M107" s="722"/>
      <c r="N107" s="722"/>
      <c r="O107" s="722"/>
      <c r="P107" s="722"/>
      <c r="Q107" s="723"/>
      <c r="R107" s="722"/>
      <c r="S107" s="722"/>
      <c r="T107" s="723"/>
      <c r="U107" s="721"/>
      <c r="V107" s="722"/>
      <c r="W107" s="722"/>
    </row>
    <row r="108" spans="1:23">
      <c r="A108" s="1245"/>
      <c r="B108" s="724" t="s">
        <v>919</v>
      </c>
      <c r="C108" s="721">
        <v>9</v>
      </c>
      <c r="D108" s="722">
        <v>4</v>
      </c>
      <c r="E108" s="722">
        <v>13</v>
      </c>
      <c r="F108" s="722">
        <v>3</v>
      </c>
      <c r="G108" s="722"/>
      <c r="H108" s="723">
        <v>3</v>
      </c>
      <c r="I108" s="721">
        <v>119</v>
      </c>
      <c r="J108" s="722">
        <v>77</v>
      </c>
      <c r="K108" s="723">
        <v>196</v>
      </c>
      <c r="L108" s="721">
        <v>9</v>
      </c>
      <c r="M108" s="722">
        <v>3</v>
      </c>
      <c r="N108" s="722">
        <v>12</v>
      </c>
      <c r="O108" s="722">
        <v>19</v>
      </c>
      <c r="P108" s="722">
        <v>31</v>
      </c>
      <c r="Q108" s="723">
        <v>50</v>
      </c>
      <c r="R108" s="722"/>
      <c r="S108" s="722"/>
      <c r="T108" s="723"/>
      <c r="U108" s="721">
        <v>159</v>
      </c>
      <c r="V108" s="722">
        <v>115</v>
      </c>
      <c r="W108" s="722">
        <v>274</v>
      </c>
    </row>
    <row r="109" spans="1:23" s="725" customFormat="1">
      <c r="A109" s="1245"/>
      <c r="B109" s="724" t="s">
        <v>876</v>
      </c>
      <c r="C109" s="358">
        <v>3</v>
      </c>
      <c r="D109" s="358">
        <v>2</v>
      </c>
      <c r="E109" s="358">
        <v>5</v>
      </c>
      <c r="F109" s="358">
        <v>4</v>
      </c>
      <c r="G109" s="358">
        <v>0</v>
      </c>
      <c r="H109" s="358">
        <v>4</v>
      </c>
      <c r="I109" s="358">
        <v>73</v>
      </c>
      <c r="J109" s="358">
        <v>41</v>
      </c>
      <c r="K109" s="358">
        <v>114</v>
      </c>
      <c r="L109" s="358">
        <v>5</v>
      </c>
      <c r="M109" s="358">
        <v>0</v>
      </c>
      <c r="N109" s="358">
        <v>5</v>
      </c>
      <c r="O109" s="358">
        <v>19</v>
      </c>
      <c r="P109" s="358">
        <v>18</v>
      </c>
      <c r="Q109" s="358">
        <v>37</v>
      </c>
      <c r="R109" s="358">
        <v>0</v>
      </c>
      <c r="S109" s="358">
        <v>0</v>
      </c>
      <c r="T109" s="358">
        <v>0</v>
      </c>
      <c r="U109" s="358">
        <v>104</v>
      </c>
      <c r="V109" s="358">
        <v>61</v>
      </c>
      <c r="W109" s="358">
        <v>165</v>
      </c>
    </row>
    <row r="110" spans="1:23">
      <c r="A110" s="1245"/>
      <c r="B110" s="724" t="s">
        <v>229</v>
      </c>
      <c r="C110" s="399">
        <v>6</v>
      </c>
      <c r="D110" s="399">
        <v>3</v>
      </c>
      <c r="E110" s="399">
        <v>9</v>
      </c>
      <c r="F110" s="399">
        <v>5</v>
      </c>
      <c r="G110" s="399">
        <v>1</v>
      </c>
      <c r="H110" s="399">
        <v>6</v>
      </c>
      <c r="I110" s="399">
        <v>86</v>
      </c>
      <c r="J110" s="399">
        <v>47</v>
      </c>
      <c r="K110" s="399">
        <v>133</v>
      </c>
      <c r="L110" s="399">
        <v>5</v>
      </c>
      <c r="M110" s="399">
        <v>0</v>
      </c>
      <c r="N110" s="399">
        <v>5</v>
      </c>
      <c r="O110" s="399">
        <v>33</v>
      </c>
      <c r="P110" s="399">
        <v>13</v>
      </c>
      <c r="Q110" s="399">
        <v>46</v>
      </c>
      <c r="R110" s="399">
        <v>0</v>
      </c>
      <c r="S110" s="399">
        <v>0</v>
      </c>
      <c r="T110" s="399">
        <v>0</v>
      </c>
      <c r="U110" s="399">
        <v>135</v>
      </c>
      <c r="V110" s="399">
        <v>64</v>
      </c>
      <c r="W110" s="399">
        <v>199</v>
      </c>
    </row>
    <row r="111" spans="1:23">
      <c r="A111" s="1245">
        <v>18</v>
      </c>
      <c r="B111" s="717" t="s">
        <v>32</v>
      </c>
      <c r="C111" s="721"/>
      <c r="D111" s="722"/>
      <c r="E111" s="722"/>
      <c r="F111" s="722"/>
      <c r="G111" s="722"/>
      <c r="H111" s="723"/>
      <c r="I111" s="721"/>
      <c r="J111" s="722"/>
      <c r="K111" s="723"/>
      <c r="L111" s="721"/>
      <c r="M111" s="722"/>
      <c r="N111" s="722"/>
      <c r="O111" s="722"/>
      <c r="P111" s="722"/>
      <c r="Q111" s="723"/>
      <c r="R111" s="722"/>
      <c r="S111" s="722"/>
      <c r="T111" s="723"/>
      <c r="U111" s="721"/>
      <c r="V111" s="722"/>
      <c r="W111" s="722"/>
    </row>
    <row r="112" spans="1:23">
      <c r="A112" s="1245"/>
      <c r="B112" s="724" t="s">
        <v>919</v>
      </c>
      <c r="C112" s="721"/>
      <c r="D112" s="722">
        <v>1</v>
      </c>
      <c r="E112" s="722">
        <v>1</v>
      </c>
      <c r="F112" s="722"/>
      <c r="G112" s="722"/>
      <c r="H112" s="723"/>
      <c r="I112" s="721">
        <v>5</v>
      </c>
      <c r="J112" s="722">
        <v>4</v>
      </c>
      <c r="K112" s="723">
        <v>9</v>
      </c>
      <c r="L112" s="721"/>
      <c r="M112" s="722"/>
      <c r="N112" s="722"/>
      <c r="O112" s="722"/>
      <c r="P112" s="722"/>
      <c r="Q112" s="723"/>
      <c r="R112" s="722"/>
      <c r="S112" s="722"/>
      <c r="T112" s="723"/>
      <c r="U112" s="721">
        <v>5</v>
      </c>
      <c r="V112" s="722">
        <v>5</v>
      </c>
      <c r="W112" s="722">
        <v>10</v>
      </c>
    </row>
    <row r="113" spans="1:23" s="725" customFormat="1">
      <c r="A113" s="1245"/>
      <c r="B113" s="724" t="s">
        <v>876</v>
      </c>
      <c r="C113" s="358">
        <v>1</v>
      </c>
      <c r="D113" s="358">
        <v>1</v>
      </c>
      <c r="E113" s="358">
        <v>2</v>
      </c>
      <c r="F113" s="358">
        <v>0</v>
      </c>
      <c r="G113" s="358">
        <v>0</v>
      </c>
      <c r="H113" s="358">
        <v>0</v>
      </c>
      <c r="I113" s="358">
        <v>11</v>
      </c>
      <c r="J113" s="358">
        <v>12</v>
      </c>
      <c r="K113" s="358">
        <v>23</v>
      </c>
      <c r="L113" s="358">
        <v>0</v>
      </c>
      <c r="M113" s="358">
        <v>0</v>
      </c>
      <c r="N113" s="358">
        <v>0</v>
      </c>
      <c r="O113" s="358">
        <v>0</v>
      </c>
      <c r="P113" s="358">
        <v>0</v>
      </c>
      <c r="Q113" s="358">
        <v>0</v>
      </c>
      <c r="R113" s="358">
        <v>0</v>
      </c>
      <c r="S113" s="358">
        <v>0</v>
      </c>
      <c r="T113" s="358">
        <v>0</v>
      </c>
      <c r="U113" s="358">
        <v>12</v>
      </c>
      <c r="V113" s="358">
        <v>13</v>
      </c>
      <c r="W113" s="358">
        <v>25</v>
      </c>
    </row>
    <row r="114" spans="1:23">
      <c r="A114" s="1245"/>
      <c r="B114" s="724" t="s">
        <v>229</v>
      </c>
      <c r="C114" s="399">
        <v>2</v>
      </c>
      <c r="D114" s="399">
        <v>1</v>
      </c>
      <c r="E114" s="399">
        <v>3</v>
      </c>
      <c r="F114" s="399">
        <v>0</v>
      </c>
      <c r="G114" s="399">
        <v>0</v>
      </c>
      <c r="H114" s="399">
        <v>0</v>
      </c>
      <c r="I114" s="399">
        <v>23</v>
      </c>
      <c r="J114" s="399">
        <v>19</v>
      </c>
      <c r="K114" s="399">
        <v>42</v>
      </c>
      <c r="L114" s="399">
        <v>0</v>
      </c>
      <c r="M114" s="399">
        <v>0</v>
      </c>
      <c r="N114" s="399">
        <v>0</v>
      </c>
      <c r="O114" s="399">
        <v>0</v>
      </c>
      <c r="P114" s="399">
        <v>0</v>
      </c>
      <c r="Q114" s="399">
        <v>0</v>
      </c>
      <c r="R114" s="399">
        <v>0</v>
      </c>
      <c r="S114" s="399">
        <v>0</v>
      </c>
      <c r="T114" s="399">
        <v>0</v>
      </c>
      <c r="U114" s="399">
        <v>25</v>
      </c>
      <c r="V114" s="399">
        <v>20</v>
      </c>
      <c r="W114" s="399">
        <v>45</v>
      </c>
    </row>
    <row r="115" spans="1:23">
      <c r="A115" s="1245"/>
      <c r="B115" s="726" t="s">
        <v>228</v>
      </c>
      <c r="C115" s="399">
        <v>2</v>
      </c>
      <c r="D115" s="399">
        <v>1</v>
      </c>
      <c r="E115" s="399">
        <v>3</v>
      </c>
      <c r="F115" s="399">
        <v>0</v>
      </c>
      <c r="G115" s="399">
        <v>0</v>
      </c>
      <c r="H115" s="399">
        <v>0</v>
      </c>
      <c r="I115" s="399">
        <v>23</v>
      </c>
      <c r="J115" s="399">
        <v>19</v>
      </c>
      <c r="K115" s="399">
        <v>42</v>
      </c>
      <c r="L115" s="399">
        <v>0</v>
      </c>
      <c r="M115" s="399">
        <v>0</v>
      </c>
      <c r="N115" s="399">
        <v>0</v>
      </c>
      <c r="O115" s="399">
        <v>0</v>
      </c>
      <c r="P115" s="399">
        <v>0</v>
      </c>
      <c r="Q115" s="399">
        <v>0</v>
      </c>
      <c r="R115" s="399">
        <v>0</v>
      </c>
      <c r="S115" s="399">
        <v>0</v>
      </c>
      <c r="T115" s="399">
        <v>0</v>
      </c>
      <c r="U115" s="399">
        <v>25</v>
      </c>
      <c r="V115" s="399">
        <v>20</v>
      </c>
      <c r="W115" s="399">
        <v>45</v>
      </c>
    </row>
    <row r="116" spans="1:23">
      <c r="A116" s="1245"/>
      <c r="B116" s="726" t="s">
        <v>227</v>
      </c>
      <c r="C116" s="399">
        <v>3</v>
      </c>
      <c r="D116" s="399">
        <v>0</v>
      </c>
      <c r="E116" s="399">
        <v>3</v>
      </c>
      <c r="F116" s="399">
        <v>0</v>
      </c>
      <c r="G116" s="399">
        <v>0</v>
      </c>
      <c r="H116" s="399">
        <v>0</v>
      </c>
      <c r="I116" s="399">
        <v>22</v>
      </c>
      <c r="J116" s="399">
        <v>20</v>
      </c>
      <c r="K116" s="399">
        <v>42</v>
      </c>
      <c r="L116" s="399">
        <v>0</v>
      </c>
      <c r="M116" s="399">
        <v>0</v>
      </c>
      <c r="N116" s="399">
        <v>0</v>
      </c>
      <c r="O116" s="399">
        <v>0</v>
      </c>
      <c r="P116" s="399">
        <v>0</v>
      </c>
      <c r="Q116" s="399">
        <v>0</v>
      </c>
      <c r="R116" s="399">
        <v>0</v>
      </c>
      <c r="S116" s="399">
        <v>0</v>
      </c>
      <c r="T116" s="399">
        <v>0</v>
      </c>
      <c r="U116" s="399">
        <v>25</v>
      </c>
      <c r="V116" s="399">
        <v>20</v>
      </c>
      <c r="W116" s="399">
        <v>45</v>
      </c>
    </row>
    <row r="117" spans="1:23">
      <c r="A117" s="1245">
        <v>19</v>
      </c>
      <c r="B117" s="717" t="s">
        <v>33</v>
      </c>
      <c r="C117" s="721"/>
      <c r="D117" s="722"/>
      <c r="E117" s="722"/>
      <c r="F117" s="722"/>
      <c r="G117" s="722"/>
      <c r="H117" s="723"/>
      <c r="I117" s="721"/>
      <c r="J117" s="722"/>
      <c r="K117" s="723"/>
      <c r="L117" s="721"/>
      <c r="M117" s="722"/>
      <c r="N117" s="722"/>
      <c r="O117" s="722"/>
      <c r="P117" s="722"/>
      <c r="Q117" s="723"/>
      <c r="R117" s="722"/>
      <c r="S117" s="722"/>
      <c r="T117" s="723"/>
      <c r="U117" s="721"/>
      <c r="V117" s="722"/>
      <c r="W117" s="722"/>
    </row>
    <row r="118" spans="1:23">
      <c r="A118" s="1245"/>
      <c r="B118" s="724" t="s">
        <v>919</v>
      </c>
      <c r="C118" s="721">
        <v>5781</v>
      </c>
      <c r="D118" s="722">
        <v>3136</v>
      </c>
      <c r="E118" s="722">
        <v>8917</v>
      </c>
      <c r="F118" s="722">
        <v>4546</v>
      </c>
      <c r="G118" s="722">
        <v>2792</v>
      </c>
      <c r="H118" s="723">
        <v>7338</v>
      </c>
      <c r="I118" s="721">
        <v>31473</v>
      </c>
      <c r="J118" s="722">
        <v>22239</v>
      </c>
      <c r="K118" s="723">
        <v>53712</v>
      </c>
      <c r="L118" s="721">
        <v>2385</v>
      </c>
      <c r="M118" s="722">
        <v>4171</v>
      </c>
      <c r="N118" s="722">
        <v>6556</v>
      </c>
      <c r="O118" s="722">
        <v>2831</v>
      </c>
      <c r="P118" s="722">
        <v>2575</v>
      </c>
      <c r="Q118" s="723">
        <v>5406</v>
      </c>
      <c r="R118" s="722">
        <v>303</v>
      </c>
      <c r="S118" s="722">
        <v>229</v>
      </c>
      <c r="T118" s="723">
        <v>532</v>
      </c>
      <c r="U118" s="721">
        <v>47319</v>
      </c>
      <c r="V118" s="722">
        <v>35142</v>
      </c>
      <c r="W118" s="722">
        <v>82461</v>
      </c>
    </row>
    <row r="119" spans="1:23" s="725" customFormat="1">
      <c r="A119" s="1245"/>
      <c r="B119" s="724" t="s">
        <v>876</v>
      </c>
      <c r="C119" s="358">
        <v>5566</v>
      </c>
      <c r="D119" s="358">
        <v>3066</v>
      </c>
      <c r="E119" s="358">
        <v>8632</v>
      </c>
      <c r="F119" s="358">
        <v>4385</v>
      </c>
      <c r="G119" s="358">
        <v>2647</v>
      </c>
      <c r="H119" s="358">
        <v>7032</v>
      </c>
      <c r="I119" s="358">
        <v>30140</v>
      </c>
      <c r="J119" s="358">
        <v>20792</v>
      </c>
      <c r="K119" s="358">
        <v>50932</v>
      </c>
      <c r="L119" s="358">
        <v>1916</v>
      </c>
      <c r="M119" s="358">
        <v>3485</v>
      </c>
      <c r="N119" s="358">
        <v>5401</v>
      </c>
      <c r="O119" s="358">
        <v>2425</v>
      </c>
      <c r="P119" s="358">
        <v>2168</v>
      </c>
      <c r="Q119" s="358">
        <v>4593</v>
      </c>
      <c r="R119" s="358">
        <v>304</v>
      </c>
      <c r="S119" s="358">
        <v>228</v>
      </c>
      <c r="T119" s="358">
        <v>532</v>
      </c>
      <c r="U119" s="358">
        <v>44736</v>
      </c>
      <c r="V119" s="358">
        <v>32386</v>
      </c>
      <c r="W119" s="358">
        <v>77122</v>
      </c>
    </row>
    <row r="120" spans="1:23">
      <c r="A120" s="1245"/>
      <c r="B120" s="724" t="s">
        <v>229</v>
      </c>
      <c r="C120" s="399">
        <v>4775</v>
      </c>
      <c r="D120" s="399">
        <v>2549</v>
      </c>
      <c r="E120" s="399">
        <v>7324</v>
      </c>
      <c r="F120" s="399">
        <v>3985</v>
      </c>
      <c r="G120" s="399">
        <v>2311</v>
      </c>
      <c r="H120" s="399">
        <v>6296</v>
      </c>
      <c r="I120" s="399">
        <v>25048</v>
      </c>
      <c r="J120" s="399">
        <v>17483</v>
      </c>
      <c r="K120" s="399">
        <v>42531</v>
      </c>
      <c r="L120" s="399">
        <v>1426</v>
      </c>
      <c r="M120" s="399">
        <v>2260</v>
      </c>
      <c r="N120" s="399">
        <v>3686</v>
      </c>
      <c r="O120" s="399">
        <v>1947</v>
      </c>
      <c r="P120" s="399">
        <v>1818</v>
      </c>
      <c r="Q120" s="399">
        <v>3765</v>
      </c>
      <c r="R120" s="399">
        <v>293</v>
      </c>
      <c r="S120" s="399">
        <v>211</v>
      </c>
      <c r="T120" s="399">
        <v>504</v>
      </c>
      <c r="U120" s="399">
        <v>37474</v>
      </c>
      <c r="V120" s="399">
        <v>26632</v>
      </c>
      <c r="W120" s="399">
        <v>64106</v>
      </c>
    </row>
    <row r="121" spans="1:23">
      <c r="A121" s="1245"/>
      <c r="B121" s="726" t="s">
        <v>228</v>
      </c>
      <c r="C121" s="399">
        <v>4472</v>
      </c>
      <c r="D121" s="399">
        <v>2402</v>
      </c>
      <c r="E121" s="399">
        <v>6874</v>
      </c>
      <c r="F121" s="399">
        <v>3613</v>
      </c>
      <c r="G121" s="399">
        <v>2083</v>
      </c>
      <c r="H121" s="399">
        <v>5696</v>
      </c>
      <c r="I121" s="399">
        <v>22811</v>
      </c>
      <c r="J121" s="399">
        <v>15762</v>
      </c>
      <c r="K121" s="399">
        <v>38573</v>
      </c>
      <c r="L121" s="399">
        <v>1442</v>
      </c>
      <c r="M121" s="399">
        <v>2081</v>
      </c>
      <c r="N121" s="399">
        <v>3523</v>
      </c>
      <c r="O121" s="399">
        <v>2166</v>
      </c>
      <c r="P121" s="399">
        <v>1910</v>
      </c>
      <c r="Q121" s="399">
        <v>4076</v>
      </c>
      <c r="R121" s="399">
        <v>268</v>
      </c>
      <c r="S121" s="399">
        <v>174</v>
      </c>
      <c r="T121" s="399">
        <v>442</v>
      </c>
      <c r="U121" s="399">
        <v>34772</v>
      </c>
      <c r="V121" s="399">
        <v>24412</v>
      </c>
      <c r="W121" s="399">
        <v>59184</v>
      </c>
    </row>
    <row r="122" spans="1:23">
      <c r="A122" s="1245"/>
      <c r="B122" s="726" t="s">
        <v>227</v>
      </c>
      <c r="C122" s="399">
        <v>3949</v>
      </c>
      <c r="D122" s="399">
        <v>1995</v>
      </c>
      <c r="E122" s="399">
        <v>5944</v>
      </c>
      <c r="F122" s="399">
        <v>3542</v>
      </c>
      <c r="G122" s="399">
        <v>2117</v>
      </c>
      <c r="H122" s="399">
        <v>5659</v>
      </c>
      <c r="I122" s="399">
        <v>20945</v>
      </c>
      <c r="J122" s="399">
        <v>14606</v>
      </c>
      <c r="K122" s="399">
        <v>35551</v>
      </c>
      <c r="L122" s="399">
        <v>1580</v>
      </c>
      <c r="M122" s="399">
        <v>2116</v>
      </c>
      <c r="N122" s="399">
        <v>3696</v>
      </c>
      <c r="O122" s="399">
        <v>1688</v>
      </c>
      <c r="P122" s="399">
        <v>1563</v>
      </c>
      <c r="Q122" s="399">
        <v>3251</v>
      </c>
      <c r="R122" s="399">
        <v>227</v>
      </c>
      <c r="S122" s="399">
        <v>162</v>
      </c>
      <c r="T122" s="399">
        <v>389</v>
      </c>
      <c r="U122" s="399">
        <v>31931</v>
      </c>
      <c r="V122" s="399">
        <v>22559</v>
      </c>
      <c r="W122" s="399">
        <v>54490</v>
      </c>
    </row>
    <row r="123" spans="1:23">
      <c r="A123" s="1245">
        <v>20</v>
      </c>
      <c r="B123" s="717" t="s">
        <v>34</v>
      </c>
      <c r="C123" s="721"/>
      <c r="D123" s="722"/>
      <c r="E123" s="722"/>
      <c r="F123" s="722"/>
      <c r="G123" s="722"/>
      <c r="H123" s="723"/>
      <c r="I123" s="721"/>
      <c r="J123" s="722"/>
      <c r="K123" s="723"/>
      <c r="L123" s="721"/>
      <c r="M123" s="722"/>
      <c r="N123" s="722"/>
      <c r="O123" s="722"/>
      <c r="P123" s="722"/>
      <c r="Q123" s="723"/>
      <c r="R123" s="722"/>
      <c r="S123" s="722"/>
      <c r="T123" s="723"/>
      <c r="U123" s="721"/>
      <c r="V123" s="722"/>
      <c r="W123" s="722"/>
    </row>
    <row r="124" spans="1:23">
      <c r="A124" s="1245"/>
      <c r="B124" s="724" t="s">
        <v>919</v>
      </c>
      <c r="C124" s="721">
        <v>11443</v>
      </c>
      <c r="D124" s="722">
        <v>4745</v>
      </c>
      <c r="E124" s="722">
        <v>16188</v>
      </c>
      <c r="F124" s="722">
        <v>12023</v>
      </c>
      <c r="G124" s="722">
        <v>6242</v>
      </c>
      <c r="H124" s="723">
        <v>18265</v>
      </c>
      <c r="I124" s="721">
        <v>62690</v>
      </c>
      <c r="J124" s="722">
        <v>48957</v>
      </c>
      <c r="K124" s="723">
        <v>111647</v>
      </c>
      <c r="L124" s="721">
        <v>2790</v>
      </c>
      <c r="M124" s="722">
        <v>5200</v>
      </c>
      <c r="N124" s="722">
        <v>7990</v>
      </c>
      <c r="O124" s="722">
        <v>4949</v>
      </c>
      <c r="P124" s="722">
        <v>5055</v>
      </c>
      <c r="Q124" s="723">
        <v>10004</v>
      </c>
      <c r="R124" s="722">
        <v>1884</v>
      </c>
      <c r="S124" s="722">
        <v>1714</v>
      </c>
      <c r="T124" s="723">
        <v>3598</v>
      </c>
      <c r="U124" s="721">
        <v>95779</v>
      </c>
      <c r="V124" s="722">
        <v>71913</v>
      </c>
      <c r="W124" s="722">
        <v>167692</v>
      </c>
    </row>
    <row r="125" spans="1:23" s="725" customFormat="1">
      <c r="A125" s="1245"/>
      <c r="B125" s="724" t="s">
        <v>876</v>
      </c>
      <c r="C125" s="358">
        <v>10921</v>
      </c>
      <c r="D125" s="358">
        <v>4421</v>
      </c>
      <c r="E125" s="358">
        <v>15342</v>
      </c>
      <c r="F125" s="358">
        <v>12082</v>
      </c>
      <c r="G125" s="358">
        <v>6131</v>
      </c>
      <c r="H125" s="358">
        <v>18213</v>
      </c>
      <c r="I125" s="358">
        <v>62559</v>
      </c>
      <c r="J125" s="358">
        <v>46741</v>
      </c>
      <c r="K125" s="358">
        <v>109300</v>
      </c>
      <c r="L125" s="358">
        <v>2356</v>
      </c>
      <c r="M125" s="358">
        <v>4596</v>
      </c>
      <c r="N125" s="358">
        <v>6952</v>
      </c>
      <c r="O125" s="358">
        <v>4615</v>
      </c>
      <c r="P125" s="358">
        <v>4821</v>
      </c>
      <c r="Q125" s="358">
        <v>9436</v>
      </c>
      <c r="R125" s="358">
        <v>1812</v>
      </c>
      <c r="S125" s="358">
        <v>1618</v>
      </c>
      <c r="T125" s="358">
        <v>3430</v>
      </c>
      <c r="U125" s="358">
        <v>94345</v>
      </c>
      <c r="V125" s="358">
        <v>68328</v>
      </c>
      <c r="W125" s="358">
        <v>162673</v>
      </c>
    </row>
    <row r="126" spans="1:23">
      <c r="A126" s="1245"/>
      <c r="B126" s="724" t="s">
        <v>229</v>
      </c>
      <c r="C126" s="399">
        <v>10412</v>
      </c>
      <c r="D126" s="399">
        <v>4103</v>
      </c>
      <c r="E126" s="399">
        <v>14515</v>
      </c>
      <c r="F126" s="399">
        <v>12789</v>
      </c>
      <c r="G126" s="399">
        <v>6465</v>
      </c>
      <c r="H126" s="399">
        <v>19254</v>
      </c>
      <c r="I126" s="399">
        <v>63431</v>
      </c>
      <c r="J126" s="399">
        <v>45524</v>
      </c>
      <c r="K126" s="399">
        <v>108955</v>
      </c>
      <c r="L126" s="399">
        <v>2273</v>
      </c>
      <c r="M126" s="399">
        <v>4536</v>
      </c>
      <c r="N126" s="399">
        <v>6809</v>
      </c>
      <c r="O126" s="399">
        <v>4749</v>
      </c>
      <c r="P126" s="399">
        <v>5565</v>
      </c>
      <c r="Q126" s="399">
        <v>10314</v>
      </c>
      <c r="R126" s="399">
        <v>1793</v>
      </c>
      <c r="S126" s="399">
        <v>1492</v>
      </c>
      <c r="T126" s="399">
        <v>3285</v>
      </c>
      <c r="U126" s="399">
        <v>95447</v>
      </c>
      <c r="V126" s="399">
        <v>67685</v>
      </c>
      <c r="W126" s="399">
        <v>163132</v>
      </c>
    </row>
    <row r="127" spans="1:23">
      <c r="A127" s="1245"/>
      <c r="B127" s="726" t="s">
        <v>228</v>
      </c>
      <c r="C127" s="399">
        <v>9752</v>
      </c>
      <c r="D127" s="399">
        <v>3846</v>
      </c>
      <c r="E127" s="399">
        <v>13598</v>
      </c>
      <c r="F127" s="399">
        <v>12731</v>
      </c>
      <c r="G127" s="399">
        <v>6213</v>
      </c>
      <c r="H127" s="399">
        <v>18944</v>
      </c>
      <c r="I127" s="399">
        <v>63627</v>
      </c>
      <c r="J127" s="399">
        <v>44010</v>
      </c>
      <c r="K127" s="399">
        <v>107637</v>
      </c>
      <c r="L127" s="399">
        <v>2169</v>
      </c>
      <c r="M127" s="399">
        <v>3990</v>
      </c>
      <c r="N127" s="399">
        <v>6159</v>
      </c>
      <c r="O127" s="399">
        <v>4465</v>
      </c>
      <c r="P127" s="399">
        <v>5010</v>
      </c>
      <c r="Q127" s="399">
        <v>9475</v>
      </c>
      <c r="R127" s="399">
        <v>1721</v>
      </c>
      <c r="S127" s="399">
        <v>1405</v>
      </c>
      <c r="T127" s="399">
        <v>3126</v>
      </c>
      <c r="U127" s="399">
        <v>94465</v>
      </c>
      <c r="V127" s="399">
        <v>64474</v>
      </c>
      <c r="W127" s="399">
        <v>158939</v>
      </c>
    </row>
    <row r="128" spans="1:23">
      <c r="A128" s="1245"/>
      <c r="B128" s="726" t="s">
        <v>227</v>
      </c>
      <c r="C128" s="399">
        <v>9043</v>
      </c>
      <c r="D128" s="399">
        <v>3405</v>
      </c>
      <c r="E128" s="399">
        <v>12448</v>
      </c>
      <c r="F128" s="399">
        <v>12369</v>
      </c>
      <c r="G128" s="399">
        <v>5969</v>
      </c>
      <c r="H128" s="399">
        <v>18338</v>
      </c>
      <c r="I128" s="399">
        <v>63323</v>
      </c>
      <c r="J128" s="399">
        <v>42772</v>
      </c>
      <c r="K128" s="399">
        <v>106095</v>
      </c>
      <c r="L128" s="399">
        <v>1723</v>
      </c>
      <c r="M128" s="399">
        <v>3052</v>
      </c>
      <c r="N128" s="399">
        <v>4775</v>
      </c>
      <c r="O128" s="399">
        <v>3840</v>
      </c>
      <c r="P128" s="399">
        <v>4207</v>
      </c>
      <c r="Q128" s="399">
        <v>8047</v>
      </c>
      <c r="R128" s="399">
        <v>1637</v>
      </c>
      <c r="S128" s="399">
        <v>1262</v>
      </c>
      <c r="T128" s="399">
        <v>2899</v>
      </c>
      <c r="U128" s="399">
        <v>91935</v>
      </c>
      <c r="V128" s="399">
        <v>60667</v>
      </c>
      <c r="W128" s="399">
        <v>152602</v>
      </c>
    </row>
    <row r="129" spans="1:23">
      <c r="A129" s="1245">
        <v>21</v>
      </c>
      <c r="B129" s="717" t="s">
        <v>35</v>
      </c>
      <c r="C129" s="721"/>
      <c r="D129" s="722"/>
      <c r="E129" s="722"/>
      <c r="F129" s="722"/>
      <c r="G129" s="722"/>
      <c r="H129" s="723"/>
      <c r="I129" s="721"/>
      <c r="J129" s="722"/>
      <c r="K129" s="723"/>
      <c r="L129" s="721"/>
      <c r="M129" s="722"/>
      <c r="N129" s="722"/>
      <c r="O129" s="722"/>
      <c r="P129" s="722"/>
      <c r="Q129" s="723"/>
      <c r="R129" s="722"/>
      <c r="S129" s="722"/>
      <c r="T129" s="723"/>
      <c r="U129" s="721"/>
      <c r="V129" s="722"/>
      <c r="W129" s="722"/>
    </row>
    <row r="130" spans="1:23">
      <c r="A130" s="1245"/>
      <c r="B130" s="724" t="s">
        <v>919</v>
      </c>
      <c r="C130" s="721">
        <v>282</v>
      </c>
      <c r="D130" s="722">
        <v>111</v>
      </c>
      <c r="E130" s="722">
        <v>393</v>
      </c>
      <c r="F130" s="722">
        <v>420</v>
      </c>
      <c r="G130" s="722">
        <v>305</v>
      </c>
      <c r="H130" s="723">
        <v>725</v>
      </c>
      <c r="I130" s="721">
        <v>2180</v>
      </c>
      <c r="J130" s="722">
        <v>2434</v>
      </c>
      <c r="K130" s="723">
        <v>4614</v>
      </c>
      <c r="L130" s="721">
        <v>23</v>
      </c>
      <c r="M130" s="722">
        <v>200</v>
      </c>
      <c r="N130" s="722">
        <v>223</v>
      </c>
      <c r="O130" s="722">
        <v>151</v>
      </c>
      <c r="P130" s="722">
        <v>107</v>
      </c>
      <c r="Q130" s="723">
        <v>258</v>
      </c>
      <c r="R130" s="722">
        <v>47</v>
      </c>
      <c r="S130" s="722">
        <v>10</v>
      </c>
      <c r="T130" s="723">
        <v>57</v>
      </c>
      <c r="U130" s="721">
        <v>3103</v>
      </c>
      <c r="V130" s="722">
        <v>3167</v>
      </c>
      <c r="W130" s="722">
        <v>6270</v>
      </c>
    </row>
    <row r="131" spans="1:23" s="725" customFormat="1">
      <c r="A131" s="1245"/>
      <c r="B131" s="724" t="s">
        <v>876</v>
      </c>
      <c r="C131" s="358">
        <v>290</v>
      </c>
      <c r="D131" s="358">
        <v>117</v>
      </c>
      <c r="E131" s="358">
        <v>407</v>
      </c>
      <c r="F131" s="358">
        <v>448</v>
      </c>
      <c r="G131" s="358">
        <v>322</v>
      </c>
      <c r="H131" s="358">
        <v>770</v>
      </c>
      <c r="I131" s="358">
        <v>2000</v>
      </c>
      <c r="J131" s="358">
        <v>2136</v>
      </c>
      <c r="K131" s="358">
        <v>4136</v>
      </c>
      <c r="L131" s="358">
        <v>23</v>
      </c>
      <c r="M131" s="358">
        <v>184</v>
      </c>
      <c r="N131" s="358">
        <v>207</v>
      </c>
      <c r="O131" s="358">
        <v>130</v>
      </c>
      <c r="P131" s="358">
        <v>102</v>
      </c>
      <c r="Q131" s="358">
        <v>232</v>
      </c>
      <c r="R131" s="358">
        <v>55</v>
      </c>
      <c r="S131" s="358">
        <v>12</v>
      </c>
      <c r="T131" s="358">
        <v>67</v>
      </c>
      <c r="U131" s="358">
        <v>2946</v>
      </c>
      <c r="V131" s="358">
        <v>2873</v>
      </c>
      <c r="W131" s="358">
        <v>5819</v>
      </c>
    </row>
    <row r="132" spans="1:23">
      <c r="A132" s="1245"/>
      <c r="B132" s="724" t="s">
        <v>229</v>
      </c>
      <c r="C132" s="399">
        <v>274</v>
      </c>
      <c r="D132" s="399">
        <v>107</v>
      </c>
      <c r="E132" s="399">
        <v>381</v>
      </c>
      <c r="F132" s="399">
        <v>521</v>
      </c>
      <c r="G132" s="399">
        <v>408</v>
      </c>
      <c r="H132" s="399">
        <v>929</v>
      </c>
      <c r="I132" s="399">
        <v>1796</v>
      </c>
      <c r="J132" s="399">
        <v>1874</v>
      </c>
      <c r="K132" s="399">
        <v>3670</v>
      </c>
      <c r="L132" s="399">
        <v>24</v>
      </c>
      <c r="M132" s="399">
        <v>174</v>
      </c>
      <c r="N132" s="399">
        <v>198</v>
      </c>
      <c r="O132" s="399">
        <v>128</v>
      </c>
      <c r="P132" s="399">
        <v>128</v>
      </c>
      <c r="Q132" s="399">
        <v>256</v>
      </c>
      <c r="R132" s="399">
        <v>49</v>
      </c>
      <c r="S132" s="399">
        <v>11</v>
      </c>
      <c r="T132" s="399">
        <v>60</v>
      </c>
      <c r="U132" s="399">
        <v>2792</v>
      </c>
      <c r="V132" s="399">
        <v>2702</v>
      </c>
      <c r="W132" s="399">
        <v>5494</v>
      </c>
    </row>
    <row r="133" spans="1:23">
      <c r="A133" s="1245"/>
      <c r="B133" s="726" t="s">
        <v>228</v>
      </c>
      <c r="C133" s="399">
        <v>256</v>
      </c>
      <c r="D133" s="399">
        <v>93</v>
      </c>
      <c r="E133" s="399">
        <v>349</v>
      </c>
      <c r="F133" s="399">
        <v>625</v>
      </c>
      <c r="G133" s="399">
        <v>480</v>
      </c>
      <c r="H133" s="399">
        <v>1105</v>
      </c>
      <c r="I133" s="399">
        <v>1596</v>
      </c>
      <c r="J133" s="399">
        <v>1650</v>
      </c>
      <c r="K133" s="399">
        <v>3246</v>
      </c>
      <c r="L133" s="399">
        <v>17</v>
      </c>
      <c r="M133" s="399">
        <v>104</v>
      </c>
      <c r="N133" s="399">
        <v>121</v>
      </c>
      <c r="O133" s="399">
        <v>83</v>
      </c>
      <c r="P133" s="399">
        <v>83</v>
      </c>
      <c r="Q133" s="399">
        <v>166</v>
      </c>
      <c r="R133" s="399">
        <v>39</v>
      </c>
      <c r="S133" s="399">
        <v>9</v>
      </c>
      <c r="T133" s="399">
        <v>48</v>
      </c>
      <c r="U133" s="399">
        <v>2616</v>
      </c>
      <c r="V133" s="399">
        <v>2419</v>
      </c>
      <c r="W133" s="399">
        <v>5035</v>
      </c>
    </row>
    <row r="134" spans="1:23">
      <c r="A134" s="1245"/>
      <c r="B134" s="726" t="s">
        <v>227</v>
      </c>
      <c r="C134" s="399">
        <v>205</v>
      </c>
      <c r="D134" s="399">
        <v>75</v>
      </c>
      <c r="E134" s="399">
        <v>280</v>
      </c>
      <c r="F134" s="399">
        <v>461</v>
      </c>
      <c r="G134" s="399">
        <v>367</v>
      </c>
      <c r="H134" s="399">
        <v>828</v>
      </c>
      <c r="I134" s="399">
        <v>1095</v>
      </c>
      <c r="J134" s="399">
        <v>1043</v>
      </c>
      <c r="K134" s="399">
        <v>2138</v>
      </c>
      <c r="L134" s="399">
        <v>10</v>
      </c>
      <c r="M134" s="399">
        <v>49</v>
      </c>
      <c r="N134" s="399">
        <v>59</v>
      </c>
      <c r="O134" s="399">
        <v>46</v>
      </c>
      <c r="P134" s="399">
        <v>46</v>
      </c>
      <c r="Q134" s="399">
        <v>92</v>
      </c>
      <c r="R134" s="399">
        <v>0</v>
      </c>
      <c r="S134" s="399">
        <v>3</v>
      </c>
      <c r="T134" s="399">
        <v>3</v>
      </c>
      <c r="U134" s="399">
        <v>1817</v>
      </c>
      <c r="V134" s="399">
        <v>1583</v>
      </c>
      <c r="W134" s="399">
        <v>3400</v>
      </c>
    </row>
    <row r="135" spans="1:23">
      <c r="A135" s="1245">
        <v>22</v>
      </c>
      <c r="B135" s="717" t="s">
        <v>36</v>
      </c>
      <c r="C135" s="721"/>
      <c r="D135" s="722"/>
      <c r="E135" s="722"/>
      <c r="F135" s="722"/>
      <c r="G135" s="722"/>
      <c r="H135" s="723"/>
      <c r="I135" s="721"/>
      <c r="J135" s="722"/>
      <c r="K135" s="723"/>
      <c r="L135" s="721"/>
      <c r="M135" s="722"/>
      <c r="N135" s="722"/>
      <c r="O135" s="722"/>
      <c r="P135" s="722"/>
      <c r="Q135" s="723"/>
      <c r="R135" s="722"/>
      <c r="S135" s="722"/>
      <c r="T135" s="723"/>
      <c r="U135" s="721"/>
      <c r="V135" s="722"/>
      <c r="W135" s="722"/>
    </row>
    <row r="136" spans="1:23">
      <c r="A136" s="1245"/>
      <c r="B136" s="724" t="s">
        <v>919</v>
      </c>
      <c r="C136" s="721">
        <v>188</v>
      </c>
      <c r="D136" s="722">
        <v>96</v>
      </c>
      <c r="E136" s="722">
        <v>284</v>
      </c>
      <c r="F136" s="722">
        <v>218</v>
      </c>
      <c r="G136" s="722">
        <v>211</v>
      </c>
      <c r="H136" s="723">
        <v>429</v>
      </c>
      <c r="I136" s="721">
        <v>1147</v>
      </c>
      <c r="J136" s="722">
        <v>1695</v>
      </c>
      <c r="K136" s="723">
        <v>2842</v>
      </c>
      <c r="L136" s="721">
        <v>34</v>
      </c>
      <c r="M136" s="722">
        <v>113</v>
      </c>
      <c r="N136" s="722">
        <v>147</v>
      </c>
      <c r="O136" s="722">
        <v>40</v>
      </c>
      <c r="P136" s="722">
        <v>48</v>
      </c>
      <c r="Q136" s="723">
        <v>88</v>
      </c>
      <c r="R136" s="722">
        <v>3</v>
      </c>
      <c r="S136" s="722">
        <v>12</v>
      </c>
      <c r="T136" s="723">
        <v>15</v>
      </c>
      <c r="U136" s="721">
        <v>1630</v>
      </c>
      <c r="V136" s="722">
        <v>2175</v>
      </c>
      <c r="W136" s="722">
        <v>3805</v>
      </c>
    </row>
    <row r="137" spans="1:23" s="725" customFormat="1">
      <c r="A137" s="1245"/>
      <c r="B137" s="724" t="s">
        <v>876</v>
      </c>
      <c r="C137" s="358">
        <v>170</v>
      </c>
      <c r="D137" s="358">
        <v>82</v>
      </c>
      <c r="E137" s="358">
        <v>252</v>
      </c>
      <c r="F137" s="358">
        <v>213</v>
      </c>
      <c r="G137" s="358">
        <v>203</v>
      </c>
      <c r="H137" s="358">
        <v>416</v>
      </c>
      <c r="I137" s="358">
        <v>1099</v>
      </c>
      <c r="J137" s="358">
        <v>1580</v>
      </c>
      <c r="K137" s="358">
        <v>2679</v>
      </c>
      <c r="L137" s="358">
        <v>34</v>
      </c>
      <c r="M137" s="358">
        <v>111</v>
      </c>
      <c r="N137" s="358">
        <v>145</v>
      </c>
      <c r="O137" s="358">
        <v>42</v>
      </c>
      <c r="P137" s="358">
        <v>68</v>
      </c>
      <c r="Q137" s="358">
        <v>110</v>
      </c>
      <c r="R137" s="358">
        <v>2</v>
      </c>
      <c r="S137" s="358">
        <v>8</v>
      </c>
      <c r="T137" s="358">
        <v>10</v>
      </c>
      <c r="U137" s="358">
        <v>1560</v>
      </c>
      <c r="V137" s="358">
        <v>2052</v>
      </c>
      <c r="W137" s="358">
        <v>3612</v>
      </c>
    </row>
    <row r="138" spans="1:23">
      <c r="A138" s="1245"/>
      <c r="B138" s="724" t="s">
        <v>229</v>
      </c>
      <c r="C138" s="399">
        <v>171</v>
      </c>
      <c r="D138" s="399">
        <v>69</v>
      </c>
      <c r="E138" s="399">
        <v>240</v>
      </c>
      <c r="F138" s="399">
        <v>244</v>
      </c>
      <c r="G138" s="399">
        <v>229</v>
      </c>
      <c r="H138" s="399">
        <v>473</v>
      </c>
      <c r="I138" s="399">
        <v>1077</v>
      </c>
      <c r="J138" s="399">
        <v>1539</v>
      </c>
      <c r="K138" s="399">
        <v>2616</v>
      </c>
      <c r="L138" s="399">
        <v>50</v>
      </c>
      <c r="M138" s="399">
        <v>96</v>
      </c>
      <c r="N138" s="399">
        <v>146</v>
      </c>
      <c r="O138" s="399">
        <v>53</v>
      </c>
      <c r="P138" s="399">
        <v>83</v>
      </c>
      <c r="Q138" s="399">
        <v>136</v>
      </c>
      <c r="R138" s="399">
        <v>2</v>
      </c>
      <c r="S138" s="399">
        <v>11</v>
      </c>
      <c r="T138" s="399">
        <v>13</v>
      </c>
      <c r="U138" s="399">
        <v>1597</v>
      </c>
      <c r="V138" s="399">
        <v>2027</v>
      </c>
      <c r="W138" s="399">
        <v>3624</v>
      </c>
    </row>
    <row r="139" spans="1:23">
      <c r="A139" s="1245"/>
      <c r="B139" s="726" t="s">
        <v>228</v>
      </c>
      <c r="C139" s="399">
        <v>160</v>
      </c>
      <c r="D139" s="399">
        <v>65</v>
      </c>
      <c r="E139" s="399">
        <v>225</v>
      </c>
      <c r="F139" s="399">
        <v>240</v>
      </c>
      <c r="G139" s="399">
        <v>241</v>
      </c>
      <c r="H139" s="399">
        <v>481</v>
      </c>
      <c r="I139" s="399">
        <v>957</v>
      </c>
      <c r="J139" s="399">
        <v>1353</v>
      </c>
      <c r="K139" s="399">
        <v>2310</v>
      </c>
      <c r="L139" s="399">
        <v>42</v>
      </c>
      <c r="M139" s="399">
        <v>98</v>
      </c>
      <c r="N139" s="399">
        <v>140</v>
      </c>
      <c r="O139" s="399">
        <v>60</v>
      </c>
      <c r="P139" s="399">
        <v>83</v>
      </c>
      <c r="Q139" s="399">
        <v>143</v>
      </c>
      <c r="R139" s="399">
        <v>3</v>
      </c>
      <c r="S139" s="399">
        <v>10</v>
      </c>
      <c r="T139" s="399">
        <v>13</v>
      </c>
      <c r="U139" s="399">
        <v>1462</v>
      </c>
      <c r="V139" s="399">
        <v>1850</v>
      </c>
      <c r="W139" s="399">
        <v>3312</v>
      </c>
    </row>
    <row r="140" spans="1:23">
      <c r="A140" s="1245"/>
      <c r="B140" s="726" t="s">
        <v>227</v>
      </c>
      <c r="C140" s="399">
        <v>142</v>
      </c>
      <c r="D140" s="399">
        <v>56</v>
      </c>
      <c r="E140" s="399">
        <v>198</v>
      </c>
      <c r="F140" s="399">
        <v>201</v>
      </c>
      <c r="G140" s="399">
        <v>219</v>
      </c>
      <c r="H140" s="399">
        <v>420</v>
      </c>
      <c r="I140" s="399">
        <v>857</v>
      </c>
      <c r="J140" s="399">
        <v>1123</v>
      </c>
      <c r="K140" s="399">
        <v>1980</v>
      </c>
      <c r="L140" s="399">
        <v>34</v>
      </c>
      <c r="M140" s="399">
        <v>74</v>
      </c>
      <c r="N140" s="399">
        <v>108</v>
      </c>
      <c r="O140" s="399">
        <v>38</v>
      </c>
      <c r="P140" s="399">
        <v>53</v>
      </c>
      <c r="Q140" s="399">
        <v>91</v>
      </c>
      <c r="R140" s="399">
        <v>2</v>
      </c>
      <c r="S140" s="399">
        <v>5</v>
      </c>
      <c r="T140" s="399">
        <v>7</v>
      </c>
      <c r="U140" s="399">
        <v>1274</v>
      </c>
      <c r="V140" s="399">
        <v>1530</v>
      </c>
      <c r="W140" s="399">
        <v>2804</v>
      </c>
    </row>
    <row r="141" spans="1:23">
      <c r="A141" s="1245">
        <v>23</v>
      </c>
      <c r="B141" s="727" t="s">
        <v>37</v>
      </c>
      <c r="C141" s="718"/>
      <c r="D141" s="719"/>
      <c r="E141" s="719"/>
      <c r="F141" s="719"/>
      <c r="G141" s="719"/>
      <c r="H141" s="720"/>
      <c r="I141" s="718"/>
      <c r="J141" s="719"/>
      <c r="K141" s="720"/>
      <c r="L141" s="718"/>
      <c r="M141" s="719"/>
      <c r="N141" s="719"/>
      <c r="O141" s="719"/>
      <c r="P141" s="719"/>
      <c r="Q141" s="720"/>
      <c r="R141" s="719"/>
      <c r="S141" s="719"/>
      <c r="T141" s="720"/>
      <c r="U141" s="718"/>
      <c r="V141" s="719"/>
      <c r="W141" s="719"/>
    </row>
    <row r="142" spans="1:23">
      <c r="A142" s="1245"/>
      <c r="B142" s="724" t="s">
        <v>919</v>
      </c>
      <c r="C142" s="718">
        <v>138</v>
      </c>
      <c r="D142" s="719">
        <v>47</v>
      </c>
      <c r="E142" s="719">
        <v>185</v>
      </c>
      <c r="F142" s="719">
        <v>267</v>
      </c>
      <c r="G142" s="719">
        <v>214</v>
      </c>
      <c r="H142" s="720">
        <v>481</v>
      </c>
      <c r="I142" s="718">
        <v>580</v>
      </c>
      <c r="J142" s="719">
        <v>547</v>
      </c>
      <c r="K142" s="720">
        <v>1127</v>
      </c>
      <c r="L142" s="718">
        <v>40</v>
      </c>
      <c r="M142" s="719">
        <v>109</v>
      </c>
      <c r="N142" s="719">
        <v>149</v>
      </c>
      <c r="O142" s="719">
        <v>135</v>
      </c>
      <c r="P142" s="719">
        <v>121</v>
      </c>
      <c r="Q142" s="720">
        <v>256</v>
      </c>
      <c r="R142" s="719">
        <v>8</v>
      </c>
      <c r="S142" s="719">
        <v>4</v>
      </c>
      <c r="T142" s="720">
        <v>12</v>
      </c>
      <c r="U142" s="718">
        <v>1168</v>
      </c>
      <c r="V142" s="719">
        <v>1042</v>
      </c>
      <c r="W142" s="719">
        <v>2210</v>
      </c>
    </row>
    <row r="143" spans="1:23" s="725" customFormat="1">
      <c r="A143" s="1245"/>
      <c r="B143" s="724" t="s">
        <v>876</v>
      </c>
      <c r="C143" s="358">
        <v>118</v>
      </c>
      <c r="D143" s="358">
        <v>34</v>
      </c>
      <c r="E143" s="358">
        <v>152</v>
      </c>
      <c r="F143" s="358">
        <v>260</v>
      </c>
      <c r="G143" s="358">
        <v>208</v>
      </c>
      <c r="H143" s="358">
        <v>468</v>
      </c>
      <c r="I143" s="358">
        <v>542</v>
      </c>
      <c r="J143" s="358">
        <v>496</v>
      </c>
      <c r="K143" s="358">
        <v>1038</v>
      </c>
      <c r="L143" s="358">
        <v>28</v>
      </c>
      <c r="M143" s="358">
        <v>102</v>
      </c>
      <c r="N143" s="358">
        <v>130</v>
      </c>
      <c r="O143" s="358">
        <v>112</v>
      </c>
      <c r="P143" s="358">
        <v>109</v>
      </c>
      <c r="Q143" s="358">
        <v>221</v>
      </c>
      <c r="R143" s="358">
        <v>13</v>
      </c>
      <c r="S143" s="358">
        <v>11</v>
      </c>
      <c r="T143" s="358">
        <v>24</v>
      </c>
      <c r="U143" s="358">
        <v>1073</v>
      </c>
      <c r="V143" s="358">
        <v>960</v>
      </c>
      <c r="W143" s="358">
        <v>2033</v>
      </c>
    </row>
    <row r="144" spans="1:23">
      <c r="A144" s="1245"/>
      <c r="B144" s="724" t="s">
        <v>229</v>
      </c>
      <c r="C144" s="399">
        <v>128</v>
      </c>
      <c r="D144" s="399">
        <v>29</v>
      </c>
      <c r="E144" s="399">
        <v>157</v>
      </c>
      <c r="F144" s="399">
        <v>262</v>
      </c>
      <c r="G144" s="399">
        <v>207</v>
      </c>
      <c r="H144" s="399">
        <v>469</v>
      </c>
      <c r="I144" s="399">
        <v>501</v>
      </c>
      <c r="J144" s="399">
        <v>467</v>
      </c>
      <c r="K144" s="399">
        <v>968</v>
      </c>
      <c r="L144" s="399">
        <v>36</v>
      </c>
      <c r="M144" s="399">
        <v>84</v>
      </c>
      <c r="N144" s="399">
        <v>120</v>
      </c>
      <c r="O144" s="399">
        <v>98</v>
      </c>
      <c r="P144" s="399">
        <v>99</v>
      </c>
      <c r="Q144" s="399">
        <v>197</v>
      </c>
      <c r="R144" s="399">
        <v>7</v>
      </c>
      <c r="S144" s="399">
        <v>9</v>
      </c>
      <c r="T144" s="399">
        <v>16</v>
      </c>
      <c r="U144" s="399">
        <v>1032</v>
      </c>
      <c r="V144" s="399">
        <v>895</v>
      </c>
      <c r="W144" s="399">
        <v>1927</v>
      </c>
    </row>
    <row r="145" spans="1:23">
      <c r="A145" s="1245"/>
      <c r="B145" s="726" t="s">
        <v>228</v>
      </c>
      <c r="C145" s="399">
        <v>118</v>
      </c>
      <c r="D145" s="399">
        <v>25</v>
      </c>
      <c r="E145" s="399">
        <v>143</v>
      </c>
      <c r="F145" s="399">
        <v>259</v>
      </c>
      <c r="G145" s="399">
        <v>203</v>
      </c>
      <c r="H145" s="399">
        <v>462</v>
      </c>
      <c r="I145" s="399">
        <v>479</v>
      </c>
      <c r="J145" s="399">
        <v>434</v>
      </c>
      <c r="K145" s="399">
        <v>913</v>
      </c>
      <c r="L145" s="399">
        <v>35</v>
      </c>
      <c r="M145" s="399">
        <v>90</v>
      </c>
      <c r="N145" s="399">
        <v>125</v>
      </c>
      <c r="O145" s="399">
        <v>97</v>
      </c>
      <c r="P145" s="399">
        <v>113</v>
      </c>
      <c r="Q145" s="399">
        <v>210</v>
      </c>
      <c r="R145" s="399">
        <v>6</v>
      </c>
      <c r="S145" s="399">
        <v>9</v>
      </c>
      <c r="T145" s="399">
        <v>15</v>
      </c>
      <c r="U145" s="399">
        <v>994</v>
      </c>
      <c r="V145" s="399">
        <v>874</v>
      </c>
      <c r="W145" s="399">
        <v>1868</v>
      </c>
    </row>
    <row r="146" spans="1:23">
      <c r="A146" s="1245"/>
      <c r="B146" s="726" t="s">
        <v>227</v>
      </c>
      <c r="C146" s="399">
        <v>107</v>
      </c>
      <c r="D146" s="399">
        <v>17</v>
      </c>
      <c r="E146" s="399">
        <v>124</v>
      </c>
      <c r="F146" s="399">
        <v>254</v>
      </c>
      <c r="G146" s="399">
        <v>203</v>
      </c>
      <c r="H146" s="399">
        <v>457</v>
      </c>
      <c r="I146" s="399">
        <v>453</v>
      </c>
      <c r="J146" s="399">
        <v>402</v>
      </c>
      <c r="K146" s="399">
        <v>855</v>
      </c>
      <c r="L146" s="399">
        <v>17</v>
      </c>
      <c r="M146" s="399">
        <v>72</v>
      </c>
      <c r="N146" s="399">
        <v>89</v>
      </c>
      <c r="O146" s="399">
        <v>88</v>
      </c>
      <c r="P146" s="399">
        <v>101</v>
      </c>
      <c r="Q146" s="399">
        <v>189</v>
      </c>
      <c r="R146" s="399">
        <v>9</v>
      </c>
      <c r="S146" s="399">
        <v>10</v>
      </c>
      <c r="T146" s="399">
        <v>19</v>
      </c>
      <c r="U146" s="399">
        <v>928</v>
      </c>
      <c r="V146" s="399">
        <v>805</v>
      </c>
      <c r="W146" s="399">
        <v>1733</v>
      </c>
    </row>
    <row r="147" spans="1:23">
      <c r="A147" s="1245">
        <v>24</v>
      </c>
      <c r="B147" s="717" t="s">
        <v>38</v>
      </c>
      <c r="C147" s="721"/>
      <c r="D147" s="722"/>
      <c r="E147" s="722"/>
      <c r="F147" s="722"/>
      <c r="G147" s="722"/>
      <c r="H147" s="723"/>
      <c r="I147" s="721"/>
      <c r="J147" s="722"/>
      <c r="K147" s="723"/>
      <c r="L147" s="721"/>
      <c r="M147" s="722"/>
      <c r="N147" s="722"/>
      <c r="O147" s="722"/>
      <c r="P147" s="722"/>
      <c r="Q147" s="723"/>
      <c r="R147" s="722"/>
      <c r="S147" s="722"/>
      <c r="T147" s="723"/>
      <c r="U147" s="721"/>
      <c r="V147" s="722"/>
      <c r="W147" s="722"/>
    </row>
    <row r="148" spans="1:23">
      <c r="A148" s="1245"/>
      <c r="B148" s="724" t="s">
        <v>919</v>
      </c>
      <c r="C148" s="721">
        <v>106</v>
      </c>
      <c r="D148" s="722">
        <v>57</v>
      </c>
      <c r="E148" s="722">
        <v>163</v>
      </c>
      <c r="F148" s="722">
        <v>74</v>
      </c>
      <c r="G148" s="722">
        <v>95</v>
      </c>
      <c r="H148" s="723">
        <v>169</v>
      </c>
      <c r="I148" s="721">
        <v>840</v>
      </c>
      <c r="J148" s="722">
        <v>1198</v>
      </c>
      <c r="K148" s="723">
        <v>2038</v>
      </c>
      <c r="L148" s="721">
        <v>40</v>
      </c>
      <c r="M148" s="722">
        <v>62</v>
      </c>
      <c r="N148" s="722">
        <v>102</v>
      </c>
      <c r="O148" s="722">
        <v>18</v>
      </c>
      <c r="P148" s="722">
        <v>32</v>
      </c>
      <c r="Q148" s="723">
        <v>50</v>
      </c>
      <c r="R148" s="722">
        <v>9</v>
      </c>
      <c r="S148" s="722">
        <v>8</v>
      </c>
      <c r="T148" s="723">
        <v>17</v>
      </c>
      <c r="U148" s="721">
        <v>1087</v>
      </c>
      <c r="V148" s="722">
        <v>1452</v>
      </c>
      <c r="W148" s="722">
        <v>2539</v>
      </c>
    </row>
    <row r="149" spans="1:23" s="725" customFormat="1">
      <c r="A149" s="1245"/>
      <c r="B149" s="724" t="s">
        <v>876</v>
      </c>
      <c r="C149" s="358">
        <v>114</v>
      </c>
      <c r="D149" s="358">
        <v>55</v>
      </c>
      <c r="E149" s="358">
        <v>169</v>
      </c>
      <c r="F149" s="358">
        <v>69</v>
      </c>
      <c r="G149" s="358">
        <v>100</v>
      </c>
      <c r="H149" s="358">
        <v>169</v>
      </c>
      <c r="I149" s="358">
        <v>814</v>
      </c>
      <c r="J149" s="358">
        <v>1125</v>
      </c>
      <c r="K149" s="358">
        <v>1939</v>
      </c>
      <c r="L149" s="358">
        <v>40</v>
      </c>
      <c r="M149" s="358">
        <v>61</v>
      </c>
      <c r="N149" s="358">
        <v>101</v>
      </c>
      <c r="O149" s="358">
        <v>19</v>
      </c>
      <c r="P149" s="358">
        <v>31</v>
      </c>
      <c r="Q149" s="358">
        <v>50</v>
      </c>
      <c r="R149" s="358">
        <v>3</v>
      </c>
      <c r="S149" s="358">
        <v>2</v>
      </c>
      <c r="T149" s="358">
        <v>5</v>
      </c>
      <c r="U149" s="358">
        <v>1059</v>
      </c>
      <c r="V149" s="358">
        <v>1374</v>
      </c>
      <c r="W149" s="358">
        <v>2433</v>
      </c>
    </row>
    <row r="150" spans="1:23">
      <c r="A150" s="1245"/>
      <c r="B150" s="724" t="s">
        <v>229</v>
      </c>
      <c r="C150" s="399">
        <v>112</v>
      </c>
      <c r="D150" s="399">
        <v>50</v>
      </c>
      <c r="E150" s="399">
        <v>162</v>
      </c>
      <c r="F150" s="399">
        <v>70</v>
      </c>
      <c r="G150" s="399">
        <v>99</v>
      </c>
      <c r="H150" s="399">
        <v>169</v>
      </c>
      <c r="I150" s="399">
        <v>824</v>
      </c>
      <c r="J150" s="399">
        <v>1127</v>
      </c>
      <c r="K150" s="399">
        <v>1951</v>
      </c>
      <c r="L150" s="399">
        <v>29</v>
      </c>
      <c r="M150" s="399">
        <v>57</v>
      </c>
      <c r="N150" s="399">
        <v>86</v>
      </c>
      <c r="O150" s="399">
        <v>19</v>
      </c>
      <c r="P150" s="399">
        <v>28</v>
      </c>
      <c r="Q150" s="399">
        <v>47</v>
      </c>
      <c r="R150" s="399">
        <v>4</v>
      </c>
      <c r="S150" s="399">
        <v>2</v>
      </c>
      <c r="T150" s="399">
        <v>6</v>
      </c>
      <c r="U150" s="399">
        <v>1058</v>
      </c>
      <c r="V150" s="399">
        <v>1363</v>
      </c>
      <c r="W150" s="399">
        <v>2421</v>
      </c>
    </row>
    <row r="151" spans="1:23">
      <c r="A151" s="1245"/>
      <c r="B151" s="726" t="s">
        <v>228</v>
      </c>
      <c r="C151" s="399">
        <v>115</v>
      </c>
      <c r="D151" s="399">
        <v>50</v>
      </c>
      <c r="E151" s="399">
        <v>165</v>
      </c>
      <c r="F151" s="399">
        <v>83</v>
      </c>
      <c r="G151" s="399">
        <v>97</v>
      </c>
      <c r="H151" s="399">
        <v>180</v>
      </c>
      <c r="I151" s="399">
        <v>812</v>
      </c>
      <c r="J151" s="399">
        <v>1097</v>
      </c>
      <c r="K151" s="399">
        <v>1909</v>
      </c>
      <c r="L151" s="399">
        <v>29</v>
      </c>
      <c r="M151" s="399">
        <v>50</v>
      </c>
      <c r="N151" s="399">
        <v>79</v>
      </c>
      <c r="O151" s="399">
        <v>20</v>
      </c>
      <c r="P151" s="399">
        <v>13</v>
      </c>
      <c r="Q151" s="399">
        <v>33</v>
      </c>
      <c r="R151" s="399">
        <v>8</v>
      </c>
      <c r="S151" s="399">
        <v>5</v>
      </c>
      <c r="T151" s="399">
        <v>13</v>
      </c>
      <c r="U151" s="399">
        <v>1067</v>
      </c>
      <c r="V151" s="399">
        <v>1312</v>
      </c>
      <c r="W151" s="399">
        <v>2379</v>
      </c>
    </row>
    <row r="152" spans="1:23">
      <c r="A152" s="1245"/>
      <c r="B152" s="726" t="s">
        <v>227</v>
      </c>
      <c r="C152" s="399">
        <v>99</v>
      </c>
      <c r="D152" s="399">
        <v>44</v>
      </c>
      <c r="E152" s="399">
        <v>143</v>
      </c>
      <c r="F152" s="399">
        <v>94</v>
      </c>
      <c r="G152" s="399">
        <v>96</v>
      </c>
      <c r="H152" s="399">
        <v>190</v>
      </c>
      <c r="I152" s="399">
        <v>758</v>
      </c>
      <c r="J152" s="399">
        <v>1060</v>
      </c>
      <c r="K152" s="399">
        <v>1818</v>
      </c>
      <c r="L152" s="399">
        <v>27</v>
      </c>
      <c r="M152" s="399">
        <v>48</v>
      </c>
      <c r="N152" s="399">
        <v>75</v>
      </c>
      <c r="O152" s="399">
        <v>20</v>
      </c>
      <c r="P152" s="399">
        <v>10</v>
      </c>
      <c r="Q152" s="399">
        <v>30</v>
      </c>
      <c r="R152" s="399">
        <v>8</v>
      </c>
      <c r="S152" s="399">
        <v>3</v>
      </c>
      <c r="T152" s="399">
        <v>11</v>
      </c>
      <c r="U152" s="399">
        <v>1006</v>
      </c>
      <c r="V152" s="399">
        <v>1261</v>
      </c>
      <c r="W152" s="399">
        <v>2267</v>
      </c>
    </row>
    <row r="153" spans="1:23">
      <c r="A153" s="1245">
        <v>25</v>
      </c>
      <c r="B153" s="717" t="s">
        <v>39</v>
      </c>
      <c r="C153" s="721"/>
      <c r="D153" s="722"/>
      <c r="E153" s="722"/>
      <c r="F153" s="722"/>
      <c r="G153" s="722"/>
      <c r="H153" s="723"/>
      <c r="I153" s="721"/>
      <c r="J153" s="722"/>
      <c r="K153" s="723"/>
      <c r="L153" s="721"/>
      <c r="M153" s="722"/>
      <c r="N153" s="722"/>
      <c r="O153" s="722"/>
      <c r="P153" s="722"/>
      <c r="Q153" s="723"/>
      <c r="R153" s="722"/>
      <c r="S153" s="722"/>
      <c r="T153" s="723"/>
      <c r="U153" s="721"/>
      <c r="V153" s="722"/>
      <c r="W153" s="722"/>
    </row>
    <row r="154" spans="1:23">
      <c r="A154" s="1245"/>
      <c r="B154" s="724" t="s">
        <v>919</v>
      </c>
      <c r="C154" s="721">
        <v>2657</v>
      </c>
      <c r="D154" s="722">
        <v>866</v>
      </c>
      <c r="E154" s="722">
        <v>3523</v>
      </c>
      <c r="F154" s="722">
        <v>3153</v>
      </c>
      <c r="G154" s="722">
        <v>1271</v>
      </c>
      <c r="H154" s="723">
        <v>4424</v>
      </c>
      <c r="I154" s="721">
        <v>18280</v>
      </c>
      <c r="J154" s="722">
        <v>11381</v>
      </c>
      <c r="K154" s="723">
        <v>29661</v>
      </c>
      <c r="L154" s="721">
        <v>1423</v>
      </c>
      <c r="M154" s="722">
        <v>2465</v>
      </c>
      <c r="N154" s="722">
        <v>3888</v>
      </c>
      <c r="O154" s="722">
        <v>1009</v>
      </c>
      <c r="P154" s="722">
        <v>978</v>
      </c>
      <c r="Q154" s="723">
        <v>1987</v>
      </c>
      <c r="R154" s="722">
        <v>142</v>
      </c>
      <c r="S154" s="722">
        <v>105</v>
      </c>
      <c r="T154" s="723">
        <v>247</v>
      </c>
      <c r="U154" s="721">
        <v>26664</v>
      </c>
      <c r="V154" s="722">
        <v>17066</v>
      </c>
      <c r="W154" s="722">
        <v>43730</v>
      </c>
    </row>
    <row r="155" spans="1:23" s="725" customFormat="1">
      <c r="A155" s="1245"/>
      <c r="B155" s="724" t="s">
        <v>876</v>
      </c>
      <c r="C155" s="358">
        <v>2479</v>
      </c>
      <c r="D155" s="358">
        <v>771</v>
      </c>
      <c r="E155" s="358">
        <v>3250</v>
      </c>
      <c r="F155" s="358">
        <v>3159</v>
      </c>
      <c r="G155" s="358">
        <v>1269</v>
      </c>
      <c r="H155" s="358">
        <v>4428</v>
      </c>
      <c r="I155" s="358">
        <v>17626</v>
      </c>
      <c r="J155" s="358">
        <v>10670</v>
      </c>
      <c r="K155" s="358">
        <v>28296</v>
      </c>
      <c r="L155" s="358">
        <v>1440</v>
      </c>
      <c r="M155" s="358">
        <v>2428</v>
      </c>
      <c r="N155" s="358">
        <v>3868</v>
      </c>
      <c r="O155" s="358">
        <v>919</v>
      </c>
      <c r="P155" s="358">
        <v>937</v>
      </c>
      <c r="Q155" s="358">
        <v>1856</v>
      </c>
      <c r="R155" s="358">
        <v>164</v>
      </c>
      <c r="S155" s="358">
        <v>111</v>
      </c>
      <c r="T155" s="358">
        <v>275</v>
      </c>
      <c r="U155" s="358">
        <v>25787</v>
      </c>
      <c r="V155" s="358">
        <v>16186</v>
      </c>
      <c r="W155" s="358">
        <v>41973</v>
      </c>
    </row>
    <row r="156" spans="1:23">
      <c r="A156" s="1245"/>
      <c r="B156" s="724" t="s">
        <v>229</v>
      </c>
      <c r="C156" s="399">
        <v>2325</v>
      </c>
      <c r="D156" s="399">
        <v>642</v>
      </c>
      <c r="E156" s="399">
        <v>2967</v>
      </c>
      <c r="F156" s="399">
        <v>2880</v>
      </c>
      <c r="G156" s="399">
        <v>1131</v>
      </c>
      <c r="H156" s="399">
        <v>4011</v>
      </c>
      <c r="I156" s="399">
        <v>17447</v>
      </c>
      <c r="J156" s="399">
        <v>10222</v>
      </c>
      <c r="K156" s="399">
        <v>27669</v>
      </c>
      <c r="L156" s="399">
        <v>1414</v>
      </c>
      <c r="M156" s="399">
        <v>2026</v>
      </c>
      <c r="N156" s="399">
        <v>3440</v>
      </c>
      <c r="O156" s="399">
        <v>847</v>
      </c>
      <c r="P156" s="399">
        <v>863</v>
      </c>
      <c r="Q156" s="399">
        <v>1710</v>
      </c>
      <c r="R156" s="399">
        <v>152</v>
      </c>
      <c r="S156" s="399">
        <v>107</v>
      </c>
      <c r="T156" s="399">
        <v>259</v>
      </c>
      <c r="U156" s="399">
        <v>25065</v>
      </c>
      <c r="V156" s="399">
        <v>14991</v>
      </c>
      <c r="W156" s="399">
        <v>40056</v>
      </c>
    </row>
    <row r="157" spans="1:23">
      <c r="A157" s="1245"/>
      <c r="B157" s="726" t="s">
        <v>228</v>
      </c>
      <c r="C157" s="399">
        <v>2261</v>
      </c>
      <c r="D157" s="399">
        <v>593</v>
      </c>
      <c r="E157" s="399">
        <v>2854</v>
      </c>
      <c r="F157" s="399">
        <v>2857</v>
      </c>
      <c r="G157" s="399">
        <v>1122</v>
      </c>
      <c r="H157" s="399">
        <v>3979</v>
      </c>
      <c r="I157" s="399">
        <v>16802</v>
      </c>
      <c r="J157" s="399">
        <v>9463</v>
      </c>
      <c r="K157" s="399">
        <v>26265</v>
      </c>
      <c r="L157" s="399">
        <v>1329</v>
      </c>
      <c r="M157" s="399">
        <v>1836</v>
      </c>
      <c r="N157" s="399">
        <v>3165</v>
      </c>
      <c r="O157" s="399">
        <v>797</v>
      </c>
      <c r="P157" s="399">
        <v>792</v>
      </c>
      <c r="Q157" s="399">
        <v>1589</v>
      </c>
      <c r="R157" s="399">
        <v>159</v>
      </c>
      <c r="S157" s="399">
        <v>86</v>
      </c>
      <c r="T157" s="399">
        <v>245</v>
      </c>
      <c r="U157" s="399">
        <v>24205</v>
      </c>
      <c r="V157" s="399">
        <v>13892</v>
      </c>
      <c r="W157" s="399">
        <v>38097</v>
      </c>
    </row>
    <row r="158" spans="1:23">
      <c r="A158" s="1245"/>
      <c r="B158" s="726" t="s">
        <v>227</v>
      </c>
      <c r="C158" s="399">
        <v>2073</v>
      </c>
      <c r="D158" s="399">
        <v>552</v>
      </c>
      <c r="E158" s="399">
        <v>2625</v>
      </c>
      <c r="F158" s="399">
        <v>2596</v>
      </c>
      <c r="G158" s="399">
        <v>998</v>
      </c>
      <c r="H158" s="399">
        <v>3594</v>
      </c>
      <c r="I158" s="399">
        <v>16535</v>
      </c>
      <c r="J158" s="399">
        <v>8903</v>
      </c>
      <c r="K158" s="399">
        <v>25438</v>
      </c>
      <c r="L158" s="399">
        <v>1274</v>
      </c>
      <c r="M158" s="399">
        <v>1738</v>
      </c>
      <c r="N158" s="399">
        <v>3012</v>
      </c>
      <c r="O158" s="399">
        <v>808</v>
      </c>
      <c r="P158" s="399">
        <v>780</v>
      </c>
      <c r="Q158" s="399">
        <v>1588</v>
      </c>
      <c r="R158" s="399">
        <v>147</v>
      </c>
      <c r="S158" s="399">
        <v>77</v>
      </c>
      <c r="T158" s="399">
        <v>224</v>
      </c>
      <c r="U158" s="399">
        <v>23433</v>
      </c>
      <c r="V158" s="399">
        <v>13048</v>
      </c>
      <c r="W158" s="399">
        <v>36481</v>
      </c>
    </row>
    <row r="159" spans="1:23">
      <c r="A159" s="1245">
        <v>26</v>
      </c>
      <c r="B159" s="717" t="s">
        <v>40</v>
      </c>
      <c r="C159" s="721"/>
      <c r="D159" s="722"/>
      <c r="E159" s="722"/>
      <c r="F159" s="722"/>
      <c r="G159" s="722"/>
      <c r="H159" s="723"/>
      <c r="I159" s="721"/>
      <c r="J159" s="722"/>
      <c r="K159" s="723"/>
      <c r="L159" s="721"/>
      <c r="M159" s="722"/>
      <c r="N159" s="722"/>
      <c r="O159" s="722"/>
      <c r="P159" s="722"/>
      <c r="Q159" s="723"/>
      <c r="R159" s="722"/>
      <c r="S159" s="722"/>
      <c r="T159" s="723"/>
      <c r="U159" s="721"/>
      <c r="V159" s="722"/>
      <c r="W159" s="722"/>
    </row>
    <row r="160" spans="1:23">
      <c r="A160" s="1245"/>
      <c r="B160" s="724" t="s">
        <v>919</v>
      </c>
      <c r="C160" s="721">
        <v>742</v>
      </c>
      <c r="D160" s="722">
        <v>333</v>
      </c>
      <c r="E160" s="722">
        <v>1075</v>
      </c>
      <c r="F160" s="722">
        <v>499</v>
      </c>
      <c r="G160" s="722">
        <v>351</v>
      </c>
      <c r="H160" s="723">
        <v>850</v>
      </c>
      <c r="I160" s="721">
        <v>1981</v>
      </c>
      <c r="J160" s="722">
        <v>1810</v>
      </c>
      <c r="K160" s="723">
        <v>3791</v>
      </c>
      <c r="L160" s="721">
        <v>282</v>
      </c>
      <c r="M160" s="722">
        <v>485</v>
      </c>
      <c r="N160" s="722">
        <v>767</v>
      </c>
      <c r="O160" s="722">
        <v>57</v>
      </c>
      <c r="P160" s="722">
        <v>53</v>
      </c>
      <c r="Q160" s="723">
        <v>110</v>
      </c>
      <c r="R160" s="722">
        <v>1</v>
      </c>
      <c r="S160" s="722"/>
      <c r="T160" s="723">
        <v>1</v>
      </c>
      <c r="U160" s="721">
        <v>3562</v>
      </c>
      <c r="V160" s="722">
        <v>3032</v>
      </c>
      <c r="W160" s="722">
        <v>6594</v>
      </c>
    </row>
    <row r="161" spans="1:23" s="725" customFormat="1">
      <c r="A161" s="1245"/>
      <c r="B161" s="724" t="s">
        <v>876</v>
      </c>
      <c r="C161" s="358">
        <v>751</v>
      </c>
      <c r="D161" s="358">
        <v>328</v>
      </c>
      <c r="E161" s="358">
        <v>1079</v>
      </c>
      <c r="F161" s="358">
        <v>528</v>
      </c>
      <c r="G161" s="358">
        <v>347</v>
      </c>
      <c r="H161" s="358">
        <v>875</v>
      </c>
      <c r="I161" s="358">
        <v>2016</v>
      </c>
      <c r="J161" s="358">
        <v>1768</v>
      </c>
      <c r="K161" s="358">
        <v>3784</v>
      </c>
      <c r="L161" s="358">
        <v>306</v>
      </c>
      <c r="M161" s="358">
        <v>508</v>
      </c>
      <c r="N161" s="358">
        <v>814</v>
      </c>
      <c r="O161" s="358">
        <v>52</v>
      </c>
      <c r="P161" s="358">
        <v>52</v>
      </c>
      <c r="Q161" s="358">
        <v>104</v>
      </c>
      <c r="R161" s="358">
        <v>1</v>
      </c>
      <c r="S161" s="358">
        <v>0</v>
      </c>
      <c r="T161" s="358">
        <v>1</v>
      </c>
      <c r="U161" s="358">
        <v>3654</v>
      </c>
      <c r="V161" s="358">
        <v>3003</v>
      </c>
      <c r="W161" s="358">
        <v>6657</v>
      </c>
    </row>
    <row r="162" spans="1:23">
      <c r="A162" s="1245"/>
      <c r="B162" s="724" t="s">
        <v>229</v>
      </c>
      <c r="C162" s="399">
        <v>754</v>
      </c>
      <c r="D162" s="399">
        <v>282</v>
      </c>
      <c r="E162" s="399">
        <v>1036</v>
      </c>
      <c r="F162" s="399">
        <v>508</v>
      </c>
      <c r="G162" s="399">
        <v>352</v>
      </c>
      <c r="H162" s="399">
        <v>860</v>
      </c>
      <c r="I162" s="399">
        <v>1941</v>
      </c>
      <c r="J162" s="399">
        <v>1564</v>
      </c>
      <c r="K162" s="399">
        <v>3505</v>
      </c>
      <c r="L162" s="399">
        <v>337</v>
      </c>
      <c r="M162" s="399">
        <v>551</v>
      </c>
      <c r="N162" s="399">
        <v>888</v>
      </c>
      <c r="O162" s="399">
        <v>34</v>
      </c>
      <c r="P162" s="399">
        <v>45</v>
      </c>
      <c r="Q162" s="399">
        <v>79</v>
      </c>
      <c r="R162" s="399">
        <v>2</v>
      </c>
      <c r="S162" s="399">
        <v>1</v>
      </c>
      <c r="T162" s="399">
        <v>3</v>
      </c>
      <c r="U162" s="399">
        <v>3576</v>
      </c>
      <c r="V162" s="399">
        <v>2795</v>
      </c>
      <c r="W162" s="399">
        <v>6371</v>
      </c>
    </row>
    <row r="163" spans="1:23">
      <c r="A163" s="1245"/>
      <c r="B163" s="726" t="s">
        <v>228</v>
      </c>
      <c r="C163" s="399">
        <v>648</v>
      </c>
      <c r="D163" s="399">
        <v>244</v>
      </c>
      <c r="E163" s="399">
        <v>892</v>
      </c>
      <c r="F163" s="399">
        <v>464</v>
      </c>
      <c r="G163" s="399">
        <v>276</v>
      </c>
      <c r="H163" s="399">
        <v>740</v>
      </c>
      <c r="I163" s="399">
        <v>1930</v>
      </c>
      <c r="J163" s="399">
        <v>1486</v>
      </c>
      <c r="K163" s="399">
        <v>3416</v>
      </c>
      <c r="L163" s="399">
        <v>298</v>
      </c>
      <c r="M163" s="399">
        <v>461</v>
      </c>
      <c r="N163" s="399">
        <v>759</v>
      </c>
      <c r="O163" s="399">
        <v>33</v>
      </c>
      <c r="P163" s="399">
        <v>37</v>
      </c>
      <c r="Q163" s="399">
        <v>70</v>
      </c>
      <c r="R163" s="399">
        <v>2</v>
      </c>
      <c r="S163" s="399">
        <v>0</v>
      </c>
      <c r="T163" s="399">
        <v>2</v>
      </c>
      <c r="U163" s="399">
        <v>3375</v>
      </c>
      <c r="V163" s="399">
        <v>2504</v>
      </c>
      <c r="W163" s="399">
        <v>5879</v>
      </c>
    </row>
    <row r="164" spans="1:23">
      <c r="A164" s="1245"/>
      <c r="B164" s="726" t="s">
        <v>227</v>
      </c>
      <c r="C164" s="399">
        <v>592</v>
      </c>
      <c r="D164" s="399">
        <v>215</v>
      </c>
      <c r="E164" s="399">
        <v>807</v>
      </c>
      <c r="F164" s="399">
        <v>495</v>
      </c>
      <c r="G164" s="399">
        <v>263</v>
      </c>
      <c r="H164" s="399">
        <v>758</v>
      </c>
      <c r="I164" s="399">
        <v>1741</v>
      </c>
      <c r="J164" s="399">
        <v>1433</v>
      </c>
      <c r="K164" s="399">
        <v>3174</v>
      </c>
      <c r="L164" s="399">
        <v>197</v>
      </c>
      <c r="M164" s="399">
        <v>380</v>
      </c>
      <c r="N164" s="399">
        <v>577</v>
      </c>
      <c r="O164" s="399">
        <v>54</v>
      </c>
      <c r="P164" s="399">
        <v>43</v>
      </c>
      <c r="Q164" s="399">
        <v>97</v>
      </c>
      <c r="R164" s="399">
        <v>0</v>
      </c>
      <c r="S164" s="399">
        <v>0</v>
      </c>
      <c r="T164" s="358">
        <v>0</v>
      </c>
      <c r="U164" s="399">
        <v>3079</v>
      </c>
      <c r="V164" s="399">
        <v>2334</v>
      </c>
      <c r="W164" s="399">
        <v>5413</v>
      </c>
    </row>
    <row r="165" spans="1:23">
      <c r="A165" s="1245">
        <v>27</v>
      </c>
      <c r="B165" s="717" t="s">
        <v>41</v>
      </c>
      <c r="C165" s="721"/>
      <c r="D165" s="722"/>
      <c r="E165" s="722"/>
      <c r="F165" s="722"/>
      <c r="G165" s="722"/>
      <c r="H165" s="723"/>
      <c r="I165" s="721"/>
      <c r="J165" s="722"/>
      <c r="K165" s="723"/>
      <c r="L165" s="721"/>
      <c r="M165" s="722"/>
      <c r="N165" s="722"/>
      <c r="O165" s="722"/>
      <c r="P165" s="722"/>
      <c r="Q165" s="723"/>
      <c r="R165" s="722"/>
      <c r="S165" s="722"/>
      <c r="T165" s="723"/>
      <c r="U165" s="721"/>
      <c r="V165" s="722"/>
      <c r="W165" s="722"/>
    </row>
    <row r="166" spans="1:23">
      <c r="A166" s="1245"/>
      <c r="B166" s="724" t="s">
        <v>919</v>
      </c>
      <c r="C166" s="721">
        <v>2549</v>
      </c>
      <c r="D166" s="722">
        <v>1604</v>
      </c>
      <c r="E166" s="722">
        <v>4153</v>
      </c>
      <c r="F166" s="722">
        <v>2206</v>
      </c>
      <c r="G166" s="722">
        <v>2061</v>
      </c>
      <c r="H166" s="723">
        <v>4267</v>
      </c>
      <c r="I166" s="721">
        <v>14239</v>
      </c>
      <c r="J166" s="722">
        <v>21367</v>
      </c>
      <c r="K166" s="723">
        <v>35606</v>
      </c>
      <c r="L166" s="721">
        <v>538</v>
      </c>
      <c r="M166" s="722">
        <v>4204</v>
      </c>
      <c r="N166" s="722">
        <v>4742</v>
      </c>
      <c r="O166" s="722">
        <v>473</v>
      </c>
      <c r="P166" s="722">
        <v>1256</v>
      </c>
      <c r="Q166" s="723">
        <v>1729</v>
      </c>
      <c r="R166" s="722">
        <v>180</v>
      </c>
      <c r="S166" s="722">
        <v>315</v>
      </c>
      <c r="T166" s="723">
        <v>495</v>
      </c>
      <c r="U166" s="721">
        <v>20185</v>
      </c>
      <c r="V166" s="722">
        <v>30807</v>
      </c>
      <c r="W166" s="722">
        <v>50992</v>
      </c>
    </row>
    <row r="167" spans="1:23" s="725" customFormat="1">
      <c r="A167" s="1245"/>
      <c r="B167" s="724" t="s">
        <v>876</v>
      </c>
      <c r="C167" s="358">
        <v>2448</v>
      </c>
      <c r="D167" s="358">
        <v>1517</v>
      </c>
      <c r="E167" s="358">
        <v>3965</v>
      </c>
      <c r="F167" s="358">
        <v>2181</v>
      </c>
      <c r="G167" s="358">
        <v>2038</v>
      </c>
      <c r="H167" s="358">
        <v>4219</v>
      </c>
      <c r="I167" s="358">
        <v>14440</v>
      </c>
      <c r="J167" s="358">
        <v>21226</v>
      </c>
      <c r="K167" s="358">
        <v>35666</v>
      </c>
      <c r="L167" s="358">
        <v>545</v>
      </c>
      <c r="M167" s="358">
        <v>4078</v>
      </c>
      <c r="N167" s="358">
        <v>4623</v>
      </c>
      <c r="O167" s="358">
        <v>419</v>
      </c>
      <c r="P167" s="358">
        <v>1135</v>
      </c>
      <c r="Q167" s="358">
        <v>1554</v>
      </c>
      <c r="R167" s="358">
        <v>184</v>
      </c>
      <c r="S167" s="358">
        <v>267</v>
      </c>
      <c r="T167" s="358">
        <v>451</v>
      </c>
      <c r="U167" s="358">
        <v>20217</v>
      </c>
      <c r="V167" s="358">
        <v>30261</v>
      </c>
      <c r="W167" s="358">
        <v>50478</v>
      </c>
    </row>
    <row r="168" spans="1:23">
      <c r="A168" s="1245"/>
      <c r="B168" s="724" t="s">
        <v>229</v>
      </c>
      <c r="C168" s="399">
        <v>2407</v>
      </c>
      <c r="D168" s="399">
        <v>1352</v>
      </c>
      <c r="E168" s="399">
        <v>3759</v>
      </c>
      <c r="F168" s="399">
        <v>2189</v>
      </c>
      <c r="G168" s="399">
        <v>2079</v>
      </c>
      <c r="H168" s="399">
        <v>4268</v>
      </c>
      <c r="I168" s="399">
        <v>15309</v>
      </c>
      <c r="J168" s="399">
        <v>22280</v>
      </c>
      <c r="K168" s="399">
        <v>37589</v>
      </c>
      <c r="L168" s="399">
        <v>536</v>
      </c>
      <c r="M168" s="399">
        <v>3729</v>
      </c>
      <c r="N168" s="399">
        <v>4265</v>
      </c>
      <c r="O168" s="399">
        <v>466</v>
      </c>
      <c r="P168" s="399">
        <v>1238</v>
      </c>
      <c r="Q168" s="399">
        <v>1704</v>
      </c>
      <c r="R168" s="399">
        <v>198</v>
      </c>
      <c r="S168" s="399">
        <v>289</v>
      </c>
      <c r="T168" s="399">
        <v>487</v>
      </c>
      <c r="U168" s="399">
        <v>21105</v>
      </c>
      <c r="V168" s="399">
        <v>30967</v>
      </c>
      <c r="W168" s="399">
        <v>52072</v>
      </c>
    </row>
    <row r="169" spans="1:23">
      <c r="A169" s="1245"/>
      <c r="B169" s="726" t="s">
        <v>228</v>
      </c>
      <c r="C169" s="399">
        <v>2344</v>
      </c>
      <c r="D169" s="399">
        <v>1353</v>
      </c>
      <c r="E169" s="399">
        <v>3697</v>
      </c>
      <c r="F169" s="399">
        <v>2220</v>
      </c>
      <c r="G169" s="399">
        <v>2081</v>
      </c>
      <c r="H169" s="399">
        <v>4301</v>
      </c>
      <c r="I169" s="399">
        <v>15202</v>
      </c>
      <c r="J169" s="399">
        <v>21862</v>
      </c>
      <c r="K169" s="399">
        <v>37064</v>
      </c>
      <c r="L169" s="399">
        <v>536</v>
      </c>
      <c r="M169" s="399">
        <v>3787</v>
      </c>
      <c r="N169" s="399">
        <v>4323</v>
      </c>
      <c r="O169" s="399">
        <v>423</v>
      </c>
      <c r="P169" s="399">
        <v>1366</v>
      </c>
      <c r="Q169" s="399">
        <v>1789</v>
      </c>
      <c r="R169" s="399">
        <v>146</v>
      </c>
      <c r="S169" s="399">
        <v>255</v>
      </c>
      <c r="T169" s="399">
        <v>401</v>
      </c>
      <c r="U169" s="399">
        <v>20871</v>
      </c>
      <c r="V169" s="399">
        <v>30704</v>
      </c>
      <c r="W169" s="399">
        <v>51575</v>
      </c>
    </row>
    <row r="170" spans="1:23">
      <c r="A170" s="1245"/>
      <c r="B170" s="726" t="s">
        <v>227</v>
      </c>
      <c r="C170" s="399">
        <v>2078</v>
      </c>
      <c r="D170" s="399">
        <v>1147</v>
      </c>
      <c r="E170" s="399">
        <v>3225</v>
      </c>
      <c r="F170" s="399">
        <v>1997</v>
      </c>
      <c r="G170" s="399">
        <v>1893</v>
      </c>
      <c r="H170" s="399">
        <v>3890</v>
      </c>
      <c r="I170" s="399">
        <v>13661</v>
      </c>
      <c r="J170" s="399">
        <v>19711</v>
      </c>
      <c r="K170" s="399">
        <v>33372</v>
      </c>
      <c r="L170" s="399">
        <v>493</v>
      </c>
      <c r="M170" s="399">
        <v>3253</v>
      </c>
      <c r="N170" s="399">
        <v>3746</v>
      </c>
      <c r="O170" s="399">
        <v>432</v>
      </c>
      <c r="P170" s="399">
        <v>1270</v>
      </c>
      <c r="Q170" s="399">
        <v>1702</v>
      </c>
      <c r="R170" s="399">
        <v>109</v>
      </c>
      <c r="S170" s="399">
        <v>240</v>
      </c>
      <c r="T170" s="399">
        <v>349</v>
      </c>
      <c r="U170" s="399">
        <v>18770</v>
      </c>
      <c r="V170" s="399">
        <v>27514</v>
      </c>
      <c r="W170" s="399">
        <v>46284</v>
      </c>
    </row>
    <row r="171" spans="1:23">
      <c r="A171" s="1245">
        <v>28</v>
      </c>
      <c r="B171" s="717" t="s">
        <v>42</v>
      </c>
      <c r="C171" s="721"/>
      <c r="D171" s="722"/>
      <c r="E171" s="722"/>
      <c r="F171" s="722"/>
      <c r="G171" s="722"/>
      <c r="H171" s="723"/>
      <c r="I171" s="721"/>
      <c r="J171" s="722"/>
      <c r="K171" s="723"/>
      <c r="L171" s="721"/>
      <c r="M171" s="722"/>
      <c r="N171" s="722"/>
      <c r="O171" s="722"/>
      <c r="P171" s="722"/>
      <c r="Q171" s="723"/>
      <c r="R171" s="722"/>
      <c r="S171" s="722"/>
      <c r="T171" s="723"/>
      <c r="U171" s="721"/>
      <c r="V171" s="722"/>
      <c r="W171" s="722"/>
    </row>
    <row r="172" spans="1:23">
      <c r="A172" s="1245"/>
      <c r="B172" s="724" t="s">
        <v>919</v>
      </c>
      <c r="C172" s="721">
        <v>5510</v>
      </c>
      <c r="D172" s="722">
        <v>2235</v>
      </c>
      <c r="E172" s="722">
        <v>7745</v>
      </c>
      <c r="F172" s="722">
        <v>4493</v>
      </c>
      <c r="G172" s="722">
        <v>2795</v>
      </c>
      <c r="H172" s="723">
        <v>7288</v>
      </c>
      <c r="I172" s="721">
        <v>39389</v>
      </c>
      <c r="J172" s="722">
        <v>23318</v>
      </c>
      <c r="K172" s="723">
        <v>62707</v>
      </c>
      <c r="L172" s="721">
        <v>2849</v>
      </c>
      <c r="M172" s="722">
        <v>1269</v>
      </c>
      <c r="N172" s="722">
        <v>4118</v>
      </c>
      <c r="O172" s="722">
        <v>668</v>
      </c>
      <c r="P172" s="722">
        <v>368</v>
      </c>
      <c r="Q172" s="723">
        <v>1036</v>
      </c>
      <c r="R172" s="722">
        <v>174</v>
      </c>
      <c r="S172" s="722">
        <v>124</v>
      </c>
      <c r="T172" s="723">
        <v>298</v>
      </c>
      <c r="U172" s="721">
        <v>53083</v>
      </c>
      <c r="V172" s="722">
        <v>30109</v>
      </c>
      <c r="W172" s="722">
        <v>83192</v>
      </c>
    </row>
    <row r="173" spans="1:23" s="725" customFormat="1">
      <c r="A173" s="1245"/>
      <c r="B173" s="724" t="s">
        <v>876</v>
      </c>
      <c r="C173" s="358">
        <v>5528</v>
      </c>
      <c r="D173" s="358">
        <v>2113</v>
      </c>
      <c r="E173" s="358">
        <v>7641</v>
      </c>
      <c r="F173" s="358">
        <v>4555</v>
      </c>
      <c r="G173" s="358">
        <v>2778</v>
      </c>
      <c r="H173" s="358">
        <v>7333</v>
      </c>
      <c r="I173" s="358">
        <v>37771</v>
      </c>
      <c r="J173" s="358">
        <v>22511</v>
      </c>
      <c r="K173" s="358">
        <v>60282</v>
      </c>
      <c r="L173" s="358">
        <v>2794</v>
      </c>
      <c r="M173" s="358">
        <v>1245</v>
      </c>
      <c r="N173" s="358">
        <v>4039</v>
      </c>
      <c r="O173" s="358">
        <v>555</v>
      </c>
      <c r="P173" s="358">
        <v>298</v>
      </c>
      <c r="Q173" s="358">
        <v>853</v>
      </c>
      <c r="R173" s="358">
        <v>156</v>
      </c>
      <c r="S173" s="358">
        <v>116</v>
      </c>
      <c r="T173" s="358">
        <v>272</v>
      </c>
      <c r="U173" s="358">
        <v>51359</v>
      </c>
      <c r="V173" s="358">
        <v>29061</v>
      </c>
      <c r="W173" s="358">
        <v>80420</v>
      </c>
    </row>
    <row r="174" spans="1:23">
      <c r="A174" s="1245"/>
      <c r="B174" s="724" t="s">
        <v>229</v>
      </c>
      <c r="C174" s="399">
        <v>5152</v>
      </c>
      <c r="D174" s="399">
        <v>1913</v>
      </c>
      <c r="E174" s="399">
        <v>7065</v>
      </c>
      <c r="F174" s="399">
        <v>4322</v>
      </c>
      <c r="G174" s="399">
        <v>2797</v>
      </c>
      <c r="H174" s="399">
        <v>7119</v>
      </c>
      <c r="I174" s="399">
        <v>36311</v>
      </c>
      <c r="J174" s="399">
        <v>22011</v>
      </c>
      <c r="K174" s="399">
        <v>58322</v>
      </c>
      <c r="L174" s="399">
        <v>2575</v>
      </c>
      <c r="M174" s="399">
        <v>1206</v>
      </c>
      <c r="N174" s="399">
        <v>3781</v>
      </c>
      <c r="O174" s="399">
        <v>515</v>
      </c>
      <c r="P174" s="399">
        <v>295</v>
      </c>
      <c r="Q174" s="399">
        <v>810</v>
      </c>
      <c r="R174" s="399">
        <v>157</v>
      </c>
      <c r="S174" s="399">
        <v>123</v>
      </c>
      <c r="T174" s="399">
        <v>280</v>
      </c>
      <c r="U174" s="399">
        <v>49032</v>
      </c>
      <c r="V174" s="399">
        <v>28345</v>
      </c>
      <c r="W174" s="399">
        <v>77377</v>
      </c>
    </row>
    <row r="175" spans="1:23">
      <c r="A175" s="1245"/>
      <c r="B175" s="726" t="s">
        <v>228</v>
      </c>
      <c r="C175" s="399">
        <v>4689</v>
      </c>
      <c r="D175" s="399">
        <v>1678</v>
      </c>
      <c r="E175" s="399">
        <v>6367</v>
      </c>
      <c r="F175" s="399">
        <v>3866</v>
      </c>
      <c r="G175" s="399">
        <v>2468</v>
      </c>
      <c r="H175" s="399">
        <v>6334</v>
      </c>
      <c r="I175" s="399">
        <v>33600</v>
      </c>
      <c r="J175" s="399">
        <v>20306</v>
      </c>
      <c r="K175" s="399">
        <v>53906</v>
      </c>
      <c r="L175" s="399">
        <v>2309</v>
      </c>
      <c r="M175" s="399">
        <v>1111</v>
      </c>
      <c r="N175" s="399">
        <v>3420</v>
      </c>
      <c r="O175" s="399">
        <v>474</v>
      </c>
      <c r="P175" s="399">
        <v>313</v>
      </c>
      <c r="Q175" s="399">
        <v>787</v>
      </c>
      <c r="R175" s="399">
        <v>172</v>
      </c>
      <c r="S175" s="399">
        <v>102</v>
      </c>
      <c r="T175" s="399">
        <v>274</v>
      </c>
      <c r="U175" s="399">
        <v>45110</v>
      </c>
      <c r="V175" s="399">
        <v>25978</v>
      </c>
      <c r="W175" s="399">
        <v>71088</v>
      </c>
    </row>
    <row r="176" spans="1:23">
      <c r="A176" s="1245"/>
      <c r="B176" s="726" t="s">
        <v>227</v>
      </c>
      <c r="C176" s="399">
        <v>4030</v>
      </c>
      <c r="D176" s="399">
        <v>1428</v>
      </c>
      <c r="E176" s="399">
        <v>5458</v>
      </c>
      <c r="F176" s="399">
        <v>2799</v>
      </c>
      <c r="G176" s="399">
        <v>1517</v>
      </c>
      <c r="H176" s="399">
        <v>4316</v>
      </c>
      <c r="I176" s="399">
        <v>28613</v>
      </c>
      <c r="J176" s="399">
        <v>17942</v>
      </c>
      <c r="K176" s="399">
        <v>46555</v>
      </c>
      <c r="L176" s="399">
        <v>1841</v>
      </c>
      <c r="M176" s="399">
        <v>904</v>
      </c>
      <c r="N176" s="399">
        <v>2745</v>
      </c>
      <c r="O176" s="399">
        <v>450</v>
      </c>
      <c r="P176" s="399">
        <v>305</v>
      </c>
      <c r="Q176" s="399">
        <v>755</v>
      </c>
      <c r="R176" s="399">
        <v>130</v>
      </c>
      <c r="S176" s="399">
        <v>86</v>
      </c>
      <c r="T176" s="399">
        <v>216</v>
      </c>
      <c r="U176" s="399">
        <v>37863</v>
      </c>
      <c r="V176" s="399">
        <v>22182</v>
      </c>
      <c r="W176" s="399">
        <v>60045</v>
      </c>
    </row>
    <row r="177" spans="1:23">
      <c r="A177" s="1245">
        <v>29</v>
      </c>
      <c r="B177" s="717" t="s">
        <v>43</v>
      </c>
      <c r="C177" s="721"/>
      <c r="D177" s="722"/>
      <c r="E177" s="722"/>
      <c r="F177" s="722"/>
      <c r="G177" s="722"/>
      <c r="H177" s="723"/>
      <c r="I177" s="721"/>
      <c r="J177" s="722"/>
      <c r="K177" s="723"/>
      <c r="L177" s="721"/>
      <c r="M177" s="722"/>
      <c r="N177" s="722"/>
      <c r="O177" s="722"/>
      <c r="P177" s="722"/>
      <c r="Q177" s="723"/>
      <c r="R177" s="722"/>
      <c r="S177" s="722"/>
      <c r="T177" s="723"/>
      <c r="U177" s="721"/>
      <c r="V177" s="722"/>
      <c r="W177" s="722"/>
    </row>
    <row r="178" spans="1:23">
      <c r="A178" s="1245"/>
      <c r="B178" s="724" t="s">
        <v>919</v>
      </c>
      <c r="C178" s="721">
        <v>77</v>
      </c>
      <c r="D178" s="722">
        <v>28</v>
      </c>
      <c r="E178" s="722">
        <v>105</v>
      </c>
      <c r="F178" s="722">
        <v>117</v>
      </c>
      <c r="G178" s="722">
        <v>54</v>
      </c>
      <c r="H178" s="723">
        <v>171</v>
      </c>
      <c r="I178" s="721">
        <v>665</v>
      </c>
      <c r="J178" s="722">
        <v>480</v>
      </c>
      <c r="K178" s="723">
        <v>1145</v>
      </c>
      <c r="L178" s="721">
        <v>25</v>
      </c>
      <c r="M178" s="722">
        <v>46</v>
      </c>
      <c r="N178" s="722">
        <v>71</v>
      </c>
      <c r="O178" s="722">
        <v>7</v>
      </c>
      <c r="P178" s="722">
        <v>9</v>
      </c>
      <c r="Q178" s="723">
        <v>16</v>
      </c>
      <c r="R178" s="722"/>
      <c r="S178" s="722">
        <v>1</v>
      </c>
      <c r="T178" s="723">
        <v>1</v>
      </c>
      <c r="U178" s="721">
        <v>891</v>
      </c>
      <c r="V178" s="722">
        <v>618</v>
      </c>
      <c r="W178" s="722">
        <v>1509</v>
      </c>
    </row>
    <row r="179" spans="1:23" s="725" customFormat="1">
      <c r="A179" s="1245"/>
      <c r="B179" s="724" t="s">
        <v>876</v>
      </c>
      <c r="C179" s="358">
        <v>97</v>
      </c>
      <c r="D179" s="358">
        <v>32</v>
      </c>
      <c r="E179" s="358">
        <v>129</v>
      </c>
      <c r="F179" s="358">
        <v>137</v>
      </c>
      <c r="G179" s="358">
        <v>62</v>
      </c>
      <c r="H179" s="358">
        <v>199</v>
      </c>
      <c r="I179" s="358">
        <v>728</v>
      </c>
      <c r="J179" s="358">
        <v>550</v>
      </c>
      <c r="K179" s="358">
        <v>1278</v>
      </c>
      <c r="L179" s="358">
        <v>25</v>
      </c>
      <c r="M179" s="358">
        <v>75</v>
      </c>
      <c r="N179" s="358">
        <v>100</v>
      </c>
      <c r="O179" s="358">
        <v>6</v>
      </c>
      <c r="P179" s="358">
        <v>7</v>
      </c>
      <c r="Q179" s="358">
        <v>13</v>
      </c>
      <c r="R179" s="358">
        <v>3</v>
      </c>
      <c r="S179" s="358">
        <v>2</v>
      </c>
      <c r="T179" s="358">
        <v>5</v>
      </c>
      <c r="U179" s="358">
        <v>996</v>
      </c>
      <c r="V179" s="358">
        <v>728</v>
      </c>
      <c r="W179" s="358">
        <v>1724</v>
      </c>
    </row>
    <row r="180" spans="1:23">
      <c r="A180" s="1245"/>
      <c r="B180" s="724" t="s">
        <v>229</v>
      </c>
      <c r="C180" s="399">
        <v>101</v>
      </c>
      <c r="D180" s="399">
        <v>29</v>
      </c>
      <c r="E180" s="399">
        <v>130</v>
      </c>
      <c r="F180" s="399">
        <v>132</v>
      </c>
      <c r="G180" s="399">
        <v>59</v>
      </c>
      <c r="H180" s="399">
        <v>191</v>
      </c>
      <c r="I180" s="399">
        <v>729</v>
      </c>
      <c r="J180" s="399">
        <v>537</v>
      </c>
      <c r="K180" s="399">
        <v>1266</v>
      </c>
      <c r="L180" s="399">
        <v>26</v>
      </c>
      <c r="M180" s="399">
        <v>52</v>
      </c>
      <c r="N180" s="399">
        <v>78</v>
      </c>
      <c r="O180" s="399">
        <v>8</v>
      </c>
      <c r="P180" s="399">
        <v>30</v>
      </c>
      <c r="Q180" s="399">
        <v>38</v>
      </c>
      <c r="R180" s="399">
        <v>4</v>
      </c>
      <c r="S180" s="399">
        <v>4</v>
      </c>
      <c r="T180" s="399">
        <v>8</v>
      </c>
      <c r="U180" s="399">
        <v>1000</v>
      </c>
      <c r="V180" s="399">
        <v>711</v>
      </c>
      <c r="W180" s="399">
        <v>1711</v>
      </c>
    </row>
    <row r="181" spans="1:23" ht="15.75" customHeight="1">
      <c r="A181" s="1245"/>
      <c r="B181" s="726" t="s">
        <v>228</v>
      </c>
      <c r="C181" s="399">
        <v>97</v>
      </c>
      <c r="D181" s="399">
        <v>29</v>
      </c>
      <c r="E181" s="399">
        <v>126</v>
      </c>
      <c r="F181" s="399">
        <v>115</v>
      </c>
      <c r="G181" s="399">
        <v>49</v>
      </c>
      <c r="H181" s="399">
        <v>164</v>
      </c>
      <c r="I181" s="399">
        <v>676</v>
      </c>
      <c r="J181" s="399">
        <v>484</v>
      </c>
      <c r="K181" s="399">
        <v>1160</v>
      </c>
      <c r="L181" s="399">
        <v>30</v>
      </c>
      <c r="M181" s="399">
        <v>62</v>
      </c>
      <c r="N181" s="399">
        <v>92</v>
      </c>
      <c r="O181" s="399">
        <v>6</v>
      </c>
      <c r="P181" s="399">
        <v>7</v>
      </c>
      <c r="Q181" s="399">
        <v>13</v>
      </c>
      <c r="R181" s="399">
        <v>5</v>
      </c>
      <c r="S181" s="399">
        <v>4</v>
      </c>
      <c r="T181" s="399">
        <v>9</v>
      </c>
      <c r="U181" s="399">
        <v>929</v>
      </c>
      <c r="V181" s="399">
        <v>635</v>
      </c>
      <c r="W181" s="399">
        <v>1564</v>
      </c>
    </row>
    <row r="182" spans="1:23">
      <c r="A182" s="1245"/>
      <c r="B182" s="726" t="s">
        <v>227</v>
      </c>
      <c r="C182" s="399">
        <v>94</v>
      </c>
      <c r="D182" s="399">
        <v>31</v>
      </c>
      <c r="E182" s="399">
        <v>125</v>
      </c>
      <c r="F182" s="399">
        <v>111</v>
      </c>
      <c r="G182" s="399">
        <v>46</v>
      </c>
      <c r="H182" s="399">
        <v>157</v>
      </c>
      <c r="I182" s="399">
        <v>631</v>
      </c>
      <c r="J182" s="399">
        <v>438</v>
      </c>
      <c r="K182" s="399">
        <v>1069</v>
      </c>
      <c r="L182" s="399">
        <v>35</v>
      </c>
      <c r="M182" s="399">
        <v>71</v>
      </c>
      <c r="N182" s="399">
        <v>106</v>
      </c>
      <c r="O182" s="399">
        <v>8</v>
      </c>
      <c r="P182" s="399">
        <v>8</v>
      </c>
      <c r="Q182" s="399">
        <v>16</v>
      </c>
      <c r="R182" s="399">
        <v>4</v>
      </c>
      <c r="S182" s="399">
        <v>6</v>
      </c>
      <c r="T182" s="399">
        <v>10</v>
      </c>
      <c r="U182" s="399">
        <v>883</v>
      </c>
      <c r="V182" s="399">
        <v>600</v>
      </c>
      <c r="W182" s="399">
        <v>1483</v>
      </c>
    </row>
    <row r="183" spans="1:23">
      <c r="A183" s="1245">
        <v>30</v>
      </c>
      <c r="B183" s="717" t="s">
        <v>44</v>
      </c>
      <c r="C183" s="721"/>
      <c r="D183" s="722"/>
      <c r="E183" s="722"/>
      <c r="F183" s="722"/>
      <c r="G183" s="722"/>
      <c r="H183" s="723"/>
      <c r="I183" s="721"/>
      <c r="J183" s="722"/>
      <c r="K183" s="723"/>
      <c r="L183" s="721"/>
      <c r="M183" s="722"/>
      <c r="N183" s="722"/>
      <c r="O183" s="722"/>
      <c r="P183" s="722"/>
      <c r="Q183" s="723"/>
      <c r="R183" s="722"/>
      <c r="S183" s="722"/>
      <c r="T183" s="723"/>
      <c r="U183" s="721"/>
      <c r="V183" s="722"/>
      <c r="W183" s="722"/>
    </row>
    <row r="184" spans="1:23">
      <c r="A184" s="1245"/>
      <c r="B184" s="724" t="s">
        <v>919</v>
      </c>
      <c r="C184" s="721">
        <v>11861</v>
      </c>
      <c r="D184" s="722">
        <v>6432</v>
      </c>
      <c r="E184" s="722">
        <v>18293</v>
      </c>
      <c r="F184" s="722">
        <v>12005</v>
      </c>
      <c r="G184" s="722">
        <v>9051</v>
      </c>
      <c r="H184" s="723">
        <v>21056</v>
      </c>
      <c r="I184" s="721">
        <v>74008</v>
      </c>
      <c r="J184" s="722">
        <v>80006</v>
      </c>
      <c r="K184" s="723">
        <v>154014</v>
      </c>
      <c r="L184" s="721">
        <v>2633</v>
      </c>
      <c r="M184" s="722">
        <v>6319</v>
      </c>
      <c r="N184" s="722">
        <v>8952</v>
      </c>
      <c r="O184" s="722">
        <v>2621</v>
      </c>
      <c r="P184" s="722">
        <v>3302</v>
      </c>
      <c r="Q184" s="723">
        <v>5923</v>
      </c>
      <c r="R184" s="722">
        <v>288</v>
      </c>
      <c r="S184" s="722">
        <v>210</v>
      </c>
      <c r="T184" s="723">
        <v>498</v>
      </c>
      <c r="U184" s="721">
        <v>103416</v>
      </c>
      <c r="V184" s="722">
        <v>105320</v>
      </c>
      <c r="W184" s="722">
        <v>208736</v>
      </c>
    </row>
    <row r="185" spans="1:23" s="725" customFormat="1">
      <c r="A185" s="1245"/>
      <c r="B185" s="724" t="s">
        <v>876</v>
      </c>
      <c r="C185" s="358">
        <v>11698</v>
      </c>
      <c r="D185" s="358">
        <v>6208</v>
      </c>
      <c r="E185" s="358">
        <v>17906</v>
      </c>
      <c r="F185" s="358">
        <v>11938</v>
      </c>
      <c r="G185" s="358">
        <v>9102</v>
      </c>
      <c r="H185" s="358">
        <v>21040</v>
      </c>
      <c r="I185" s="358">
        <v>73391</v>
      </c>
      <c r="J185" s="358">
        <v>77627</v>
      </c>
      <c r="K185" s="358">
        <v>151018</v>
      </c>
      <c r="L185" s="358">
        <v>2302</v>
      </c>
      <c r="M185" s="358">
        <v>5626</v>
      </c>
      <c r="N185" s="358">
        <v>7928</v>
      </c>
      <c r="O185" s="358">
        <v>2247</v>
      </c>
      <c r="P185" s="358">
        <v>2779</v>
      </c>
      <c r="Q185" s="358">
        <v>5026</v>
      </c>
      <c r="R185" s="358">
        <v>300</v>
      </c>
      <c r="S185" s="358">
        <v>197</v>
      </c>
      <c r="T185" s="358">
        <v>497</v>
      </c>
      <c r="U185" s="358">
        <v>101876</v>
      </c>
      <c r="V185" s="358">
        <v>101539</v>
      </c>
      <c r="W185" s="358">
        <v>203415</v>
      </c>
    </row>
    <row r="186" spans="1:23">
      <c r="A186" s="1245"/>
      <c r="B186" s="724" t="s">
        <v>229</v>
      </c>
      <c r="C186" s="399">
        <v>11804</v>
      </c>
      <c r="D186" s="399">
        <v>5628</v>
      </c>
      <c r="E186" s="399">
        <v>17432</v>
      </c>
      <c r="F186" s="399">
        <v>11581</v>
      </c>
      <c r="G186" s="399">
        <v>8847</v>
      </c>
      <c r="H186" s="399">
        <v>20428</v>
      </c>
      <c r="I186" s="399">
        <v>74366</v>
      </c>
      <c r="J186" s="399">
        <v>77009</v>
      </c>
      <c r="K186" s="399">
        <v>151375</v>
      </c>
      <c r="L186" s="399">
        <v>2286</v>
      </c>
      <c r="M186" s="399">
        <v>5484</v>
      </c>
      <c r="N186" s="399">
        <v>7770</v>
      </c>
      <c r="O186" s="399">
        <v>2223</v>
      </c>
      <c r="P186" s="399">
        <v>2512</v>
      </c>
      <c r="Q186" s="399">
        <v>4735</v>
      </c>
      <c r="R186" s="399">
        <v>209</v>
      </c>
      <c r="S186" s="399">
        <v>136</v>
      </c>
      <c r="T186" s="399">
        <v>345</v>
      </c>
      <c r="U186" s="399">
        <v>102469</v>
      </c>
      <c r="V186" s="399">
        <v>99616</v>
      </c>
      <c r="W186" s="399">
        <v>202085</v>
      </c>
    </row>
    <row r="187" spans="1:23">
      <c r="A187" s="1245"/>
      <c r="B187" s="726" t="s">
        <v>228</v>
      </c>
      <c r="C187" s="399">
        <v>10975</v>
      </c>
      <c r="D187" s="399">
        <v>5162</v>
      </c>
      <c r="E187" s="399">
        <v>16137</v>
      </c>
      <c r="F187" s="399">
        <v>11262</v>
      </c>
      <c r="G187" s="399">
        <v>8260</v>
      </c>
      <c r="H187" s="399">
        <v>19522</v>
      </c>
      <c r="I187" s="399">
        <v>73693</v>
      </c>
      <c r="J187" s="399">
        <v>74475</v>
      </c>
      <c r="K187" s="399">
        <v>148168</v>
      </c>
      <c r="L187" s="399">
        <v>2159</v>
      </c>
      <c r="M187" s="399">
        <v>5299</v>
      </c>
      <c r="N187" s="399">
        <v>7458</v>
      </c>
      <c r="O187" s="399">
        <v>2206</v>
      </c>
      <c r="P187" s="399">
        <v>2274</v>
      </c>
      <c r="Q187" s="399">
        <v>4480</v>
      </c>
      <c r="R187" s="399">
        <v>138</v>
      </c>
      <c r="S187" s="399">
        <v>90</v>
      </c>
      <c r="T187" s="399">
        <v>228</v>
      </c>
      <c r="U187" s="399">
        <v>100433</v>
      </c>
      <c r="V187" s="399">
        <v>95560</v>
      </c>
      <c r="W187" s="399">
        <v>195993</v>
      </c>
    </row>
    <row r="188" spans="1:23">
      <c r="A188" s="1245"/>
      <c r="B188" s="726" t="s">
        <v>227</v>
      </c>
      <c r="C188" s="399">
        <v>10376</v>
      </c>
      <c r="D188" s="399">
        <v>4907</v>
      </c>
      <c r="E188" s="399">
        <v>15283</v>
      </c>
      <c r="F188" s="399">
        <v>10979</v>
      </c>
      <c r="G188" s="399">
        <v>7954</v>
      </c>
      <c r="H188" s="399">
        <v>18933</v>
      </c>
      <c r="I188" s="399">
        <v>74130</v>
      </c>
      <c r="J188" s="399">
        <v>72638</v>
      </c>
      <c r="K188" s="399">
        <v>146768</v>
      </c>
      <c r="L188" s="399">
        <v>2158</v>
      </c>
      <c r="M188" s="399">
        <v>4980</v>
      </c>
      <c r="N188" s="399">
        <v>7138</v>
      </c>
      <c r="O188" s="399">
        <v>1951</v>
      </c>
      <c r="P188" s="399">
        <v>1959</v>
      </c>
      <c r="Q188" s="399">
        <v>3910</v>
      </c>
      <c r="R188" s="399">
        <v>196</v>
      </c>
      <c r="S188" s="399">
        <v>72</v>
      </c>
      <c r="T188" s="399">
        <v>268</v>
      </c>
      <c r="U188" s="399">
        <v>99790</v>
      </c>
      <c r="V188" s="399">
        <v>92510</v>
      </c>
      <c r="W188" s="399">
        <v>192300</v>
      </c>
    </row>
    <row r="189" spans="1:23">
      <c r="A189" s="1245">
        <v>31</v>
      </c>
      <c r="B189" s="717" t="s">
        <v>131</v>
      </c>
      <c r="C189" s="721"/>
      <c r="D189" s="722"/>
      <c r="E189" s="722"/>
      <c r="F189" s="722"/>
      <c r="G189" s="722"/>
      <c r="H189" s="723"/>
      <c r="I189" s="721"/>
      <c r="J189" s="722"/>
      <c r="K189" s="723"/>
      <c r="L189" s="721"/>
      <c r="M189" s="722"/>
      <c r="N189" s="722"/>
      <c r="O189" s="722"/>
      <c r="P189" s="722"/>
      <c r="Q189" s="723"/>
      <c r="R189" s="722"/>
      <c r="S189" s="722"/>
      <c r="T189" s="723"/>
      <c r="U189" s="721"/>
      <c r="V189" s="722"/>
      <c r="W189" s="722"/>
    </row>
    <row r="190" spans="1:23">
      <c r="A190" s="1245"/>
      <c r="B190" s="724" t="s">
        <v>919</v>
      </c>
      <c r="C190" s="721">
        <v>5622</v>
      </c>
      <c r="D190" s="722">
        <v>1921</v>
      </c>
      <c r="E190" s="722">
        <v>7543</v>
      </c>
      <c r="F190" s="722">
        <v>5132</v>
      </c>
      <c r="G190" s="722">
        <v>2990</v>
      </c>
      <c r="H190" s="723">
        <v>8122</v>
      </c>
      <c r="I190" s="721">
        <v>35041</v>
      </c>
      <c r="J190" s="722">
        <v>26885</v>
      </c>
      <c r="K190" s="723">
        <v>61926</v>
      </c>
      <c r="L190" s="721">
        <v>1179</v>
      </c>
      <c r="M190" s="722">
        <v>2528</v>
      </c>
      <c r="N190" s="722">
        <v>3707</v>
      </c>
      <c r="O190" s="722">
        <v>1500</v>
      </c>
      <c r="P190" s="722">
        <v>1152</v>
      </c>
      <c r="Q190" s="723">
        <v>2652</v>
      </c>
      <c r="R190" s="722">
        <v>96</v>
      </c>
      <c r="S190" s="722">
        <v>40</v>
      </c>
      <c r="T190" s="723">
        <v>136</v>
      </c>
      <c r="U190" s="721">
        <v>48570</v>
      </c>
      <c r="V190" s="722">
        <v>35516</v>
      </c>
      <c r="W190" s="722">
        <v>84086</v>
      </c>
    </row>
    <row r="191" spans="1:23" s="725" customFormat="1">
      <c r="A191" s="1245"/>
      <c r="B191" s="724" t="s">
        <v>876</v>
      </c>
      <c r="C191" s="358">
        <v>5597</v>
      </c>
      <c r="D191" s="358">
        <v>1828</v>
      </c>
      <c r="E191" s="358">
        <v>7425</v>
      </c>
      <c r="F191" s="358">
        <v>4884</v>
      </c>
      <c r="G191" s="358">
        <v>2783</v>
      </c>
      <c r="H191" s="358">
        <v>7667</v>
      </c>
      <c r="I191" s="358">
        <v>36181</v>
      </c>
      <c r="J191" s="358">
        <v>26353</v>
      </c>
      <c r="K191" s="358">
        <v>62534</v>
      </c>
      <c r="L191" s="358">
        <v>778</v>
      </c>
      <c r="M191" s="358">
        <v>2258</v>
      </c>
      <c r="N191" s="358">
        <v>3036</v>
      </c>
      <c r="O191" s="358">
        <v>1387</v>
      </c>
      <c r="P191" s="358">
        <v>951</v>
      </c>
      <c r="Q191" s="358">
        <v>2338</v>
      </c>
      <c r="R191" s="358">
        <v>82</v>
      </c>
      <c r="S191" s="358">
        <v>32</v>
      </c>
      <c r="T191" s="358">
        <v>114</v>
      </c>
      <c r="U191" s="358">
        <v>48909</v>
      </c>
      <c r="V191" s="358">
        <v>34205</v>
      </c>
      <c r="W191" s="358">
        <v>83114</v>
      </c>
    </row>
    <row r="192" spans="1:23">
      <c r="A192" s="1245"/>
      <c r="B192" s="724" t="s">
        <v>229</v>
      </c>
      <c r="C192" s="399">
        <v>5482</v>
      </c>
      <c r="D192" s="399">
        <v>1708</v>
      </c>
      <c r="E192" s="399">
        <v>7190</v>
      </c>
      <c r="F192" s="399">
        <v>4715</v>
      </c>
      <c r="G192" s="399">
        <v>2729</v>
      </c>
      <c r="H192" s="399">
        <v>7444</v>
      </c>
      <c r="I192" s="399">
        <v>36653</v>
      </c>
      <c r="J192" s="399">
        <v>25470</v>
      </c>
      <c r="K192" s="399">
        <v>62123</v>
      </c>
      <c r="L192" s="399">
        <v>888</v>
      </c>
      <c r="M192" s="399">
        <v>2319</v>
      </c>
      <c r="N192" s="399">
        <v>3207</v>
      </c>
      <c r="O192" s="399">
        <v>1535</v>
      </c>
      <c r="P192" s="399">
        <v>1086</v>
      </c>
      <c r="Q192" s="399">
        <v>2621</v>
      </c>
      <c r="R192" s="399">
        <v>78</v>
      </c>
      <c r="S192" s="399">
        <v>40</v>
      </c>
      <c r="T192" s="399">
        <v>118</v>
      </c>
      <c r="U192" s="399">
        <v>49351</v>
      </c>
      <c r="V192" s="399">
        <v>33352</v>
      </c>
      <c r="W192" s="399">
        <v>82703</v>
      </c>
    </row>
    <row r="193" spans="1:23">
      <c r="A193" s="1245"/>
      <c r="B193" s="726" t="s">
        <v>228</v>
      </c>
      <c r="C193" s="399">
        <v>5261</v>
      </c>
      <c r="D193" s="399">
        <v>1556</v>
      </c>
      <c r="E193" s="399">
        <v>6817</v>
      </c>
      <c r="F193" s="399">
        <v>4356</v>
      </c>
      <c r="G193" s="399">
        <v>2432</v>
      </c>
      <c r="H193" s="399">
        <v>6788</v>
      </c>
      <c r="I193" s="399">
        <v>36881</v>
      </c>
      <c r="J193" s="399">
        <v>24506</v>
      </c>
      <c r="K193" s="399">
        <v>61387</v>
      </c>
      <c r="L193" s="399">
        <v>658</v>
      </c>
      <c r="M193" s="399">
        <v>1890</v>
      </c>
      <c r="N193" s="399">
        <v>2548</v>
      </c>
      <c r="O193" s="399">
        <v>1532</v>
      </c>
      <c r="P193" s="399">
        <v>1130</v>
      </c>
      <c r="Q193" s="399">
        <v>2662</v>
      </c>
      <c r="R193" s="399">
        <v>73</v>
      </c>
      <c r="S193" s="399">
        <v>43</v>
      </c>
      <c r="T193" s="399">
        <v>116</v>
      </c>
      <c r="U193" s="399">
        <v>48761</v>
      </c>
      <c r="V193" s="399">
        <v>31557</v>
      </c>
      <c r="W193" s="399">
        <v>80318</v>
      </c>
    </row>
    <row r="194" spans="1:23">
      <c r="A194" s="1245"/>
      <c r="B194" s="726" t="s">
        <v>227</v>
      </c>
      <c r="C194" s="399">
        <v>4352</v>
      </c>
      <c r="D194" s="399">
        <v>1149</v>
      </c>
      <c r="E194" s="399">
        <v>5501</v>
      </c>
      <c r="F194" s="399">
        <v>3900</v>
      </c>
      <c r="G194" s="399">
        <v>2135</v>
      </c>
      <c r="H194" s="399">
        <v>6035</v>
      </c>
      <c r="I194" s="399">
        <v>35955</v>
      </c>
      <c r="J194" s="399">
        <v>23027</v>
      </c>
      <c r="K194" s="399">
        <v>58982</v>
      </c>
      <c r="L194" s="399">
        <v>269</v>
      </c>
      <c r="M194" s="399">
        <v>1185</v>
      </c>
      <c r="N194" s="399">
        <v>1454</v>
      </c>
      <c r="O194" s="399">
        <v>1283</v>
      </c>
      <c r="P194" s="399">
        <v>1007</v>
      </c>
      <c r="Q194" s="399">
        <v>2290</v>
      </c>
      <c r="R194" s="399">
        <v>52</v>
      </c>
      <c r="S194" s="399">
        <v>28</v>
      </c>
      <c r="T194" s="399">
        <v>80</v>
      </c>
      <c r="U194" s="399">
        <v>45811</v>
      </c>
      <c r="V194" s="399">
        <v>28531</v>
      </c>
      <c r="W194" s="399">
        <v>74342</v>
      </c>
    </row>
    <row r="195" spans="1:23" ht="29.25">
      <c r="A195" s="1245">
        <v>32</v>
      </c>
      <c r="B195" s="728" t="s">
        <v>1062</v>
      </c>
      <c r="C195" s="402"/>
      <c r="D195" s="403"/>
      <c r="E195" s="403"/>
      <c r="F195" s="403"/>
      <c r="G195" s="403"/>
      <c r="H195" s="404"/>
      <c r="I195" s="402"/>
      <c r="J195" s="403"/>
      <c r="K195" s="404"/>
      <c r="L195" s="402"/>
      <c r="M195" s="403"/>
      <c r="N195" s="403"/>
      <c r="O195" s="403"/>
      <c r="P195" s="403"/>
      <c r="Q195" s="404"/>
      <c r="R195" s="403"/>
      <c r="S195" s="403"/>
      <c r="T195" s="404"/>
      <c r="U195" s="402"/>
      <c r="V195" s="403"/>
      <c r="W195" s="403"/>
    </row>
    <row r="196" spans="1:23">
      <c r="A196" s="1245"/>
      <c r="B196" s="724" t="s">
        <v>919</v>
      </c>
      <c r="C196" s="402">
        <v>26</v>
      </c>
      <c r="D196" s="403">
        <v>12</v>
      </c>
      <c r="E196" s="403">
        <v>38</v>
      </c>
      <c r="F196" s="403">
        <v>30</v>
      </c>
      <c r="G196" s="403">
        <v>14</v>
      </c>
      <c r="H196" s="404">
        <v>44</v>
      </c>
      <c r="I196" s="402">
        <v>231</v>
      </c>
      <c r="J196" s="403">
        <v>157</v>
      </c>
      <c r="K196" s="404">
        <v>388</v>
      </c>
      <c r="L196" s="402">
        <v>18</v>
      </c>
      <c r="M196" s="403">
        <v>60</v>
      </c>
      <c r="N196" s="403">
        <v>78</v>
      </c>
      <c r="O196" s="403">
        <v>36</v>
      </c>
      <c r="P196" s="403">
        <v>30</v>
      </c>
      <c r="Q196" s="404">
        <v>66</v>
      </c>
      <c r="R196" s="403">
        <v>13</v>
      </c>
      <c r="S196" s="403">
        <v>8</v>
      </c>
      <c r="T196" s="404">
        <v>21</v>
      </c>
      <c r="U196" s="402">
        <v>354</v>
      </c>
      <c r="V196" s="403">
        <v>281</v>
      </c>
      <c r="W196" s="403">
        <v>635</v>
      </c>
    </row>
    <row r="197" spans="1:23">
      <c r="A197" s="1245"/>
      <c r="B197" s="724" t="s">
        <v>876</v>
      </c>
      <c r="C197" s="358">
        <v>22</v>
      </c>
      <c r="D197" s="358">
        <v>11</v>
      </c>
      <c r="E197" s="358">
        <v>33</v>
      </c>
      <c r="F197" s="358">
        <v>35</v>
      </c>
      <c r="G197" s="358">
        <v>18</v>
      </c>
      <c r="H197" s="358">
        <v>53</v>
      </c>
      <c r="I197" s="358">
        <v>232</v>
      </c>
      <c r="J197" s="358">
        <v>157</v>
      </c>
      <c r="K197" s="358">
        <v>389</v>
      </c>
      <c r="L197" s="358">
        <v>17</v>
      </c>
      <c r="M197" s="358">
        <v>63</v>
      </c>
      <c r="N197" s="358">
        <v>80</v>
      </c>
      <c r="O197" s="358">
        <v>10</v>
      </c>
      <c r="P197" s="358">
        <v>1</v>
      </c>
      <c r="Q197" s="358">
        <v>11</v>
      </c>
      <c r="R197" s="358">
        <v>5</v>
      </c>
      <c r="S197" s="358">
        <v>6</v>
      </c>
      <c r="T197" s="358">
        <v>11</v>
      </c>
      <c r="U197" s="358">
        <v>321</v>
      </c>
      <c r="V197" s="358">
        <v>256</v>
      </c>
      <c r="W197" s="358">
        <v>577</v>
      </c>
    </row>
    <row r="198" spans="1:23">
      <c r="A198" s="1245"/>
      <c r="B198" s="724" t="s">
        <v>229</v>
      </c>
      <c r="C198" s="399">
        <v>18</v>
      </c>
      <c r="D198" s="399">
        <v>10</v>
      </c>
      <c r="E198" s="399">
        <v>28</v>
      </c>
      <c r="F198" s="399">
        <v>26</v>
      </c>
      <c r="G198" s="399">
        <v>14</v>
      </c>
      <c r="H198" s="399">
        <v>40</v>
      </c>
      <c r="I198" s="399">
        <v>213</v>
      </c>
      <c r="J198" s="399">
        <v>143</v>
      </c>
      <c r="K198" s="399">
        <v>356</v>
      </c>
      <c r="L198" s="399">
        <v>6</v>
      </c>
      <c r="M198" s="399">
        <v>47</v>
      </c>
      <c r="N198" s="399">
        <v>53</v>
      </c>
      <c r="O198" s="399">
        <v>13</v>
      </c>
      <c r="P198" s="399">
        <v>3</v>
      </c>
      <c r="Q198" s="399">
        <v>16</v>
      </c>
      <c r="R198" s="399">
        <v>6</v>
      </c>
      <c r="S198" s="399">
        <v>8</v>
      </c>
      <c r="T198" s="399">
        <v>14</v>
      </c>
      <c r="U198" s="399">
        <v>282</v>
      </c>
      <c r="V198" s="399">
        <v>225</v>
      </c>
      <c r="W198" s="399">
        <v>507</v>
      </c>
    </row>
    <row r="199" spans="1:23">
      <c r="A199" s="1245"/>
      <c r="B199" s="726" t="s">
        <v>228</v>
      </c>
      <c r="C199" s="399">
        <v>17</v>
      </c>
      <c r="D199" s="399">
        <v>10</v>
      </c>
      <c r="E199" s="399">
        <v>27</v>
      </c>
      <c r="F199" s="399">
        <v>27</v>
      </c>
      <c r="G199" s="399">
        <v>12</v>
      </c>
      <c r="H199" s="399">
        <v>39</v>
      </c>
      <c r="I199" s="399">
        <v>210</v>
      </c>
      <c r="J199" s="399">
        <v>126</v>
      </c>
      <c r="K199" s="399">
        <v>336</v>
      </c>
      <c r="L199" s="399">
        <v>8</v>
      </c>
      <c r="M199" s="399">
        <v>33</v>
      </c>
      <c r="N199" s="399">
        <v>41</v>
      </c>
      <c r="O199" s="399">
        <v>3</v>
      </c>
      <c r="P199" s="399">
        <v>4</v>
      </c>
      <c r="Q199" s="399">
        <v>7</v>
      </c>
      <c r="R199" s="399">
        <v>5</v>
      </c>
      <c r="S199" s="399">
        <v>4</v>
      </c>
      <c r="T199" s="399">
        <v>9</v>
      </c>
      <c r="U199" s="399">
        <v>270</v>
      </c>
      <c r="V199" s="399">
        <v>189</v>
      </c>
      <c r="W199" s="399">
        <v>459</v>
      </c>
    </row>
    <row r="200" spans="1:23">
      <c r="A200" s="1245"/>
      <c r="B200" s="726" t="s">
        <v>227</v>
      </c>
      <c r="C200" s="399">
        <v>17</v>
      </c>
      <c r="D200" s="399">
        <v>8</v>
      </c>
      <c r="E200" s="399">
        <v>25</v>
      </c>
      <c r="F200" s="399">
        <v>28</v>
      </c>
      <c r="G200" s="399">
        <v>11</v>
      </c>
      <c r="H200" s="399">
        <v>39</v>
      </c>
      <c r="I200" s="399">
        <v>193</v>
      </c>
      <c r="J200" s="399">
        <v>135</v>
      </c>
      <c r="K200" s="399">
        <v>328</v>
      </c>
      <c r="L200" s="399">
        <v>4</v>
      </c>
      <c r="M200" s="399">
        <v>11</v>
      </c>
      <c r="N200" s="399">
        <v>15</v>
      </c>
      <c r="O200" s="399">
        <v>3</v>
      </c>
      <c r="P200" s="399">
        <v>3</v>
      </c>
      <c r="Q200" s="399">
        <v>6</v>
      </c>
      <c r="R200" s="399">
        <v>4</v>
      </c>
      <c r="S200" s="399">
        <v>11</v>
      </c>
      <c r="T200" s="399">
        <v>15</v>
      </c>
      <c r="U200" s="399">
        <v>249</v>
      </c>
      <c r="V200" s="399">
        <v>179</v>
      </c>
      <c r="W200" s="399">
        <v>428</v>
      </c>
    </row>
    <row r="201" spans="1:23">
      <c r="A201" s="1245">
        <v>33</v>
      </c>
      <c r="B201" s="717" t="s">
        <v>45</v>
      </c>
      <c r="C201" s="721"/>
      <c r="D201" s="722"/>
      <c r="E201" s="722"/>
      <c r="F201" s="722"/>
      <c r="G201" s="722"/>
      <c r="H201" s="723"/>
      <c r="I201" s="721"/>
      <c r="J201" s="722"/>
      <c r="K201" s="723"/>
      <c r="L201" s="721"/>
      <c r="M201" s="722"/>
      <c r="N201" s="722"/>
      <c r="O201" s="722"/>
      <c r="P201" s="722"/>
      <c r="Q201" s="723"/>
      <c r="R201" s="722"/>
      <c r="S201" s="722"/>
      <c r="T201" s="723"/>
      <c r="U201" s="721"/>
      <c r="V201" s="722"/>
      <c r="W201" s="722"/>
    </row>
    <row r="202" spans="1:23">
      <c r="A202" s="1245"/>
      <c r="B202" s="724" t="s">
        <v>919</v>
      </c>
      <c r="C202" s="721">
        <v>125</v>
      </c>
      <c r="D202" s="722">
        <v>31</v>
      </c>
      <c r="E202" s="722">
        <v>156</v>
      </c>
      <c r="F202" s="722">
        <v>185</v>
      </c>
      <c r="G202" s="722">
        <v>79</v>
      </c>
      <c r="H202" s="723">
        <v>264</v>
      </c>
      <c r="I202" s="721">
        <v>900</v>
      </c>
      <c r="J202" s="722">
        <v>450</v>
      </c>
      <c r="K202" s="723">
        <v>1350</v>
      </c>
      <c r="L202" s="721">
        <v>212</v>
      </c>
      <c r="M202" s="722">
        <v>252</v>
      </c>
      <c r="N202" s="722">
        <v>464</v>
      </c>
      <c r="O202" s="722">
        <v>129</v>
      </c>
      <c r="P202" s="722">
        <v>84</v>
      </c>
      <c r="Q202" s="723">
        <v>213</v>
      </c>
      <c r="R202" s="722">
        <v>33</v>
      </c>
      <c r="S202" s="722">
        <v>25</v>
      </c>
      <c r="T202" s="723">
        <v>58</v>
      </c>
      <c r="U202" s="721">
        <v>1584</v>
      </c>
      <c r="V202" s="722">
        <v>921</v>
      </c>
      <c r="W202" s="722">
        <v>2505</v>
      </c>
    </row>
    <row r="203" spans="1:23" s="725" customFormat="1">
      <c r="A203" s="1245"/>
      <c r="B203" s="724" t="s">
        <v>876</v>
      </c>
      <c r="C203" s="358">
        <v>120</v>
      </c>
      <c r="D203" s="358">
        <v>30</v>
      </c>
      <c r="E203" s="358">
        <v>150</v>
      </c>
      <c r="F203" s="358">
        <v>163</v>
      </c>
      <c r="G203" s="358">
        <v>82</v>
      </c>
      <c r="H203" s="358">
        <v>245</v>
      </c>
      <c r="I203" s="358">
        <v>934</v>
      </c>
      <c r="J203" s="358">
        <v>442</v>
      </c>
      <c r="K203" s="358">
        <v>1376</v>
      </c>
      <c r="L203" s="358">
        <v>222</v>
      </c>
      <c r="M203" s="358">
        <v>249</v>
      </c>
      <c r="N203" s="358">
        <v>471</v>
      </c>
      <c r="O203" s="358">
        <v>91</v>
      </c>
      <c r="P203" s="358">
        <v>65</v>
      </c>
      <c r="Q203" s="358">
        <v>156</v>
      </c>
      <c r="R203" s="358">
        <v>32</v>
      </c>
      <c r="S203" s="358">
        <v>32</v>
      </c>
      <c r="T203" s="358">
        <v>64</v>
      </c>
      <c r="U203" s="358">
        <v>1562</v>
      </c>
      <c r="V203" s="358">
        <v>900</v>
      </c>
      <c r="W203" s="358">
        <v>2462</v>
      </c>
    </row>
    <row r="204" spans="1:23">
      <c r="A204" s="1245"/>
      <c r="B204" s="724" t="s">
        <v>229</v>
      </c>
      <c r="C204" s="399">
        <v>114</v>
      </c>
      <c r="D204" s="399">
        <v>29</v>
      </c>
      <c r="E204" s="399">
        <v>143</v>
      </c>
      <c r="F204" s="399">
        <v>167</v>
      </c>
      <c r="G204" s="399">
        <v>72</v>
      </c>
      <c r="H204" s="399">
        <v>239</v>
      </c>
      <c r="I204" s="399">
        <v>847</v>
      </c>
      <c r="J204" s="399">
        <v>414</v>
      </c>
      <c r="K204" s="399">
        <v>1261</v>
      </c>
      <c r="L204" s="399">
        <v>216</v>
      </c>
      <c r="M204" s="399">
        <v>263</v>
      </c>
      <c r="N204" s="399">
        <v>479</v>
      </c>
      <c r="O204" s="399">
        <v>118</v>
      </c>
      <c r="P204" s="399">
        <v>79</v>
      </c>
      <c r="Q204" s="399">
        <v>197</v>
      </c>
      <c r="R204" s="399">
        <v>51</v>
      </c>
      <c r="S204" s="399">
        <v>41</v>
      </c>
      <c r="T204" s="399">
        <v>92</v>
      </c>
      <c r="U204" s="399">
        <v>1513</v>
      </c>
      <c r="V204" s="399">
        <v>898</v>
      </c>
      <c r="W204" s="399">
        <v>2411</v>
      </c>
    </row>
    <row r="205" spans="1:23">
      <c r="A205" s="1245"/>
      <c r="B205" s="726" t="s">
        <v>228</v>
      </c>
      <c r="C205" s="399">
        <v>122</v>
      </c>
      <c r="D205" s="399">
        <v>27</v>
      </c>
      <c r="E205" s="399">
        <v>149</v>
      </c>
      <c r="F205" s="399">
        <v>165</v>
      </c>
      <c r="G205" s="399">
        <v>75</v>
      </c>
      <c r="H205" s="399">
        <v>240</v>
      </c>
      <c r="I205" s="399">
        <v>927</v>
      </c>
      <c r="J205" s="399">
        <v>461</v>
      </c>
      <c r="K205" s="399">
        <v>1388</v>
      </c>
      <c r="L205" s="399">
        <v>212</v>
      </c>
      <c r="M205" s="399">
        <v>238</v>
      </c>
      <c r="N205" s="399">
        <v>450</v>
      </c>
      <c r="O205" s="399">
        <v>110</v>
      </c>
      <c r="P205" s="399">
        <v>57</v>
      </c>
      <c r="Q205" s="399">
        <v>167</v>
      </c>
      <c r="R205" s="399">
        <v>62</v>
      </c>
      <c r="S205" s="399">
        <v>38</v>
      </c>
      <c r="T205" s="399">
        <v>100</v>
      </c>
      <c r="U205" s="399">
        <v>1598</v>
      </c>
      <c r="V205" s="399">
        <v>896</v>
      </c>
      <c r="W205" s="399">
        <v>2494</v>
      </c>
    </row>
    <row r="206" spans="1:23">
      <c r="A206" s="1245"/>
      <c r="B206" s="726" t="s">
        <v>227</v>
      </c>
      <c r="C206" s="399">
        <v>122</v>
      </c>
      <c r="D206" s="399">
        <v>29</v>
      </c>
      <c r="E206" s="399">
        <v>151</v>
      </c>
      <c r="F206" s="399">
        <v>159</v>
      </c>
      <c r="G206" s="399">
        <v>79</v>
      </c>
      <c r="H206" s="399">
        <v>238</v>
      </c>
      <c r="I206" s="399">
        <v>923</v>
      </c>
      <c r="J206" s="399">
        <v>471</v>
      </c>
      <c r="K206" s="399">
        <v>1394</v>
      </c>
      <c r="L206" s="399">
        <v>199</v>
      </c>
      <c r="M206" s="399">
        <v>233</v>
      </c>
      <c r="N206" s="399">
        <v>432</v>
      </c>
      <c r="O206" s="399">
        <v>82</v>
      </c>
      <c r="P206" s="399">
        <v>52</v>
      </c>
      <c r="Q206" s="399">
        <v>134</v>
      </c>
      <c r="R206" s="399">
        <v>56</v>
      </c>
      <c r="S206" s="399">
        <v>45</v>
      </c>
      <c r="T206" s="399">
        <v>101</v>
      </c>
      <c r="U206" s="399">
        <v>1541</v>
      </c>
      <c r="V206" s="399">
        <v>909</v>
      </c>
      <c r="W206" s="399">
        <v>2450</v>
      </c>
    </row>
    <row r="207" spans="1:23">
      <c r="A207" s="1245">
        <v>34</v>
      </c>
      <c r="B207" s="717" t="s">
        <v>47</v>
      </c>
      <c r="C207" s="721"/>
      <c r="D207" s="722"/>
      <c r="E207" s="722"/>
      <c r="F207" s="722"/>
      <c r="G207" s="722"/>
      <c r="H207" s="723"/>
      <c r="I207" s="721"/>
      <c r="J207" s="722"/>
      <c r="K207" s="723"/>
      <c r="L207" s="721"/>
      <c r="M207" s="722"/>
      <c r="N207" s="722"/>
      <c r="O207" s="722"/>
      <c r="P207" s="722"/>
      <c r="Q207" s="723"/>
      <c r="R207" s="722"/>
      <c r="S207" s="722"/>
      <c r="T207" s="723"/>
      <c r="U207" s="721"/>
      <c r="V207" s="722"/>
      <c r="W207" s="722"/>
    </row>
    <row r="208" spans="1:23">
      <c r="A208" s="1245"/>
      <c r="B208" s="724" t="s">
        <v>919</v>
      </c>
      <c r="C208" s="721">
        <v>13046</v>
      </c>
      <c r="D208" s="722">
        <v>4083</v>
      </c>
      <c r="E208" s="722">
        <v>17129</v>
      </c>
      <c r="F208" s="722">
        <v>11010</v>
      </c>
      <c r="G208" s="722">
        <v>5235</v>
      </c>
      <c r="H208" s="723">
        <v>16245</v>
      </c>
      <c r="I208" s="721">
        <v>86238</v>
      </c>
      <c r="J208" s="722">
        <v>39659</v>
      </c>
      <c r="K208" s="723">
        <v>125897</v>
      </c>
      <c r="L208" s="721">
        <v>3295</v>
      </c>
      <c r="M208" s="722">
        <v>4410</v>
      </c>
      <c r="N208" s="722">
        <v>7705</v>
      </c>
      <c r="O208" s="722">
        <v>7653</v>
      </c>
      <c r="P208" s="722">
        <v>3043</v>
      </c>
      <c r="Q208" s="723">
        <v>10696</v>
      </c>
      <c r="R208" s="722">
        <v>352</v>
      </c>
      <c r="S208" s="722">
        <v>169</v>
      </c>
      <c r="T208" s="723">
        <v>521</v>
      </c>
      <c r="U208" s="721">
        <v>121594</v>
      </c>
      <c r="V208" s="722">
        <v>56599</v>
      </c>
      <c r="W208" s="722">
        <v>178193</v>
      </c>
    </row>
    <row r="209" spans="1:23" s="725" customFormat="1">
      <c r="A209" s="1245"/>
      <c r="B209" s="724" t="s">
        <v>876</v>
      </c>
      <c r="C209" s="358">
        <v>12040</v>
      </c>
      <c r="D209" s="358">
        <v>3568</v>
      </c>
      <c r="E209" s="358">
        <v>15608</v>
      </c>
      <c r="F209" s="358">
        <v>11193</v>
      </c>
      <c r="G209" s="358">
        <v>5389</v>
      </c>
      <c r="H209" s="358">
        <v>16582</v>
      </c>
      <c r="I209" s="358">
        <v>82908</v>
      </c>
      <c r="J209" s="358">
        <v>38283</v>
      </c>
      <c r="K209" s="358">
        <v>121191</v>
      </c>
      <c r="L209" s="358">
        <v>3208</v>
      </c>
      <c r="M209" s="358">
        <v>4339</v>
      </c>
      <c r="N209" s="358">
        <v>7547</v>
      </c>
      <c r="O209" s="358">
        <v>7213</v>
      </c>
      <c r="P209" s="358">
        <v>2834</v>
      </c>
      <c r="Q209" s="358">
        <v>10047</v>
      </c>
      <c r="R209" s="358">
        <v>415</v>
      </c>
      <c r="S209" s="358">
        <v>196</v>
      </c>
      <c r="T209" s="358">
        <v>611</v>
      </c>
      <c r="U209" s="358">
        <v>116977</v>
      </c>
      <c r="V209" s="358">
        <v>54609</v>
      </c>
      <c r="W209" s="358">
        <v>171586</v>
      </c>
    </row>
    <row r="210" spans="1:23">
      <c r="A210" s="1245"/>
      <c r="B210" s="724" t="s">
        <v>229</v>
      </c>
      <c r="C210" s="399">
        <v>11650</v>
      </c>
      <c r="D210" s="399">
        <v>3364</v>
      </c>
      <c r="E210" s="399">
        <v>15014</v>
      </c>
      <c r="F210" s="399">
        <v>11301</v>
      </c>
      <c r="G210" s="399">
        <v>5319</v>
      </c>
      <c r="H210" s="399">
        <v>16620</v>
      </c>
      <c r="I210" s="399">
        <v>76631</v>
      </c>
      <c r="J210" s="399">
        <v>35426</v>
      </c>
      <c r="K210" s="399">
        <v>112057</v>
      </c>
      <c r="L210" s="399">
        <v>3115</v>
      </c>
      <c r="M210" s="399">
        <v>4214</v>
      </c>
      <c r="N210" s="399">
        <v>7329</v>
      </c>
      <c r="O210" s="399">
        <v>6840</v>
      </c>
      <c r="P210" s="399">
        <v>2924</v>
      </c>
      <c r="Q210" s="399">
        <v>9764</v>
      </c>
      <c r="R210" s="399">
        <v>453</v>
      </c>
      <c r="S210" s="399">
        <v>202</v>
      </c>
      <c r="T210" s="399">
        <v>655</v>
      </c>
      <c r="U210" s="399">
        <v>109990</v>
      </c>
      <c r="V210" s="399">
        <v>51449</v>
      </c>
      <c r="W210" s="399">
        <v>161439</v>
      </c>
    </row>
    <row r="211" spans="1:23">
      <c r="A211" s="1245"/>
      <c r="B211" s="726" t="s">
        <v>228</v>
      </c>
      <c r="C211" s="399">
        <v>10038</v>
      </c>
      <c r="D211" s="399">
        <v>2846</v>
      </c>
      <c r="E211" s="399">
        <v>12884</v>
      </c>
      <c r="F211" s="399">
        <v>10257</v>
      </c>
      <c r="G211" s="399">
        <v>4961</v>
      </c>
      <c r="H211" s="399">
        <v>15218</v>
      </c>
      <c r="I211" s="399">
        <v>67938</v>
      </c>
      <c r="J211" s="399">
        <v>31709</v>
      </c>
      <c r="K211" s="399">
        <v>99647</v>
      </c>
      <c r="L211" s="399">
        <v>2830</v>
      </c>
      <c r="M211" s="399">
        <v>3768</v>
      </c>
      <c r="N211" s="399">
        <v>6598</v>
      </c>
      <c r="O211" s="399">
        <v>4583</v>
      </c>
      <c r="P211" s="399">
        <v>2397</v>
      </c>
      <c r="Q211" s="399">
        <v>6980</v>
      </c>
      <c r="R211" s="399">
        <v>345</v>
      </c>
      <c r="S211" s="399">
        <v>167</v>
      </c>
      <c r="T211" s="399">
        <v>512</v>
      </c>
      <c r="U211" s="399">
        <v>95991</v>
      </c>
      <c r="V211" s="399">
        <v>45848</v>
      </c>
      <c r="W211" s="399">
        <v>141839</v>
      </c>
    </row>
    <row r="212" spans="1:23">
      <c r="A212" s="1245"/>
      <c r="B212" s="726" t="s">
        <v>227</v>
      </c>
      <c r="C212" s="399">
        <v>7872</v>
      </c>
      <c r="D212" s="399">
        <v>2199</v>
      </c>
      <c r="E212" s="399">
        <v>10071</v>
      </c>
      <c r="F212" s="399">
        <v>7983</v>
      </c>
      <c r="G212" s="399">
        <v>3883</v>
      </c>
      <c r="H212" s="399">
        <v>11866</v>
      </c>
      <c r="I212" s="399">
        <v>50625</v>
      </c>
      <c r="J212" s="399">
        <v>24040</v>
      </c>
      <c r="K212" s="399">
        <v>74665</v>
      </c>
      <c r="L212" s="399">
        <v>2498</v>
      </c>
      <c r="M212" s="399">
        <v>3274</v>
      </c>
      <c r="N212" s="399">
        <v>5772</v>
      </c>
      <c r="O212" s="399">
        <v>2815</v>
      </c>
      <c r="P212" s="399">
        <v>1722</v>
      </c>
      <c r="Q212" s="399">
        <v>4537</v>
      </c>
      <c r="R212" s="399">
        <v>350</v>
      </c>
      <c r="S212" s="399">
        <v>164</v>
      </c>
      <c r="T212" s="399">
        <v>514</v>
      </c>
      <c r="U212" s="399">
        <v>72143</v>
      </c>
      <c r="V212" s="399">
        <v>35282</v>
      </c>
      <c r="W212" s="399">
        <v>107425</v>
      </c>
    </row>
    <row r="213" spans="1:23">
      <c r="A213" s="1245">
        <v>35</v>
      </c>
      <c r="B213" s="717" t="s">
        <v>46</v>
      </c>
      <c r="C213" s="721"/>
      <c r="D213" s="722"/>
      <c r="E213" s="722"/>
      <c r="F213" s="722"/>
      <c r="G213" s="722"/>
      <c r="H213" s="723"/>
      <c r="I213" s="721"/>
      <c r="J213" s="722"/>
      <c r="K213" s="723"/>
      <c r="L213" s="721"/>
      <c r="M213" s="722"/>
      <c r="N213" s="722"/>
      <c r="O213" s="722"/>
      <c r="P213" s="722"/>
      <c r="Q213" s="723"/>
      <c r="R213" s="722"/>
      <c r="S213" s="722"/>
      <c r="T213" s="723"/>
      <c r="U213" s="721"/>
      <c r="V213" s="722"/>
      <c r="W213" s="722"/>
    </row>
    <row r="214" spans="1:23">
      <c r="A214" s="1245"/>
      <c r="B214" s="724" t="s">
        <v>919</v>
      </c>
      <c r="C214" s="721">
        <v>1893</v>
      </c>
      <c r="D214" s="722">
        <v>673</v>
      </c>
      <c r="E214" s="722">
        <v>2566</v>
      </c>
      <c r="F214" s="722">
        <v>1370</v>
      </c>
      <c r="G214" s="722">
        <v>748</v>
      </c>
      <c r="H214" s="723">
        <v>2118</v>
      </c>
      <c r="I214" s="721">
        <v>7413</v>
      </c>
      <c r="J214" s="722">
        <v>5218</v>
      </c>
      <c r="K214" s="723">
        <v>12631</v>
      </c>
      <c r="L214" s="721">
        <v>375</v>
      </c>
      <c r="M214" s="722">
        <v>663</v>
      </c>
      <c r="N214" s="722">
        <v>1038</v>
      </c>
      <c r="O214" s="722">
        <v>634</v>
      </c>
      <c r="P214" s="722">
        <v>475</v>
      </c>
      <c r="Q214" s="723">
        <v>1109</v>
      </c>
      <c r="R214" s="722">
        <v>33</v>
      </c>
      <c r="S214" s="722">
        <v>23</v>
      </c>
      <c r="T214" s="723">
        <v>56</v>
      </c>
      <c r="U214" s="721">
        <v>11718</v>
      </c>
      <c r="V214" s="722">
        <v>7800</v>
      </c>
      <c r="W214" s="722">
        <v>19518</v>
      </c>
    </row>
    <row r="215" spans="1:23" s="725" customFormat="1">
      <c r="A215" s="1245"/>
      <c r="B215" s="724" t="s">
        <v>876</v>
      </c>
      <c r="C215" s="358">
        <v>1813</v>
      </c>
      <c r="D215" s="358">
        <v>613</v>
      </c>
      <c r="E215" s="358">
        <v>2426</v>
      </c>
      <c r="F215" s="358">
        <v>1407</v>
      </c>
      <c r="G215" s="358">
        <v>755</v>
      </c>
      <c r="H215" s="358">
        <v>2162</v>
      </c>
      <c r="I215" s="358">
        <v>7255</v>
      </c>
      <c r="J215" s="358">
        <v>4958</v>
      </c>
      <c r="K215" s="358">
        <v>12213</v>
      </c>
      <c r="L215" s="358">
        <v>406</v>
      </c>
      <c r="M215" s="358">
        <v>657</v>
      </c>
      <c r="N215" s="358">
        <v>1063</v>
      </c>
      <c r="O215" s="358">
        <v>632</v>
      </c>
      <c r="P215" s="358">
        <v>421</v>
      </c>
      <c r="Q215" s="358">
        <v>1053</v>
      </c>
      <c r="R215" s="358">
        <v>39</v>
      </c>
      <c r="S215" s="358">
        <v>24</v>
      </c>
      <c r="T215" s="358">
        <v>63</v>
      </c>
      <c r="U215" s="358">
        <v>11552</v>
      </c>
      <c r="V215" s="358">
        <v>7428</v>
      </c>
      <c r="W215" s="358">
        <v>18980</v>
      </c>
    </row>
    <row r="216" spans="1:23">
      <c r="A216" s="1245"/>
      <c r="B216" s="724" t="s">
        <v>229</v>
      </c>
      <c r="C216" s="399">
        <v>1708</v>
      </c>
      <c r="D216" s="399">
        <v>558</v>
      </c>
      <c r="E216" s="399">
        <v>2266</v>
      </c>
      <c r="F216" s="399">
        <v>1400</v>
      </c>
      <c r="G216" s="399">
        <v>715</v>
      </c>
      <c r="H216" s="399">
        <v>2115</v>
      </c>
      <c r="I216" s="399">
        <v>7029</v>
      </c>
      <c r="J216" s="399">
        <v>4736</v>
      </c>
      <c r="K216" s="399">
        <v>11765</v>
      </c>
      <c r="L216" s="399">
        <v>390</v>
      </c>
      <c r="M216" s="399">
        <v>623</v>
      </c>
      <c r="N216" s="399">
        <v>1013</v>
      </c>
      <c r="O216" s="399">
        <v>595</v>
      </c>
      <c r="P216" s="399">
        <v>425</v>
      </c>
      <c r="Q216" s="399">
        <v>1020</v>
      </c>
      <c r="R216" s="399">
        <v>92</v>
      </c>
      <c r="S216" s="399">
        <v>43</v>
      </c>
      <c r="T216" s="399">
        <v>135</v>
      </c>
      <c r="U216" s="399">
        <v>11214</v>
      </c>
      <c r="V216" s="399">
        <v>7100</v>
      </c>
      <c r="W216" s="399">
        <v>18314</v>
      </c>
    </row>
    <row r="217" spans="1:23">
      <c r="A217" s="1245"/>
      <c r="B217" s="726" t="s">
        <v>228</v>
      </c>
      <c r="C217" s="399">
        <v>1645</v>
      </c>
      <c r="D217" s="399">
        <v>498</v>
      </c>
      <c r="E217" s="399">
        <v>2143</v>
      </c>
      <c r="F217" s="399">
        <v>1318</v>
      </c>
      <c r="G217" s="399">
        <v>701</v>
      </c>
      <c r="H217" s="399">
        <v>2019</v>
      </c>
      <c r="I217" s="399">
        <v>6803</v>
      </c>
      <c r="J217" s="399">
        <v>4327</v>
      </c>
      <c r="K217" s="399">
        <v>11130</v>
      </c>
      <c r="L217" s="399">
        <v>369</v>
      </c>
      <c r="M217" s="399">
        <v>570</v>
      </c>
      <c r="N217" s="399">
        <v>939</v>
      </c>
      <c r="O217" s="399">
        <v>719</v>
      </c>
      <c r="P217" s="399">
        <v>473</v>
      </c>
      <c r="Q217" s="399">
        <v>1192</v>
      </c>
      <c r="R217" s="399">
        <v>56</v>
      </c>
      <c r="S217" s="399">
        <v>33</v>
      </c>
      <c r="T217" s="399">
        <v>89</v>
      </c>
      <c r="U217" s="399">
        <v>10910</v>
      </c>
      <c r="V217" s="399">
        <v>6602</v>
      </c>
      <c r="W217" s="399">
        <v>17512</v>
      </c>
    </row>
    <row r="218" spans="1:23">
      <c r="A218" s="1245"/>
      <c r="B218" s="726" t="s">
        <v>227</v>
      </c>
      <c r="C218" s="399">
        <v>1490</v>
      </c>
      <c r="D218" s="399">
        <v>427</v>
      </c>
      <c r="E218" s="399">
        <v>1917</v>
      </c>
      <c r="F218" s="399">
        <v>1232</v>
      </c>
      <c r="G218" s="399">
        <v>664</v>
      </c>
      <c r="H218" s="399">
        <v>1896</v>
      </c>
      <c r="I218" s="399">
        <v>6235</v>
      </c>
      <c r="J218" s="399">
        <v>3752</v>
      </c>
      <c r="K218" s="399">
        <v>9987</v>
      </c>
      <c r="L218" s="399">
        <v>332</v>
      </c>
      <c r="M218" s="399">
        <v>483</v>
      </c>
      <c r="N218" s="399">
        <v>815</v>
      </c>
      <c r="O218" s="399">
        <v>645</v>
      </c>
      <c r="P218" s="399">
        <v>441</v>
      </c>
      <c r="Q218" s="399">
        <v>1086</v>
      </c>
      <c r="R218" s="399">
        <v>40</v>
      </c>
      <c r="S218" s="399">
        <v>29</v>
      </c>
      <c r="T218" s="399">
        <v>69</v>
      </c>
      <c r="U218" s="399">
        <v>9974</v>
      </c>
      <c r="V218" s="399">
        <v>5796</v>
      </c>
      <c r="W218" s="399">
        <v>15770</v>
      </c>
    </row>
    <row r="219" spans="1:23">
      <c r="A219" s="1245">
        <v>36</v>
      </c>
      <c r="B219" s="717" t="s">
        <v>48</v>
      </c>
      <c r="C219" s="721"/>
      <c r="D219" s="722"/>
      <c r="E219" s="722"/>
      <c r="F219" s="722"/>
      <c r="G219" s="722"/>
      <c r="H219" s="723"/>
      <c r="I219" s="721"/>
      <c r="J219" s="722"/>
      <c r="K219" s="723"/>
      <c r="L219" s="721"/>
      <c r="M219" s="722"/>
      <c r="N219" s="722"/>
      <c r="O219" s="722"/>
      <c r="P219" s="722"/>
      <c r="Q219" s="723"/>
      <c r="R219" s="722"/>
      <c r="S219" s="722"/>
      <c r="T219" s="723"/>
      <c r="U219" s="721"/>
      <c r="V219" s="722"/>
      <c r="W219" s="722"/>
    </row>
    <row r="220" spans="1:23">
      <c r="A220" s="1245"/>
      <c r="B220" s="724" t="s">
        <v>919</v>
      </c>
      <c r="C220" s="721">
        <v>4693</v>
      </c>
      <c r="D220" s="722">
        <v>1294</v>
      </c>
      <c r="E220" s="722">
        <v>5987</v>
      </c>
      <c r="F220" s="722">
        <v>4652</v>
      </c>
      <c r="G220" s="722">
        <v>2629</v>
      </c>
      <c r="H220" s="723">
        <v>7281</v>
      </c>
      <c r="I220" s="721">
        <v>28419</v>
      </c>
      <c r="J220" s="722">
        <v>13986</v>
      </c>
      <c r="K220" s="723">
        <v>42405</v>
      </c>
      <c r="L220" s="721">
        <v>1383</v>
      </c>
      <c r="M220" s="722">
        <v>2555</v>
      </c>
      <c r="N220" s="722">
        <v>3938</v>
      </c>
      <c r="O220" s="722">
        <v>7252</v>
      </c>
      <c r="P220" s="722">
        <v>6029</v>
      </c>
      <c r="Q220" s="723">
        <v>13281</v>
      </c>
      <c r="R220" s="722">
        <v>571</v>
      </c>
      <c r="S220" s="722">
        <v>354</v>
      </c>
      <c r="T220" s="723">
        <v>925</v>
      </c>
      <c r="U220" s="721">
        <v>46970</v>
      </c>
      <c r="V220" s="722">
        <v>26847</v>
      </c>
      <c r="W220" s="722">
        <v>73817</v>
      </c>
    </row>
    <row r="221" spans="1:23" s="725" customFormat="1">
      <c r="A221" s="1245"/>
      <c r="B221" s="724" t="s">
        <v>876</v>
      </c>
      <c r="C221" s="358">
        <v>4540</v>
      </c>
      <c r="D221" s="358">
        <v>1143</v>
      </c>
      <c r="E221" s="358">
        <v>5683</v>
      </c>
      <c r="F221" s="358">
        <v>4410</v>
      </c>
      <c r="G221" s="358">
        <v>2488</v>
      </c>
      <c r="H221" s="358">
        <v>6898</v>
      </c>
      <c r="I221" s="358">
        <v>27599</v>
      </c>
      <c r="J221" s="358">
        <v>13371</v>
      </c>
      <c r="K221" s="358">
        <v>40970</v>
      </c>
      <c r="L221" s="358">
        <v>1349</v>
      </c>
      <c r="M221" s="358">
        <v>1957</v>
      </c>
      <c r="N221" s="358">
        <v>3306</v>
      </c>
      <c r="O221" s="358">
        <v>7001</v>
      </c>
      <c r="P221" s="358">
        <v>5942</v>
      </c>
      <c r="Q221" s="358">
        <v>12943</v>
      </c>
      <c r="R221" s="358">
        <v>541</v>
      </c>
      <c r="S221" s="358">
        <v>352</v>
      </c>
      <c r="T221" s="358">
        <v>893</v>
      </c>
      <c r="U221" s="358">
        <v>45440</v>
      </c>
      <c r="V221" s="358">
        <v>25253</v>
      </c>
      <c r="W221" s="358">
        <v>70693</v>
      </c>
    </row>
    <row r="222" spans="1:23">
      <c r="A222" s="1245"/>
      <c r="B222" s="724" t="s">
        <v>229</v>
      </c>
      <c r="C222" s="399">
        <v>4216</v>
      </c>
      <c r="D222" s="399">
        <v>992</v>
      </c>
      <c r="E222" s="399">
        <v>5208</v>
      </c>
      <c r="F222" s="399">
        <v>4069</v>
      </c>
      <c r="G222" s="399">
        <v>2287</v>
      </c>
      <c r="H222" s="399">
        <v>6356</v>
      </c>
      <c r="I222" s="399">
        <v>25581</v>
      </c>
      <c r="J222" s="399">
        <v>12117</v>
      </c>
      <c r="K222" s="399">
        <v>37698</v>
      </c>
      <c r="L222" s="399">
        <v>1273</v>
      </c>
      <c r="M222" s="399">
        <v>1278</v>
      </c>
      <c r="N222" s="399">
        <v>2551</v>
      </c>
      <c r="O222" s="399">
        <v>6539</v>
      </c>
      <c r="P222" s="399">
        <v>5284</v>
      </c>
      <c r="Q222" s="399">
        <v>11823</v>
      </c>
      <c r="R222" s="399">
        <v>1102</v>
      </c>
      <c r="S222" s="399">
        <v>808</v>
      </c>
      <c r="T222" s="399">
        <v>1910</v>
      </c>
      <c r="U222" s="399">
        <v>42780</v>
      </c>
      <c r="V222" s="399">
        <v>22766</v>
      </c>
      <c r="W222" s="399">
        <v>65546</v>
      </c>
    </row>
    <row r="223" spans="1:23">
      <c r="A223" s="1245"/>
      <c r="B223" s="726" t="s">
        <v>228</v>
      </c>
      <c r="C223" s="399">
        <v>3783</v>
      </c>
      <c r="D223" s="399">
        <v>869</v>
      </c>
      <c r="E223" s="399">
        <v>4652</v>
      </c>
      <c r="F223" s="399">
        <v>3877</v>
      </c>
      <c r="G223" s="399">
        <v>2170</v>
      </c>
      <c r="H223" s="399">
        <v>6047</v>
      </c>
      <c r="I223" s="399">
        <v>23107</v>
      </c>
      <c r="J223" s="399">
        <v>10957</v>
      </c>
      <c r="K223" s="399">
        <v>34064</v>
      </c>
      <c r="L223" s="399">
        <v>1207</v>
      </c>
      <c r="M223" s="399">
        <v>1113</v>
      </c>
      <c r="N223" s="399">
        <v>2320</v>
      </c>
      <c r="O223" s="399">
        <v>6362</v>
      </c>
      <c r="P223" s="399">
        <v>5045</v>
      </c>
      <c r="Q223" s="399">
        <v>11407</v>
      </c>
      <c r="R223" s="399">
        <v>928</v>
      </c>
      <c r="S223" s="399">
        <v>658</v>
      </c>
      <c r="T223" s="399">
        <v>1586</v>
      </c>
      <c r="U223" s="399">
        <v>39264</v>
      </c>
      <c r="V223" s="399">
        <v>20812</v>
      </c>
      <c r="W223" s="399">
        <v>60076</v>
      </c>
    </row>
    <row r="224" spans="1:23">
      <c r="A224" s="1245"/>
      <c r="B224" s="726" t="s">
        <v>227</v>
      </c>
      <c r="C224" s="399">
        <v>3490</v>
      </c>
      <c r="D224" s="399">
        <v>820</v>
      </c>
      <c r="E224" s="399">
        <v>4310</v>
      </c>
      <c r="F224" s="399">
        <v>3576</v>
      </c>
      <c r="G224" s="399">
        <v>1998</v>
      </c>
      <c r="H224" s="399">
        <v>5574</v>
      </c>
      <c r="I224" s="399">
        <v>21277</v>
      </c>
      <c r="J224" s="399">
        <v>10025</v>
      </c>
      <c r="K224" s="399">
        <v>31302</v>
      </c>
      <c r="L224" s="399">
        <v>1080</v>
      </c>
      <c r="M224" s="399">
        <v>1028</v>
      </c>
      <c r="N224" s="399">
        <v>2108</v>
      </c>
      <c r="O224" s="399">
        <v>5788</v>
      </c>
      <c r="P224" s="399">
        <v>4565</v>
      </c>
      <c r="Q224" s="399">
        <v>10353</v>
      </c>
      <c r="R224" s="399">
        <v>872</v>
      </c>
      <c r="S224" s="399">
        <v>633</v>
      </c>
      <c r="T224" s="399">
        <v>1505</v>
      </c>
      <c r="U224" s="399">
        <v>36083</v>
      </c>
      <c r="V224" s="399">
        <v>19069</v>
      </c>
      <c r="W224" s="399">
        <v>55152</v>
      </c>
    </row>
  </sheetData>
  <mergeCells count="49">
    <mergeCell ref="A23:A28"/>
    <mergeCell ref="C1:H1"/>
    <mergeCell ref="I1:Q1"/>
    <mergeCell ref="R1:W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A5:A10"/>
    <mergeCell ref="A11:A16"/>
    <mergeCell ref="A17:A22"/>
    <mergeCell ref="A95:A100"/>
    <mergeCell ref="A29:A34"/>
    <mergeCell ref="A35:A40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165:A170"/>
    <mergeCell ref="A101:A106"/>
    <mergeCell ref="A107:A110"/>
    <mergeCell ref="A111:A116"/>
    <mergeCell ref="A117:A122"/>
    <mergeCell ref="A123:A128"/>
    <mergeCell ref="A129:A134"/>
    <mergeCell ref="A135:A140"/>
    <mergeCell ref="A141:A146"/>
    <mergeCell ref="A147:A152"/>
    <mergeCell ref="A153:A158"/>
    <mergeCell ref="A159:A164"/>
    <mergeCell ref="A207:A212"/>
    <mergeCell ref="A213:A218"/>
    <mergeCell ref="A219:A224"/>
    <mergeCell ref="A171:A176"/>
    <mergeCell ref="A177:A182"/>
    <mergeCell ref="A183:A188"/>
    <mergeCell ref="A189:A194"/>
    <mergeCell ref="A195:A200"/>
    <mergeCell ref="A201:A206"/>
  </mergeCells>
  <printOptions horizontalCentered="1"/>
  <pageMargins left="0.31" right="0.16" top="0.25" bottom="0.39370078740157483" header="0.15748031496062992" footer="0.23622047244094491"/>
  <pageSetup paperSize="9" scale="73" firstPageNumber="2" pageOrder="overThenDown" orientation="portrait" useFirstPageNumber="1" r:id="rId1"/>
  <headerFooter alignWithMargins="0">
    <oddFooter>&amp;LAISHE 2021-22&amp;CT-51</oddFooter>
  </headerFooter>
  <rowBreaks count="3" manualBreakCount="3">
    <brk id="70" max="22" man="1"/>
    <brk id="134" max="22" man="1"/>
    <brk id="200" max="22" man="1"/>
  </rowBreaks>
  <colBreaks count="1" manualBreakCount="1">
    <brk id="8" max="223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2CBA-B442-42A8-BD28-AEF8E5300892}">
  <sheetPr>
    <tabColor rgb="FF00B050"/>
  </sheetPr>
  <dimension ref="A1:G154"/>
  <sheetViews>
    <sheetView topLeftCell="A133" zoomScaleNormal="100" zoomScaleSheetLayoutView="100" workbookViewId="0">
      <selection activeCell="I150" sqref="I150"/>
    </sheetView>
  </sheetViews>
  <sheetFormatPr defaultColWidth="9.28515625" defaultRowHeight="15"/>
  <cols>
    <col min="1" max="1" width="4.140625" style="888" bestFit="1" customWidth="1"/>
    <col min="2" max="2" width="31.5703125" style="900" customWidth="1"/>
    <col min="3" max="6" width="12.7109375" style="900" bestFit="1" customWidth="1"/>
    <col min="7" max="7" width="11.5703125" style="900" bestFit="1" customWidth="1"/>
    <col min="8" max="16384" width="9.28515625" style="900"/>
  </cols>
  <sheetData>
    <row r="1" spans="1:7" s="890" customFormat="1" ht="27.75" customHeight="1">
      <c r="A1" s="888"/>
      <c r="B1" s="889" t="s">
        <v>914</v>
      </c>
    </row>
    <row r="2" spans="1:7" s="890" customFormat="1" ht="13.9" customHeight="1">
      <c r="A2" s="891" t="s">
        <v>1100</v>
      </c>
      <c r="B2" s="892" t="s">
        <v>270</v>
      </c>
      <c r="C2" s="893">
        <v>2017</v>
      </c>
      <c r="D2" s="892">
        <v>2018</v>
      </c>
      <c r="E2" s="892">
        <v>2019</v>
      </c>
      <c r="F2" s="892">
        <v>2020</v>
      </c>
      <c r="G2" s="892">
        <v>2021</v>
      </c>
    </row>
    <row r="3" spans="1:7" s="896" customFormat="1" ht="15" customHeight="1">
      <c r="A3" s="894">
        <v>1</v>
      </c>
      <c r="B3" s="895">
        <v>2</v>
      </c>
      <c r="C3" s="895">
        <v>3</v>
      </c>
      <c r="D3" s="895">
        <v>4</v>
      </c>
      <c r="E3" s="895">
        <v>5</v>
      </c>
      <c r="F3" s="895">
        <v>6</v>
      </c>
      <c r="G3" s="895">
        <v>7</v>
      </c>
    </row>
    <row r="4" spans="1:7" ht="18" customHeight="1">
      <c r="A4" s="1258"/>
      <c r="B4" s="897" t="s">
        <v>230</v>
      </c>
      <c r="C4" s="898"/>
      <c r="D4" s="898"/>
      <c r="E4" s="898"/>
      <c r="F4" s="899"/>
      <c r="G4" s="899"/>
    </row>
    <row r="5" spans="1:7" ht="18" customHeight="1">
      <c r="A5" s="1259"/>
      <c r="B5" s="901" t="s">
        <v>236</v>
      </c>
      <c r="C5" s="902">
        <v>149167200</v>
      </c>
      <c r="D5" s="902">
        <v>149986400</v>
      </c>
      <c r="E5" s="902">
        <v>150805600</v>
      </c>
      <c r="F5" s="902">
        <v>151624800</v>
      </c>
      <c r="G5" s="902">
        <v>152444000</v>
      </c>
    </row>
    <row r="6" spans="1:7" ht="18" customHeight="1">
      <c r="A6" s="1259"/>
      <c r="B6" s="903" t="s">
        <v>271</v>
      </c>
      <c r="C6" s="904">
        <v>78376200.000000015</v>
      </c>
      <c r="D6" s="904">
        <v>78753400</v>
      </c>
      <c r="E6" s="340">
        <v>79130600</v>
      </c>
      <c r="F6" s="340">
        <v>79507799.999999985</v>
      </c>
      <c r="G6" s="729">
        <v>79885000</v>
      </c>
    </row>
    <row r="7" spans="1:7" ht="18" customHeight="1">
      <c r="A7" s="1259"/>
      <c r="B7" s="903" t="s">
        <v>272</v>
      </c>
      <c r="C7" s="904">
        <v>70791000</v>
      </c>
      <c r="D7" s="904">
        <v>71233000</v>
      </c>
      <c r="E7" s="340">
        <v>71675000</v>
      </c>
      <c r="F7" s="340">
        <v>72117000</v>
      </c>
      <c r="G7" s="729">
        <v>72559000</v>
      </c>
    </row>
    <row r="8" spans="1:7" ht="18" customHeight="1">
      <c r="A8" s="1257">
        <v>1</v>
      </c>
      <c r="B8" s="897" t="s">
        <v>1061</v>
      </c>
      <c r="C8" s="905"/>
      <c r="D8" s="905"/>
      <c r="E8" s="905"/>
      <c r="F8" s="906"/>
      <c r="G8" s="906"/>
    </row>
    <row r="9" spans="1:7" ht="18" customHeight="1">
      <c r="A9" s="1257"/>
      <c r="B9" s="903" t="s">
        <v>236</v>
      </c>
      <c r="C9" s="907">
        <v>45695</v>
      </c>
      <c r="D9" s="907">
        <v>46902</v>
      </c>
      <c r="E9" s="904">
        <v>48109</v>
      </c>
      <c r="F9" s="904">
        <v>49316</v>
      </c>
      <c r="G9" s="729">
        <v>50522.641777137789</v>
      </c>
    </row>
    <row r="10" spans="1:7" ht="18" customHeight="1">
      <c r="A10" s="1257"/>
      <c r="B10" s="903" t="s">
        <v>271</v>
      </c>
      <c r="C10" s="907">
        <v>23483</v>
      </c>
      <c r="D10" s="907">
        <v>24193</v>
      </c>
      <c r="E10" s="904">
        <v>24903</v>
      </c>
      <c r="F10" s="904">
        <v>25613</v>
      </c>
      <c r="G10" s="729">
        <v>26322.696394698753</v>
      </c>
    </row>
    <row r="11" spans="1:7" ht="18" customHeight="1">
      <c r="A11" s="1257"/>
      <c r="B11" s="903" t="s">
        <v>272</v>
      </c>
      <c r="C11" s="907">
        <v>22212</v>
      </c>
      <c r="D11" s="907">
        <v>22709</v>
      </c>
      <c r="E11" s="904">
        <v>23206</v>
      </c>
      <c r="F11" s="904">
        <v>23703</v>
      </c>
      <c r="G11" s="729">
        <v>24199.945382439044</v>
      </c>
    </row>
    <row r="12" spans="1:7" ht="18" customHeight="1">
      <c r="A12" s="1257">
        <v>2</v>
      </c>
      <c r="B12" s="897" t="s">
        <v>15</v>
      </c>
      <c r="C12" s="905"/>
      <c r="D12" s="905"/>
      <c r="E12" s="905"/>
      <c r="F12" s="906"/>
      <c r="G12" s="906"/>
    </row>
    <row r="13" spans="1:7" ht="18" customHeight="1">
      <c r="A13" s="1257"/>
      <c r="B13" s="903" t="s">
        <v>236</v>
      </c>
      <c r="C13" s="907">
        <v>5517800</v>
      </c>
      <c r="D13" s="907">
        <v>5459600</v>
      </c>
      <c r="E13" s="904">
        <v>5401400</v>
      </c>
      <c r="F13" s="904">
        <v>5343200</v>
      </c>
      <c r="G13" s="729">
        <v>5285000</v>
      </c>
    </row>
    <row r="14" spans="1:7" ht="18" customHeight="1">
      <c r="A14" s="1257"/>
      <c r="B14" s="903" t="s">
        <v>271</v>
      </c>
      <c r="C14" s="907">
        <v>2845000</v>
      </c>
      <c r="D14" s="907">
        <v>2816000</v>
      </c>
      <c r="E14" s="904">
        <v>2787000</v>
      </c>
      <c r="F14" s="907">
        <v>2758000</v>
      </c>
      <c r="G14" s="729">
        <v>2729000</v>
      </c>
    </row>
    <row r="15" spans="1:7" ht="18" customHeight="1">
      <c r="A15" s="1257"/>
      <c r="B15" s="903" t="s">
        <v>272</v>
      </c>
      <c r="C15" s="907">
        <v>2672800</v>
      </c>
      <c r="D15" s="907">
        <v>2643600</v>
      </c>
      <c r="E15" s="904">
        <v>2614400</v>
      </c>
      <c r="F15" s="907">
        <v>2585200</v>
      </c>
      <c r="G15" s="729">
        <v>2556000</v>
      </c>
    </row>
    <row r="16" spans="1:7" ht="18" customHeight="1">
      <c r="A16" s="1257">
        <v>3</v>
      </c>
      <c r="B16" s="897" t="s">
        <v>16</v>
      </c>
      <c r="C16" s="905"/>
      <c r="D16" s="905"/>
      <c r="E16" s="905"/>
      <c r="F16" s="906"/>
      <c r="G16" s="906"/>
    </row>
    <row r="17" spans="1:7" ht="18" customHeight="1">
      <c r="A17" s="1257"/>
      <c r="B17" s="903" t="s">
        <v>236</v>
      </c>
      <c r="C17" s="907">
        <v>175065</v>
      </c>
      <c r="D17" s="907">
        <v>175719</v>
      </c>
      <c r="E17" s="904">
        <v>176373</v>
      </c>
      <c r="F17" s="904">
        <v>177027</v>
      </c>
      <c r="G17" s="729">
        <v>177680</v>
      </c>
    </row>
    <row r="18" spans="1:7" ht="18" customHeight="1">
      <c r="A18" s="1257"/>
      <c r="B18" s="903" t="s">
        <v>271</v>
      </c>
      <c r="C18" s="907">
        <v>89399</v>
      </c>
      <c r="D18" s="907">
        <v>89838</v>
      </c>
      <c r="E18" s="904">
        <v>90276</v>
      </c>
      <c r="F18" s="907">
        <v>90715</v>
      </c>
      <c r="G18" s="729">
        <v>91153.2</v>
      </c>
    </row>
    <row r="19" spans="1:7" ht="18" customHeight="1">
      <c r="A19" s="1257"/>
      <c r="B19" s="903" t="s">
        <v>272</v>
      </c>
      <c r="C19" s="907">
        <v>85666</v>
      </c>
      <c r="D19" s="907">
        <v>85881</v>
      </c>
      <c r="E19" s="904">
        <v>86097</v>
      </c>
      <c r="F19" s="907">
        <v>86312</v>
      </c>
      <c r="G19" s="729">
        <v>86526.799999999988</v>
      </c>
    </row>
    <row r="20" spans="1:7" ht="18" customHeight="1">
      <c r="A20" s="1257">
        <v>4</v>
      </c>
      <c r="B20" s="897" t="s">
        <v>17</v>
      </c>
      <c r="C20" s="905"/>
      <c r="D20" s="905"/>
      <c r="E20" s="905"/>
      <c r="F20" s="906"/>
      <c r="G20" s="906"/>
    </row>
    <row r="21" spans="1:7" ht="18" customHeight="1">
      <c r="A21" s="1257"/>
      <c r="B21" s="903" t="s">
        <v>236</v>
      </c>
      <c r="C21" s="907">
        <v>3847600</v>
      </c>
      <c r="D21" s="907">
        <v>3890200</v>
      </c>
      <c r="E21" s="904">
        <v>3932800</v>
      </c>
      <c r="F21" s="904">
        <v>3975400</v>
      </c>
      <c r="G21" s="729">
        <v>4019000</v>
      </c>
    </row>
    <row r="22" spans="1:7" ht="18" customHeight="1">
      <c r="A22" s="1257"/>
      <c r="B22" s="903" t="s">
        <v>271</v>
      </c>
      <c r="C22" s="907">
        <v>1972600</v>
      </c>
      <c r="D22" s="907">
        <v>1995200</v>
      </c>
      <c r="E22" s="904">
        <v>2017800</v>
      </c>
      <c r="F22" s="907">
        <v>2040400</v>
      </c>
      <c r="G22" s="729">
        <v>2063000</v>
      </c>
    </row>
    <row r="23" spans="1:7" ht="18" customHeight="1">
      <c r="A23" s="1257"/>
      <c r="B23" s="903" t="s">
        <v>272</v>
      </c>
      <c r="C23" s="907">
        <v>1875000</v>
      </c>
      <c r="D23" s="907">
        <v>1895000</v>
      </c>
      <c r="E23" s="904">
        <v>1915000</v>
      </c>
      <c r="F23" s="907">
        <v>1935000</v>
      </c>
      <c r="G23" s="729">
        <v>1955000</v>
      </c>
    </row>
    <row r="24" spans="1:7" ht="18" customHeight="1">
      <c r="A24" s="1257">
        <v>5</v>
      </c>
      <c r="B24" s="897" t="s">
        <v>18</v>
      </c>
      <c r="C24" s="905"/>
      <c r="D24" s="905"/>
      <c r="E24" s="905"/>
      <c r="F24" s="906"/>
      <c r="G24" s="729"/>
    </row>
    <row r="25" spans="1:7" ht="18" customHeight="1">
      <c r="A25" s="1257"/>
      <c r="B25" s="903" t="s">
        <v>236</v>
      </c>
      <c r="C25" s="907">
        <v>13331000</v>
      </c>
      <c r="D25" s="907">
        <v>13842000</v>
      </c>
      <c r="E25" s="904">
        <v>14353000</v>
      </c>
      <c r="F25" s="904">
        <v>14864000</v>
      </c>
      <c r="G25" s="729">
        <v>15374000</v>
      </c>
    </row>
    <row r="26" spans="1:7" ht="18" customHeight="1">
      <c r="A26" s="1257"/>
      <c r="B26" s="903" t="s">
        <v>271</v>
      </c>
      <c r="C26" s="907">
        <v>7185400</v>
      </c>
      <c r="D26" s="907">
        <v>7424800</v>
      </c>
      <c r="E26" s="904">
        <v>7664200</v>
      </c>
      <c r="F26" s="907">
        <v>7903600</v>
      </c>
      <c r="G26" s="729">
        <v>8143000</v>
      </c>
    </row>
    <row r="27" spans="1:7" ht="18" customHeight="1">
      <c r="A27" s="1257"/>
      <c r="B27" s="903" t="s">
        <v>272</v>
      </c>
      <c r="C27" s="907">
        <v>6145600</v>
      </c>
      <c r="D27" s="907">
        <v>6417200</v>
      </c>
      <c r="E27" s="904">
        <v>6688800</v>
      </c>
      <c r="F27" s="907">
        <v>6960400</v>
      </c>
      <c r="G27" s="729">
        <v>7232000</v>
      </c>
    </row>
    <row r="28" spans="1:7" ht="18" customHeight="1">
      <c r="A28" s="1257">
        <v>6</v>
      </c>
      <c r="B28" s="897" t="s">
        <v>19</v>
      </c>
      <c r="C28" s="905"/>
      <c r="D28" s="905"/>
      <c r="E28" s="905"/>
      <c r="F28" s="906"/>
      <c r="G28" s="729"/>
    </row>
    <row r="29" spans="1:7" ht="18" customHeight="1">
      <c r="A29" s="1257"/>
      <c r="B29" s="903" t="s">
        <v>236</v>
      </c>
      <c r="C29" s="907">
        <v>154812</v>
      </c>
      <c r="D29" s="907">
        <v>158916</v>
      </c>
      <c r="E29" s="904">
        <v>163021</v>
      </c>
      <c r="F29" s="904">
        <v>167125</v>
      </c>
      <c r="G29" s="729">
        <v>171229.36189698629</v>
      </c>
    </row>
    <row r="30" spans="1:7" ht="18" customHeight="1">
      <c r="A30" s="1257"/>
      <c r="B30" s="903" t="s">
        <v>271</v>
      </c>
      <c r="C30" s="907">
        <v>87037</v>
      </c>
      <c r="D30" s="907">
        <v>89624</v>
      </c>
      <c r="E30" s="904">
        <v>92212</v>
      </c>
      <c r="F30" s="907">
        <v>94800</v>
      </c>
      <c r="G30" s="729">
        <v>97387.544025950119</v>
      </c>
    </row>
    <row r="31" spans="1:7" ht="18" customHeight="1">
      <c r="A31" s="1257"/>
      <c r="B31" s="903" t="s">
        <v>272</v>
      </c>
      <c r="C31" s="907">
        <v>67775</v>
      </c>
      <c r="D31" s="907">
        <v>69292</v>
      </c>
      <c r="E31" s="904">
        <v>70809</v>
      </c>
      <c r="F31" s="907">
        <v>72325</v>
      </c>
      <c r="G31" s="729">
        <v>73841.817871036197</v>
      </c>
    </row>
    <row r="32" spans="1:7" ht="18" customHeight="1">
      <c r="A32" s="1257">
        <v>7</v>
      </c>
      <c r="B32" s="897" t="s">
        <v>20</v>
      </c>
      <c r="C32" s="905"/>
      <c r="D32" s="905"/>
      <c r="E32" s="905"/>
      <c r="F32" s="906"/>
      <c r="G32" s="729"/>
    </row>
    <row r="33" spans="1:7" ht="18" customHeight="1">
      <c r="A33" s="1257"/>
      <c r="B33" s="903" t="s">
        <v>236</v>
      </c>
      <c r="C33" s="907">
        <v>3255200</v>
      </c>
      <c r="D33" s="907">
        <v>3279400</v>
      </c>
      <c r="E33" s="907">
        <v>3303600</v>
      </c>
      <c r="F33" s="907">
        <v>3327800</v>
      </c>
      <c r="G33" s="907">
        <v>3352000</v>
      </c>
    </row>
    <row r="34" spans="1:7" ht="18" customHeight="1">
      <c r="A34" s="1257"/>
      <c r="B34" s="903" t="s">
        <v>271</v>
      </c>
      <c r="C34" s="907">
        <v>1643000</v>
      </c>
      <c r="D34" s="907">
        <v>1656000</v>
      </c>
      <c r="E34" s="904">
        <v>1669000</v>
      </c>
      <c r="F34" s="907">
        <v>1682000</v>
      </c>
      <c r="G34" s="729">
        <v>1695000</v>
      </c>
    </row>
    <row r="35" spans="1:7" ht="18" customHeight="1">
      <c r="A35" s="1257"/>
      <c r="B35" s="903" t="s">
        <v>272</v>
      </c>
      <c r="C35" s="907">
        <v>1612200</v>
      </c>
      <c r="D35" s="907">
        <v>1623400</v>
      </c>
      <c r="E35" s="904">
        <v>1634600</v>
      </c>
      <c r="F35" s="907">
        <v>1645800</v>
      </c>
      <c r="G35" s="729">
        <v>1657000</v>
      </c>
    </row>
    <row r="36" spans="1:7" ht="18" customHeight="1">
      <c r="A36" s="1257">
        <v>8</v>
      </c>
      <c r="B36" s="897" t="s">
        <v>23</v>
      </c>
      <c r="C36" s="905"/>
      <c r="D36" s="905"/>
      <c r="E36" s="905"/>
      <c r="F36" s="906"/>
      <c r="G36" s="729"/>
    </row>
    <row r="37" spans="1:7" ht="18" customHeight="1">
      <c r="A37" s="1257"/>
      <c r="B37" s="903" t="s">
        <v>236</v>
      </c>
      <c r="C37" s="907">
        <v>2280200</v>
      </c>
      <c r="D37" s="907">
        <v>2295400</v>
      </c>
      <c r="E37" s="907">
        <v>2310600</v>
      </c>
      <c r="F37" s="907">
        <v>2325800</v>
      </c>
      <c r="G37" s="907">
        <v>2341000</v>
      </c>
    </row>
    <row r="38" spans="1:7" ht="18" customHeight="1">
      <c r="A38" s="1257"/>
      <c r="B38" s="903" t="s">
        <v>271</v>
      </c>
      <c r="C38" s="907">
        <v>1198800</v>
      </c>
      <c r="D38" s="907">
        <v>1202600</v>
      </c>
      <c r="E38" s="904">
        <v>1206400</v>
      </c>
      <c r="F38" s="907">
        <v>1210200</v>
      </c>
      <c r="G38" s="729">
        <v>1214000</v>
      </c>
    </row>
    <row r="39" spans="1:7" ht="18" customHeight="1">
      <c r="A39" s="1257"/>
      <c r="B39" s="903" t="s">
        <v>272</v>
      </c>
      <c r="C39" s="907">
        <v>1081400</v>
      </c>
      <c r="D39" s="907">
        <v>1092800</v>
      </c>
      <c r="E39" s="904">
        <v>1104200</v>
      </c>
      <c r="F39" s="907">
        <v>1115600</v>
      </c>
      <c r="G39" s="729">
        <v>1127000</v>
      </c>
    </row>
    <row r="40" spans="1:7" ht="18" customHeight="1">
      <c r="A40" s="1257">
        <v>9</v>
      </c>
      <c r="B40" s="897" t="s">
        <v>24</v>
      </c>
      <c r="C40" s="905"/>
      <c r="D40" s="905"/>
      <c r="E40" s="905"/>
      <c r="F40" s="906"/>
      <c r="G40" s="729"/>
    </row>
    <row r="41" spans="1:7" ht="18" customHeight="1">
      <c r="A41" s="1257"/>
      <c r="B41" s="903" t="s">
        <v>236</v>
      </c>
      <c r="C41" s="907">
        <v>165327</v>
      </c>
      <c r="D41" s="907">
        <v>169678</v>
      </c>
      <c r="E41" s="907">
        <v>174029</v>
      </c>
      <c r="F41" s="907">
        <v>178379</v>
      </c>
      <c r="G41" s="907">
        <v>182730.28834875306</v>
      </c>
    </row>
    <row r="42" spans="1:7" ht="18" customHeight="1">
      <c r="A42" s="1257"/>
      <c r="B42" s="903" t="s">
        <v>271</v>
      </c>
      <c r="C42" s="907">
        <v>87774</v>
      </c>
      <c r="D42" s="907">
        <v>90384</v>
      </c>
      <c r="E42" s="904">
        <v>92994</v>
      </c>
      <c r="F42" s="907">
        <v>95604</v>
      </c>
      <c r="G42" s="729">
        <v>98214.374206418332</v>
      </c>
    </row>
    <row r="43" spans="1:7" ht="18" customHeight="1">
      <c r="A43" s="1257"/>
      <c r="B43" s="903" t="s">
        <v>272</v>
      </c>
      <c r="C43" s="907">
        <v>77553</v>
      </c>
      <c r="D43" s="907">
        <v>79294</v>
      </c>
      <c r="E43" s="904">
        <v>81035</v>
      </c>
      <c r="F43" s="907">
        <v>82775</v>
      </c>
      <c r="G43" s="729">
        <v>84515.914142334717</v>
      </c>
    </row>
    <row r="44" spans="1:7" ht="18" customHeight="1">
      <c r="A44" s="1257">
        <v>10</v>
      </c>
      <c r="B44" s="897" t="s">
        <v>25</v>
      </c>
      <c r="C44" s="905"/>
      <c r="D44" s="905"/>
      <c r="E44" s="905"/>
      <c r="F44" s="906"/>
      <c r="G44" s="729"/>
    </row>
    <row r="45" spans="1:7" ht="18" customHeight="1">
      <c r="A45" s="1257"/>
      <c r="B45" s="903" t="s">
        <v>236</v>
      </c>
      <c r="C45" s="907">
        <v>7383800</v>
      </c>
      <c r="D45" s="907">
        <v>7406600</v>
      </c>
      <c r="E45" s="907">
        <v>7429400</v>
      </c>
      <c r="F45" s="907">
        <v>7452200</v>
      </c>
      <c r="G45" s="907">
        <v>7475000</v>
      </c>
    </row>
    <row r="46" spans="1:7" ht="18" customHeight="1">
      <c r="A46" s="1257"/>
      <c r="B46" s="903" t="s">
        <v>271</v>
      </c>
      <c r="C46" s="907">
        <v>3938600</v>
      </c>
      <c r="D46" s="907">
        <v>3953200</v>
      </c>
      <c r="E46" s="904">
        <v>3967800</v>
      </c>
      <c r="F46" s="907">
        <v>3982400</v>
      </c>
      <c r="G46" s="729">
        <v>3997000</v>
      </c>
    </row>
    <row r="47" spans="1:7" ht="18" customHeight="1">
      <c r="A47" s="1257"/>
      <c r="B47" s="903" t="s">
        <v>272</v>
      </c>
      <c r="C47" s="907">
        <v>3445200</v>
      </c>
      <c r="D47" s="907">
        <v>3453400</v>
      </c>
      <c r="E47" s="904">
        <v>3461600</v>
      </c>
      <c r="F47" s="907">
        <v>3469800</v>
      </c>
      <c r="G47" s="729">
        <v>3478000</v>
      </c>
    </row>
    <row r="48" spans="1:7" ht="18" customHeight="1">
      <c r="A48" s="1257">
        <v>11</v>
      </c>
      <c r="B48" s="897" t="s">
        <v>26</v>
      </c>
      <c r="C48" s="905"/>
      <c r="D48" s="905"/>
      <c r="E48" s="905"/>
      <c r="F48" s="906"/>
      <c r="G48" s="729"/>
    </row>
    <row r="49" spans="1:7" ht="18" customHeight="1">
      <c r="A49" s="1257"/>
      <c r="B49" s="903" t="s">
        <v>236</v>
      </c>
      <c r="C49" s="907">
        <v>3308600</v>
      </c>
      <c r="D49" s="907">
        <v>3309200</v>
      </c>
      <c r="E49" s="907">
        <v>3309800</v>
      </c>
      <c r="F49" s="907">
        <v>3310400</v>
      </c>
      <c r="G49" s="907">
        <v>3311000</v>
      </c>
    </row>
    <row r="50" spans="1:7" ht="18" customHeight="1">
      <c r="A50" s="1257"/>
      <c r="B50" s="903" t="s">
        <v>271</v>
      </c>
      <c r="C50" s="908">
        <v>1794800</v>
      </c>
      <c r="D50" s="907">
        <v>1793600</v>
      </c>
      <c r="E50" s="904">
        <v>1792400</v>
      </c>
      <c r="F50" s="907">
        <v>1791200</v>
      </c>
      <c r="G50" s="729">
        <v>1790000</v>
      </c>
    </row>
    <row r="51" spans="1:7" ht="18" customHeight="1">
      <c r="A51" s="1257"/>
      <c r="B51" s="903" t="s">
        <v>272</v>
      </c>
      <c r="C51" s="908">
        <v>1513800</v>
      </c>
      <c r="D51" s="907">
        <v>1515600</v>
      </c>
      <c r="E51" s="904">
        <v>1517400</v>
      </c>
      <c r="F51" s="907">
        <v>1519200</v>
      </c>
      <c r="G51" s="729">
        <v>1521000</v>
      </c>
    </row>
    <row r="52" spans="1:7" ht="18" customHeight="1">
      <c r="A52" s="1257">
        <v>12</v>
      </c>
      <c r="B52" s="897" t="s">
        <v>27</v>
      </c>
      <c r="C52" s="905"/>
      <c r="D52" s="905"/>
      <c r="E52" s="905"/>
      <c r="F52" s="906"/>
      <c r="G52" s="729"/>
    </row>
    <row r="53" spans="1:7" ht="18" customHeight="1">
      <c r="A53" s="1257"/>
      <c r="B53" s="903" t="s">
        <v>236</v>
      </c>
      <c r="C53" s="907">
        <v>762200</v>
      </c>
      <c r="D53" s="907">
        <v>757400</v>
      </c>
      <c r="E53" s="907">
        <v>752600</v>
      </c>
      <c r="F53" s="907">
        <v>747800</v>
      </c>
      <c r="G53" s="907">
        <v>743000</v>
      </c>
    </row>
    <row r="54" spans="1:7" ht="18" customHeight="1">
      <c r="A54" s="1257"/>
      <c r="B54" s="903" t="s">
        <v>271</v>
      </c>
      <c r="C54" s="908">
        <v>402400</v>
      </c>
      <c r="D54" s="907">
        <v>400800</v>
      </c>
      <c r="E54" s="904">
        <v>399200</v>
      </c>
      <c r="F54" s="907">
        <v>397600</v>
      </c>
      <c r="G54" s="729">
        <v>396000</v>
      </c>
    </row>
    <row r="55" spans="1:7" ht="18" customHeight="1">
      <c r="A55" s="1257"/>
      <c r="B55" s="903" t="s">
        <v>272</v>
      </c>
      <c r="C55" s="908">
        <v>359800</v>
      </c>
      <c r="D55" s="907">
        <v>356600</v>
      </c>
      <c r="E55" s="904">
        <v>353400</v>
      </c>
      <c r="F55" s="907">
        <v>350200</v>
      </c>
      <c r="G55" s="729">
        <v>347000</v>
      </c>
    </row>
    <row r="56" spans="1:7" ht="18" customHeight="1">
      <c r="A56" s="1257">
        <v>13</v>
      </c>
      <c r="B56" s="897" t="s">
        <v>57</v>
      </c>
      <c r="C56" s="905"/>
      <c r="D56" s="905"/>
      <c r="E56" s="905"/>
      <c r="F56" s="906"/>
      <c r="G56" s="729"/>
    </row>
    <row r="57" spans="1:7" ht="18" customHeight="1">
      <c r="A57" s="1257"/>
      <c r="B57" s="903" t="s">
        <v>236</v>
      </c>
      <c r="C57" s="907">
        <v>1534000</v>
      </c>
      <c r="D57" s="907">
        <v>1554000</v>
      </c>
      <c r="E57" s="907">
        <v>1574000</v>
      </c>
      <c r="F57" s="907">
        <v>1594000</v>
      </c>
      <c r="G57" s="907">
        <v>1614000</v>
      </c>
    </row>
    <row r="58" spans="1:7" ht="18" customHeight="1">
      <c r="A58" s="1257"/>
      <c r="B58" s="903" t="s">
        <v>271</v>
      </c>
      <c r="C58" s="908">
        <v>803200</v>
      </c>
      <c r="D58" s="907">
        <v>815400</v>
      </c>
      <c r="E58" s="908">
        <v>827600</v>
      </c>
      <c r="F58" s="907">
        <v>839800</v>
      </c>
      <c r="G58" s="729">
        <v>852000</v>
      </c>
    </row>
    <row r="59" spans="1:7" ht="18" customHeight="1">
      <c r="A59" s="1257"/>
      <c r="B59" s="903" t="s">
        <v>272</v>
      </c>
      <c r="C59" s="908">
        <v>730800</v>
      </c>
      <c r="D59" s="907">
        <v>738600</v>
      </c>
      <c r="E59" s="908">
        <v>746400</v>
      </c>
      <c r="F59" s="907">
        <v>754200</v>
      </c>
      <c r="G59" s="729">
        <v>762000</v>
      </c>
    </row>
    <row r="60" spans="1:7" ht="18" customHeight="1">
      <c r="A60" s="1257">
        <v>14</v>
      </c>
      <c r="B60" s="897" t="s">
        <v>29</v>
      </c>
      <c r="C60" s="905"/>
      <c r="D60" s="905"/>
      <c r="E60" s="905"/>
      <c r="F60" s="906"/>
      <c r="G60" s="729"/>
    </row>
    <row r="61" spans="1:7" ht="18" customHeight="1">
      <c r="A61" s="1257"/>
      <c r="B61" s="903" t="s">
        <v>236</v>
      </c>
      <c r="C61" s="907">
        <v>4318400</v>
      </c>
      <c r="D61" s="907">
        <v>4419800</v>
      </c>
      <c r="E61" s="907">
        <v>4521200</v>
      </c>
      <c r="F61" s="907">
        <v>4622600</v>
      </c>
      <c r="G61" s="907">
        <v>4724000</v>
      </c>
    </row>
    <row r="62" spans="1:7" ht="18" customHeight="1">
      <c r="A62" s="1257"/>
      <c r="B62" s="903" t="s">
        <v>271</v>
      </c>
      <c r="C62" s="908">
        <v>2238400</v>
      </c>
      <c r="D62" s="907">
        <v>2284800</v>
      </c>
      <c r="E62" s="904">
        <v>2331200</v>
      </c>
      <c r="F62" s="907">
        <v>2377600</v>
      </c>
      <c r="G62" s="729">
        <v>2424000</v>
      </c>
    </row>
    <row r="63" spans="1:7" ht="18" customHeight="1">
      <c r="A63" s="1257"/>
      <c r="B63" s="903" t="s">
        <v>272</v>
      </c>
      <c r="C63" s="908">
        <v>2080000</v>
      </c>
      <c r="D63" s="907">
        <v>2135000</v>
      </c>
      <c r="E63" s="904">
        <v>2190000</v>
      </c>
      <c r="F63" s="907">
        <v>2245000</v>
      </c>
      <c r="G63" s="729">
        <v>2300000</v>
      </c>
    </row>
    <row r="64" spans="1:7" ht="18" customHeight="1">
      <c r="A64" s="1257">
        <v>15</v>
      </c>
      <c r="B64" s="897" t="s">
        <v>30</v>
      </c>
      <c r="C64" s="905"/>
      <c r="D64" s="905"/>
      <c r="E64" s="905"/>
      <c r="F64" s="906"/>
      <c r="G64" s="729"/>
    </row>
    <row r="65" spans="1:7" ht="18" customHeight="1">
      <c r="A65" s="1257"/>
      <c r="B65" s="903" t="s">
        <v>236</v>
      </c>
      <c r="C65" s="907">
        <v>6958600</v>
      </c>
      <c r="D65" s="907">
        <v>6901200</v>
      </c>
      <c r="E65" s="907">
        <v>6843800</v>
      </c>
      <c r="F65" s="907">
        <v>6786400</v>
      </c>
      <c r="G65" s="907">
        <v>6729000</v>
      </c>
    </row>
    <row r="66" spans="1:7" ht="18" customHeight="1">
      <c r="A66" s="1257"/>
      <c r="B66" s="903" t="s">
        <v>271</v>
      </c>
      <c r="C66" s="908">
        <v>3607400</v>
      </c>
      <c r="D66" s="907">
        <v>3575800</v>
      </c>
      <c r="E66" s="908">
        <v>3544200</v>
      </c>
      <c r="F66" s="907">
        <v>3512600</v>
      </c>
      <c r="G66" s="729">
        <v>3481000</v>
      </c>
    </row>
    <row r="67" spans="1:7" ht="18" customHeight="1">
      <c r="A67" s="1257"/>
      <c r="B67" s="903" t="s">
        <v>272</v>
      </c>
      <c r="C67" s="908">
        <v>3351200</v>
      </c>
      <c r="D67" s="907">
        <v>3325400</v>
      </c>
      <c r="E67" s="908">
        <v>3299600</v>
      </c>
      <c r="F67" s="907">
        <v>3273800</v>
      </c>
      <c r="G67" s="729">
        <v>3248000</v>
      </c>
    </row>
    <row r="68" spans="1:7" ht="18" customHeight="1">
      <c r="A68" s="1257">
        <v>16</v>
      </c>
      <c r="B68" s="897" t="s">
        <v>31</v>
      </c>
      <c r="C68" s="905"/>
      <c r="D68" s="905"/>
      <c r="E68" s="905"/>
      <c r="F68" s="906"/>
      <c r="G68" s="729"/>
    </row>
    <row r="69" spans="1:7" ht="18" customHeight="1">
      <c r="A69" s="1257"/>
      <c r="B69" s="903" t="s">
        <v>236</v>
      </c>
      <c r="C69" s="907">
        <v>3183000</v>
      </c>
      <c r="D69" s="907">
        <v>3176000</v>
      </c>
      <c r="E69" s="907">
        <v>3169000</v>
      </c>
      <c r="F69" s="907">
        <v>3162000</v>
      </c>
      <c r="G69" s="907">
        <v>3155000</v>
      </c>
    </row>
    <row r="70" spans="1:7" ht="18" customHeight="1">
      <c r="A70" s="1257"/>
      <c r="B70" s="903" t="s">
        <v>271</v>
      </c>
      <c r="C70" s="908">
        <v>1624800</v>
      </c>
      <c r="D70" s="907">
        <v>1624600</v>
      </c>
      <c r="E70" s="904">
        <v>1624400</v>
      </c>
      <c r="F70" s="907">
        <v>1624200</v>
      </c>
      <c r="G70" s="729">
        <v>1624000</v>
      </c>
    </row>
    <row r="71" spans="1:7" ht="18" customHeight="1">
      <c r="A71" s="1257"/>
      <c r="B71" s="903" t="s">
        <v>272</v>
      </c>
      <c r="C71" s="908">
        <v>1558200</v>
      </c>
      <c r="D71" s="907">
        <v>1551400</v>
      </c>
      <c r="E71" s="904">
        <v>1544600</v>
      </c>
      <c r="F71" s="907">
        <v>1537800</v>
      </c>
      <c r="G71" s="729">
        <v>1531000</v>
      </c>
    </row>
    <row r="72" spans="1:7" ht="18" customHeight="1">
      <c r="A72" s="1257">
        <v>17</v>
      </c>
      <c r="B72" s="897" t="s">
        <v>154</v>
      </c>
      <c r="C72" s="905"/>
      <c r="D72" s="905"/>
      <c r="E72" s="905"/>
      <c r="F72" s="906"/>
      <c r="G72" s="729"/>
    </row>
    <row r="73" spans="1:7" ht="18" customHeight="1">
      <c r="A73" s="1257"/>
      <c r="B73" s="903" t="s">
        <v>236</v>
      </c>
      <c r="C73" s="907">
        <v>34679</v>
      </c>
      <c r="D73" s="907">
        <v>35634</v>
      </c>
      <c r="E73" s="907">
        <v>36588</v>
      </c>
      <c r="F73" s="907">
        <v>37543</v>
      </c>
      <c r="G73" s="907">
        <v>38496.743588488287</v>
      </c>
    </row>
    <row r="74" spans="1:7" ht="18" customHeight="1">
      <c r="A74" s="1257"/>
      <c r="B74" s="903" t="s">
        <v>271</v>
      </c>
      <c r="C74" s="908">
        <v>18671</v>
      </c>
      <c r="D74" s="907">
        <v>19264</v>
      </c>
      <c r="E74" s="908">
        <v>19856</v>
      </c>
      <c r="F74" s="907">
        <v>20449</v>
      </c>
      <c r="G74" s="729">
        <v>21041.07681207003</v>
      </c>
    </row>
    <row r="75" spans="1:7" ht="18" customHeight="1">
      <c r="A75" s="1257"/>
      <c r="B75" s="903" t="s">
        <v>272</v>
      </c>
      <c r="C75" s="908">
        <v>16008</v>
      </c>
      <c r="D75" s="907">
        <v>16370</v>
      </c>
      <c r="E75" s="908">
        <v>16732</v>
      </c>
      <c r="F75" s="907">
        <v>17094</v>
      </c>
      <c r="G75" s="729">
        <v>17455.66677641826</v>
      </c>
    </row>
    <row r="76" spans="1:7" ht="18" customHeight="1">
      <c r="A76" s="1257">
        <v>18</v>
      </c>
      <c r="B76" s="897" t="s">
        <v>32</v>
      </c>
      <c r="C76" s="905"/>
      <c r="D76" s="905"/>
      <c r="E76" s="905"/>
      <c r="F76" s="906"/>
      <c r="G76" s="729"/>
    </row>
    <row r="77" spans="1:7" ht="18" customHeight="1">
      <c r="A77" s="1257"/>
      <c r="B77" s="903" t="s">
        <v>236</v>
      </c>
      <c r="C77" s="907">
        <v>7235</v>
      </c>
      <c r="D77" s="907">
        <v>7426</v>
      </c>
      <c r="E77" s="907">
        <v>7616</v>
      </c>
      <c r="F77" s="907">
        <v>7807</v>
      </c>
      <c r="G77" s="907">
        <v>7997.689106595104</v>
      </c>
    </row>
    <row r="78" spans="1:7" ht="18" customHeight="1">
      <c r="A78" s="1257"/>
      <c r="B78" s="903" t="s">
        <v>271</v>
      </c>
      <c r="C78" s="908">
        <v>3728</v>
      </c>
      <c r="D78" s="907">
        <v>3840</v>
      </c>
      <c r="E78" s="904">
        <v>3951</v>
      </c>
      <c r="F78" s="907">
        <v>4063</v>
      </c>
      <c r="G78" s="729">
        <v>4175.0226140884361</v>
      </c>
    </row>
    <row r="79" spans="1:7" ht="18" customHeight="1">
      <c r="A79" s="1257"/>
      <c r="B79" s="903" t="s">
        <v>272</v>
      </c>
      <c r="C79" s="908">
        <v>3507</v>
      </c>
      <c r="D79" s="907">
        <v>3586</v>
      </c>
      <c r="E79" s="904">
        <v>3665</v>
      </c>
      <c r="F79" s="907">
        <v>3744</v>
      </c>
      <c r="G79" s="729">
        <v>3822.6664925066684</v>
      </c>
    </row>
    <row r="80" spans="1:7" ht="18" customHeight="1">
      <c r="A80" s="1257">
        <v>19</v>
      </c>
      <c r="B80" s="897" t="s">
        <v>33</v>
      </c>
      <c r="C80" s="905"/>
      <c r="D80" s="905"/>
      <c r="E80" s="905"/>
      <c r="F80" s="906"/>
      <c r="G80" s="729"/>
    </row>
    <row r="81" spans="1:7" ht="18" customHeight="1">
      <c r="A81" s="1257"/>
      <c r="B81" s="903" t="s">
        <v>236</v>
      </c>
      <c r="C81" s="907">
        <v>9320200</v>
      </c>
      <c r="D81" s="907">
        <v>9412400</v>
      </c>
      <c r="E81" s="907">
        <v>9504600</v>
      </c>
      <c r="F81" s="907">
        <v>9596800</v>
      </c>
      <c r="G81" s="907">
        <v>9689000</v>
      </c>
    </row>
    <row r="82" spans="1:7" ht="18" customHeight="1">
      <c r="A82" s="1257"/>
      <c r="B82" s="903" t="s">
        <v>271</v>
      </c>
      <c r="C82" s="908">
        <v>4910000</v>
      </c>
      <c r="D82" s="907">
        <v>4949000</v>
      </c>
      <c r="E82" s="908">
        <v>4988000</v>
      </c>
      <c r="F82" s="907">
        <v>5027000</v>
      </c>
      <c r="G82" s="729">
        <v>5066000</v>
      </c>
    </row>
    <row r="83" spans="1:7" ht="18" customHeight="1">
      <c r="A83" s="1257"/>
      <c r="B83" s="903" t="s">
        <v>272</v>
      </c>
      <c r="C83" s="908">
        <v>4410200</v>
      </c>
      <c r="D83" s="907">
        <v>4463400</v>
      </c>
      <c r="E83" s="908">
        <v>4516600</v>
      </c>
      <c r="F83" s="907">
        <v>4569800</v>
      </c>
      <c r="G83" s="729">
        <v>4623000</v>
      </c>
    </row>
    <row r="84" spans="1:7" ht="18" customHeight="1">
      <c r="A84" s="1257">
        <v>20</v>
      </c>
      <c r="B84" s="897" t="s">
        <v>34</v>
      </c>
      <c r="C84" s="909"/>
      <c r="D84" s="909"/>
      <c r="E84" s="910"/>
      <c r="F84" s="910"/>
      <c r="G84" s="729"/>
    </row>
    <row r="85" spans="1:7" ht="18" customHeight="1">
      <c r="A85" s="1257"/>
      <c r="B85" s="903" t="s">
        <v>236</v>
      </c>
      <c r="C85" s="907">
        <v>13175800</v>
      </c>
      <c r="D85" s="907">
        <v>13122600</v>
      </c>
      <c r="E85" s="907">
        <v>13069400</v>
      </c>
      <c r="F85" s="907">
        <v>13016200</v>
      </c>
      <c r="G85" s="907">
        <v>12963000</v>
      </c>
    </row>
    <row r="86" spans="1:7" ht="18" customHeight="1">
      <c r="A86" s="1257"/>
      <c r="B86" s="903" t="s">
        <v>271</v>
      </c>
      <c r="C86" s="908">
        <v>6979400</v>
      </c>
      <c r="D86" s="907">
        <v>6945800</v>
      </c>
      <c r="E86" s="904">
        <v>6912200</v>
      </c>
      <c r="F86" s="907">
        <v>6878600</v>
      </c>
      <c r="G86" s="729">
        <v>6845000</v>
      </c>
    </row>
    <row r="87" spans="1:7" ht="18" customHeight="1">
      <c r="A87" s="1257"/>
      <c r="B87" s="903" t="s">
        <v>272</v>
      </c>
      <c r="C87" s="908">
        <v>6196400</v>
      </c>
      <c r="D87" s="907">
        <v>6176800</v>
      </c>
      <c r="E87" s="904">
        <v>6157200</v>
      </c>
      <c r="F87" s="907">
        <v>6137600</v>
      </c>
      <c r="G87" s="729">
        <v>6118000</v>
      </c>
    </row>
    <row r="88" spans="1:7" ht="18" customHeight="1">
      <c r="A88" s="1257">
        <v>21</v>
      </c>
      <c r="B88" s="897" t="s">
        <v>35</v>
      </c>
      <c r="C88" s="905"/>
      <c r="D88" s="905"/>
      <c r="E88" s="905"/>
      <c r="F88" s="906"/>
      <c r="G88" s="729"/>
    </row>
    <row r="89" spans="1:7" ht="18" customHeight="1">
      <c r="A89" s="1257"/>
      <c r="B89" s="903" t="s">
        <v>236</v>
      </c>
      <c r="C89" s="907">
        <v>362445</v>
      </c>
      <c r="D89" s="907">
        <v>363913</v>
      </c>
      <c r="E89" s="907">
        <v>365383</v>
      </c>
      <c r="F89" s="907">
        <v>366852</v>
      </c>
      <c r="G89" s="907">
        <v>368320.9</v>
      </c>
    </row>
    <row r="90" spans="1:7" ht="18" customHeight="1">
      <c r="A90" s="1257"/>
      <c r="B90" s="903" t="s">
        <v>271</v>
      </c>
      <c r="C90" s="908">
        <v>183717</v>
      </c>
      <c r="D90" s="907">
        <v>184679</v>
      </c>
      <c r="E90" s="908">
        <v>185642</v>
      </c>
      <c r="F90" s="907">
        <v>186604</v>
      </c>
      <c r="G90" s="729">
        <v>187566.1</v>
      </c>
    </row>
    <row r="91" spans="1:7" ht="18" customHeight="1">
      <c r="A91" s="1257"/>
      <c r="B91" s="903" t="s">
        <v>272</v>
      </c>
      <c r="C91" s="908">
        <v>178728</v>
      </c>
      <c r="D91" s="907">
        <v>179234</v>
      </c>
      <c r="E91" s="908">
        <v>179741</v>
      </c>
      <c r="F91" s="907">
        <v>180248</v>
      </c>
      <c r="G91" s="729">
        <v>180754.8</v>
      </c>
    </row>
    <row r="92" spans="1:7" ht="18" customHeight="1">
      <c r="A92" s="1257">
        <v>22</v>
      </c>
      <c r="B92" s="897" t="s">
        <v>36</v>
      </c>
      <c r="C92" s="905"/>
      <c r="D92" s="905"/>
      <c r="E92" s="905"/>
      <c r="F92" s="906"/>
      <c r="G92" s="729"/>
    </row>
    <row r="93" spans="1:7" ht="18" customHeight="1">
      <c r="A93" s="1257"/>
      <c r="B93" s="903" t="s">
        <v>236</v>
      </c>
      <c r="C93" s="907">
        <v>374392</v>
      </c>
      <c r="D93" s="907">
        <v>375861</v>
      </c>
      <c r="E93" s="907">
        <v>377330</v>
      </c>
      <c r="F93" s="907">
        <v>378800</v>
      </c>
      <c r="G93" s="907">
        <v>380269.19999999995</v>
      </c>
    </row>
    <row r="94" spans="1:7" ht="18" customHeight="1">
      <c r="A94" s="1257"/>
      <c r="B94" s="903" t="s">
        <v>271</v>
      </c>
      <c r="C94" s="908">
        <v>187998</v>
      </c>
      <c r="D94" s="907">
        <v>188953</v>
      </c>
      <c r="E94" s="904">
        <v>189908</v>
      </c>
      <c r="F94" s="907">
        <v>190864</v>
      </c>
      <c r="G94" s="729">
        <v>191818.99999999997</v>
      </c>
    </row>
    <row r="95" spans="1:7" ht="18" customHeight="1">
      <c r="A95" s="1257"/>
      <c r="B95" s="903" t="s">
        <v>272</v>
      </c>
      <c r="C95" s="908">
        <v>186394</v>
      </c>
      <c r="D95" s="907">
        <v>186908</v>
      </c>
      <c r="E95" s="904">
        <v>187422</v>
      </c>
      <c r="F95" s="907">
        <v>187936</v>
      </c>
      <c r="G95" s="729">
        <v>188450.19999999998</v>
      </c>
    </row>
    <row r="96" spans="1:7" ht="18" customHeight="1">
      <c r="A96" s="1257">
        <v>23</v>
      </c>
      <c r="B96" s="897" t="s">
        <v>37</v>
      </c>
      <c r="C96" s="905"/>
      <c r="D96" s="905"/>
      <c r="E96" s="905"/>
      <c r="F96" s="906"/>
      <c r="G96" s="729"/>
    </row>
    <row r="97" spans="1:7" ht="18" customHeight="1">
      <c r="A97" s="1257"/>
      <c r="B97" s="903" t="s">
        <v>236</v>
      </c>
      <c r="C97" s="907">
        <v>142520</v>
      </c>
      <c r="D97" s="907">
        <v>143121</v>
      </c>
      <c r="E97" s="907">
        <v>143721</v>
      </c>
      <c r="F97" s="907">
        <v>144322</v>
      </c>
      <c r="G97" s="907">
        <v>144921.79999999999</v>
      </c>
    </row>
    <row r="98" spans="1:7" ht="18" customHeight="1">
      <c r="A98" s="1257"/>
      <c r="B98" s="903" t="s">
        <v>271</v>
      </c>
      <c r="C98" s="908">
        <v>72230</v>
      </c>
      <c r="D98" s="907">
        <v>72621</v>
      </c>
      <c r="E98" s="904">
        <v>73012</v>
      </c>
      <c r="F98" s="907">
        <v>73403</v>
      </c>
      <c r="G98" s="729">
        <v>73793.600000000006</v>
      </c>
    </row>
    <row r="99" spans="1:7" ht="18" customHeight="1">
      <c r="A99" s="1257"/>
      <c r="B99" s="903" t="s">
        <v>272</v>
      </c>
      <c r="C99" s="908">
        <v>70290</v>
      </c>
      <c r="D99" s="907">
        <v>70500</v>
      </c>
      <c r="E99" s="904">
        <v>70709</v>
      </c>
      <c r="F99" s="907">
        <v>70919</v>
      </c>
      <c r="G99" s="729">
        <v>71128.2</v>
      </c>
    </row>
    <row r="100" spans="1:7" ht="18" customHeight="1">
      <c r="A100" s="1257">
        <v>24</v>
      </c>
      <c r="B100" s="897" t="s">
        <v>38</v>
      </c>
      <c r="C100" s="905"/>
      <c r="D100" s="905"/>
      <c r="E100" s="905"/>
      <c r="F100" s="906"/>
      <c r="G100" s="729"/>
    </row>
    <row r="101" spans="1:7" ht="18" customHeight="1">
      <c r="A101" s="1257"/>
      <c r="B101" s="903" t="s">
        <v>236</v>
      </c>
      <c r="C101" s="907">
        <v>268841</v>
      </c>
      <c r="D101" s="907">
        <v>269899</v>
      </c>
      <c r="E101" s="907">
        <v>270959</v>
      </c>
      <c r="F101" s="907">
        <v>272017</v>
      </c>
      <c r="G101" s="907">
        <v>273077.2</v>
      </c>
    </row>
    <row r="102" spans="1:7" ht="18" customHeight="1">
      <c r="A102" s="1257"/>
      <c r="B102" s="903" t="s">
        <v>271</v>
      </c>
      <c r="C102" s="908">
        <v>139545</v>
      </c>
      <c r="D102" s="907">
        <v>140254</v>
      </c>
      <c r="E102" s="904">
        <v>140964</v>
      </c>
      <c r="F102" s="907">
        <v>141673</v>
      </c>
      <c r="G102" s="729">
        <v>142383.09999999998</v>
      </c>
    </row>
    <row r="103" spans="1:7" ht="18" customHeight="1">
      <c r="A103" s="1257"/>
      <c r="B103" s="903" t="s">
        <v>272</v>
      </c>
      <c r="C103" s="908">
        <v>129296</v>
      </c>
      <c r="D103" s="907">
        <v>129645</v>
      </c>
      <c r="E103" s="904">
        <v>129995</v>
      </c>
      <c r="F103" s="907">
        <v>130344</v>
      </c>
      <c r="G103" s="729">
        <v>130694.10000000002</v>
      </c>
    </row>
    <row r="104" spans="1:7" ht="18" customHeight="1">
      <c r="A104" s="1257">
        <v>25</v>
      </c>
      <c r="B104" s="897" t="s">
        <v>39</v>
      </c>
      <c r="C104" s="905"/>
      <c r="D104" s="905"/>
      <c r="E104" s="905"/>
      <c r="F104" s="906"/>
      <c r="G104" s="729"/>
    </row>
    <row r="105" spans="1:7" ht="18" customHeight="1">
      <c r="A105" s="1257"/>
      <c r="B105" s="903" t="s">
        <v>236</v>
      </c>
      <c r="C105" s="907">
        <v>4823600</v>
      </c>
      <c r="D105" s="907">
        <v>4834200</v>
      </c>
      <c r="E105" s="907">
        <v>4844800</v>
      </c>
      <c r="F105" s="907">
        <v>4855400</v>
      </c>
      <c r="G105" s="907">
        <v>4866000</v>
      </c>
    </row>
    <row r="106" spans="1:7" ht="18" customHeight="1">
      <c r="A106" s="1257"/>
      <c r="B106" s="903" t="s">
        <v>271</v>
      </c>
      <c r="C106" s="908">
        <v>2435800</v>
      </c>
      <c r="D106" s="907">
        <v>2445600</v>
      </c>
      <c r="E106" s="904">
        <v>2455400</v>
      </c>
      <c r="F106" s="907">
        <v>2465200</v>
      </c>
      <c r="G106" s="729">
        <v>2475000</v>
      </c>
    </row>
    <row r="107" spans="1:7" ht="18" customHeight="1">
      <c r="A107" s="1257"/>
      <c r="B107" s="903" t="s">
        <v>272</v>
      </c>
      <c r="C107" s="908">
        <v>2387800</v>
      </c>
      <c r="D107" s="907">
        <v>2388600</v>
      </c>
      <c r="E107" s="904">
        <v>2389400</v>
      </c>
      <c r="F107" s="907">
        <v>2390200</v>
      </c>
      <c r="G107" s="729">
        <v>2391000</v>
      </c>
    </row>
    <row r="108" spans="1:7" ht="18" customHeight="1">
      <c r="A108" s="1257">
        <v>26</v>
      </c>
      <c r="B108" s="897" t="s">
        <v>40</v>
      </c>
      <c r="C108" s="905"/>
      <c r="D108" s="905"/>
      <c r="E108" s="905"/>
      <c r="F108" s="906"/>
      <c r="G108" s="729"/>
    </row>
    <row r="109" spans="1:7" ht="18" customHeight="1">
      <c r="A109" s="1257"/>
      <c r="B109" s="903" t="s">
        <v>236</v>
      </c>
      <c r="C109" s="907">
        <v>139473</v>
      </c>
      <c r="D109" s="907">
        <v>143050</v>
      </c>
      <c r="E109" s="907">
        <v>146628</v>
      </c>
      <c r="F109" s="907">
        <v>150205</v>
      </c>
      <c r="G109" s="907">
        <v>153781.39040593093</v>
      </c>
    </row>
    <row r="110" spans="1:7" ht="18" customHeight="1">
      <c r="A110" s="1257"/>
      <c r="B110" s="903" t="s">
        <v>271</v>
      </c>
      <c r="C110" s="908">
        <v>65814</v>
      </c>
      <c r="D110" s="907">
        <v>67741</v>
      </c>
      <c r="E110" s="904">
        <v>69668</v>
      </c>
      <c r="F110" s="907">
        <v>71595</v>
      </c>
      <c r="G110" s="729">
        <v>73521.583201194953</v>
      </c>
    </row>
    <row r="111" spans="1:7" ht="18" customHeight="1">
      <c r="A111" s="1257"/>
      <c r="B111" s="903" t="s">
        <v>272</v>
      </c>
      <c r="C111" s="908">
        <v>73659</v>
      </c>
      <c r="D111" s="907">
        <v>75309</v>
      </c>
      <c r="E111" s="904">
        <v>76960</v>
      </c>
      <c r="F111" s="907">
        <v>78610</v>
      </c>
      <c r="G111" s="729">
        <v>80259.807204735989</v>
      </c>
    </row>
    <row r="112" spans="1:7" ht="18" customHeight="1">
      <c r="A112" s="1257">
        <v>27</v>
      </c>
      <c r="B112" s="897" t="s">
        <v>41</v>
      </c>
      <c r="C112" s="905"/>
      <c r="D112" s="905"/>
      <c r="E112" s="905"/>
      <c r="F112" s="906"/>
      <c r="G112" s="729"/>
    </row>
    <row r="113" spans="1:7" ht="18" customHeight="1">
      <c r="A113" s="1257"/>
      <c r="B113" s="903" t="s">
        <v>236</v>
      </c>
      <c r="C113" s="907">
        <v>3284600</v>
      </c>
      <c r="D113" s="907">
        <v>3247200</v>
      </c>
      <c r="E113" s="907">
        <v>3209800</v>
      </c>
      <c r="F113" s="907">
        <v>3172400</v>
      </c>
      <c r="G113" s="907">
        <v>3135000</v>
      </c>
    </row>
    <row r="114" spans="1:7" ht="18" customHeight="1">
      <c r="A114" s="1257"/>
      <c r="B114" s="903" t="s">
        <v>271</v>
      </c>
      <c r="C114" s="908">
        <v>1806200</v>
      </c>
      <c r="D114" s="907">
        <v>1786400</v>
      </c>
      <c r="E114" s="908">
        <v>1766600</v>
      </c>
      <c r="F114" s="907">
        <v>1746800</v>
      </c>
      <c r="G114" s="729">
        <v>1727000</v>
      </c>
    </row>
    <row r="115" spans="1:7" ht="18" customHeight="1">
      <c r="A115" s="1257"/>
      <c r="B115" s="903" t="s">
        <v>272</v>
      </c>
      <c r="C115" s="908">
        <v>1478400</v>
      </c>
      <c r="D115" s="907">
        <v>1460800</v>
      </c>
      <c r="E115" s="908">
        <v>1443200</v>
      </c>
      <c r="F115" s="907">
        <v>1425600</v>
      </c>
      <c r="G115" s="729">
        <v>1408000</v>
      </c>
    </row>
    <row r="116" spans="1:7" ht="18" customHeight="1">
      <c r="A116" s="1257">
        <v>28</v>
      </c>
      <c r="B116" s="897" t="s">
        <v>42</v>
      </c>
      <c r="C116" s="905"/>
      <c r="D116" s="905"/>
      <c r="E116" s="905"/>
      <c r="F116" s="906"/>
      <c r="G116" s="729"/>
    </row>
    <row r="117" spans="1:7" ht="18" customHeight="1">
      <c r="A117" s="1257"/>
      <c r="B117" s="903" t="s">
        <v>236</v>
      </c>
      <c r="C117" s="907">
        <v>9089400</v>
      </c>
      <c r="D117" s="907">
        <v>9170800</v>
      </c>
      <c r="E117" s="907">
        <v>9252200</v>
      </c>
      <c r="F117" s="907">
        <v>9333600</v>
      </c>
      <c r="G117" s="907">
        <v>9415000</v>
      </c>
    </row>
    <row r="118" spans="1:7" ht="18" customHeight="1">
      <c r="A118" s="1257"/>
      <c r="B118" s="903" t="s">
        <v>271</v>
      </c>
      <c r="C118" s="908">
        <v>4788200</v>
      </c>
      <c r="D118" s="907">
        <v>4825400</v>
      </c>
      <c r="E118" s="908">
        <v>4862600</v>
      </c>
      <c r="F118" s="907">
        <v>4899800</v>
      </c>
      <c r="G118" s="729">
        <v>4937000</v>
      </c>
    </row>
    <row r="119" spans="1:7" ht="18" customHeight="1">
      <c r="A119" s="1257"/>
      <c r="B119" s="903" t="s">
        <v>272</v>
      </c>
      <c r="C119" s="908">
        <v>4301200</v>
      </c>
      <c r="D119" s="907">
        <v>4345400</v>
      </c>
      <c r="E119" s="908">
        <v>4389600</v>
      </c>
      <c r="F119" s="907">
        <v>4433800</v>
      </c>
      <c r="G119" s="729">
        <v>4478000</v>
      </c>
    </row>
    <row r="120" spans="1:7" ht="18" customHeight="1">
      <c r="A120" s="1257">
        <v>29</v>
      </c>
      <c r="B120" s="897" t="s">
        <v>43</v>
      </c>
      <c r="C120" s="905"/>
      <c r="D120" s="905"/>
      <c r="E120" s="905"/>
      <c r="F120" s="906"/>
      <c r="G120" s="729"/>
    </row>
    <row r="121" spans="1:7" ht="18" customHeight="1">
      <c r="A121" s="1257"/>
      <c r="B121" s="903" t="s">
        <v>236</v>
      </c>
      <c r="C121" s="907">
        <v>86022.37999999999</v>
      </c>
      <c r="D121" s="907">
        <v>86387.26</v>
      </c>
      <c r="E121" s="907">
        <v>86752.140000000014</v>
      </c>
      <c r="F121" s="907">
        <v>87117.01999999999</v>
      </c>
      <c r="G121" s="907">
        <v>87481.9</v>
      </c>
    </row>
    <row r="122" spans="1:7" ht="18" customHeight="1">
      <c r="A122" s="1257"/>
      <c r="B122" s="903" t="s">
        <v>271</v>
      </c>
      <c r="C122" s="911">
        <v>45315.999999999993</v>
      </c>
      <c r="D122" s="912">
        <v>45563.4</v>
      </c>
      <c r="E122" s="913">
        <v>45810.8</v>
      </c>
      <c r="F122" s="912">
        <v>46058.2</v>
      </c>
      <c r="G122" s="729">
        <v>46305.599999999999</v>
      </c>
    </row>
    <row r="123" spans="1:7" ht="18" customHeight="1">
      <c r="A123" s="1257"/>
      <c r="B123" s="903" t="s">
        <v>272</v>
      </c>
      <c r="C123" s="911">
        <v>40706.379999999997</v>
      </c>
      <c r="D123" s="912">
        <v>40823.859999999993</v>
      </c>
      <c r="E123" s="913">
        <v>40941.340000000004</v>
      </c>
      <c r="F123" s="912">
        <v>41058.82</v>
      </c>
      <c r="G123" s="729">
        <v>41176.299999999996</v>
      </c>
    </row>
    <row r="124" spans="1:7" ht="18" customHeight="1">
      <c r="A124" s="1257">
        <v>30</v>
      </c>
      <c r="B124" s="897" t="s">
        <v>44</v>
      </c>
      <c r="C124" s="914"/>
      <c r="D124" s="914"/>
      <c r="E124" s="914"/>
      <c r="F124" s="915"/>
      <c r="G124" s="729"/>
    </row>
    <row r="125" spans="1:7" ht="18" customHeight="1">
      <c r="A125" s="1257"/>
      <c r="B125" s="903" t="s">
        <v>236</v>
      </c>
      <c r="C125" s="907">
        <v>7332200</v>
      </c>
      <c r="D125" s="907">
        <v>7257400</v>
      </c>
      <c r="E125" s="907">
        <v>7182600</v>
      </c>
      <c r="F125" s="907">
        <v>7107800</v>
      </c>
      <c r="G125" s="907">
        <v>7033000</v>
      </c>
    </row>
    <row r="126" spans="1:7" ht="18" customHeight="1">
      <c r="A126" s="1257"/>
      <c r="B126" s="903" t="s">
        <v>271</v>
      </c>
      <c r="C126" s="911">
        <v>3762200</v>
      </c>
      <c r="D126" s="916">
        <v>3728400</v>
      </c>
      <c r="E126" s="917">
        <v>3694600</v>
      </c>
      <c r="F126" s="912">
        <v>3660800</v>
      </c>
      <c r="G126" s="729">
        <v>3627000</v>
      </c>
    </row>
    <row r="127" spans="1:7" ht="18" customHeight="1">
      <c r="A127" s="1257"/>
      <c r="B127" s="903" t="s">
        <v>272</v>
      </c>
      <c r="C127" s="911">
        <v>3570000.0000000005</v>
      </c>
      <c r="D127" s="916">
        <v>3529000</v>
      </c>
      <c r="E127" s="917">
        <v>3488000</v>
      </c>
      <c r="F127" s="912">
        <v>3446999.9999999995</v>
      </c>
      <c r="G127" s="729">
        <v>3406000</v>
      </c>
    </row>
    <row r="128" spans="1:7" ht="18" customHeight="1">
      <c r="A128" s="1257">
        <v>31</v>
      </c>
      <c r="B128" s="897" t="s">
        <v>131</v>
      </c>
      <c r="C128" s="914"/>
      <c r="D128" s="914"/>
      <c r="E128" s="914"/>
      <c r="F128" s="915"/>
      <c r="G128" s="729"/>
    </row>
    <row r="129" spans="1:7" ht="18" customHeight="1">
      <c r="A129" s="1257"/>
      <c r="B129" s="903" t="s">
        <v>236</v>
      </c>
      <c r="C129" s="907">
        <v>4120399.9999999995</v>
      </c>
      <c r="D129" s="907">
        <v>4087800</v>
      </c>
      <c r="E129" s="907">
        <v>4055200</v>
      </c>
      <c r="F129" s="907">
        <v>4022600.0000000005</v>
      </c>
      <c r="G129" s="907">
        <v>3990000</v>
      </c>
    </row>
    <row r="130" spans="1:7" ht="18" customHeight="1">
      <c r="A130" s="1257"/>
      <c r="B130" s="903" t="s">
        <v>271</v>
      </c>
      <c r="C130" s="911">
        <v>2116399.9999999995</v>
      </c>
      <c r="D130" s="916">
        <v>2101800</v>
      </c>
      <c r="E130" s="918">
        <v>2087199.9999999998</v>
      </c>
      <c r="F130" s="912">
        <v>2072600.0000000005</v>
      </c>
      <c r="G130" s="729">
        <v>2058000</v>
      </c>
    </row>
    <row r="131" spans="1:7" ht="18" customHeight="1">
      <c r="A131" s="1257"/>
      <c r="B131" s="903" t="s">
        <v>272</v>
      </c>
      <c r="C131" s="911">
        <v>2004000</v>
      </c>
      <c r="D131" s="918">
        <v>1986000</v>
      </c>
      <c r="E131" s="918">
        <v>1968000</v>
      </c>
      <c r="F131" s="911">
        <v>1950000</v>
      </c>
      <c r="G131" s="729">
        <v>1932000</v>
      </c>
    </row>
    <row r="132" spans="1:7" ht="29.25">
      <c r="A132" s="1257">
        <v>32</v>
      </c>
      <c r="B132" s="919" t="s">
        <v>1062</v>
      </c>
      <c r="C132" s="905"/>
      <c r="D132" s="905"/>
      <c r="E132" s="905"/>
      <c r="F132" s="906"/>
      <c r="G132" s="729"/>
    </row>
    <row r="133" spans="1:7" ht="18" customHeight="1">
      <c r="A133" s="1257"/>
      <c r="B133" s="903" t="s">
        <v>236</v>
      </c>
      <c r="C133" s="907">
        <v>102978.80084508219</v>
      </c>
      <c r="D133" s="907">
        <v>105794.57185283667</v>
      </c>
      <c r="E133" s="907">
        <v>108610.34286059694</v>
      </c>
      <c r="F133" s="907">
        <v>111426.1138683514</v>
      </c>
      <c r="G133" s="907">
        <v>114241.88487610851</v>
      </c>
    </row>
    <row r="134" spans="1:7" ht="18" customHeight="1">
      <c r="A134" s="1257"/>
      <c r="B134" s="903" t="s">
        <v>271</v>
      </c>
      <c r="C134" s="913">
        <v>69093.883910084056</v>
      </c>
      <c r="D134" s="913">
        <v>71154.838618956885</v>
      </c>
      <c r="E134" s="913">
        <v>73215.793327832696</v>
      </c>
      <c r="F134" s="911">
        <v>75276.748036705496</v>
      </c>
      <c r="G134" s="729">
        <v>77337.702745579372</v>
      </c>
    </row>
    <row r="135" spans="1:7" ht="18" customHeight="1">
      <c r="A135" s="1257"/>
      <c r="B135" s="903" t="s">
        <v>272</v>
      </c>
      <c r="C135" s="913">
        <v>33884.916934998131</v>
      </c>
      <c r="D135" s="913">
        <v>34639.733233879786</v>
      </c>
      <c r="E135" s="913">
        <v>35394.549532764242</v>
      </c>
      <c r="F135" s="911">
        <v>36149.365831645897</v>
      </c>
      <c r="G135" s="729">
        <v>36904.182130529138</v>
      </c>
    </row>
    <row r="136" spans="1:7" ht="18" customHeight="1">
      <c r="A136" s="1257">
        <v>33</v>
      </c>
      <c r="B136" s="897" t="s">
        <v>45</v>
      </c>
      <c r="C136" s="914"/>
      <c r="D136" s="914"/>
      <c r="E136" s="914"/>
      <c r="F136" s="915"/>
      <c r="G136" s="729"/>
    </row>
    <row r="137" spans="1:7" ht="18" customHeight="1">
      <c r="A137" s="1257"/>
      <c r="B137" s="903" t="s">
        <v>236</v>
      </c>
      <c r="C137" s="907">
        <v>477331.48</v>
      </c>
      <c r="D137" s="907">
        <v>479314.95999999996</v>
      </c>
      <c r="E137" s="907">
        <v>481298.43999999994</v>
      </c>
      <c r="F137" s="907">
        <v>483281.91999999998</v>
      </c>
      <c r="G137" s="907">
        <v>485265.39999999997</v>
      </c>
    </row>
    <row r="138" spans="1:7" ht="18" customHeight="1">
      <c r="A138" s="1257"/>
      <c r="B138" s="903" t="s">
        <v>271</v>
      </c>
      <c r="C138" s="911">
        <v>238812.24</v>
      </c>
      <c r="D138" s="916">
        <v>240108.08</v>
      </c>
      <c r="E138" s="918">
        <v>241403.91999999998</v>
      </c>
      <c r="F138" s="912">
        <v>242699.76</v>
      </c>
      <c r="G138" s="729">
        <v>243995.59999999998</v>
      </c>
    </row>
    <row r="139" spans="1:7" ht="18" customHeight="1">
      <c r="A139" s="1257"/>
      <c r="B139" s="903" t="s">
        <v>272</v>
      </c>
      <c r="C139" s="911">
        <v>238519.24</v>
      </c>
      <c r="D139" s="916">
        <v>239206.87999999998</v>
      </c>
      <c r="E139" s="918">
        <v>239894.51999999996</v>
      </c>
      <c r="F139" s="912">
        <v>240582.15999999997</v>
      </c>
      <c r="G139" s="729">
        <v>241269.8</v>
      </c>
    </row>
    <row r="140" spans="1:7" ht="18" customHeight="1">
      <c r="A140" s="1257">
        <v>34</v>
      </c>
      <c r="B140" s="897" t="s">
        <v>47</v>
      </c>
      <c r="C140" s="914"/>
      <c r="D140" s="914"/>
      <c r="E140" s="914"/>
      <c r="F140" s="915"/>
      <c r="G140" s="729"/>
    </row>
    <row r="141" spans="1:7" ht="18" customHeight="1">
      <c r="A141" s="1257"/>
      <c r="B141" s="903" t="s">
        <v>236</v>
      </c>
      <c r="C141" s="907">
        <v>27789399.999999993</v>
      </c>
      <c r="D141" s="907">
        <v>28066800</v>
      </c>
      <c r="E141" s="907">
        <v>28344200</v>
      </c>
      <c r="F141" s="907">
        <v>28621600.000000007</v>
      </c>
      <c r="G141" s="907">
        <v>28899000</v>
      </c>
    </row>
    <row r="142" spans="1:7" ht="18" customHeight="1">
      <c r="A142" s="1257"/>
      <c r="B142" s="903" t="s">
        <v>271</v>
      </c>
      <c r="C142" s="911">
        <v>14824599.999999996</v>
      </c>
      <c r="D142" s="916">
        <v>14955200</v>
      </c>
      <c r="E142" s="918">
        <v>15085800</v>
      </c>
      <c r="F142" s="912">
        <v>15216400.000000004</v>
      </c>
      <c r="G142" s="729">
        <v>15347000</v>
      </c>
    </row>
    <row r="143" spans="1:7" ht="18" customHeight="1">
      <c r="A143" s="1257"/>
      <c r="B143" s="903" t="s">
        <v>272</v>
      </c>
      <c r="C143" s="911">
        <v>12964799.999999998</v>
      </c>
      <c r="D143" s="916">
        <v>13111599.999999998</v>
      </c>
      <c r="E143" s="918">
        <v>13258400.000000002</v>
      </c>
      <c r="F143" s="912">
        <v>13405200.000000002</v>
      </c>
      <c r="G143" s="729">
        <v>13552000</v>
      </c>
    </row>
    <row r="144" spans="1:7" ht="18" customHeight="1">
      <c r="A144" s="1257">
        <v>35</v>
      </c>
      <c r="B144" s="897" t="s">
        <v>46</v>
      </c>
      <c r="C144" s="914"/>
      <c r="D144" s="914"/>
      <c r="E144" s="914"/>
      <c r="F144" s="915"/>
      <c r="G144" s="729"/>
    </row>
    <row r="145" spans="1:7" ht="18" customHeight="1">
      <c r="A145" s="1257"/>
      <c r="B145" s="903" t="s">
        <v>236</v>
      </c>
      <c r="C145" s="907">
        <v>1354200</v>
      </c>
      <c r="D145" s="907">
        <v>1355400</v>
      </c>
      <c r="E145" s="907">
        <v>1356600</v>
      </c>
      <c r="F145" s="907">
        <v>1357800</v>
      </c>
      <c r="G145" s="907">
        <v>1359000</v>
      </c>
    </row>
    <row r="146" spans="1:7" ht="18" customHeight="1">
      <c r="A146" s="1257"/>
      <c r="B146" s="903" t="s">
        <v>271</v>
      </c>
      <c r="C146" s="911">
        <v>706200</v>
      </c>
      <c r="D146" s="916">
        <v>708400.00000000012</v>
      </c>
      <c r="E146" s="918">
        <v>710599.99999999988</v>
      </c>
      <c r="F146" s="912">
        <v>712800</v>
      </c>
      <c r="G146" s="729">
        <v>715000</v>
      </c>
    </row>
    <row r="147" spans="1:7" ht="18" customHeight="1">
      <c r="A147" s="1257"/>
      <c r="B147" s="903" t="s">
        <v>272</v>
      </c>
      <c r="C147" s="911">
        <v>648000</v>
      </c>
      <c r="D147" s="916">
        <v>647000</v>
      </c>
      <c r="E147" s="918">
        <v>646000</v>
      </c>
      <c r="F147" s="912">
        <v>645000</v>
      </c>
      <c r="G147" s="729">
        <v>644000</v>
      </c>
    </row>
    <row r="148" spans="1:7" ht="18" customHeight="1">
      <c r="A148" s="1257">
        <v>36</v>
      </c>
      <c r="B148" s="897" t="s">
        <v>48</v>
      </c>
      <c r="C148" s="914"/>
      <c r="D148" s="914"/>
      <c r="E148" s="914"/>
      <c r="F148" s="915"/>
      <c r="G148" s="729"/>
    </row>
    <row r="149" spans="1:7" ht="18" customHeight="1">
      <c r="A149" s="1257"/>
      <c r="B149" s="903" t="s">
        <v>236</v>
      </c>
      <c r="C149" s="907">
        <v>10660200</v>
      </c>
      <c r="D149" s="907">
        <v>10579400</v>
      </c>
      <c r="E149" s="907">
        <v>10498600</v>
      </c>
      <c r="F149" s="907">
        <v>10417800</v>
      </c>
      <c r="G149" s="907">
        <v>10337000</v>
      </c>
    </row>
    <row r="150" spans="1:7" ht="18" customHeight="1">
      <c r="A150" s="1257"/>
      <c r="B150" s="903" t="s">
        <v>271</v>
      </c>
      <c r="C150" s="911">
        <v>5480200.0000000009</v>
      </c>
      <c r="D150" s="916">
        <v>5436400.0000000009</v>
      </c>
      <c r="E150" s="918">
        <v>5392599.9999999991</v>
      </c>
      <c r="F150" s="912">
        <v>5348799.9999999991</v>
      </c>
      <c r="G150" s="729">
        <v>5305000</v>
      </c>
    </row>
    <row r="151" spans="1:7" ht="18" customHeight="1">
      <c r="A151" s="1257"/>
      <c r="B151" s="903" t="s">
        <v>272</v>
      </c>
      <c r="C151" s="911">
        <v>5180000</v>
      </c>
      <c r="D151" s="916">
        <v>5143000</v>
      </c>
      <c r="E151" s="918">
        <v>5106000</v>
      </c>
      <c r="F151" s="912">
        <v>5069000</v>
      </c>
      <c r="G151" s="729">
        <v>5032000</v>
      </c>
    </row>
    <row r="154" spans="1:7">
      <c r="C154" s="920"/>
      <c r="D154" s="920"/>
      <c r="E154" s="920"/>
      <c r="F154" s="920"/>
      <c r="G154" s="920"/>
    </row>
  </sheetData>
  <mergeCells count="37">
    <mergeCell ref="A148:A151"/>
    <mergeCell ref="A124:A127"/>
    <mergeCell ref="A128:A131"/>
    <mergeCell ref="A132:A135"/>
    <mergeCell ref="A136:A139"/>
    <mergeCell ref="A140:A143"/>
    <mergeCell ref="A144:A147"/>
    <mergeCell ref="A120:A123"/>
    <mergeCell ref="A76:A79"/>
    <mergeCell ref="A80:A83"/>
    <mergeCell ref="A84:A87"/>
    <mergeCell ref="A88:A91"/>
    <mergeCell ref="A92:A95"/>
    <mergeCell ref="A96:A99"/>
    <mergeCell ref="A100:A103"/>
    <mergeCell ref="A104:A107"/>
    <mergeCell ref="A108:A111"/>
    <mergeCell ref="A112:A115"/>
    <mergeCell ref="A116:A119"/>
    <mergeCell ref="A72:A75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24:A27"/>
    <mergeCell ref="A4:A7"/>
    <mergeCell ref="A8:A11"/>
    <mergeCell ref="A12:A15"/>
    <mergeCell ref="A16:A19"/>
    <mergeCell ref="A20:A23"/>
  </mergeCells>
  <printOptions horizontalCentered="1"/>
  <pageMargins left="0.23" right="0.16" top="0.39370078740157483" bottom="0.39370078740157483" header="0.27559055118110237" footer="0.23622047244094491"/>
  <pageSetup paperSize="9" firstPageNumber="2" pageOrder="overThenDown" orientation="portrait" useFirstPageNumber="1" r:id="rId1"/>
  <headerFooter alignWithMargins="0">
    <oddFooter>&amp;L&amp;9AISHE 2021-22&amp;CT-52</oddFooter>
  </headerFooter>
  <rowBreaks count="3" manualBreakCount="3">
    <brk id="43" max="6" man="1"/>
    <brk id="83" max="6" man="1"/>
    <brk id="123" max="6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37"/>
  <sheetViews>
    <sheetView view="pageBreakPreview" topLeftCell="E1" zoomScaleSheetLayoutView="100" workbookViewId="0">
      <selection activeCell="E19" sqref="E19"/>
    </sheetView>
  </sheetViews>
  <sheetFormatPr defaultColWidth="9.28515625" defaultRowHeight="12.75"/>
  <cols>
    <col min="1" max="1" width="5.42578125" style="47" customWidth="1"/>
    <col min="2" max="2" width="13.28515625" style="61" customWidth="1"/>
    <col min="3" max="3" width="33" style="47" customWidth="1"/>
    <col min="4" max="4" width="15.28515625" style="47" customWidth="1"/>
    <col min="5" max="6" width="14.28515625" style="47" customWidth="1"/>
    <col min="7" max="16384" width="9.28515625" style="47"/>
  </cols>
  <sheetData>
    <row r="1" spans="1:6" ht="40.5" customHeight="1">
      <c r="A1" s="60" t="s">
        <v>82</v>
      </c>
      <c r="C1" s="59"/>
      <c r="E1" s="59"/>
      <c r="F1" s="59"/>
    </row>
    <row r="2" spans="1:6" ht="31.5">
      <c r="A2" s="48" t="s">
        <v>80</v>
      </c>
      <c r="B2" s="48" t="s">
        <v>116</v>
      </c>
      <c r="C2" s="48" t="s">
        <v>81</v>
      </c>
      <c r="D2" s="48" t="s">
        <v>117</v>
      </c>
      <c r="E2" s="48" t="s">
        <v>83</v>
      </c>
      <c r="F2" s="48" t="s">
        <v>103</v>
      </c>
    </row>
    <row r="3" spans="1:6" ht="18" customHeight="1">
      <c r="A3" s="49">
        <v>33</v>
      </c>
      <c r="B3" s="62" t="s">
        <v>114</v>
      </c>
      <c r="C3" s="50" t="s">
        <v>47</v>
      </c>
      <c r="D3" s="51" t="e">
        <f>SUMIF(#REF!,C3,#REF!)</f>
        <v>#REF!</v>
      </c>
      <c r="E3" s="51">
        <v>4049</v>
      </c>
      <c r="F3" s="51" t="e">
        <f>SUMIF(#REF!,C3,#REF!)+SUMIF(#REF!,C3,#REF!)+SUMIF('8CollegeAct'!$B$5:$B$40,C3,'8CollegeAct'!$AE$5:$AE$41)-SUMIF('8CollegeAct'!$B$5:$B$40,C3,'8CollegeAct'!$M$5:$M$41)-SUMIF('8CollegeAct'!$B$5:$B$40,C3,'8CollegeAct'!$P$5:$P$41)</f>
        <v>#REF!</v>
      </c>
    </row>
    <row r="4" spans="1:6" ht="18" customHeight="1">
      <c r="A4" s="49">
        <v>21</v>
      </c>
      <c r="B4" s="62" t="s">
        <v>115</v>
      </c>
      <c r="C4" s="50" t="s">
        <v>34</v>
      </c>
      <c r="D4" s="51" t="e">
        <f>SUMIF(#REF!,C4,#REF!)</f>
        <v>#REF!</v>
      </c>
      <c r="E4" s="51">
        <v>4512</v>
      </c>
      <c r="F4" s="51" t="e">
        <f>SUMIF(#REF!,C4,#REF!)+SUMIF(#REF!,C4,#REF!)+SUMIF('8CollegeAct'!$B$5:$B$40,C4,'8CollegeAct'!$AE$5:$AE$41)-SUMIF('8CollegeAct'!$B$5:$B$40,C4,'8CollegeAct'!$M$5:$M$41)-SUMIF('8CollegeAct'!$B$5:$B$40,C4,'8CollegeAct'!$P$5:$P$41)</f>
        <v>#REF!</v>
      </c>
    </row>
    <row r="5" spans="1:6" ht="18" customHeight="1">
      <c r="A5" s="49">
        <v>5</v>
      </c>
      <c r="B5" s="62" t="s">
        <v>113</v>
      </c>
      <c r="C5" s="50" t="s">
        <v>18</v>
      </c>
      <c r="D5" s="51" t="e">
        <f>SUMIF(#REF!,C5,#REF!)</f>
        <v>#REF!</v>
      </c>
      <c r="E5" s="51">
        <v>629</v>
      </c>
      <c r="F5" s="51" t="e">
        <f>SUMIF(#REF!,C5,#REF!)+SUMIF(#REF!,C5,#REF!)+SUMIF('8CollegeAct'!$B$5:$B$40,C5,'8CollegeAct'!$AE$5:$AE$41)-SUMIF('8CollegeAct'!$B$5:$B$40,C5,'8CollegeAct'!$M$5:$M$41)-SUMIF('8CollegeAct'!$B$5:$B$40,C5,'8CollegeAct'!$P$5:$P$41)</f>
        <v>#REF!</v>
      </c>
    </row>
    <row r="6" spans="1:6" ht="18" customHeight="1">
      <c r="A6" s="49">
        <v>35</v>
      </c>
      <c r="B6" s="62" t="s">
        <v>113</v>
      </c>
      <c r="C6" s="50" t="s">
        <v>48</v>
      </c>
      <c r="D6" s="51" t="e">
        <f>SUMIF(#REF!,C6,#REF!)</f>
        <v>#REF!</v>
      </c>
      <c r="E6" s="51">
        <v>857</v>
      </c>
      <c r="F6" s="51" t="e">
        <f>SUMIF(#REF!,C6,#REF!)+SUMIF(#REF!,C6,#REF!)+SUMIF('8CollegeAct'!$B$5:$B$40,C6,'8CollegeAct'!$AE$5:$AE$41)-SUMIF('8CollegeAct'!$B$5:$B$40,C6,'8CollegeAct'!$M$5:$M$41)-SUMIF('8CollegeAct'!$B$5:$B$40,C6,'8CollegeAct'!$P$5:$P$41)</f>
        <v>#REF!</v>
      </c>
    </row>
    <row r="7" spans="1:6" ht="18" customHeight="1">
      <c r="A7" s="49">
        <v>2</v>
      </c>
      <c r="B7" s="62" t="s">
        <v>111</v>
      </c>
      <c r="C7" s="50" t="s">
        <v>15</v>
      </c>
      <c r="D7" s="51" t="e">
        <f>SUMIF(#REF!,C7,#REF!)</f>
        <v>#REF!</v>
      </c>
      <c r="E7" s="51">
        <v>4780</v>
      </c>
      <c r="F7" s="51" t="e">
        <f>SUMIF(#REF!,C7,#REF!)+SUMIF(#REF!,C7,#REF!)+SUMIF('8CollegeAct'!$B$5:$B$40,C7,'8CollegeAct'!$AE$5:$AE$41)-SUMIF('8CollegeAct'!$B$5:$B$40,C7,'8CollegeAct'!$M$5:$M$41)-SUMIF('8CollegeAct'!$B$5:$B$40,C7,'8CollegeAct'!$P$5:$P$41)</f>
        <v>#REF!</v>
      </c>
    </row>
    <row r="8" spans="1:6" ht="18" customHeight="1">
      <c r="A8" s="49">
        <v>20</v>
      </c>
      <c r="B8" s="62" t="s">
        <v>114</v>
      </c>
      <c r="C8" s="50" t="s">
        <v>33</v>
      </c>
      <c r="D8" s="51" t="e">
        <f>SUMIF(#REF!,C8,#REF!)</f>
        <v>#REF!</v>
      </c>
      <c r="E8" s="51">
        <v>2009</v>
      </c>
      <c r="F8" s="51" t="e">
        <f>SUMIF(#REF!,C8,#REF!)+SUMIF(#REF!,C8,#REF!)+SUMIF('8CollegeAct'!$B$5:$B$40,C8,'8CollegeAct'!$AE$5:$AE$41)-SUMIF('8CollegeAct'!$B$5:$B$40,C8,'8CollegeAct'!$M$5:$M$41)-SUMIF('8CollegeAct'!$B$5:$B$40,C8,'8CollegeAct'!$P$5:$P$41)</f>
        <v>#REF!</v>
      </c>
    </row>
    <row r="9" spans="1:6" ht="18" customHeight="1">
      <c r="A9" s="49">
        <v>29</v>
      </c>
      <c r="B9" s="62" t="s">
        <v>115</v>
      </c>
      <c r="C9" s="50" t="s">
        <v>42</v>
      </c>
      <c r="D9" s="51" t="e">
        <f>SUMIF(#REF!,C9,#REF!)</f>
        <v>#REF!</v>
      </c>
      <c r="E9" s="51">
        <v>2435</v>
      </c>
      <c r="F9" s="51" t="e">
        <f>SUMIF(#REF!,C9,#REF!)+SUMIF(#REF!,C9,#REF!)+SUMIF('8CollegeAct'!$B$5:$B$40,C9,'8CollegeAct'!$AE$5:$AE$41)-SUMIF('8CollegeAct'!$B$5:$B$40,C9,'8CollegeAct'!$M$5:$M$41)-SUMIF('8CollegeAct'!$B$5:$B$40,C9,'8CollegeAct'!$P$5:$P$41)</f>
        <v>#REF!</v>
      </c>
    </row>
    <row r="10" spans="1:6" ht="18" customHeight="1">
      <c r="A10" s="49">
        <v>31</v>
      </c>
      <c r="B10" s="62" t="s">
        <v>111</v>
      </c>
      <c r="C10" s="50" t="s">
        <v>44</v>
      </c>
      <c r="D10" s="51" t="e">
        <f>SUMIF(#REF!,C10,#REF!)</f>
        <v>#REF!</v>
      </c>
      <c r="E10" s="51">
        <v>1985</v>
      </c>
      <c r="F10" s="51" t="e">
        <f>SUMIF(#REF!,C10,#REF!)+SUMIF(#REF!,C10,#REF!)+SUMIF('8CollegeAct'!$B$5:$B$40,C10,'8CollegeAct'!$AE$5:$AE$41)-SUMIF('8CollegeAct'!$B$5:$B$40,C10,'8CollegeAct'!$M$5:$M$41)-SUMIF('8CollegeAct'!$B$5:$B$40,C10,'8CollegeAct'!$P$5:$P$41)</f>
        <v>#REF!</v>
      </c>
    </row>
    <row r="11" spans="1:6" ht="15.75">
      <c r="A11" s="49">
        <v>17</v>
      </c>
      <c r="B11" s="62" t="s">
        <v>111</v>
      </c>
      <c r="C11" s="50" t="s">
        <v>30</v>
      </c>
      <c r="D11" s="51" t="e">
        <f>SUMIF(#REF!,C11,#REF!)</f>
        <v>#REF!</v>
      </c>
      <c r="E11" s="51">
        <v>3098</v>
      </c>
      <c r="F11" s="51" t="e">
        <f>SUMIF(#REF!,C11,#REF!)+SUMIF(#REF!,C11,#REF!)+SUMIF('8CollegeAct'!$B$5:$B$40,C11,'8CollegeAct'!$AE$5:$AE$41)-SUMIF('8CollegeAct'!$B$5:$B$40,C11,'8CollegeAct'!$M$5:$M$41)-SUMIF('8CollegeAct'!$B$5:$B$40,C11,'8CollegeAct'!$P$5:$P$41)</f>
        <v>#REF!</v>
      </c>
    </row>
    <row r="12" spans="1:6" ht="18" customHeight="1">
      <c r="A12" s="49">
        <v>12</v>
      </c>
      <c r="B12" s="62" t="s">
        <v>115</v>
      </c>
      <c r="C12" s="50" t="s">
        <v>25</v>
      </c>
      <c r="D12" s="51" t="e">
        <f>SUMIF(#REF!,C12,#REF!)</f>
        <v>#REF!</v>
      </c>
      <c r="E12" s="51">
        <v>1815</v>
      </c>
      <c r="F12" s="51" t="e">
        <f>SUMIF(#REF!,C12,#REF!)+SUMIF(#REF!,C12,#REF!)+SUMIF('8CollegeAct'!$B$5:$B$40,C12,'8CollegeAct'!$AE$5:$AE$41)-SUMIF('8CollegeAct'!$B$5:$B$40,C12,'8CollegeAct'!$M$5:$M$41)-SUMIF('8CollegeAct'!$B$5:$B$40,C12,'8CollegeAct'!$P$5:$P$41)</f>
        <v>#REF!</v>
      </c>
    </row>
    <row r="13" spans="1:6" ht="15.75">
      <c r="A13" s="49">
        <v>26</v>
      </c>
      <c r="B13" s="62" t="s">
        <v>113</v>
      </c>
      <c r="C13" s="50" t="s">
        <v>39</v>
      </c>
      <c r="D13" s="51" t="e">
        <f>SUMIF(#REF!,C13,#REF!)</f>
        <v>#REF!</v>
      </c>
      <c r="E13" s="51">
        <v>1089</v>
      </c>
      <c r="F13" s="51" t="e">
        <f>SUMIF(#REF!,C13,#REF!)+SUMIF(#REF!,C13,#REF!)+SUMIF('8CollegeAct'!$B$5:$B$40,C13,'8CollegeAct'!$AE$5:$AE$41)-SUMIF('8CollegeAct'!$B$5:$B$40,C13,'8CollegeAct'!$M$5:$M$41)-SUMIF('8CollegeAct'!$B$5:$B$40,C13,'8CollegeAct'!$P$5:$P$41)</f>
        <v>#REF!</v>
      </c>
    </row>
    <row r="14" spans="1:6" ht="15.75">
      <c r="A14" s="49">
        <v>16</v>
      </c>
      <c r="B14" s="62" t="s">
        <v>113</v>
      </c>
      <c r="C14" s="50" t="s">
        <v>29</v>
      </c>
      <c r="D14" s="51" t="e">
        <f>SUMIF(#REF!,C14,#REF!)</f>
        <v>#REF!</v>
      </c>
      <c r="E14" s="51">
        <v>187</v>
      </c>
      <c r="F14" s="51" t="e">
        <f>SUMIF(#REF!,C14,#REF!)+SUMIF(#REF!,C14,#REF!)+SUMIF('8CollegeAct'!$B$5:$B$40,C14,'8CollegeAct'!$AE$5:$AE$41)-SUMIF('8CollegeAct'!$B$5:$B$40,C14,'8CollegeAct'!$M$5:$M$41)-SUMIF('8CollegeAct'!$B$5:$B$40,C14,'8CollegeAct'!$P$5:$P$41)</f>
        <v>#REF!</v>
      </c>
    </row>
    <row r="15" spans="1:6" ht="15.75">
      <c r="A15" s="49">
        <v>4</v>
      </c>
      <c r="B15" s="62" t="s">
        <v>112</v>
      </c>
      <c r="C15" s="50" t="s">
        <v>17</v>
      </c>
      <c r="D15" s="51" t="e">
        <f>SUMIF(#REF!,C15,#REF!)</f>
        <v>#REF!</v>
      </c>
      <c r="E15" s="51">
        <v>485</v>
      </c>
      <c r="F15" s="51" t="e">
        <f>SUMIF(#REF!,C15,#REF!)+SUMIF(#REF!,C15,#REF!)+SUMIF('8CollegeAct'!$B$5:$B$40,C15,'8CollegeAct'!$AE$5:$AE$41)-SUMIF('8CollegeAct'!$B$5:$B$40,C15,'8CollegeAct'!$M$5:$M$41)-SUMIF('8CollegeAct'!$B$5:$B$40,C15,'8CollegeAct'!$P$5:$P$41)</f>
        <v>#REF!</v>
      </c>
    </row>
    <row r="16" spans="1:6" ht="15.75">
      <c r="A16" s="49">
        <v>18</v>
      </c>
      <c r="B16" s="62" t="s">
        <v>111</v>
      </c>
      <c r="C16" s="50" t="s">
        <v>31</v>
      </c>
      <c r="D16" s="51" t="e">
        <f>SUMIF(#REF!,C16,#REF!)</f>
        <v>#REF!</v>
      </c>
      <c r="E16" s="51">
        <v>962</v>
      </c>
      <c r="F16" s="51" t="e">
        <f>SUMIF(#REF!,C16,#REF!)+SUMIF(#REF!,C16,#REF!)+SUMIF('8CollegeAct'!$B$5:$B$40,C16,'8CollegeAct'!$AE$5:$AE$41)-SUMIF('8CollegeAct'!$B$5:$B$40,C16,'8CollegeAct'!$M$5:$M$41)-SUMIF('8CollegeAct'!$B$5:$B$40,C16,'8CollegeAct'!$P$5:$P$41)</f>
        <v>#REF!</v>
      </c>
    </row>
    <row r="17" spans="1:6" ht="15.75">
      <c r="A17" s="49">
        <v>28</v>
      </c>
      <c r="B17" s="62" t="s">
        <v>114</v>
      </c>
      <c r="C17" s="50" t="s">
        <v>41</v>
      </c>
      <c r="D17" s="51" t="e">
        <f>SUMIF(#REF!,C17,#REF!)</f>
        <v>#REF!</v>
      </c>
      <c r="E17" s="51">
        <v>956</v>
      </c>
      <c r="F17" s="51" t="e">
        <f>SUMIF(#REF!,C17,#REF!)+SUMIF(#REF!,C17,#REF!)+SUMIF('8CollegeAct'!$B$5:$B$40,C17,'8CollegeAct'!$AE$5:$AE$41)-SUMIF('8CollegeAct'!$B$5:$B$40,C17,'8CollegeAct'!$M$5:$M$41)-SUMIF('8CollegeAct'!$B$5:$B$40,C17,'8CollegeAct'!$P$5:$P$41)</f>
        <v>#REF!</v>
      </c>
    </row>
    <row r="18" spans="1:6" ht="15.75">
      <c r="A18" s="49">
        <v>13</v>
      </c>
      <c r="B18" s="62" t="s">
        <v>114</v>
      </c>
      <c r="C18" s="50" t="s">
        <v>26</v>
      </c>
      <c r="D18" s="51" t="e">
        <f>SUMIF(#REF!,C18,#REF!)</f>
        <v>#REF!</v>
      </c>
      <c r="E18" s="51">
        <v>1054</v>
      </c>
      <c r="F18" s="51" t="e">
        <f>SUMIF(#REF!,C18,#REF!)+SUMIF(#REF!,C18,#REF!)+SUMIF('8CollegeAct'!$B$5:$B$40,C18,'8CollegeAct'!$AE$5:$AE$41)-SUMIF('8CollegeAct'!$B$5:$B$40,C18,'8CollegeAct'!$M$5:$M$41)-SUMIF('8CollegeAct'!$B$5:$B$40,C18,'8CollegeAct'!$P$5:$P$41)</f>
        <v>#REF!</v>
      </c>
    </row>
    <row r="19" spans="1:6" ht="15.75">
      <c r="A19" s="49">
        <v>7</v>
      </c>
      <c r="B19" s="62" t="s">
        <v>113</v>
      </c>
      <c r="C19" s="50" t="s">
        <v>56</v>
      </c>
      <c r="D19" s="51" t="e">
        <f>SUMIF(#REF!,C19,#REF!)</f>
        <v>#REF!</v>
      </c>
      <c r="E19" s="51">
        <v>574</v>
      </c>
      <c r="F19" s="51" t="e">
        <f>SUMIF(#REF!,C19,#REF!)+SUMIF(#REF!,C19,#REF!)+SUMIF('8CollegeAct'!$B$5:$B$40,C19,'8CollegeAct'!$AE$5:$AE$41)-SUMIF('8CollegeAct'!$B$5:$B$40,C19,'8CollegeAct'!$M$5:$M$41)-SUMIF('8CollegeAct'!$B$5:$B$40,C19,'8CollegeAct'!$P$5:$P$41)</f>
        <v>#REF!</v>
      </c>
    </row>
    <row r="20" spans="1:6" ht="15.75">
      <c r="A20" s="49">
        <v>10</v>
      </c>
      <c r="B20" s="62" t="s">
        <v>114</v>
      </c>
      <c r="C20" s="50" t="s">
        <v>23</v>
      </c>
      <c r="D20" s="51" t="e">
        <f>SUMIF(#REF!,C20,#REF!)</f>
        <v>#REF!</v>
      </c>
      <c r="E20" s="51">
        <v>184</v>
      </c>
      <c r="F20" s="51" t="e">
        <f>SUMIF(#REF!,C20,#REF!)+SUMIF(#REF!,C20,#REF!)+SUMIF('8CollegeAct'!$B$5:$B$40,C20,'8CollegeAct'!$AE$5:$AE$41)-SUMIF('8CollegeAct'!$B$5:$B$40,C20,'8CollegeAct'!$M$5:$M$41)-SUMIF('8CollegeAct'!$B$5:$B$40,C20,'8CollegeAct'!$P$5:$P$41)</f>
        <v>#REF!</v>
      </c>
    </row>
    <row r="21" spans="1:6" ht="15.75">
      <c r="A21" s="49">
        <v>15</v>
      </c>
      <c r="B21" s="62" t="s">
        <v>114</v>
      </c>
      <c r="C21" s="50" t="s">
        <v>57</v>
      </c>
      <c r="D21" s="51" t="e">
        <f>SUMIF(#REF!,C21,#REF!)</f>
        <v>#REF!</v>
      </c>
      <c r="E21" s="51">
        <v>216</v>
      </c>
      <c r="F21" s="51" t="e">
        <f>SUMIF(#REF!,C21,#REF!)+SUMIF(#REF!,C21,#REF!)+SUMIF('8CollegeAct'!$B$5:$B$40,C21,'8CollegeAct'!$AE$5:$AE$41)-SUMIF('8CollegeAct'!$B$5:$B$40,C21,'8CollegeAct'!$M$5:$M$41)-SUMIF('8CollegeAct'!$B$5:$B$40,C21,'8CollegeAct'!$P$5:$P$41)</f>
        <v>#REF!</v>
      </c>
    </row>
    <row r="22" spans="1:6" ht="15.75">
      <c r="A22" s="49">
        <v>34</v>
      </c>
      <c r="B22" s="62" t="s">
        <v>114</v>
      </c>
      <c r="C22" s="50" t="s">
        <v>58</v>
      </c>
      <c r="D22" s="51" t="e">
        <f>SUMIF(#REF!,C22,#REF!)</f>
        <v>#REF!</v>
      </c>
      <c r="E22" s="51">
        <v>346</v>
      </c>
      <c r="F22" s="51" t="e">
        <f>SUMIF(#REF!,C22,#REF!)+SUMIF(#REF!,C22,#REF!)+SUMIF('8CollegeAct'!$B$5:$B$40,C22,'8CollegeAct'!$AE$5:$AE$41)-SUMIF('8CollegeAct'!$B$5:$B$40,C22,'8CollegeAct'!$M$5:$M$41)-SUMIF('8CollegeAct'!$B$5:$B$40,C22,'8CollegeAct'!$P$5:$P$41)</f>
        <v>#REF!</v>
      </c>
    </row>
    <row r="23" spans="1:6" ht="15.75">
      <c r="A23" s="49">
        <v>14</v>
      </c>
      <c r="B23" s="62" t="s">
        <v>114</v>
      </c>
      <c r="C23" s="50" t="s">
        <v>27</v>
      </c>
      <c r="D23" s="51" t="e">
        <f>SUMIF(#REF!,C23,#REF!)</f>
        <v>#REF!</v>
      </c>
      <c r="E23" s="51">
        <v>297</v>
      </c>
      <c r="F23" s="51" t="e">
        <f>SUMIF(#REF!,C23,#REF!)+SUMIF(#REF!,C23,#REF!)+SUMIF('8CollegeAct'!$B$5:$B$40,C23,'8CollegeAct'!$AE$5:$AE$41)-SUMIF('8CollegeAct'!$B$5:$B$40,C23,'8CollegeAct'!$M$5:$M$41)-SUMIF('8CollegeAct'!$B$5:$B$40,C23,'8CollegeAct'!$P$5:$P$41)</f>
        <v>#REF!</v>
      </c>
    </row>
    <row r="24" spans="1:6" ht="15.75">
      <c r="A24" s="49">
        <v>32</v>
      </c>
      <c r="B24" s="62" t="s">
        <v>112</v>
      </c>
      <c r="C24" s="50" t="s">
        <v>45</v>
      </c>
      <c r="D24" s="51" t="e">
        <f>SUMIF(#REF!,C24,#REF!)</f>
        <v>#REF!</v>
      </c>
      <c r="E24" s="51">
        <v>36</v>
      </c>
      <c r="F24" s="51" t="e">
        <f>SUMIF(#REF!,C24,#REF!)+SUMIF(#REF!,C24,#REF!)+SUMIF('8CollegeAct'!$B$5:$B$40,C24,'8CollegeAct'!$AE$5:$AE$41)-SUMIF('8CollegeAct'!$B$5:$B$40,C24,'8CollegeAct'!$M$5:$M$41)-SUMIF('8CollegeAct'!$B$5:$B$40,C24,'8CollegeAct'!$P$5:$P$41)</f>
        <v>#REF!</v>
      </c>
    </row>
    <row r="25" spans="1:6" ht="15.75">
      <c r="A25" s="49">
        <v>23</v>
      </c>
      <c r="B25" s="62" t="s">
        <v>112</v>
      </c>
      <c r="C25" s="50" t="s">
        <v>36</v>
      </c>
      <c r="D25" s="51" t="e">
        <f>SUMIF(#REF!,C25,#REF!)</f>
        <v>#REF!</v>
      </c>
      <c r="E25" s="51">
        <v>61</v>
      </c>
      <c r="F25" s="51" t="e">
        <f>SUMIF(#REF!,C25,#REF!)+SUMIF(#REF!,C25,#REF!)+SUMIF('8CollegeAct'!$B$5:$B$40,C25,'8CollegeAct'!$AE$5:$AE$41)-SUMIF('8CollegeAct'!$B$5:$B$40,C25,'8CollegeAct'!$M$5:$M$41)-SUMIF('8CollegeAct'!$B$5:$B$40,C25,'8CollegeAct'!$P$5:$P$41)</f>
        <v>#REF!</v>
      </c>
    </row>
    <row r="26" spans="1:6" ht="15.75">
      <c r="A26" s="49">
        <v>22</v>
      </c>
      <c r="B26" s="62" t="s">
        <v>112</v>
      </c>
      <c r="C26" s="50" t="s">
        <v>35</v>
      </c>
      <c r="D26" s="51" t="e">
        <f>SUMIF(#REF!,C26,#REF!)</f>
        <v>#REF!</v>
      </c>
      <c r="E26" s="51">
        <v>78</v>
      </c>
      <c r="F26" s="51" t="e">
        <f>SUMIF(#REF!,C26,#REF!)+SUMIF(#REF!,C26,#REF!)+SUMIF('8CollegeAct'!$B$5:$B$40,C26,'8CollegeAct'!$AE$5:$AE$41)-SUMIF('8CollegeAct'!$B$5:$B$40,C26,'8CollegeAct'!$M$5:$M$41)-SUMIF('8CollegeAct'!$B$5:$B$40,C26,'8CollegeAct'!$P$5:$P$41)</f>
        <v>#REF!</v>
      </c>
    </row>
    <row r="27" spans="1:6" ht="15.75">
      <c r="A27" s="49">
        <v>25</v>
      </c>
      <c r="B27" s="62" t="s">
        <v>112</v>
      </c>
      <c r="C27" s="50" t="s">
        <v>38</v>
      </c>
      <c r="D27" s="51" t="e">
        <f>SUMIF(#REF!,C27,#REF!)</f>
        <v>#REF!</v>
      </c>
      <c r="E27" s="51">
        <v>52</v>
      </c>
      <c r="F27" s="51" t="e">
        <f>SUMIF(#REF!,C27,#REF!)+SUMIF(#REF!,C27,#REF!)+SUMIF('8CollegeAct'!$B$5:$B$40,C27,'8CollegeAct'!$AE$5:$AE$41)-SUMIF('8CollegeAct'!$B$5:$B$40,C27,'8CollegeAct'!$M$5:$M$41)-SUMIF('8CollegeAct'!$B$5:$B$40,C27,'8CollegeAct'!$P$5:$P$41)</f>
        <v>#REF!</v>
      </c>
    </row>
    <row r="28" spans="1:6" ht="15.75">
      <c r="A28" s="49">
        <v>11</v>
      </c>
      <c r="B28" s="62" t="s">
        <v>115</v>
      </c>
      <c r="C28" s="50" t="s">
        <v>24</v>
      </c>
      <c r="D28" s="51" t="e">
        <f>SUMIF(#REF!,C28,#REF!)</f>
        <v>#REF!</v>
      </c>
      <c r="E28" s="51">
        <v>47</v>
      </c>
      <c r="F28" s="51" t="e">
        <f>SUMIF(#REF!,C28,#REF!)+SUMIF(#REF!,C28,#REF!)+SUMIF('8CollegeAct'!$B$5:$B$40,C28,'8CollegeAct'!$AE$5:$AE$41)-SUMIF('8CollegeAct'!$B$5:$B$40,C28,'8CollegeAct'!$M$5:$M$41)-SUMIF('8CollegeAct'!$B$5:$B$40,C28,'8CollegeAct'!$P$5:$P$41)</f>
        <v>#REF!</v>
      </c>
    </row>
    <row r="29" spans="1:6" ht="15.75">
      <c r="A29" s="49">
        <v>3</v>
      </c>
      <c r="B29" s="62" t="s">
        <v>112</v>
      </c>
      <c r="C29" s="50" t="s">
        <v>16</v>
      </c>
      <c r="D29" s="51" t="e">
        <f>SUMIF(#REF!,C29,#REF!)</f>
        <v>#REF!</v>
      </c>
      <c r="E29" s="51">
        <v>19</v>
      </c>
      <c r="F29" s="51" t="e">
        <f>SUMIF(#REF!,C29,#REF!)+SUMIF(#REF!,C29,#REF!)+SUMIF('8CollegeAct'!$B$5:$B$40,C29,'8CollegeAct'!$AE$5:$AE$41)-SUMIF('8CollegeAct'!$B$5:$B$40,C29,'8CollegeAct'!$M$5:$M$41)-SUMIF('8CollegeAct'!$B$5:$B$40,C29,'8CollegeAct'!$P$5:$P$41)</f>
        <v>#REF!</v>
      </c>
    </row>
    <row r="30" spans="1:6" ht="15.75">
      <c r="A30" s="49">
        <v>27</v>
      </c>
      <c r="B30" s="62" t="s">
        <v>110</v>
      </c>
      <c r="C30" s="50" t="s">
        <v>40</v>
      </c>
      <c r="D30" s="51" t="e">
        <f>SUMIF(#REF!,C30,#REF!)</f>
        <v>#REF!</v>
      </c>
      <c r="E30" s="51">
        <v>82</v>
      </c>
      <c r="F30" s="51" t="e">
        <f>SUMIF(#REF!,C30,#REF!)+SUMIF(#REF!,C30,#REF!)+SUMIF('8CollegeAct'!$B$5:$B$40,C30,'8CollegeAct'!$AE$5:$AE$41)-SUMIF('8CollegeAct'!$B$5:$B$40,C30,'8CollegeAct'!$M$5:$M$41)-SUMIF('8CollegeAct'!$B$5:$B$40,C30,'8CollegeAct'!$P$5:$P$41)</f>
        <v>#REF!</v>
      </c>
    </row>
    <row r="31" spans="1:6" ht="15.75">
      <c r="A31" s="49">
        <v>6</v>
      </c>
      <c r="B31" s="62" t="s">
        <v>110</v>
      </c>
      <c r="C31" s="50" t="s">
        <v>19</v>
      </c>
      <c r="D31" s="51" t="e">
        <f>SUMIF(#REF!,C31,#REF!)</f>
        <v>#REF!</v>
      </c>
      <c r="E31" s="51">
        <v>27</v>
      </c>
      <c r="F31" s="51" t="e">
        <f>SUMIF(#REF!,C31,#REF!)+SUMIF(#REF!,C31,#REF!)+SUMIF('8CollegeAct'!$B$5:$B$40,C31,'8CollegeAct'!$AE$5:$AE$41)-SUMIF('8CollegeAct'!$B$5:$B$40,C31,'8CollegeAct'!$M$5:$M$41)-SUMIF('8CollegeAct'!$B$5:$B$40,C31,'8CollegeAct'!$P$5:$P$41)</f>
        <v>#REF!</v>
      </c>
    </row>
    <row r="32" spans="1:6" ht="15.75">
      <c r="A32" s="49">
        <v>24</v>
      </c>
      <c r="B32" s="62" t="s">
        <v>112</v>
      </c>
      <c r="C32" s="50" t="s">
        <v>37</v>
      </c>
      <c r="D32" s="51" t="e">
        <f>SUMIF(#REF!,C32,#REF!)</f>
        <v>#REF!</v>
      </c>
      <c r="E32" s="51">
        <v>29</v>
      </c>
      <c r="F32" s="51" t="e">
        <f>SUMIF(#REF!,C32,#REF!)+SUMIF(#REF!,C32,#REF!)+SUMIF('8CollegeAct'!$B$5:$B$40,C32,'8CollegeAct'!$AE$5:$AE$41)-SUMIF('8CollegeAct'!$B$5:$B$40,C32,'8CollegeAct'!$M$5:$M$41)-SUMIF('8CollegeAct'!$B$5:$B$40,C32,'8CollegeAct'!$P$5:$P$41)</f>
        <v>#REF!</v>
      </c>
    </row>
    <row r="33" spans="1:6" ht="15.75">
      <c r="A33" s="49">
        <v>30</v>
      </c>
      <c r="B33" s="62" t="s">
        <v>112</v>
      </c>
      <c r="C33" s="50" t="s">
        <v>43</v>
      </c>
      <c r="D33" s="51" t="e">
        <f>SUMIF(#REF!,C33,#REF!)</f>
        <v>#REF!</v>
      </c>
      <c r="E33" s="51">
        <v>11</v>
      </c>
      <c r="F33" s="51" t="e">
        <f>SUMIF(#REF!,C33,#REF!)+SUMIF(#REF!,C33,#REF!)+SUMIF('8CollegeAct'!$B$5:$B$40,C33,'8CollegeAct'!$AE$5:$AE$41)-SUMIF('8CollegeAct'!$B$5:$B$40,C33,'8CollegeAct'!$M$5:$M$41)-SUMIF('8CollegeAct'!$B$5:$B$40,C33,'8CollegeAct'!$P$5:$P$41)</f>
        <v>#REF!</v>
      </c>
    </row>
    <row r="34" spans="1:6" ht="15.75">
      <c r="A34" s="49">
        <v>1</v>
      </c>
      <c r="B34" s="62" t="s">
        <v>110</v>
      </c>
      <c r="C34" s="50" t="s">
        <v>55</v>
      </c>
      <c r="D34" s="51" t="e">
        <f>SUMIF(#REF!,C34,#REF!)</f>
        <v>#REF!</v>
      </c>
      <c r="E34" s="51">
        <v>6</v>
      </c>
      <c r="F34" s="51" t="e">
        <f>SUMIF(#REF!,C34,#REF!)+SUMIF(#REF!,C34,#REF!)+SUMIF('8CollegeAct'!$B$5:$B$40,C34,'8CollegeAct'!$AE$5:$AE$41)-SUMIF('8CollegeAct'!$B$5:$B$40,C34,'8CollegeAct'!$M$5:$M$41)-SUMIF('8CollegeAct'!$B$5:$B$40,C34,'8CollegeAct'!$P$5:$P$41)</f>
        <v>#REF!</v>
      </c>
    </row>
    <row r="35" spans="1:6" ht="15.75">
      <c r="A35" s="49">
        <v>8</v>
      </c>
      <c r="B35" s="62" t="s">
        <v>110</v>
      </c>
      <c r="C35" s="50" t="s">
        <v>21</v>
      </c>
      <c r="D35" s="51" t="e">
        <f>SUMIF(#REF!,C35,#REF!)</f>
        <v>#REF!</v>
      </c>
      <c r="E35" s="51">
        <v>4</v>
      </c>
      <c r="F35" s="51" t="e">
        <f>SUMIF(#REF!,C35,#REF!)+SUMIF(#REF!,C35,#REF!)+SUMIF('8CollegeAct'!$B$5:$B$40,C35,'8CollegeAct'!$AE$5:$AE$41)-SUMIF('8CollegeAct'!$B$5:$B$40,C35,'8CollegeAct'!$M$5:$M$41)-SUMIF('8CollegeAct'!$B$5:$B$40,C35,'8CollegeAct'!$P$5:$P$41)</f>
        <v>#REF!</v>
      </c>
    </row>
    <row r="36" spans="1:6" ht="15.75">
      <c r="A36" s="49">
        <v>9</v>
      </c>
      <c r="B36" s="62" t="s">
        <v>110</v>
      </c>
      <c r="C36" s="50" t="s">
        <v>22</v>
      </c>
      <c r="D36" s="51" t="e">
        <f>SUMIF(#REF!,C36,#REF!)</f>
        <v>#REF!</v>
      </c>
      <c r="E36" s="51">
        <v>3</v>
      </c>
      <c r="F36" s="51" t="e">
        <f>SUMIF(#REF!,C36,#REF!)+SUMIF(#REF!,C36,#REF!)+SUMIF('8CollegeAct'!$B$5:$B$40,C36,'8CollegeAct'!$AE$5:$AE$41)-SUMIF('8CollegeAct'!$B$5:$B$40,C36,'8CollegeAct'!$M$5:$M$41)-SUMIF('8CollegeAct'!$B$5:$B$40,C36,'8CollegeAct'!$P$5:$P$41)</f>
        <v>#REF!</v>
      </c>
    </row>
    <row r="37" spans="1:6" ht="15.75">
      <c r="A37" s="49">
        <v>19</v>
      </c>
      <c r="B37" s="62" t="s">
        <v>110</v>
      </c>
      <c r="C37" s="50" t="s">
        <v>32</v>
      </c>
      <c r="D37" s="51" t="e">
        <f>SUMIF(#REF!,C37,#REF!)</f>
        <v>#REF!</v>
      </c>
      <c r="E37" s="51">
        <v>0</v>
      </c>
      <c r="F37" s="51" t="e">
        <f>SUMIF(#REF!,C37,#REF!)+SUMIF(#REF!,C37,#REF!)+SUMIF('8CollegeAct'!$B$5:$B$40,C37,'8CollegeAct'!$AE$5:$AE$41)-SUMIF('8CollegeAct'!$B$5:$B$40,C37,'8CollegeAct'!$M$5:$M$41)-SUMIF('8CollegeAct'!$B$5:$B$40,C37,'8CollegeAct'!$P$5:$P$41)</f>
        <v>#REF!</v>
      </c>
    </row>
  </sheetData>
  <autoFilter ref="A2:F2" xr:uid="{00000000-0009-0000-0000-00003E000000}">
    <sortState xmlns:xlrd2="http://schemas.microsoft.com/office/spreadsheetml/2017/richdata2" ref="A3:F37">
      <sortCondition descending="1" ref="D2"/>
    </sortState>
  </autoFilter>
  <pageMargins left="0.7" right="0.16" top="0.66" bottom="0.75" header="0.3" footer="0.3"/>
  <pageSetup paperSize="9" scale="95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3:G40"/>
  <sheetViews>
    <sheetView topLeftCell="A22" workbookViewId="0">
      <selection activeCell="D42" sqref="D42"/>
    </sheetView>
  </sheetViews>
  <sheetFormatPr defaultColWidth="9.28515625" defaultRowHeight="14.25"/>
  <cols>
    <col min="1" max="1" width="24.42578125" style="42" bestFit="1" customWidth="1"/>
    <col min="2" max="2" width="17" style="42" bestFit="1" customWidth="1"/>
    <col min="3" max="3" width="30" style="42" customWidth="1"/>
    <col min="4" max="4" width="29.7109375" style="42" customWidth="1"/>
    <col min="5" max="5" width="18.5703125" style="42" customWidth="1"/>
    <col min="6" max="6" width="11.7109375" style="42" customWidth="1"/>
    <col min="7" max="7" width="18.5703125" style="42" customWidth="1"/>
    <col min="8" max="8" width="7.28515625" style="42" customWidth="1"/>
    <col min="9" max="9" width="11.7109375" style="42" bestFit="1" customWidth="1"/>
    <col min="10" max="16384" width="9.28515625" style="42"/>
  </cols>
  <sheetData>
    <row r="3" spans="1:7">
      <c r="A3" s="42" t="s">
        <v>68</v>
      </c>
      <c r="B3" s="42" t="s">
        <v>69</v>
      </c>
    </row>
    <row r="4" spans="1:7">
      <c r="A4" s="42" t="s">
        <v>70</v>
      </c>
      <c r="B4" s="42" t="s">
        <v>71</v>
      </c>
      <c r="C4" s="42" t="s">
        <v>72</v>
      </c>
      <c r="D4" s="42" t="s">
        <v>73</v>
      </c>
      <c r="E4" s="42" t="s">
        <v>74</v>
      </c>
      <c r="F4" s="42" t="s">
        <v>60</v>
      </c>
    </row>
    <row r="5" spans="1:7">
      <c r="A5" s="43" t="s">
        <v>55</v>
      </c>
      <c r="B5" s="42">
        <v>5</v>
      </c>
      <c r="F5" s="42">
        <v>5</v>
      </c>
      <c r="G5" s="42" t="e">
        <f>F5=#REF!</f>
        <v>#REF!</v>
      </c>
    </row>
    <row r="6" spans="1:7">
      <c r="A6" s="43" t="s">
        <v>15</v>
      </c>
      <c r="B6" s="42">
        <v>3585</v>
      </c>
      <c r="C6" s="42">
        <v>26</v>
      </c>
      <c r="D6" s="42">
        <v>4</v>
      </c>
      <c r="E6" s="42">
        <v>3</v>
      </c>
      <c r="F6" s="42">
        <v>3618</v>
      </c>
      <c r="G6" s="42" t="e">
        <f>F6=#REF!</f>
        <v>#REF!</v>
      </c>
    </row>
    <row r="7" spans="1:7">
      <c r="A7" s="43" t="s">
        <v>16</v>
      </c>
      <c r="B7" s="42">
        <v>9</v>
      </c>
      <c r="F7" s="42">
        <v>9</v>
      </c>
      <c r="G7" s="42" t="e">
        <f>F7=#REF!</f>
        <v>#REF!</v>
      </c>
    </row>
    <row r="8" spans="1:7">
      <c r="A8" s="43" t="s">
        <v>17</v>
      </c>
      <c r="B8" s="42">
        <v>171</v>
      </c>
      <c r="C8" s="42">
        <v>2</v>
      </c>
      <c r="D8" s="42">
        <v>1</v>
      </c>
      <c r="F8" s="42">
        <v>174</v>
      </c>
      <c r="G8" s="42" t="e">
        <f>F8=#REF!</f>
        <v>#REF!</v>
      </c>
    </row>
    <row r="9" spans="1:7">
      <c r="A9" s="43" t="s">
        <v>18</v>
      </c>
      <c r="B9" s="42">
        <v>249</v>
      </c>
      <c r="C9" s="42">
        <v>275</v>
      </c>
      <c r="D9" s="42">
        <v>7</v>
      </c>
      <c r="F9" s="42">
        <v>531</v>
      </c>
      <c r="G9" s="42" t="e">
        <f>F9=#REF!</f>
        <v>#REF!</v>
      </c>
    </row>
    <row r="10" spans="1:7">
      <c r="A10" s="43" t="s">
        <v>19</v>
      </c>
      <c r="B10" s="42">
        <v>13</v>
      </c>
      <c r="F10" s="42">
        <v>13</v>
      </c>
      <c r="G10" s="42" t="e">
        <f>F10=#REF!</f>
        <v>#REF!</v>
      </c>
    </row>
    <row r="11" spans="1:7">
      <c r="A11" s="43" t="s">
        <v>56</v>
      </c>
      <c r="B11" s="42">
        <v>427</v>
      </c>
      <c r="E11" s="42">
        <v>3</v>
      </c>
      <c r="F11" s="42">
        <v>430</v>
      </c>
      <c r="G11" s="42" t="e">
        <f>F11=#REF!</f>
        <v>#REF!</v>
      </c>
    </row>
    <row r="12" spans="1:7">
      <c r="A12" s="43" t="s">
        <v>21</v>
      </c>
      <c r="B12" s="42">
        <v>1</v>
      </c>
      <c r="E12" s="42">
        <v>1</v>
      </c>
      <c r="F12" s="42">
        <v>2</v>
      </c>
      <c r="G12" s="42" t="e">
        <f>F12=#REF!</f>
        <v>#REF!</v>
      </c>
    </row>
    <row r="13" spans="1:7">
      <c r="A13" s="43" t="s">
        <v>22</v>
      </c>
      <c r="B13" s="42">
        <v>3</v>
      </c>
      <c r="F13" s="42">
        <v>3</v>
      </c>
      <c r="G13" s="42" t="e">
        <f>F13=#REF!</f>
        <v>#REF!</v>
      </c>
    </row>
    <row r="14" spans="1:7">
      <c r="A14" s="43" t="s">
        <v>23</v>
      </c>
      <c r="B14" s="42">
        <v>139</v>
      </c>
      <c r="C14" s="42">
        <v>1</v>
      </c>
      <c r="E14" s="42">
        <v>2</v>
      </c>
      <c r="F14" s="42">
        <v>142</v>
      </c>
      <c r="G14" s="42" t="e">
        <f>F14=#REF!</f>
        <v>#REF!</v>
      </c>
    </row>
    <row r="15" spans="1:7">
      <c r="A15" s="43" t="s">
        <v>24</v>
      </c>
      <c r="B15" s="42">
        <v>33</v>
      </c>
      <c r="F15" s="42">
        <v>33</v>
      </c>
      <c r="G15" s="42" t="e">
        <f>F15=#REF!</f>
        <v>#REF!</v>
      </c>
    </row>
    <row r="16" spans="1:7">
      <c r="A16" s="43" t="s">
        <v>25</v>
      </c>
      <c r="B16" s="42">
        <v>1528</v>
      </c>
      <c r="C16" s="42">
        <v>58</v>
      </c>
      <c r="D16" s="42">
        <v>3</v>
      </c>
      <c r="E16" s="42">
        <v>34</v>
      </c>
      <c r="F16" s="42">
        <v>1623</v>
      </c>
      <c r="G16" s="42" t="e">
        <f>F16=#REF!</f>
        <v>#REF!</v>
      </c>
    </row>
    <row r="17" spans="1:7">
      <c r="A17" s="43" t="s">
        <v>26</v>
      </c>
      <c r="B17" s="42">
        <v>255</v>
      </c>
      <c r="C17" s="42">
        <v>11</v>
      </c>
      <c r="F17" s="42">
        <v>266</v>
      </c>
      <c r="G17" s="42" t="e">
        <f>F17=#REF!</f>
        <v>#REF!</v>
      </c>
    </row>
    <row r="18" spans="1:7">
      <c r="A18" s="43" t="s">
        <v>27</v>
      </c>
      <c r="B18" s="42">
        <v>231</v>
      </c>
      <c r="C18" s="42">
        <v>4</v>
      </c>
      <c r="D18" s="42">
        <v>1</v>
      </c>
      <c r="F18" s="42">
        <v>236</v>
      </c>
      <c r="G18" s="42" t="e">
        <f>F18=#REF!</f>
        <v>#REF!</v>
      </c>
    </row>
    <row r="19" spans="1:7">
      <c r="A19" s="43" t="s">
        <v>57</v>
      </c>
      <c r="B19" s="42">
        <v>117</v>
      </c>
      <c r="C19" s="42">
        <v>1</v>
      </c>
      <c r="D19" s="42">
        <v>1</v>
      </c>
      <c r="F19" s="42">
        <v>119</v>
      </c>
      <c r="G19" s="42" t="e">
        <f>F19=#REF!</f>
        <v>#REF!</v>
      </c>
    </row>
    <row r="20" spans="1:7">
      <c r="A20" s="43" t="s">
        <v>29</v>
      </c>
      <c r="B20" s="42">
        <v>18</v>
      </c>
      <c r="C20" s="42">
        <v>19</v>
      </c>
      <c r="D20" s="42">
        <v>1</v>
      </c>
      <c r="F20" s="42">
        <v>38</v>
      </c>
      <c r="G20" s="42" t="e">
        <f>F20=#REF!</f>
        <v>#REF!</v>
      </c>
    </row>
    <row r="21" spans="1:7">
      <c r="A21" s="43" t="s">
        <v>30</v>
      </c>
      <c r="B21" s="42">
        <v>2822</v>
      </c>
      <c r="C21" s="42">
        <v>51</v>
      </c>
      <c r="D21" s="42">
        <v>34</v>
      </c>
      <c r="E21" s="42">
        <v>97</v>
      </c>
      <c r="F21" s="42">
        <v>3004</v>
      </c>
      <c r="G21" s="42" t="e">
        <f>F21=#REF!</f>
        <v>#REF!</v>
      </c>
    </row>
    <row r="22" spans="1:7">
      <c r="A22" s="43" t="s">
        <v>31</v>
      </c>
      <c r="B22" s="42">
        <v>536</v>
      </c>
      <c r="C22" s="42">
        <v>20</v>
      </c>
      <c r="D22" s="42">
        <v>1</v>
      </c>
      <c r="E22" s="42">
        <v>23</v>
      </c>
      <c r="F22" s="42">
        <v>580</v>
      </c>
      <c r="G22" s="42" t="e">
        <f>F22=#REF!</f>
        <v>#REF!</v>
      </c>
    </row>
    <row r="23" spans="1:7">
      <c r="A23" s="43"/>
      <c r="G23" s="42" t="e">
        <f>F23=#REF!</f>
        <v>#REF!</v>
      </c>
    </row>
    <row r="24" spans="1:7">
      <c r="A24" s="43" t="s">
        <v>33</v>
      </c>
      <c r="B24" s="42">
        <v>395</v>
      </c>
      <c r="C24" s="42">
        <v>1</v>
      </c>
      <c r="D24" s="42">
        <v>1</v>
      </c>
      <c r="E24" s="42">
        <v>3</v>
      </c>
      <c r="F24" s="42">
        <v>400</v>
      </c>
      <c r="G24" s="42" t="e">
        <f>F24=#REF!</f>
        <v>#REF!</v>
      </c>
    </row>
    <row r="25" spans="1:7">
      <c r="A25" s="43" t="s">
        <v>34</v>
      </c>
      <c r="B25" s="42">
        <v>1273</v>
      </c>
      <c r="C25" s="42">
        <v>309</v>
      </c>
      <c r="D25" s="42">
        <v>3</v>
      </c>
      <c r="E25" s="42">
        <v>120</v>
      </c>
      <c r="F25" s="42">
        <v>1705</v>
      </c>
      <c r="G25" s="42" t="e">
        <f>F25=#REF!</f>
        <v>#REF!</v>
      </c>
    </row>
    <row r="26" spans="1:7">
      <c r="A26" s="43" t="s">
        <v>35</v>
      </c>
      <c r="B26" s="42">
        <v>18</v>
      </c>
      <c r="C26" s="42">
        <v>1</v>
      </c>
      <c r="E26" s="42">
        <v>1</v>
      </c>
      <c r="F26" s="42">
        <v>20</v>
      </c>
      <c r="G26" s="42" t="e">
        <f>F26=#REF!</f>
        <v>#REF!</v>
      </c>
    </row>
    <row r="27" spans="1:7">
      <c r="A27" s="43" t="s">
        <v>36</v>
      </c>
      <c r="B27" s="42">
        <v>24</v>
      </c>
      <c r="D27" s="42">
        <v>1</v>
      </c>
      <c r="F27" s="42">
        <v>25</v>
      </c>
      <c r="G27" s="42" t="e">
        <f>F27=#REF!</f>
        <v>#REF!</v>
      </c>
    </row>
    <row r="28" spans="1:7">
      <c r="A28" s="43" t="s">
        <v>37</v>
      </c>
      <c r="B28" s="42">
        <v>27</v>
      </c>
      <c r="C28" s="42">
        <v>1</v>
      </c>
      <c r="F28" s="42">
        <v>28</v>
      </c>
      <c r="G28" s="42" t="e">
        <f>F28=#REF!</f>
        <v>#REF!</v>
      </c>
    </row>
    <row r="29" spans="1:7">
      <c r="A29" s="43" t="s">
        <v>38</v>
      </c>
      <c r="B29" s="42">
        <v>52</v>
      </c>
      <c r="D29" s="42">
        <v>3</v>
      </c>
      <c r="F29" s="42">
        <v>55</v>
      </c>
      <c r="G29" s="42" t="e">
        <f>F29=#REF!</f>
        <v>#REF!</v>
      </c>
    </row>
    <row r="30" spans="1:7">
      <c r="A30" s="43" t="s">
        <v>39</v>
      </c>
      <c r="B30" s="42">
        <v>389</v>
      </c>
      <c r="C30" s="42">
        <v>1</v>
      </c>
      <c r="D30" s="42">
        <v>1</v>
      </c>
      <c r="F30" s="42">
        <v>391</v>
      </c>
      <c r="G30" s="42" t="e">
        <f>F30=#REF!</f>
        <v>#REF!</v>
      </c>
    </row>
    <row r="31" spans="1:7">
      <c r="A31" s="43" t="s">
        <v>40</v>
      </c>
      <c r="B31" s="42">
        <v>71</v>
      </c>
      <c r="D31" s="42">
        <v>1</v>
      </c>
      <c r="F31" s="42">
        <v>72</v>
      </c>
      <c r="G31" s="42" t="e">
        <f>F31=#REF!</f>
        <v>#REF!</v>
      </c>
    </row>
    <row r="32" spans="1:7">
      <c r="A32" s="43" t="s">
        <v>41</v>
      </c>
      <c r="B32" s="42">
        <v>230</v>
      </c>
      <c r="C32" s="42">
        <v>2</v>
      </c>
      <c r="F32" s="42">
        <v>232</v>
      </c>
      <c r="G32" s="42" t="e">
        <f>F32=#REF!</f>
        <v>#REF!</v>
      </c>
    </row>
    <row r="33" spans="1:7">
      <c r="A33" s="43" t="s">
        <v>42</v>
      </c>
      <c r="B33" s="42">
        <v>708</v>
      </c>
      <c r="C33" s="42">
        <v>6</v>
      </c>
      <c r="D33" s="42">
        <v>1</v>
      </c>
      <c r="F33" s="42">
        <v>715</v>
      </c>
      <c r="G33" s="42" t="e">
        <f>F33=#REF!</f>
        <v>#REF!</v>
      </c>
    </row>
    <row r="34" spans="1:7">
      <c r="A34" s="43" t="s">
        <v>43</v>
      </c>
      <c r="B34" s="42">
        <v>9</v>
      </c>
      <c r="C34" s="42">
        <v>4</v>
      </c>
      <c r="F34" s="42">
        <v>13</v>
      </c>
      <c r="G34" s="42" t="e">
        <f>F34=#REF!</f>
        <v>#REF!</v>
      </c>
    </row>
    <row r="35" spans="1:7">
      <c r="A35" s="43" t="s">
        <v>44</v>
      </c>
      <c r="B35" s="42">
        <v>1020</v>
      </c>
      <c r="C35" s="42">
        <v>28</v>
      </c>
      <c r="D35" s="42">
        <v>2</v>
      </c>
      <c r="F35" s="42">
        <v>1050</v>
      </c>
      <c r="G35" s="42" t="e">
        <f>F35=#REF!</f>
        <v>#REF!</v>
      </c>
    </row>
    <row r="36" spans="1:7">
      <c r="A36" s="43" t="s">
        <v>45</v>
      </c>
      <c r="B36" s="42">
        <v>35</v>
      </c>
      <c r="F36" s="42">
        <v>35</v>
      </c>
      <c r="G36" s="42" t="e">
        <f>F36=#REF!</f>
        <v>#REF!</v>
      </c>
    </row>
    <row r="37" spans="1:7">
      <c r="A37" s="43" t="s">
        <v>47</v>
      </c>
      <c r="B37" s="42">
        <v>911</v>
      </c>
      <c r="C37" s="42">
        <v>2</v>
      </c>
      <c r="D37" s="42">
        <v>6</v>
      </c>
      <c r="F37" s="42">
        <v>919</v>
      </c>
      <c r="G37" s="42" t="e">
        <f>F37=#REF!</f>
        <v>#REF!</v>
      </c>
    </row>
    <row r="38" spans="1:7">
      <c r="A38" s="43" t="s">
        <v>58</v>
      </c>
      <c r="B38" s="42">
        <v>161</v>
      </c>
      <c r="C38" s="42">
        <v>4</v>
      </c>
      <c r="F38" s="42">
        <v>165</v>
      </c>
      <c r="G38" s="42" t="e">
        <f>F38=#REF!</f>
        <v>#REF!</v>
      </c>
    </row>
    <row r="39" spans="1:7">
      <c r="A39" s="43" t="s">
        <v>48</v>
      </c>
      <c r="B39" s="42">
        <v>357</v>
      </c>
      <c r="C39" s="42">
        <v>11</v>
      </c>
      <c r="D39" s="42">
        <v>4</v>
      </c>
      <c r="F39" s="42">
        <v>372</v>
      </c>
      <c r="G39" s="42" t="e">
        <f>F39=#REF!</f>
        <v>#REF!</v>
      </c>
    </row>
    <row r="40" spans="1:7">
      <c r="A40" s="43" t="s">
        <v>60</v>
      </c>
      <c r="B40" s="42">
        <v>15822</v>
      </c>
      <c r="C40" s="42">
        <v>838</v>
      </c>
      <c r="D40" s="42">
        <v>76</v>
      </c>
      <c r="E40" s="42">
        <v>287</v>
      </c>
      <c r="F40" s="42">
        <v>17023</v>
      </c>
      <c r="G40" s="42" t="e">
        <f>F40=#REF!</f>
        <v>#REF!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U40"/>
  <sheetViews>
    <sheetView topLeftCell="A16" workbookViewId="0">
      <selection activeCell="B23" sqref="B23"/>
    </sheetView>
  </sheetViews>
  <sheetFormatPr defaultRowHeight="12.75"/>
  <cols>
    <col min="1" max="1" width="5.28515625" customWidth="1"/>
    <col min="2" max="2" width="14.28515625" customWidth="1"/>
    <col min="3" max="3" width="8.42578125" customWidth="1"/>
    <col min="4" max="4" width="10.28515625" customWidth="1"/>
    <col min="5" max="5" width="8.42578125" customWidth="1"/>
    <col min="6" max="6" width="6.7109375" customWidth="1"/>
    <col min="7" max="7" width="10.28515625" customWidth="1"/>
    <col min="8" max="8" width="9.28515625" customWidth="1"/>
    <col min="9" max="10" width="6.7109375" customWidth="1"/>
    <col min="11" max="12" width="8.42578125" customWidth="1"/>
    <col min="13" max="13" width="10.28515625" customWidth="1"/>
    <col min="14" max="14" width="8.42578125" customWidth="1"/>
    <col min="15" max="15" width="6.7109375" customWidth="1"/>
    <col min="16" max="16" width="10.28515625" customWidth="1"/>
    <col min="17" max="17" width="9.28515625" customWidth="1"/>
    <col min="18" max="18" width="8.28515625" customWidth="1"/>
    <col min="19" max="20" width="8.42578125" customWidth="1"/>
    <col min="21" max="21" width="8.7109375" hidden="1" customWidth="1"/>
    <col min="22" max="22" width="6.7109375" customWidth="1"/>
  </cols>
  <sheetData>
    <row r="1" spans="1:21" ht="21" customHeight="1">
      <c r="A1" s="2"/>
      <c r="B1" s="1260" t="s">
        <v>0</v>
      </c>
      <c r="C1" s="1260"/>
      <c r="D1" s="1260"/>
      <c r="E1" s="1260"/>
      <c r="F1" s="1260"/>
      <c r="G1" s="1260"/>
      <c r="H1" s="1260"/>
      <c r="I1" s="1260"/>
      <c r="J1" s="1260"/>
      <c r="K1" s="1260"/>
      <c r="L1" s="1260"/>
      <c r="M1" s="1260"/>
      <c r="N1" s="1260"/>
      <c r="O1" s="1260"/>
      <c r="P1" s="1260"/>
      <c r="Q1" s="1260"/>
      <c r="R1" s="1260"/>
      <c r="S1" s="1260"/>
      <c r="T1" s="1260"/>
      <c r="U1" s="2"/>
    </row>
    <row r="2" spans="1:21" ht="20.100000000000001" customHeight="1" thickBot="1">
      <c r="A2" s="2"/>
      <c r="B2" s="1261" t="s">
        <v>1</v>
      </c>
      <c r="C2" s="1261"/>
      <c r="D2" s="1261"/>
      <c r="E2" s="1261"/>
      <c r="F2" s="1261"/>
      <c r="G2" s="1261"/>
      <c r="H2" s="1261"/>
      <c r="I2" s="1261"/>
      <c r="J2" s="1261"/>
      <c r="K2" s="1261"/>
      <c r="L2" s="1261"/>
      <c r="M2" s="1261"/>
      <c r="N2" s="1261"/>
      <c r="O2" s="1261"/>
      <c r="P2" s="1261"/>
      <c r="Q2" s="1261"/>
      <c r="R2" s="1261"/>
      <c r="S2" s="1261"/>
      <c r="T2" s="1261"/>
      <c r="U2" s="2"/>
    </row>
    <row r="3" spans="1:21" ht="23.25" customHeight="1" thickBot="1">
      <c r="A3" s="2"/>
      <c r="B3" s="3" t="s">
        <v>2</v>
      </c>
      <c r="C3" s="1262" t="s">
        <v>3</v>
      </c>
      <c r="D3" s="1262"/>
      <c r="E3" s="1262"/>
      <c r="F3" s="1262"/>
      <c r="G3" s="1262"/>
      <c r="H3" s="1262"/>
      <c r="I3" s="1262"/>
      <c r="J3" s="1262"/>
      <c r="K3" s="1262"/>
      <c r="L3" s="1262" t="s">
        <v>4</v>
      </c>
      <c r="M3" s="1262"/>
      <c r="N3" s="1262"/>
      <c r="O3" s="1262"/>
      <c r="P3" s="1262"/>
      <c r="Q3" s="1262"/>
      <c r="R3" s="1262"/>
      <c r="S3" s="1262"/>
      <c r="T3" s="1262"/>
      <c r="U3" s="2"/>
    </row>
    <row r="4" spans="1:21" ht="40.15" customHeight="1" thickBot="1">
      <c r="A4" s="2"/>
      <c r="B4" s="1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4" t="s">
        <v>13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4" t="s">
        <v>13</v>
      </c>
      <c r="U4" s="2"/>
    </row>
    <row r="5" spans="1:21" ht="33" customHeight="1" thickBot="1">
      <c r="A5" s="2"/>
      <c r="B5" s="23" t="s">
        <v>55</v>
      </c>
      <c r="C5" s="24"/>
      <c r="D5" s="24"/>
      <c r="E5" s="24"/>
      <c r="F5" s="24"/>
      <c r="G5" s="24"/>
      <c r="H5" s="24"/>
      <c r="I5" s="24"/>
      <c r="J5" s="24">
        <v>0</v>
      </c>
      <c r="K5" s="24"/>
      <c r="L5" s="24">
        <v>3</v>
      </c>
      <c r="M5" s="24"/>
      <c r="N5" s="24"/>
      <c r="O5" s="24"/>
      <c r="P5" s="24">
        <v>1</v>
      </c>
      <c r="Q5" s="24"/>
      <c r="R5" s="24">
        <v>1</v>
      </c>
      <c r="S5" s="24">
        <v>5</v>
      </c>
      <c r="T5" s="24"/>
      <c r="U5" s="2"/>
    </row>
    <row r="6" spans="1:21" ht="33" customHeight="1" thickBot="1">
      <c r="A6" s="2"/>
      <c r="B6" s="23" t="s">
        <v>15</v>
      </c>
      <c r="C6" s="24">
        <v>26</v>
      </c>
      <c r="D6" s="24">
        <v>2</v>
      </c>
      <c r="E6" s="24">
        <v>2</v>
      </c>
      <c r="F6" s="24">
        <v>2</v>
      </c>
      <c r="G6" s="24">
        <v>6</v>
      </c>
      <c r="H6" s="24">
        <v>1</v>
      </c>
      <c r="I6" s="24">
        <v>6</v>
      </c>
      <c r="J6" s="24">
        <v>45</v>
      </c>
      <c r="K6" s="24">
        <v>1</v>
      </c>
      <c r="L6" s="24">
        <v>2628</v>
      </c>
      <c r="M6" s="24">
        <v>2</v>
      </c>
      <c r="N6" s="24">
        <v>47</v>
      </c>
      <c r="O6" s="24">
        <v>16</v>
      </c>
      <c r="P6" s="24">
        <v>497</v>
      </c>
      <c r="Q6" s="24">
        <v>5</v>
      </c>
      <c r="R6" s="24">
        <v>423</v>
      </c>
      <c r="S6" s="24">
        <v>3618</v>
      </c>
      <c r="T6" s="24">
        <v>332</v>
      </c>
      <c r="U6" s="2"/>
    </row>
    <row r="7" spans="1:21" ht="33" customHeight="1" thickBot="1">
      <c r="A7" s="2"/>
      <c r="B7" s="23" t="s">
        <v>16</v>
      </c>
      <c r="C7" s="24">
        <v>3</v>
      </c>
      <c r="D7" s="24"/>
      <c r="E7" s="24"/>
      <c r="F7" s="24"/>
      <c r="G7" s="24"/>
      <c r="H7" s="24"/>
      <c r="I7" s="24"/>
      <c r="J7" s="24">
        <v>3</v>
      </c>
      <c r="K7" s="24"/>
      <c r="L7" s="24">
        <v>8</v>
      </c>
      <c r="M7" s="24"/>
      <c r="N7" s="24"/>
      <c r="O7" s="24"/>
      <c r="P7" s="24">
        <v>1</v>
      </c>
      <c r="Q7" s="24"/>
      <c r="R7" s="24"/>
      <c r="S7" s="24">
        <v>9</v>
      </c>
      <c r="T7" s="24"/>
      <c r="U7" s="2"/>
    </row>
    <row r="8" spans="1:21" ht="33" customHeight="1" thickBot="1">
      <c r="A8" s="2"/>
      <c r="B8" s="23" t="s">
        <v>17</v>
      </c>
      <c r="C8" s="24">
        <v>6</v>
      </c>
      <c r="D8" s="24">
        <v>1</v>
      </c>
      <c r="E8" s="24"/>
      <c r="F8" s="24"/>
      <c r="G8" s="24">
        <v>2</v>
      </c>
      <c r="H8" s="24"/>
      <c r="I8" s="24"/>
      <c r="J8" s="24">
        <v>9</v>
      </c>
      <c r="K8" s="24"/>
      <c r="L8" s="24">
        <v>135</v>
      </c>
      <c r="M8" s="24"/>
      <c r="N8" s="24">
        <v>4</v>
      </c>
      <c r="O8" s="24">
        <v>4</v>
      </c>
      <c r="P8" s="24">
        <v>1</v>
      </c>
      <c r="Q8" s="24">
        <v>1</v>
      </c>
      <c r="R8" s="24">
        <v>29</v>
      </c>
      <c r="S8" s="24">
        <v>174</v>
      </c>
      <c r="T8" s="24">
        <v>10</v>
      </c>
      <c r="U8" s="2"/>
    </row>
    <row r="9" spans="1:21" ht="33" customHeight="1" thickBot="1">
      <c r="A9" s="2"/>
      <c r="B9" s="23" t="s">
        <v>18</v>
      </c>
      <c r="C9" s="24">
        <v>12</v>
      </c>
      <c r="D9" s="24">
        <v>2</v>
      </c>
      <c r="E9" s="24">
        <v>1</v>
      </c>
      <c r="F9" s="24">
        <v>1</v>
      </c>
      <c r="G9" s="24">
        <v>1</v>
      </c>
      <c r="H9" s="24"/>
      <c r="I9" s="24">
        <v>3</v>
      </c>
      <c r="J9" s="24">
        <v>20</v>
      </c>
      <c r="K9" s="24"/>
      <c r="L9" s="24">
        <v>408</v>
      </c>
      <c r="M9" s="24">
        <v>6</v>
      </c>
      <c r="N9" s="24">
        <v>7</v>
      </c>
      <c r="O9" s="24">
        <v>11</v>
      </c>
      <c r="P9" s="24">
        <v>10</v>
      </c>
      <c r="Q9" s="24">
        <v>3</v>
      </c>
      <c r="R9" s="24">
        <v>86</v>
      </c>
      <c r="S9" s="24">
        <v>531</v>
      </c>
      <c r="T9" s="24">
        <v>43</v>
      </c>
      <c r="U9" s="2"/>
    </row>
    <row r="10" spans="1:21" ht="33" customHeight="1" thickBot="1">
      <c r="A10" s="2"/>
      <c r="B10" s="23" t="s">
        <v>19</v>
      </c>
      <c r="C10" s="24">
        <v>1</v>
      </c>
      <c r="D10" s="24"/>
      <c r="E10" s="24"/>
      <c r="F10" s="24"/>
      <c r="G10" s="24">
        <v>1</v>
      </c>
      <c r="H10" s="24"/>
      <c r="I10" s="24"/>
      <c r="J10" s="24">
        <v>2</v>
      </c>
      <c r="K10" s="24"/>
      <c r="L10" s="24">
        <v>5</v>
      </c>
      <c r="M10" s="24"/>
      <c r="N10" s="24">
        <v>1</v>
      </c>
      <c r="O10" s="24"/>
      <c r="P10" s="24">
        <v>2</v>
      </c>
      <c r="Q10" s="24"/>
      <c r="R10" s="24">
        <v>5</v>
      </c>
      <c r="S10" s="24">
        <v>13</v>
      </c>
      <c r="T10" s="24">
        <v>5</v>
      </c>
      <c r="U10" s="2"/>
    </row>
    <row r="11" spans="1:21" ht="33" customHeight="1" thickBot="1">
      <c r="A11" s="2"/>
      <c r="B11" s="23" t="s">
        <v>56</v>
      </c>
      <c r="C11" s="24">
        <v>7</v>
      </c>
      <c r="D11" s="24">
        <v>1</v>
      </c>
      <c r="E11" s="24">
        <v>1</v>
      </c>
      <c r="F11" s="24">
        <v>1</v>
      </c>
      <c r="G11" s="24">
        <v>2</v>
      </c>
      <c r="H11" s="24"/>
      <c r="I11" s="24">
        <v>3</v>
      </c>
      <c r="J11" s="24">
        <v>15</v>
      </c>
      <c r="K11" s="24"/>
      <c r="L11" s="24">
        <v>311</v>
      </c>
      <c r="M11" s="24">
        <v>2</v>
      </c>
      <c r="N11" s="24">
        <v>16</v>
      </c>
      <c r="O11" s="24">
        <v>7</v>
      </c>
      <c r="P11" s="24">
        <v>44</v>
      </c>
      <c r="Q11" s="24"/>
      <c r="R11" s="24">
        <v>50</v>
      </c>
      <c r="S11" s="24">
        <v>430</v>
      </c>
      <c r="T11" s="24">
        <v>34</v>
      </c>
      <c r="U11" s="2"/>
    </row>
    <row r="12" spans="1:21" ht="33" customHeight="1" thickBot="1">
      <c r="A12" s="2"/>
      <c r="B12" s="23" t="s">
        <v>21</v>
      </c>
      <c r="C12" s="24"/>
      <c r="D12" s="24"/>
      <c r="E12" s="24"/>
      <c r="F12" s="24"/>
      <c r="G12" s="24"/>
      <c r="H12" s="24"/>
      <c r="I12" s="24"/>
      <c r="J12" s="24">
        <v>0</v>
      </c>
      <c r="K12" s="24"/>
      <c r="L12" s="24">
        <v>1</v>
      </c>
      <c r="M12" s="24"/>
      <c r="N12" s="24"/>
      <c r="O12" s="24"/>
      <c r="P12" s="24"/>
      <c r="Q12" s="24"/>
      <c r="R12" s="24">
        <v>1</v>
      </c>
      <c r="S12" s="24">
        <v>2</v>
      </c>
      <c r="T12" s="24"/>
      <c r="U12" s="2"/>
    </row>
    <row r="13" spans="1:21" ht="33" customHeight="1" thickBot="1">
      <c r="A13" s="2"/>
      <c r="B13" s="23" t="s">
        <v>22</v>
      </c>
      <c r="C13" s="24"/>
      <c r="D13" s="24"/>
      <c r="E13" s="24"/>
      <c r="F13" s="24"/>
      <c r="G13" s="24"/>
      <c r="H13" s="24"/>
      <c r="I13" s="24"/>
      <c r="J13" s="24">
        <v>0</v>
      </c>
      <c r="K13" s="24"/>
      <c r="L13" s="24">
        <v>1</v>
      </c>
      <c r="M13" s="24"/>
      <c r="N13" s="24">
        <v>1</v>
      </c>
      <c r="O13" s="24"/>
      <c r="P13" s="24"/>
      <c r="Q13" s="24"/>
      <c r="R13" s="24">
        <v>1</v>
      </c>
      <c r="S13" s="24">
        <v>3</v>
      </c>
      <c r="T13" s="24"/>
      <c r="U13" s="2"/>
    </row>
    <row r="14" spans="1:21" ht="33" customHeight="1" thickBot="1">
      <c r="A14" s="2"/>
      <c r="B14" s="23" t="s">
        <v>23</v>
      </c>
      <c r="C14" s="24">
        <v>9</v>
      </c>
      <c r="D14" s="24">
        <v>1</v>
      </c>
      <c r="E14" s="24">
        <v>1</v>
      </c>
      <c r="F14" s="24">
        <v>2</v>
      </c>
      <c r="G14" s="24">
        <v>3</v>
      </c>
      <c r="H14" s="24"/>
      <c r="I14" s="24">
        <v>5</v>
      </c>
      <c r="J14" s="24">
        <v>21</v>
      </c>
      <c r="K14" s="24"/>
      <c r="L14" s="24">
        <v>74</v>
      </c>
      <c r="M14" s="24"/>
      <c r="N14" s="24">
        <v>10</v>
      </c>
      <c r="O14" s="24">
        <v>1</v>
      </c>
      <c r="P14" s="24">
        <v>15</v>
      </c>
      <c r="Q14" s="24"/>
      <c r="R14" s="24">
        <v>42</v>
      </c>
      <c r="S14" s="24">
        <v>142</v>
      </c>
      <c r="T14" s="24">
        <v>22</v>
      </c>
      <c r="U14" s="2"/>
    </row>
    <row r="15" spans="1:21" ht="33" customHeight="1" thickBot="1">
      <c r="A15" s="2"/>
      <c r="B15" s="23" t="s">
        <v>24</v>
      </c>
      <c r="C15" s="24">
        <v>1</v>
      </c>
      <c r="D15" s="24"/>
      <c r="E15" s="24"/>
      <c r="F15" s="24"/>
      <c r="G15" s="24">
        <v>1</v>
      </c>
      <c r="H15" s="24"/>
      <c r="I15" s="24"/>
      <c r="J15" s="24">
        <v>2</v>
      </c>
      <c r="K15" s="24"/>
      <c r="L15" s="24">
        <v>22</v>
      </c>
      <c r="M15" s="24"/>
      <c r="N15" s="24">
        <v>2</v>
      </c>
      <c r="O15" s="24">
        <v>1</v>
      </c>
      <c r="P15" s="24">
        <v>3</v>
      </c>
      <c r="Q15" s="24"/>
      <c r="R15" s="24">
        <v>5</v>
      </c>
      <c r="S15" s="24">
        <v>33</v>
      </c>
      <c r="T15" s="24">
        <v>1</v>
      </c>
      <c r="U15" s="2"/>
    </row>
    <row r="16" spans="1:21" ht="33" customHeight="1" thickBot="1">
      <c r="A16" s="2"/>
      <c r="B16" s="23" t="s">
        <v>25</v>
      </c>
      <c r="C16" s="24">
        <v>22</v>
      </c>
      <c r="D16" s="24">
        <v>3</v>
      </c>
      <c r="E16" s="24">
        <v>1</v>
      </c>
      <c r="F16" s="24">
        <v>1</v>
      </c>
      <c r="G16" s="24">
        <v>3</v>
      </c>
      <c r="H16" s="24"/>
      <c r="I16" s="24">
        <v>6</v>
      </c>
      <c r="J16" s="24">
        <v>36</v>
      </c>
      <c r="K16" s="24"/>
      <c r="L16" s="24">
        <v>958</v>
      </c>
      <c r="M16" s="24">
        <v>12</v>
      </c>
      <c r="N16" s="24">
        <v>44</v>
      </c>
      <c r="O16" s="24">
        <v>26</v>
      </c>
      <c r="P16" s="24">
        <v>187</v>
      </c>
      <c r="Q16" s="24">
        <v>4</v>
      </c>
      <c r="R16" s="24">
        <v>392</v>
      </c>
      <c r="S16" s="24">
        <v>1623</v>
      </c>
      <c r="T16" s="24">
        <v>138</v>
      </c>
      <c r="U16" s="2"/>
    </row>
    <row r="17" spans="1:21" ht="33" customHeight="1" thickBot="1">
      <c r="A17" s="2"/>
      <c r="B17" s="23" t="s">
        <v>26</v>
      </c>
      <c r="C17" s="24">
        <v>11</v>
      </c>
      <c r="D17" s="24">
        <v>2</v>
      </c>
      <c r="E17" s="24">
        <v>1</v>
      </c>
      <c r="F17" s="24"/>
      <c r="G17" s="24">
        <v>4</v>
      </c>
      <c r="H17" s="24">
        <v>1</v>
      </c>
      <c r="I17" s="24">
        <v>2</v>
      </c>
      <c r="J17" s="24">
        <v>21</v>
      </c>
      <c r="K17" s="24">
        <v>1</v>
      </c>
      <c r="L17" s="24">
        <v>121</v>
      </c>
      <c r="M17" s="24">
        <v>2</v>
      </c>
      <c r="N17" s="24">
        <v>4</v>
      </c>
      <c r="O17" s="24">
        <v>2</v>
      </c>
      <c r="P17" s="24">
        <v>57</v>
      </c>
      <c r="Q17" s="24"/>
      <c r="R17" s="24">
        <v>80</v>
      </c>
      <c r="S17" s="24">
        <v>266</v>
      </c>
      <c r="T17" s="24">
        <v>38</v>
      </c>
      <c r="U17" s="2"/>
    </row>
    <row r="18" spans="1:21" ht="33" customHeight="1" thickBot="1">
      <c r="A18" s="2"/>
      <c r="B18" s="23" t="s">
        <v>27</v>
      </c>
      <c r="C18" s="24">
        <v>11</v>
      </c>
      <c r="D18" s="24">
        <v>2</v>
      </c>
      <c r="E18" s="24"/>
      <c r="F18" s="24"/>
      <c r="G18" s="24">
        <v>3</v>
      </c>
      <c r="H18" s="24"/>
      <c r="I18" s="24">
        <v>1</v>
      </c>
      <c r="J18" s="24">
        <v>17</v>
      </c>
      <c r="K18" s="24"/>
      <c r="L18" s="24">
        <v>158</v>
      </c>
      <c r="M18" s="24"/>
      <c r="N18" s="24">
        <v>5</v>
      </c>
      <c r="O18" s="24">
        <v>3</v>
      </c>
      <c r="P18" s="24">
        <v>19</v>
      </c>
      <c r="Q18" s="24"/>
      <c r="R18" s="24">
        <v>51</v>
      </c>
      <c r="S18" s="24">
        <v>236</v>
      </c>
      <c r="T18" s="24">
        <v>14</v>
      </c>
      <c r="U18" s="2"/>
    </row>
    <row r="19" spans="1:21" ht="33" customHeight="1" thickBot="1">
      <c r="A19" s="2"/>
      <c r="B19" s="23" t="s">
        <v>57</v>
      </c>
      <c r="C19" s="24">
        <v>5</v>
      </c>
      <c r="D19" s="24">
        <v>1</v>
      </c>
      <c r="E19" s="24"/>
      <c r="F19" s="24"/>
      <c r="G19" s="24">
        <v>2</v>
      </c>
      <c r="H19" s="24"/>
      <c r="I19" s="24"/>
      <c r="J19" s="24">
        <v>8</v>
      </c>
      <c r="K19" s="24"/>
      <c r="L19" s="24">
        <v>74</v>
      </c>
      <c r="M19" s="24"/>
      <c r="N19" s="24">
        <v>1</v>
      </c>
      <c r="O19" s="24">
        <v>1</v>
      </c>
      <c r="P19" s="24">
        <v>2</v>
      </c>
      <c r="Q19" s="24">
        <v>1</v>
      </c>
      <c r="R19" s="24">
        <v>40</v>
      </c>
      <c r="S19" s="24">
        <v>119</v>
      </c>
      <c r="T19" s="24">
        <v>10</v>
      </c>
      <c r="U19" s="2"/>
    </row>
    <row r="20" spans="1:21" ht="33" customHeight="1" thickBot="1">
      <c r="A20" s="2"/>
      <c r="B20" s="23" t="s">
        <v>29</v>
      </c>
      <c r="C20" s="24">
        <v>5</v>
      </c>
      <c r="D20" s="24"/>
      <c r="E20" s="24"/>
      <c r="F20" s="24">
        <v>1</v>
      </c>
      <c r="G20" s="24">
        <v>3</v>
      </c>
      <c r="H20" s="24"/>
      <c r="I20" s="24"/>
      <c r="J20" s="24">
        <v>9</v>
      </c>
      <c r="K20" s="24"/>
      <c r="L20" s="24">
        <v>31</v>
      </c>
      <c r="M20" s="24"/>
      <c r="N20" s="24"/>
      <c r="O20" s="24">
        <v>1</v>
      </c>
      <c r="P20" s="24">
        <v>4</v>
      </c>
      <c r="Q20" s="24"/>
      <c r="R20" s="24">
        <v>2</v>
      </c>
      <c r="S20" s="24">
        <v>38</v>
      </c>
      <c r="T20" s="24">
        <v>3</v>
      </c>
      <c r="U20" s="2"/>
    </row>
    <row r="21" spans="1:21" ht="33" customHeight="1" thickBot="1">
      <c r="A21" s="2"/>
      <c r="B21" s="23" t="s">
        <v>30</v>
      </c>
      <c r="C21" s="24">
        <v>21</v>
      </c>
      <c r="D21" s="24">
        <v>3</v>
      </c>
      <c r="E21" s="24">
        <v>6</v>
      </c>
      <c r="F21" s="24">
        <v>2</v>
      </c>
      <c r="G21" s="24">
        <v>3</v>
      </c>
      <c r="H21" s="24">
        <v>1</v>
      </c>
      <c r="I21" s="24">
        <v>7</v>
      </c>
      <c r="J21" s="24">
        <v>43</v>
      </c>
      <c r="K21" s="24">
        <v>1</v>
      </c>
      <c r="L21" s="24">
        <v>2013</v>
      </c>
      <c r="M21" s="24">
        <v>2</v>
      </c>
      <c r="N21" s="24">
        <v>175</v>
      </c>
      <c r="O21" s="24">
        <v>60</v>
      </c>
      <c r="P21" s="24">
        <v>190</v>
      </c>
      <c r="Q21" s="24">
        <v>1</v>
      </c>
      <c r="R21" s="24">
        <v>563</v>
      </c>
      <c r="S21" s="24">
        <v>3004</v>
      </c>
      <c r="T21" s="24">
        <v>190</v>
      </c>
      <c r="U21" s="2"/>
    </row>
    <row r="22" spans="1:21" ht="33" customHeight="1" thickBot="1">
      <c r="A22" s="2"/>
      <c r="B22" s="23" t="s">
        <v>31</v>
      </c>
      <c r="C22" s="24">
        <v>6</v>
      </c>
      <c r="D22" s="24">
        <v>1</v>
      </c>
      <c r="E22" s="24"/>
      <c r="F22" s="24">
        <v>1</v>
      </c>
      <c r="G22" s="24">
        <v>1</v>
      </c>
      <c r="H22" s="24">
        <v>1</v>
      </c>
      <c r="I22" s="24">
        <v>6</v>
      </c>
      <c r="J22" s="24">
        <v>16</v>
      </c>
      <c r="K22" s="24"/>
      <c r="L22" s="24">
        <v>355</v>
      </c>
      <c r="M22" s="24">
        <v>2</v>
      </c>
      <c r="N22" s="24">
        <v>15</v>
      </c>
      <c r="O22" s="24">
        <v>3</v>
      </c>
      <c r="P22" s="24">
        <v>73</v>
      </c>
      <c r="Q22" s="24"/>
      <c r="R22" s="24">
        <v>132</v>
      </c>
      <c r="S22" s="24">
        <v>580</v>
      </c>
      <c r="T22" s="24">
        <v>41</v>
      </c>
      <c r="U22" s="2"/>
    </row>
    <row r="23" spans="1:21" ht="33" customHeight="1" thickBot="1">
      <c r="A23" s="2"/>
      <c r="B23" s="23" t="s">
        <v>32</v>
      </c>
      <c r="C23" s="24"/>
      <c r="D23" s="24"/>
      <c r="E23" s="24"/>
      <c r="F23" s="24"/>
      <c r="G23" s="24"/>
      <c r="H23" s="24"/>
      <c r="I23" s="24"/>
      <c r="J23" s="24">
        <v>0</v>
      </c>
      <c r="K23" s="24"/>
      <c r="L23" s="24"/>
      <c r="M23" s="24"/>
      <c r="N23" s="24"/>
      <c r="O23" s="24"/>
      <c r="P23" s="24"/>
      <c r="Q23" s="24"/>
      <c r="R23" s="24"/>
      <c r="S23" s="24">
        <v>0</v>
      </c>
      <c r="T23" s="24"/>
      <c r="U23" s="2"/>
    </row>
    <row r="24" spans="1:21" ht="33" customHeight="1" thickBot="1">
      <c r="A24" s="2"/>
      <c r="B24" s="23" t="s">
        <v>33</v>
      </c>
      <c r="C24" s="24">
        <v>8</v>
      </c>
      <c r="D24" s="24">
        <v>1</v>
      </c>
      <c r="E24" s="24"/>
      <c r="F24" s="24">
        <v>1</v>
      </c>
      <c r="G24" s="24">
        <v>6</v>
      </c>
      <c r="H24" s="24"/>
      <c r="I24" s="24">
        <v>9</v>
      </c>
      <c r="J24" s="24">
        <v>25</v>
      </c>
      <c r="K24" s="24"/>
      <c r="L24" s="24">
        <v>289</v>
      </c>
      <c r="M24" s="24">
        <v>1</v>
      </c>
      <c r="N24" s="24">
        <v>11</v>
      </c>
      <c r="O24" s="24">
        <v>11</v>
      </c>
      <c r="P24" s="24">
        <v>17</v>
      </c>
      <c r="Q24" s="24"/>
      <c r="R24" s="24">
        <v>71</v>
      </c>
      <c r="S24" s="24">
        <v>400</v>
      </c>
      <c r="T24" s="24">
        <v>28</v>
      </c>
      <c r="U24" s="2"/>
    </row>
    <row r="25" spans="1:21" ht="33" customHeight="1" thickBot="1">
      <c r="A25" s="2"/>
      <c r="B25" s="23" t="s">
        <v>34</v>
      </c>
      <c r="C25" s="24">
        <v>19</v>
      </c>
      <c r="D25" s="24">
        <v>4</v>
      </c>
      <c r="E25" s="24">
        <v>6</v>
      </c>
      <c r="F25" s="24"/>
      <c r="G25" s="24">
        <v>4</v>
      </c>
      <c r="H25" s="24"/>
      <c r="I25" s="24">
        <v>11</v>
      </c>
      <c r="J25" s="24">
        <v>44</v>
      </c>
      <c r="K25" s="24">
        <v>1</v>
      </c>
      <c r="L25" s="24">
        <v>1137</v>
      </c>
      <c r="M25" s="24">
        <v>27</v>
      </c>
      <c r="N25" s="24">
        <v>60</v>
      </c>
      <c r="O25" s="24">
        <v>36</v>
      </c>
      <c r="P25" s="24">
        <v>143</v>
      </c>
      <c r="Q25" s="24">
        <v>5</v>
      </c>
      <c r="R25" s="24">
        <v>297</v>
      </c>
      <c r="S25" s="24">
        <v>1705</v>
      </c>
      <c r="T25" s="24">
        <v>99</v>
      </c>
      <c r="U25" s="2"/>
    </row>
    <row r="26" spans="1:21" ht="33" customHeight="1" thickBot="1">
      <c r="A26" s="2"/>
      <c r="B26" s="23" t="s">
        <v>35</v>
      </c>
      <c r="C26" s="24">
        <v>1</v>
      </c>
      <c r="D26" s="24">
        <v>1</v>
      </c>
      <c r="E26" s="24"/>
      <c r="F26" s="24"/>
      <c r="G26" s="24">
        <v>1</v>
      </c>
      <c r="H26" s="24"/>
      <c r="I26" s="24"/>
      <c r="J26" s="24">
        <v>3</v>
      </c>
      <c r="K26" s="24"/>
      <c r="L26" s="24">
        <v>16</v>
      </c>
      <c r="M26" s="24"/>
      <c r="N26" s="24">
        <v>1</v>
      </c>
      <c r="O26" s="24">
        <v>1</v>
      </c>
      <c r="P26" s="24">
        <v>1</v>
      </c>
      <c r="Q26" s="24"/>
      <c r="R26" s="24">
        <v>1</v>
      </c>
      <c r="S26" s="24">
        <v>20</v>
      </c>
      <c r="T26" s="24">
        <v>1</v>
      </c>
      <c r="U26" s="2"/>
    </row>
    <row r="27" spans="1:21" ht="33" customHeight="1" thickBot="1">
      <c r="A27" s="2"/>
      <c r="B27" s="23" t="s">
        <v>36</v>
      </c>
      <c r="C27" s="24">
        <v>3</v>
      </c>
      <c r="D27" s="24"/>
      <c r="E27" s="24"/>
      <c r="F27" s="24"/>
      <c r="G27" s="24">
        <v>2</v>
      </c>
      <c r="H27" s="24"/>
      <c r="I27" s="24"/>
      <c r="J27" s="24">
        <v>5</v>
      </c>
      <c r="K27" s="24"/>
      <c r="L27" s="24">
        <v>21</v>
      </c>
      <c r="M27" s="24"/>
      <c r="N27" s="24"/>
      <c r="O27" s="24"/>
      <c r="P27" s="24"/>
      <c r="Q27" s="24"/>
      <c r="R27" s="24">
        <v>4</v>
      </c>
      <c r="S27" s="24">
        <v>25</v>
      </c>
      <c r="T27" s="24">
        <v>4</v>
      </c>
      <c r="U27" s="2"/>
    </row>
    <row r="28" spans="1:21" ht="33" customHeight="1" thickBot="1">
      <c r="A28" s="2"/>
      <c r="B28" s="23" t="s">
        <v>37</v>
      </c>
      <c r="C28" s="24">
        <v>3</v>
      </c>
      <c r="D28" s="24"/>
      <c r="E28" s="24"/>
      <c r="F28" s="24"/>
      <c r="G28" s="24"/>
      <c r="H28" s="24"/>
      <c r="I28" s="24"/>
      <c r="J28" s="24">
        <v>3</v>
      </c>
      <c r="K28" s="24"/>
      <c r="L28" s="24">
        <v>23</v>
      </c>
      <c r="M28" s="24"/>
      <c r="N28" s="24">
        <v>1</v>
      </c>
      <c r="O28" s="24">
        <v>1</v>
      </c>
      <c r="P28" s="24">
        <v>1</v>
      </c>
      <c r="Q28" s="24"/>
      <c r="R28" s="24">
        <v>2</v>
      </c>
      <c r="S28" s="24">
        <v>28</v>
      </c>
      <c r="T28" s="24"/>
      <c r="U28" s="2"/>
    </row>
    <row r="29" spans="1:21" ht="33" customHeight="1" thickBot="1">
      <c r="A29" s="2"/>
      <c r="B29" s="23" t="s">
        <v>38</v>
      </c>
      <c r="C29" s="24">
        <v>3</v>
      </c>
      <c r="D29" s="24"/>
      <c r="E29" s="24"/>
      <c r="F29" s="24"/>
      <c r="G29" s="24">
        <v>1</v>
      </c>
      <c r="H29" s="24"/>
      <c r="I29" s="24"/>
      <c r="J29" s="24">
        <v>4</v>
      </c>
      <c r="K29" s="24"/>
      <c r="L29" s="24">
        <v>47</v>
      </c>
      <c r="M29" s="24">
        <v>1</v>
      </c>
      <c r="N29" s="24"/>
      <c r="O29" s="24">
        <v>2</v>
      </c>
      <c r="P29" s="24">
        <v>2</v>
      </c>
      <c r="Q29" s="24"/>
      <c r="R29" s="24">
        <v>3</v>
      </c>
      <c r="S29" s="24">
        <v>55</v>
      </c>
      <c r="T29" s="24">
        <v>2</v>
      </c>
      <c r="U29" s="2"/>
    </row>
    <row r="30" spans="1:21" ht="33" customHeight="1" thickBot="1">
      <c r="A30" s="2"/>
      <c r="B30" s="23" t="s">
        <v>39</v>
      </c>
      <c r="C30" s="24">
        <v>10</v>
      </c>
      <c r="D30" s="24">
        <v>1</v>
      </c>
      <c r="E30" s="24"/>
      <c r="F30" s="24">
        <v>1</v>
      </c>
      <c r="G30" s="24">
        <v>3</v>
      </c>
      <c r="H30" s="24"/>
      <c r="I30" s="24">
        <v>3</v>
      </c>
      <c r="J30" s="24">
        <v>18</v>
      </c>
      <c r="K30" s="24"/>
      <c r="L30" s="24">
        <v>279</v>
      </c>
      <c r="M30" s="24"/>
      <c r="N30" s="24">
        <v>1</v>
      </c>
      <c r="O30" s="24">
        <v>5</v>
      </c>
      <c r="P30" s="24">
        <v>50</v>
      </c>
      <c r="Q30" s="24"/>
      <c r="R30" s="24">
        <v>56</v>
      </c>
      <c r="S30" s="24">
        <v>391</v>
      </c>
      <c r="T30" s="24">
        <v>30</v>
      </c>
      <c r="U30" s="2"/>
    </row>
    <row r="31" spans="1:21" ht="33" customHeight="1" thickBot="1">
      <c r="A31" s="2"/>
      <c r="B31" s="23" t="s">
        <v>40</v>
      </c>
      <c r="C31" s="24">
        <v>1</v>
      </c>
      <c r="D31" s="24"/>
      <c r="E31" s="24"/>
      <c r="F31" s="24"/>
      <c r="G31" s="24">
        <v>1</v>
      </c>
      <c r="H31" s="24"/>
      <c r="I31" s="24"/>
      <c r="J31" s="24">
        <v>2</v>
      </c>
      <c r="K31" s="24"/>
      <c r="L31" s="24">
        <v>21</v>
      </c>
      <c r="M31" s="24"/>
      <c r="N31" s="24">
        <v>6</v>
      </c>
      <c r="O31" s="24">
        <v>1</v>
      </c>
      <c r="P31" s="24">
        <v>9</v>
      </c>
      <c r="Q31" s="24">
        <v>1</v>
      </c>
      <c r="R31" s="24">
        <v>34</v>
      </c>
      <c r="S31" s="24">
        <v>72</v>
      </c>
      <c r="T31" s="24">
        <v>8</v>
      </c>
      <c r="U31" s="2"/>
    </row>
    <row r="32" spans="1:21" ht="33" customHeight="1" thickBot="1">
      <c r="A32" s="2"/>
      <c r="B32" s="23" t="s">
        <v>41</v>
      </c>
      <c r="C32" s="24">
        <v>5</v>
      </c>
      <c r="D32" s="24">
        <v>1</v>
      </c>
      <c r="E32" s="24">
        <v>1</v>
      </c>
      <c r="F32" s="24">
        <v>1</v>
      </c>
      <c r="G32" s="24">
        <v>5</v>
      </c>
      <c r="H32" s="24">
        <v>1</v>
      </c>
      <c r="I32" s="24">
        <v>2</v>
      </c>
      <c r="J32" s="24">
        <v>16</v>
      </c>
      <c r="K32" s="24"/>
      <c r="L32" s="24">
        <v>71</v>
      </c>
      <c r="M32" s="24"/>
      <c r="N32" s="24">
        <v>7</v>
      </c>
      <c r="O32" s="24">
        <v>1</v>
      </c>
      <c r="P32" s="24">
        <v>79</v>
      </c>
      <c r="Q32" s="24"/>
      <c r="R32" s="24">
        <v>74</v>
      </c>
      <c r="S32" s="24">
        <v>232</v>
      </c>
      <c r="T32" s="24">
        <v>20</v>
      </c>
      <c r="U32" s="2"/>
    </row>
    <row r="33" spans="1:21" ht="33" customHeight="1" thickBot="1">
      <c r="A33" s="2"/>
      <c r="B33" s="23" t="s">
        <v>42</v>
      </c>
      <c r="C33" s="24">
        <v>19</v>
      </c>
      <c r="D33" s="24"/>
      <c r="E33" s="24">
        <v>2</v>
      </c>
      <c r="F33" s="24"/>
      <c r="G33" s="24">
        <v>5</v>
      </c>
      <c r="H33" s="24">
        <v>1</v>
      </c>
      <c r="I33" s="24">
        <v>1</v>
      </c>
      <c r="J33" s="24">
        <v>28</v>
      </c>
      <c r="K33" s="24">
        <v>1</v>
      </c>
      <c r="L33" s="24">
        <v>483</v>
      </c>
      <c r="M33" s="24">
        <v>1</v>
      </c>
      <c r="N33" s="24">
        <v>8</v>
      </c>
      <c r="O33" s="24">
        <v>6</v>
      </c>
      <c r="P33" s="24">
        <v>72</v>
      </c>
      <c r="Q33" s="24">
        <v>2</v>
      </c>
      <c r="R33" s="24">
        <v>143</v>
      </c>
      <c r="S33" s="24">
        <v>715</v>
      </c>
      <c r="T33" s="24">
        <v>173</v>
      </c>
      <c r="U33" s="2"/>
    </row>
    <row r="34" spans="1:21" ht="33" customHeight="1" thickBot="1">
      <c r="A34" s="2"/>
      <c r="B34" s="23" t="s">
        <v>43</v>
      </c>
      <c r="C34" s="24">
        <v>2</v>
      </c>
      <c r="D34" s="24"/>
      <c r="E34" s="24"/>
      <c r="F34" s="24"/>
      <c r="G34" s="24">
        <v>1</v>
      </c>
      <c r="H34" s="24"/>
      <c r="I34" s="24">
        <v>1</v>
      </c>
      <c r="J34" s="24">
        <v>4</v>
      </c>
      <c r="K34" s="24"/>
      <c r="L34" s="24">
        <v>6</v>
      </c>
      <c r="M34" s="24"/>
      <c r="N34" s="24">
        <v>1</v>
      </c>
      <c r="O34" s="24"/>
      <c r="P34" s="24"/>
      <c r="Q34" s="24"/>
      <c r="R34" s="24">
        <v>6</v>
      </c>
      <c r="S34" s="24">
        <v>13</v>
      </c>
      <c r="T34" s="24">
        <v>1</v>
      </c>
      <c r="U34" s="2"/>
    </row>
    <row r="35" spans="1:21" ht="33" customHeight="1" thickBot="1">
      <c r="A35" s="2"/>
      <c r="B35" s="23" t="s">
        <v>44</v>
      </c>
      <c r="C35" s="24">
        <v>29</v>
      </c>
      <c r="D35" s="24">
        <v>1</v>
      </c>
      <c r="E35" s="24">
        <v>1</v>
      </c>
      <c r="F35" s="24">
        <v>1</v>
      </c>
      <c r="G35" s="24">
        <v>14</v>
      </c>
      <c r="H35" s="24">
        <v>1</v>
      </c>
      <c r="I35" s="24">
        <v>8</v>
      </c>
      <c r="J35" s="24">
        <v>55</v>
      </c>
      <c r="K35" s="24">
        <v>2</v>
      </c>
      <c r="L35" s="24">
        <v>694</v>
      </c>
      <c r="M35" s="24"/>
      <c r="N35" s="24">
        <v>6</v>
      </c>
      <c r="O35" s="24">
        <v>1</v>
      </c>
      <c r="P35" s="24">
        <v>160</v>
      </c>
      <c r="Q35" s="24"/>
      <c r="R35" s="24">
        <v>189</v>
      </c>
      <c r="S35" s="24">
        <v>1050</v>
      </c>
      <c r="T35" s="24">
        <v>140</v>
      </c>
      <c r="U35" s="2"/>
    </row>
    <row r="36" spans="1:21" ht="33" customHeight="1" thickBot="1">
      <c r="A36" s="2"/>
      <c r="B36" s="23" t="s">
        <v>45</v>
      </c>
      <c r="C36" s="24">
        <v>2</v>
      </c>
      <c r="D36" s="24"/>
      <c r="E36" s="24"/>
      <c r="F36" s="24"/>
      <c r="G36" s="24">
        <v>1</v>
      </c>
      <c r="H36" s="24"/>
      <c r="I36" s="24"/>
      <c r="J36" s="24">
        <v>3</v>
      </c>
      <c r="K36" s="24"/>
      <c r="L36" s="24">
        <v>19</v>
      </c>
      <c r="M36" s="24"/>
      <c r="N36" s="24">
        <v>3</v>
      </c>
      <c r="O36" s="24">
        <v>1</v>
      </c>
      <c r="P36" s="24">
        <v>4</v>
      </c>
      <c r="Q36" s="24">
        <v>1</v>
      </c>
      <c r="R36" s="24">
        <v>7</v>
      </c>
      <c r="S36" s="24">
        <v>35</v>
      </c>
      <c r="T36" s="24">
        <v>2</v>
      </c>
      <c r="U36" s="2"/>
    </row>
    <row r="37" spans="1:21" ht="33" customHeight="1" thickBot="1">
      <c r="A37" s="2"/>
      <c r="B37" s="23" t="s">
        <v>47</v>
      </c>
      <c r="C37" s="24">
        <v>27</v>
      </c>
      <c r="D37" s="24">
        <v>3</v>
      </c>
      <c r="E37" s="24"/>
      <c r="F37" s="24">
        <v>1</v>
      </c>
      <c r="G37" s="24">
        <v>5</v>
      </c>
      <c r="H37" s="24">
        <v>2</v>
      </c>
      <c r="I37" s="24">
        <v>3</v>
      </c>
      <c r="J37" s="24">
        <v>41</v>
      </c>
      <c r="K37" s="24"/>
      <c r="L37" s="24">
        <v>767</v>
      </c>
      <c r="M37" s="24">
        <v>4</v>
      </c>
      <c r="N37" s="24">
        <v>6</v>
      </c>
      <c r="O37" s="24">
        <v>15</v>
      </c>
      <c r="P37" s="24">
        <v>7</v>
      </c>
      <c r="Q37" s="24"/>
      <c r="R37" s="24">
        <v>120</v>
      </c>
      <c r="S37" s="24">
        <v>919</v>
      </c>
      <c r="T37" s="24">
        <v>106</v>
      </c>
      <c r="U37" s="2"/>
    </row>
    <row r="38" spans="1:21" ht="33" customHeight="1" thickBot="1">
      <c r="A38" s="2"/>
      <c r="B38" s="23" t="s">
        <v>58</v>
      </c>
      <c r="C38" s="24">
        <v>9</v>
      </c>
      <c r="D38" s="24">
        <v>1</v>
      </c>
      <c r="E38" s="24">
        <v>1</v>
      </c>
      <c r="F38" s="24"/>
      <c r="G38" s="24">
        <v>2</v>
      </c>
      <c r="H38" s="24"/>
      <c r="I38" s="24">
        <v>1</v>
      </c>
      <c r="J38" s="24">
        <v>14</v>
      </c>
      <c r="K38" s="24"/>
      <c r="L38" s="24">
        <v>123</v>
      </c>
      <c r="M38" s="24">
        <v>2</v>
      </c>
      <c r="N38" s="24">
        <v>4</v>
      </c>
      <c r="O38" s="24">
        <v>1</v>
      </c>
      <c r="P38" s="24">
        <v>18</v>
      </c>
      <c r="Q38" s="24"/>
      <c r="R38" s="24">
        <v>17</v>
      </c>
      <c r="S38" s="24">
        <v>165</v>
      </c>
      <c r="T38" s="24">
        <v>12</v>
      </c>
      <c r="U38" s="2"/>
    </row>
    <row r="39" spans="1:21" ht="33" customHeight="1" thickBot="1">
      <c r="A39" s="2"/>
      <c r="B39" s="23" t="s">
        <v>48</v>
      </c>
      <c r="C39" s="24">
        <v>13</v>
      </c>
      <c r="D39" s="24">
        <v>2</v>
      </c>
      <c r="E39" s="24">
        <v>1</v>
      </c>
      <c r="F39" s="24">
        <v>1</v>
      </c>
      <c r="G39" s="24">
        <v>3</v>
      </c>
      <c r="H39" s="24"/>
      <c r="I39" s="24">
        <v>2</v>
      </c>
      <c r="J39" s="24">
        <v>22</v>
      </c>
      <c r="K39" s="24"/>
      <c r="L39" s="24">
        <v>235</v>
      </c>
      <c r="M39" s="24"/>
      <c r="N39" s="24">
        <v>13</v>
      </c>
      <c r="O39" s="24">
        <v>3</v>
      </c>
      <c r="P39" s="24">
        <v>63</v>
      </c>
      <c r="Q39" s="24"/>
      <c r="R39" s="24">
        <v>58</v>
      </c>
      <c r="S39" s="24">
        <v>372</v>
      </c>
      <c r="T39" s="24">
        <v>43</v>
      </c>
      <c r="U39" s="2"/>
    </row>
    <row r="40" spans="1:21" ht="20.100000000000001" customHeight="1" thickBot="1">
      <c r="A40" s="2"/>
      <c r="B40" s="25" t="s">
        <v>59</v>
      </c>
      <c r="C40" s="24">
        <v>300</v>
      </c>
      <c r="D40" s="24">
        <v>34</v>
      </c>
      <c r="E40" s="24">
        <v>25</v>
      </c>
      <c r="F40" s="24">
        <v>17</v>
      </c>
      <c r="G40" s="24">
        <v>89</v>
      </c>
      <c r="H40" s="24">
        <v>9</v>
      </c>
      <c r="I40" s="24">
        <v>80</v>
      </c>
      <c r="J40" s="24">
        <v>554</v>
      </c>
      <c r="K40" s="24">
        <v>7</v>
      </c>
      <c r="L40" s="24">
        <v>11537</v>
      </c>
      <c r="M40" s="24">
        <v>64</v>
      </c>
      <c r="N40" s="24">
        <v>460</v>
      </c>
      <c r="O40" s="24">
        <v>221</v>
      </c>
      <c r="P40" s="24">
        <v>1732</v>
      </c>
      <c r="Q40" s="24">
        <v>24</v>
      </c>
      <c r="R40" s="24">
        <v>2985</v>
      </c>
      <c r="S40" s="24">
        <v>17023</v>
      </c>
      <c r="T40" s="24">
        <v>1550</v>
      </c>
      <c r="U40" s="2"/>
    </row>
  </sheetData>
  <mergeCells count="4">
    <mergeCell ref="B1:T1"/>
    <mergeCell ref="B2:T2"/>
    <mergeCell ref="C3:K3"/>
    <mergeCell ref="L3:T3"/>
  </mergeCells>
  <pageMargins left="0.27777777777777779" right="0.27777777777777779" top="0.27777777777777779" bottom="0.27777777777777779" header="0.5" footer="0.5"/>
  <pageSetup pageOrder="overThenDown" orientation="landscape" horizontalDpi="300" verticalDpi="3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8"/>
  <sheetViews>
    <sheetView workbookViewId="0">
      <selection activeCell="B8" sqref="B8"/>
    </sheetView>
  </sheetViews>
  <sheetFormatPr defaultRowHeight="12.75"/>
  <sheetData>
    <row r="1" spans="1:5" ht="13.5" thickBot="1">
      <c r="B1" t="s">
        <v>9</v>
      </c>
      <c r="C1" t="s">
        <v>75</v>
      </c>
      <c r="D1" t="s">
        <v>76</v>
      </c>
      <c r="E1" t="s">
        <v>77</v>
      </c>
    </row>
    <row r="2" spans="1:5" ht="18.75" thickBot="1">
      <c r="A2" t="s">
        <v>12</v>
      </c>
      <c r="B2" s="44">
        <v>1981</v>
      </c>
      <c r="C2" s="45">
        <v>2796</v>
      </c>
      <c r="D2" s="45">
        <v>873</v>
      </c>
      <c r="E2" s="46">
        <v>54</v>
      </c>
    </row>
    <row r="3" spans="1:5">
      <c r="A3" t="s">
        <v>78</v>
      </c>
      <c r="B3">
        <v>1426</v>
      </c>
      <c r="C3">
        <v>2130</v>
      </c>
      <c r="D3">
        <v>742</v>
      </c>
      <c r="E3">
        <v>51</v>
      </c>
    </row>
    <row r="6" spans="1:5">
      <c r="B6" t="s">
        <v>9</v>
      </c>
      <c r="C6" t="s">
        <v>75</v>
      </c>
      <c r="D6" t="s">
        <v>76</v>
      </c>
      <c r="E6" t="s">
        <v>77</v>
      </c>
    </row>
    <row r="7" spans="1:5">
      <c r="A7" t="s">
        <v>78</v>
      </c>
      <c r="B7">
        <v>1426</v>
      </c>
      <c r="C7">
        <v>2130</v>
      </c>
      <c r="D7">
        <v>742</v>
      </c>
      <c r="E7">
        <v>51</v>
      </c>
    </row>
    <row r="8" spans="1:5">
      <c r="B8">
        <v>555</v>
      </c>
      <c r="C8">
        <v>666</v>
      </c>
      <c r="D8">
        <v>131</v>
      </c>
      <c r="E8">
        <v>3</v>
      </c>
    </row>
  </sheetData>
  <pageMargins left="0.7" right="0.7" top="0.75" bottom="0.75" header="0.3" footer="0.3"/>
  <pageSetup paperSize="9" orientation="portrait" horizontalDpi="2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68</vt:i4>
      </vt:variant>
      <vt:variant>
        <vt:lpstr>Named Ranges</vt:lpstr>
      </vt:variant>
      <vt:variant>
        <vt:i4>115</vt:i4>
      </vt:variant>
    </vt:vector>
  </HeadingPairs>
  <TitlesOfParts>
    <vt:vector size="183" baseType="lpstr">
      <vt:lpstr>1UniNo</vt:lpstr>
      <vt:lpstr>1InsResponse</vt:lpstr>
      <vt:lpstr>2University-Specialisation</vt:lpstr>
      <vt:lpstr>3Collegerange</vt:lpstr>
      <vt:lpstr>4CollegeIndicator</vt:lpstr>
      <vt:lpstr>New Table 4a Revised</vt:lpstr>
      <vt:lpstr>5ManagementCollegeNo</vt:lpstr>
      <vt:lpstr>6TotalEnr</vt:lpstr>
      <vt:lpstr>6aTotalRegularEnr</vt:lpstr>
      <vt:lpstr>6bTotalDistanceEnr</vt:lpstr>
      <vt:lpstr>6cTotalPrivateEnr</vt:lpstr>
      <vt:lpstr>7UnivActwithConsUnit</vt:lpstr>
      <vt:lpstr>8CollegeAct</vt:lpstr>
      <vt:lpstr>9AllSAAct</vt:lpstr>
      <vt:lpstr>9aSAILevel</vt:lpstr>
      <vt:lpstr>10InstituionEst</vt:lpstr>
      <vt:lpstr>11Programme</vt:lpstr>
      <vt:lpstr>11aProgrammeDistance </vt:lpstr>
      <vt:lpstr>11bProgrammePrivate</vt:lpstr>
      <vt:lpstr>12UGDisc </vt:lpstr>
      <vt:lpstr>13PGDisc</vt:lpstr>
      <vt:lpstr>14-15TotalEnrCategory (2)</vt:lpstr>
      <vt:lpstr>16FS-countrylevel</vt:lpstr>
      <vt:lpstr>17FS-statelevel</vt:lpstr>
      <vt:lpstr>18FS-prog</vt:lpstr>
      <vt:lpstr>ManagementCollegeNo (2)</vt:lpstr>
      <vt:lpstr>WomenCollege</vt:lpstr>
      <vt:lpstr>19GER(2011)</vt:lpstr>
      <vt:lpstr>20GPI2011</vt:lpstr>
      <vt:lpstr>21TeacherCategory</vt:lpstr>
      <vt:lpstr>22TeacherPost</vt:lpstr>
      <vt:lpstr>22aTeacherPostC</vt:lpstr>
      <vt:lpstr>22bTeacherPostU</vt:lpstr>
      <vt:lpstr>23StaffPost</vt:lpstr>
      <vt:lpstr>24StaffCategory</vt:lpstr>
      <vt:lpstr>25PTR</vt:lpstr>
      <vt:lpstr>26UnivEnrolinclConstituentU</vt:lpstr>
      <vt:lpstr>27TypeEnrolmentCategory-Est</vt:lpstr>
      <vt:lpstr>29TypeTeacherPostEstimated</vt:lpstr>
      <vt:lpstr>30TypeTeacherCategoryEstimated</vt:lpstr>
      <vt:lpstr>31Hostelstate </vt:lpstr>
      <vt:lpstr>32TypeHostel</vt:lpstr>
      <vt:lpstr>33OutTurnState</vt:lpstr>
      <vt:lpstr>33a CategoryOutTurn</vt:lpstr>
      <vt:lpstr>34OutTurn Prog </vt:lpstr>
      <vt:lpstr>34a</vt:lpstr>
      <vt:lpstr>35UGDisc</vt:lpstr>
      <vt:lpstr>36 PGDisc </vt:lpstr>
      <vt:lpstr>37CollegeTypeNo</vt:lpstr>
      <vt:lpstr>38Pop (Cen 2011)</vt:lpstr>
      <vt:lpstr>39TypeStateUnivwithConsUnit</vt:lpstr>
      <vt:lpstr>40NoUni</vt:lpstr>
      <vt:lpstr>41NoUniType</vt:lpstr>
      <vt:lpstr>42CollegeIndicator</vt:lpstr>
      <vt:lpstr>43ENRLT 6</vt:lpstr>
      <vt:lpstr>44ENRLR 6a</vt:lpstr>
      <vt:lpstr>45EnrlCategory 14</vt:lpstr>
      <vt:lpstr>46EnrlMinority 14</vt:lpstr>
      <vt:lpstr>47GER  19</vt:lpstr>
      <vt:lpstr>48GPI 20</vt:lpstr>
      <vt:lpstr>49PTR 25</vt:lpstr>
      <vt:lpstr>50LevelEnrlUniType</vt:lpstr>
      <vt:lpstr>51PostTeacher</vt:lpstr>
      <vt:lpstr>52Pop</vt:lpstr>
      <vt:lpstr>4CollegeIndicator (2)</vt:lpstr>
      <vt:lpstr>RespondingTypeCollege</vt:lpstr>
      <vt:lpstr>Paste</vt:lpstr>
      <vt:lpstr>StandaloneMgt</vt:lpstr>
      <vt:lpstr>'10InstituionEst'!Print_Area</vt:lpstr>
      <vt:lpstr>'11aProgrammeDistance '!Print_Area</vt:lpstr>
      <vt:lpstr>'11Programme'!Print_Area</vt:lpstr>
      <vt:lpstr>'12UGDisc '!Print_Area</vt:lpstr>
      <vt:lpstr>'13PGDisc'!Print_Area</vt:lpstr>
      <vt:lpstr>'14-15TotalEnrCategory (2)'!Print_Area</vt:lpstr>
      <vt:lpstr>'16FS-countrylevel'!Print_Area</vt:lpstr>
      <vt:lpstr>'17FS-statelevel'!Print_Area</vt:lpstr>
      <vt:lpstr>'18FS-prog'!Print_Area</vt:lpstr>
      <vt:lpstr>'19GER(2011)'!Print_Area</vt:lpstr>
      <vt:lpstr>'1InsResponse'!Print_Area</vt:lpstr>
      <vt:lpstr>'1UniNo'!Print_Area</vt:lpstr>
      <vt:lpstr>'20GPI2011'!Print_Area</vt:lpstr>
      <vt:lpstr>'21TeacherCategory'!Print_Area</vt:lpstr>
      <vt:lpstr>'22aTeacherPostC'!Print_Area</vt:lpstr>
      <vt:lpstr>'22bTeacherPostU'!Print_Area</vt:lpstr>
      <vt:lpstr>'22TeacherPost'!Print_Area</vt:lpstr>
      <vt:lpstr>'23StaffPost'!Print_Area</vt:lpstr>
      <vt:lpstr>'24StaffCategory'!Print_Area</vt:lpstr>
      <vt:lpstr>'25PTR'!Print_Area</vt:lpstr>
      <vt:lpstr>'26UnivEnrolinclConstituentU'!Print_Area</vt:lpstr>
      <vt:lpstr>'27TypeEnrolmentCategory-Est'!Print_Area</vt:lpstr>
      <vt:lpstr>'29TypeTeacherPostEstimated'!Print_Area</vt:lpstr>
      <vt:lpstr>'2University-Specialisation'!Print_Area</vt:lpstr>
      <vt:lpstr>'30TypeTeacherCategoryEstimated'!Print_Area</vt:lpstr>
      <vt:lpstr>'31Hostelstate '!Print_Area</vt:lpstr>
      <vt:lpstr>'33a CategoryOutTurn'!Print_Area</vt:lpstr>
      <vt:lpstr>'33OutTurnState'!Print_Area</vt:lpstr>
      <vt:lpstr>'34a'!Print_Area</vt:lpstr>
      <vt:lpstr>'34OutTurn Prog '!Print_Area</vt:lpstr>
      <vt:lpstr>'35UGDisc'!Print_Area</vt:lpstr>
      <vt:lpstr>'36 PGDisc '!Print_Area</vt:lpstr>
      <vt:lpstr>'37CollegeTypeNo'!Print_Area</vt:lpstr>
      <vt:lpstr>'38Pop (Cen 2011)'!Print_Area</vt:lpstr>
      <vt:lpstr>'39TypeStateUnivwithConsUnit'!Print_Area</vt:lpstr>
      <vt:lpstr>'3Collegerange'!Print_Area</vt:lpstr>
      <vt:lpstr>'40NoUni'!Print_Area</vt:lpstr>
      <vt:lpstr>'42CollegeIndicator'!Print_Area</vt:lpstr>
      <vt:lpstr>'44ENRLR 6a'!Print_Area</vt:lpstr>
      <vt:lpstr>'45EnrlCategory 14'!Print_Area</vt:lpstr>
      <vt:lpstr>'47GER  19'!Print_Area</vt:lpstr>
      <vt:lpstr>'48GPI 20'!Print_Area</vt:lpstr>
      <vt:lpstr>'49PTR 25'!Print_Area</vt:lpstr>
      <vt:lpstr>'4CollegeIndicator'!Print_Area</vt:lpstr>
      <vt:lpstr>'4CollegeIndicator (2)'!Print_Area</vt:lpstr>
      <vt:lpstr>'50LevelEnrlUniType'!Print_Area</vt:lpstr>
      <vt:lpstr>'51PostTeacher'!Print_Area</vt:lpstr>
      <vt:lpstr>'52Pop'!Print_Area</vt:lpstr>
      <vt:lpstr>'5ManagementCollegeNo'!Print_Area</vt:lpstr>
      <vt:lpstr>'6aTotalRegularEnr'!Print_Area</vt:lpstr>
      <vt:lpstr>'6bTotalDistanceEnr'!Print_Area</vt:lpstr>
      <vt:lpstr>'6cTotalPrivateEnr'!Print_Area</vt:lpstr>
      <vt:lpstr>'6TotalEnr'!Print_Area</vt:lpstr>
      <vt:lpstr>'7UnivActwithConsUnit'!Print_Area</vt:lpstr>
      <vt:lpstr>'8CollegeAct'!Print_Area</vt:lpstr>
      <vt:lpstr>'9AllSAAct'!Print_Area</vt:lpstr>
      <vt:lpstr>'9aSAILevel'!Print_Area</vt:lpstr>
      <vt:lpstr>'ManagementCollegeNo (2)'!Print_Area</vt:lpstr>
      <vt:lpstr>WomenCollege!Print_Area</vt:lpstr>
      <vt:lpstr>'10InstituionEst'!Print_Titles</vt:lpstr>
      <vt:lpstr>'11aProgrammeDistance '!Print_Titles</vt:lpstr>
      <vt:lpstr>'11bProgrammePrivate'!Print_Titles</vt:lpstr>
      <vt:lpstr>'11Programme'!Print_Titles</vt:lpstr>
      <vt:lpstr>'12UGDisc '!Print_Titles</vt:lpstr>
      <vt:lpstr>'13PGDisc'!Print_Titles</vt:lpstr>
      <vt:lpstr>'14-15TotalEnrCategory (2)'!Print_Titles</vt:lpstr>
      <vt:lpstr>'16FS-countrylevel'!Print_Titles</vt:lpstr>
      <vt:lpstr>'17FS-statelevel'!Print_Titles</vt:lpstr>
      <vt:lpstr>'18FS-prog'!Print_Titles</vt:lpstr>
      <vt:lpstr>'20GPI2011'!Print_Titles</vt:lpstr>
      <vt:lpstr>'21TeacherCategory'!Print_Titles</vt:lpstr>
      <vt:lpstr>'22aTeacherPostC'!Print_Titles</vt:lpstr>
      <vt:lpstr>'22bTeacherPostU'!Print_Titles</vt:lpstr>
      <vt:lpstr>'22TeacherPost'!Print_Titles</vt:lpstr>
      <vt:lpstr>'23StaffPost'!Print_Titles</vt:lpstr>
      <vt:lpstr>'24StaffCategory'!Print_Titles</vt:lpstr>
      <vt:lpstr>'25PTR'!Print_Titles</vt:lpstr>
      <vt:lpstr>'26UnivEnrolinclConstituentU'!Print_Titles</vt:lpstr>
      <vt:lpstr>'27TypeEnrolmentCategory-Est'!Print_Titles</vt:lpstr>
      <vt:lpstr>'29TypeTeacherPostEstimated'!Print_Titles</vt:lpstr>
      <vt:lpstr>'2University-Specialisation'!Print_Titles</vt:lpstr>
      <vt:lpstr>'30TypeTeacherCategoryEstimated'!Print_Titles</vt:lpstr>
      <vt:lpstr>'31Hostelstate '!Print_Titles</vt:lpstr>
      <vt:lpstr>'33a CategoryOutTurn'!Print_Titles</vt:lpstr>
      <vt:lpstr>'33OutTurnState'!Print_Titles</vt:lpstr>
      <vt:lpstr>'34a'!Print_Titles</vt:lpstr>
      <vt:lpstr>'34OutTurn Prog '!Print_Titles</vt:lpstr>
      <vt:lpstr>'35UGDisc'!Print_Titles</vt:lpstr>
      <vt:lpstr>'36 PGDisc '!Print_Titles</vt:lpstr>
      <vt:lpstr>'37CollegeTypeNo'!Print_Titles</vt:lpstr>
      <vt:lpstr>'39TypeStateUnivwithConsUnit'!Print_Titles</vt:lpstr>
      <vt:lpstr>'41NoUniType'!Print_Titles</vt:lpstr>
      <vt:lpstr>'42CollegeIndicator'!Print_Titles</vt:lpstr>
      <vt:lpstr>'43ENRLT 6'!Print_Titles</vt:lpstr>
      <vt:lpstr>'44ENRLR 6a'!Print_Titles</vt:lpstr>
      <vt:lpstr>'45EnrlCategory 14'!Print_Titles</vt:lpstr>
      <vt:lpstr>'46EnrlMinority 14'!Print_Titles</vt:lpstr>
      <vt:lpstr>'47GER  19'!Print_Titles</vt:lpstr>
      <vt:lpstr>'48GPI 20'!Print_Titles</vt:lpstr>
      <vt:lpstr>'49PTR 25'!Print_Titles</vt:lpstr>
      <vt:lpstr>'50LevelEnrlUniType'!Print_Titles</vt:lpstr>
      <vt:lpstr>'51PostTeacher'!Print_Titles</vt:lpstr>
      <vt:lpstr>'52Pop'!Print_Titles</vt:lpstr>
      <vt:lpstr>'5ManagementCollegeNo'!Print_Titles</vt:lpstr>
      <vt:lpstr>'6aTotalRegularEnr'!Print_Titles</vt:lpstr>
      <vt:lpstr>'6bTotalDistanceEnr'!Print_Titles</vt:lpstr>
      <vt:lpstr>'6cTotalPrivateEnr'!Print_Titles</vt:lpstr>
      <vt:lpstr>'6TotalEnr'!Print_Titles</vt:lpstr>
      <vt:lpstr>'7UnivActwithConsUnit'!Print_Titles</vt:lpstr>
      <vt:lpstr>'8CollegeAct'!Print_Titles</vt:lpstr>
      <vt:lpstr>'9AllSAAct'!Print_Titles</vt:lpstr>
      <vt:lpstr>'9aSAILevel'!Print_Titles</vt:lpstr>
      <vt:lpstr>'ManagementCollegeNo (2)'!Print_Titles</vt:lpstr>
      <vt:lpstr>'New Table 4a Revised'!Print_Titles</vt:lpstr>
      <vt:lpstr>WomenCollege!Print_Titles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DELL</cp:lastModifiedBy>
  <cp:lastPrinted>2024-04-09T07:16:23Z</cp:lastPrinted>
  <dcterms:created xsi:type="dcterms:W3CDTF">2012-10-13T19:39:23Z</dcterms:created>
  <dcterms:modified xsi:type="dcterms:W3CDTF">2025-03-24T06:25:51Z</dcterms:modified>
</cp:coreProperties>
</file>